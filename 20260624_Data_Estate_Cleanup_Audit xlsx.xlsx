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utgroupnorthwich.sharepoint.com/teams/THGXGoogle-ProgrammeManagement/Shared Documents/FinOps/"/>
    </mc:Choice>
  </mc:AlternateContent>
  <xr:revisionPtr revIDLastSave="0" documentId="8_{A6422B66-E124-44CE-A369-78A71355E455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README" sheetId="1" r:id="rId1"/>
    <sheet name="Dashboard" sheetId="7" r:id="rId2"/>
    <sheet name="BigQuery" sheetId="2" r:id="rId3"/>
    <sheet name="BQ-added-Data" sheetId="3" r:id="rId4"/>
    <sheet name="CloudStorage" sheetId="4" r:id="rId5"/>
    <sheet name="PubSub" sheetId="5" r:id="rId6"/>
    <sheet name="AccessIssues" sheetId="6" r:id="rId7"/>
  </sheets>
  <definedNames>
    <definedName name="_xlnm._FilterDatabase" localSheetId="2" hidden="1">BigQuery!$A$1:$J$334</definedName>
    <definedName name="_xlnm._FilterDatabase" localSheetId="3" hidden="1">'BQ-added-Data'!$A$1:$P$2098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13" i="3" l="1" a="1"/>
  <c r="R813" i="3" s="1"/>
  <c r="R797" i="3" a="1"/>
  <c r="R797" i="3" s="1"/>
  <c r="R2098" i="3" a="1"/>
  <c r="R2098" i="3" s="1"/>
  <c r="Q2098" i="3" a="1"/>
  <c r="Q2098" i="3" s="1"/>
  <c r="R2097" i="3" a="1"/>
  <c r="R2097" i="3" s="1"/>
  <c r="Q2097" i="3" a="1"/>
  <c r="Q2097" i="3" s="1"/>
  <c r="R2096" i="3" a="1"/>
  <c r="R2096" i="3" s="1"/>
  <c r="Q2096" i="3" a="1"/>
  <c r="Q2096" i="3" s="1"/>
  <c r="R2095" i="3" a="1"/>
  <c r="R2095" i="3" s="1"/>
  <c r="Q2095" i="3" a="1"/>
  <c r="Q2095" i="3" s="1"/>
  <c r="R2094" i="3" a="1"/>
  <c r="R2094" i="3" s="1"/>
  <c r="Q2094" i="3" a="1"/>
  <c r="Q2094" i="3" s="1"/>
  <c r="R2093" i="3" a="1"/>
  <c r="R2093" i="3" s="1"/>
  <c r="Q2093" i="3" a="1"/>
  <c r="Q2093" i="3" s="1"/>
  <c r="R2092" i="3" a="1"/>
  <c r="R2092" i="3" s="1"/>
  <c r="Q2092" i="3" a="1"/>
  <c r="Q2092" i="3" s="1"/>
  <c r="R2091" i="3" a="1"/>
  <c r="R2091" i="3" s="1"/>
  <c r="Q2091" i="3" a="1"/>
  <c r="Q2091" i="3" s="1"/>
  <c r="R2090" i="3" a="1"/>
  <c r="R2090" i="3" s="1"/>
  <c r="Q2090" i="3" a="1"/>
  <c r="Q2090" i="3" s="1"/>
  <c r="R2089" i="3" a="1"/>
  <c r="R2089" i="3" s="1"/>
  <c r="Q2089" i="3" a="1"/>
  <c r="Q2089" i="3" s="1"/>
  <c r="R2088" i="3" a="1"/>
  <c r="R2088" i="3" s="1"/>
  <c r="Q2088" i="3" a="1"/>
  <c r="Q2088" i="3" s="1"/>
  <c r="R2087" i="3" a="1"/>
  <c r="R2087" i="3" s="1"/>
  <c r="Q2087" i="3" a="1"/>
  <c r="Q2087" i="3" s="1"/>
  <c r="R2086" i="3" a="1"/>
  <c r="R2086" i="3" s="1"/>
  <c r="Q2086" i="3" a="1"/>
  <c r="Q2086" i="3" s="1"/>
  <c r="R2085" i="3" a="1"/>
  <c r="R2085" i="3" s="1"/>
  <c r="Q2085" i="3" a="1"/>
  <c r="Q2085" i="3" s="1"/>
  <c r="R2084" i="3" a="1"/>
  <c r="R2084" i="3" s="1"/>
  <c r="Q2084" i="3" a="1"/>
  <c r="Q2084" i="3" s="1"/>
  <c r="R2083" i="3" a="1"/>
  <c r="R2083" i="3" s="1"/>
  <c r="Q2083" i="3" a="1"/>
  <c r="Q2083" i="3" s="1"/>
  <c r="R2082" i="3" a="1"/>
  <c r="R2082" i="3" s="1"/>
  <c r="Q2082" i="3" a="1"/>
  <c r="Q2082" i="3" s="1"/>
  <c r="R2081" i="3" a="1"/>
  <c r="R2081" i="3" s="1"/>
  <c r="Q2081" i="3" a="1"/>
  <c r="Q2081" i="3" s="1"/>
  <c r="R2080" i="3" a="1"/>
  <c r="R2080" i="3" s="1"/>
  <c r="Q2080" i="3" a="1"/>
  <c r="Q2080" i="3" s="1"/>
  <c r="R2079" i="3" a="1"/>
  <c r="R2079" i="3" s="1"/>
  <c r="Q2079" i="3" a="1"/>
  <c r="Q2079" i="3" s="1"/>
  <c r="R2078" i="3" a="1"/>
  <c r="R2078" i="3" s="1"/>
  <c r="Q2078" i="3" a="1"/>
  <c r="Q2078" i="3" s="1"/>
  <c r="R2077" i="3" a="1"/>
  <c r="R2077" i="3" s="1"/>
  <c r="Q2077" i="3" a="1"/>
  <c r="Q2077" i="3" s="1"/>
  <c r="R2076" i="3" a="1"/>
  <c r="R2076" i="3" s="1"/>
  <c r="Q2076" i="3" a="1"/>
  <c r="Q2076" i="3" s="1"/>
  <c r="R2075" i="3" a="1"/>
  <c r="R2075" i="3" s="1"/>
  <c r="Q2075" i="3" a="1"/>
  <c r="Q2075" i="3" s="1"/>
  <c r="R2074" i="3" a="1"/>
  <c r="R2074" i="3" s="1"/>
  <c r="Q2074" i="3" a="1"/>
  <c r="Q2074" i="3" s="1"/>
  <c r="R2073" i="3" a="1"/>
  <c r="R2073" i="3" s="1"/>
  <c r="Q2073" i="3" a="1"/>
  <c r="Q2073" i="3" s="1"/>
  <c r="R2072" i="3" a="1"/>
  <c r="R2072" i="3" s="1"/>
  <c r="Q2072" i="3" a="1"/>
  <c r="Q2072" i="3" s="1"/>
  <c r="R2071" i="3" a="1"/>
  <c r="R2071" i="3" s="1"/>
  <c r="Q2071" i="3" a="1"/>
  <c r="Q2071" i="3" s="1"/>
  <c r="R2070" i="3" a="1"/>
  <c r="R2070" i="3" s="1"/>
  <c r="Q2070" i="3" a="1"/>
  <c r="Q2070" i="3" s="1"/>
  <c r="R2069" i="3" a="1"/>
  <c r="R2069" i="3" s="1"/>
  <c r="Q2069" i="3" a="1"/>
  <c r="Q2069" i="3" s="1"/>
  <c r="R2068" i="3" a="1"/>
  <c r="R2068" i="3" s="1"/>
  <c r="Q2068" i="3" a="1"/>
  <c r="Q2068" i="3" s="1"/>
  <c r="R2067" i="3" a="1"/>
  <c r="R2067" i="3" s="1"/>
  <c r="Q2067" i="3" a="1"/>
  <c r="Q2067" i="3" s="1"/>
  <c r="R2066" i="3" a="1"/>
  <c r="R2066" i="3" s="1"/>
  <c r="Q2066" i="3" a="1"/>
  <c r="Q2066" i="3" s="1"/>
  <c r="R2065" i="3" a="1"/>
  <c r="R2065" i="3" s="1"/>
  <c r="Q2065" i="3" a="1"/>
  <c r="Q2065" i="3" s="1"/>
  <c r="R2064" i="3" a="1"/>
  <c r="R2064" i="3" s="1"/>
  <c r="Q2064" i="3" a="1"/>
  <c r="Q2064" i="3" s="1"/>
  <c r="R2063" i="3" a="1"/>
  <c r="R2063" i="3" s="1"/>
  <c r="Q2063" i="3" a="1"/>
  <c r="Q2063" i="3" s="1"/>
  <c r="R2062" i="3" a="1"/>
  <c r="R2062" i="3" s="1"/>
  <c r="Q2062" i="3" a="1"/>
  <c r="Q2062" i="3" s="1"/>
  <c r="R2061" i="3" a="1"/>
  <c r="R2061" i="3" s="1"/>
  <c r="Q2061" i="3" a="1"/>
  <c r="Q2061" i="3" s="1"/>
  <c r="R2060" i="3" a="1"/>
  <c r="R2060" i="3" s="1"/>
  <c r="Q2060" i="3" a="1"/>
  <c r="Q2060" i="3" s="1"/>
  <c r="R2059" i="3" a="1"/>
  <c r="R2059" i="3" s="1"/>
  <c r="Q2059" i="3" a="1"/>
  <c r="Q2059" i="3" s="1"/>
  <c r="R2058" i="3" a="1"/>
  <c r="R2058" i="3" s="1"/>
  <c r="Q2058" i="3" a="1"/>
  <c r="Q2058" i="3" s="1"/>
  <c r="R2057" i="3" a="1"/>
  <c r="R2057" i="3" s="1"/>
  <c r="Q2057" i="3" a="1"/>
  <c r="Q2057" i="3" s="1"/>
  <c r="R2056" i="3" a="1"/>
  <c r="R2056" i="3" s="1"/>
  <c r="Q2056" i="3" a="1"/>
  <c r="Q2056" i="3" s="1"/>
  <c r="R2055" i="3" a="1"/>
  <c r="R2055" i="3" s="1"/>
  <c r="Q2055" i="3" a="1"/>
  <c r="Q2055" i="3" s="1"/>
  <c r="R2054" i="3" a="1"/>
  <c r="R2054" i="3" s="1"/>
  <c r="Q2054" i="3" a="1"/>
  <c r="Q2054" i="3" s="1"/>
  <c r="R2053" i="3" a="1"/>
  <c r="R2053" i="3" s="1"/>
  <c r="Q2053" i="3" a="1"/>
  <c r="Q2053" i="3" s="1"/>
  <c r="R2052" i="3" a="1"/>
  <c r="R2052" i="3" s="1"/>
  <c r="Q2052" i="3" a="1"/>
  <c r="Q2052" i="3" s="1"/>
  <c r="R2051" i="3" a="1"/>
  <c r="R2051" i="3" s="1"/>
  <c r="Q2051" i="3" a="1"/>
  <c r="Q2051" i="3" s="1"/>
  <c r="R2050" i="3" a="1"/>
  <c r="R2050" i="3" s="1"/>
  <c r="Q2050" i="3" a="1"/>
  <c r="Q2050" i="3" s="1"/>
  <c r="R2049" i="3" a="1"/>
  <c r="R2049" i="3" s="1"/>
  <c r="Q2049" i="3" a="1"/>
  <c r="Q2049" i="3" s="1"/>
  <c r="R2048" i="3" a="1"/>
  <c r="R2048" i="3" s="1"/>
  <c r="Q2048" i="3" a="1"/>
  <c r="Q2048" i="3" s="1"/>
  <c r="R2047" i="3" a="1"/>
  <c r="R2047" i="3" s="1"/>
  <c r="Q2047" i="3" a="1"/>
  <c r="Q2047" i="3" s="1"/>
  <c r="R2046" i="3" a="1"/>
  <c r="R2046" i="3" s="1"/>
  <c r="Q2046" i="3" a="1"/>
  <c r="Q2046" i="3" s="1"/>
  <c r="R2045" i="3" a="1"/>
  <c r="R2045" i="3" s="1"/>
  <c r="Q2045" i="3" a="1"/>
  <c r="Q2045" i="3" s="1"/>
  <c r="R2044" i="3" a="1"/>
  <c r="R2044" i="3" s="1"/>
  <c r="Q2044" i="3" a="1"/>
  <c r="Q2044" i="3" s="1"/>
  <c r="R2043" i="3" a="1"/>
  <c r="R2043" i="3" s="1"/>
  <c r="Q2043" i="3" a="1"/>
  <c r="Q2043" i="3" s="1"/>
  <c r="R2042" i="3" a="1"/>
  <c r="R2042" i="3" s="1"/>
  <c r="Q2042" i="3" a="1"/>
  <c r="Q2042" i="3" s="1"/>
  <c r="R2041" i="3" a="1"/>
  <c r="R2041" i="3" s="1"/>
  <c r="Q2041" i="3" a="1"/>
  <c r="Q2041" i="3" s="1"/>
  <c r="R2040" i="3" a="1"/>
  <c r="R2040" i="3" s="1"/>
  <c r="Q2040" i="3" a="1"/>
  <c r="Q2040" i="3" s="1"/>
  <c r="R2039" i="3" a="1"/>
  <c r="R2039" i="3" s="1"/>
  <c r="Q2039" i="3" a="1"/>
  <c r="Q2039" i="3" s="1"/>
  <c r="R2038" i="3" a="1"/>
  <c r="R2038" i="3" s="1"/>
  <c r="Q2038" i="3" a="1"/>
  <c r="Q2038" i="3" s="1"/>
  <c r="R2037" i="3" a="1"/>
  <c r="R2037" i="3" s="1"/>
  <c r="Q2037" i="3" a="1"/>
  <c r="Q2037" i="3" s="1"/>
  <c r="R2036" i="3" a="1"/>
  <c r="R2036" i="3" s="1"/>
  <c r="Q2036" i="3" a="1"/>
  <c r="Q2036" i="3" s="1"/>
  <c r="R2035" i="3" a="1"/>
  <c r="R2035" i="3" s="1"/>
  <c r="Q2035" i="3" a="1"/>
  <c r="Q2035" i="3" s="1"/>
  <c r="R2034" i="3" a="1"/>
  <c r="R2034" i="3" s="1"/>
  <c r="Q2034" i="3" a="1"/>
  <c r="Q2034" i="3" s="1"/>
  <c r="R2033" i="3" a="1"/>
  <c r="R2033" i="3" s="1"/>
  <c r="Q2033" i="3" a="1"/>
  <c r="Q2033" i="3" s="1"/>
  <c r="R2032" i="3" a="1"/>
  <c r="R2032" i="3" s="1"/>
  <c r="Q2032" i="3" a="1"/>
  <c r="Q2032" i="3" s="1"/>
  <c r="P2098" i="3" s="1"/>
  <c r="R2031" i="3" a="1"/>
  <c r="R2031" i="3" s="1"/>
  <c r="Q2031" i="3" a="1"/>
  <c r="Q2031" i="3" s="1"/>
  <c r="P2097" i="3" s="1"/>
  <c r="R2030" i="3" a="1"/>
  <c r="R2030" i="3" s="1"/>
  <c r="Q2030" i="3" a="1"/>
  <c r="Q2030" i="3" s="1"/>
  <c r="P2096" i="3" s="1"/>
  <c r="R2029" i="3" a="1"/>
  <c r="R2029" i="3" s="1"/>
  <c r="Q2029" i="3" a="1"/>
  <c r="Q2029" i="3" s="1"/>
  <c r="P2095" i="3" s="1"/>
  <c r="R2028" i="3" a="1"/>
  <c r="R2028" i="3" s="1"/>
  <c r="Q2028" i="3" a="1"/>
  <c r="Q2028" i="3" s="1"/>
  <c r="P2094" i="3" s="1"/>
  <c r="R2027" i="3" a="1"/>
  <c r="R2027" i="3" s="1"/>
  <c r="Q2027" i="3" a="1"/>
  <c r="Q2027" i="3" s="1"/>
  <c r="P2054" i="3" s="1"/>
  <c r="R2026" i="3" a="1"/>
  <c r="R2026" i="3" s="1"/>
  <c r="Q2026" i="3" a="1"/>
  <c r="Q2026" i="3" s="1"/>
  <c r="P2053" i="3" s="1"/>
  <c r="R2025" i="3" a="1"/>
  <c r="R2025" i="3" s="1"/>
  <c r="Q2025" i="3" a="1"/>
  <c r="Q2025" i="3" s="1"/>
  <c r="P2093" i="3" s="1"/>
  <c r="R2024" i="3" a="1"/>
  <c r="R2024" i="3" s="1"/>
  <c r="Q2024" i="3" a="1"/>
  <c r="Q2024" i="3" s="1"/>
  <c r="P2092" i="3" s="1"/>
  <c r="R2023" i="3" a="1"/>
  <c r="R2023" i="3" s="1"/>
  <c r="Q2023" i="3" a="1"/>
  <c r="Q2023" i="3" s="1"/>
  <c r="P2091" i="3" s="1"/>
  <c r="R2022" i="3" a="1"/>
  <c r="R2022" i="3" s="1"/>
  <c r="Q2022" i="3" a="1"/>
  <c r="Q2022" i="3" s="1"/>
  <c r="P2090" i="3" s="1"/>
  <c r="R2021" i="3" a="1"/>
  <c r="R2021" i="3" s="1"/>
  <c r="Q2021" i="3" a="1"/>
  <c r="Q2021" i="3" s="1"/>
  <c r="P2089" i="3" s="1"/>
  <c r="R2020" i="3" a="1"/>
  <c r="R2020" i="3" s="1"/>
  <c r="Q2020" i="3" a="1"/>
  <c r="Q2020" i="3" s="1"/>
  <c r="R2019" i="3" a="1"/>
  <c r="R2019" i="3" s="1"/>
  <c r="Q2019" i="3" a="1"/>
  <c r="Q2019" i="3" s="1"/>
  <c r="R2018" i="3" a="1"/>
  <c r="R2018" i="3" s="1"/>
  <c r="Q2018" i="3" a="1"/>
  <c r="Q2018" i="3" s="1"/>
  <c r="R2017" i="3" a="1"/>
  <c r="R2017" i="3" s="1"/>
  <c r="Q2017" i="3" a="1"/>
  <c r="Q2017" i="3" s="1"/>
  <c r="R2016" i="3" a="1"/>
  <c r="R2016" i="3" s="1"/>
  <c r="Q2016" i="3" a="1"/>
  <c r="Q2016" i="3" s="1"/>
  <c r="R2015" i="3" a="1"/>
  <c r="R2015" i="3" s="1"/>
  <c r="Q2015" i="3" a="1"/>
  <c r="Q2015" i="3" s="1"/>
  <c r="R2014" i="3" a="1"/>
  <c r="R2014" i="3" s="1"/>
  <c r="Q2014" i="3" a="1"/>
  <c r="Q2014" i="3" s="1"/>
  <c r="R2013" i="3" a="1"/>
  <c r="R2013" i="3" s="1"/>
  <c r="Q2013" i="3" a="1"/>
  <c r="Q2013" i="3" s="1"/>
  <c r="R2012" i="3" a="1"/>
  <c r="R2012" i="3" s="1"/>
  <c r="Q2012" i="3" a="1"/>
  <c r="Q2012" i="3" s="1"/>
  <c r="R2011" i="3" a="1"/>
  <c r="R2011" i="3" s="1"/>
  <c r="Q2011" i="3" a="1"/>
  <c r="Q2011" i="3" s="1"/>
  <c r="R2010" i="3" a="1"/>
  <c r="R2010" i="3" s="1"/>
  <c r="Q2010" i="3" a="1"/>
  <c r="Q2010" i="3" s="1"/>
  <c r="R2009" i="3" a="1"/>
  <c r="R2009" i="3" s="1"/>
  <c r="Q2009" i="3" a="1"/>
  <c r="Q2009" i="3" s="1"/>
  <c r="R2008" i="3" a="1"/>
  <c r="R2008" i="3" s="1"/>
  <c r="Q2008" i="3" a="1"/>
  <c r="Q2008" i="3" s="1"/>
  <c r="R2007" i="3" a="1"/>
  <c r="R2007" i="3" s="1"/>
  <c r="Q2007" i="3" a="1"/>
  <c r="Q2007" i="3" s="1"/>
  <c r="R2006" i="3" a="1"/>
  <c r="R2006" i="3" s="1"/>
  <c r="Q2006" i="3" a="1"/>
  <c r="Q2006" i="3" s="1"/>
  <c r="R2005" i="3" a="1"/>
  <c r="R2005" i="3" s="1"/>
  <c r="Q2005" i="3" a="1"/>
  <c r="Q2005" i="3" s="1"/>
  <c r="R2004" i="3" a="1"/>
  <c r="R2004" i="3" s="1"/>
  <c r="Q2004" i="3" a="1"/>
  <c r="Q2004" i="3" s="1"/>
  <c r="R2003" i="3" a="1"/>
  <c r="R2003" i="3" s="1"/>
  <c r="Q2003" i="3" a="1"/>
  <c r="Q2003" i="3" s="1"/>
  <c r="R2002" i="3" a="1"/>
  <c r="R2002" i="3" s="1"/>
  <c r="Q2002" i="3" a="1"/>
  <c r="Q2002" i="3" s="1"/>
  <c r="R2001" i="3" a="1"/>
  <c r="R2001" i="3" s="1"/>
  <c r="Q2001" i="3" a="1"/>
  <c r="Q2001" i="3" s="1"/>
  <c r="R2000" i="3" a="1"/>
  <c r="R2000" i="3" s="1"/>
  <c r="Q2000" i="3" a="1"/>
  <c r="Q2000" i="3" s="1"/>
  <c r="R1999" i="3" a="1"/>
  <c r="R1999" i="3" s="1"/>
  <c r="Q1999" i="3" a="1"/>
  <c r="Q1999" i="3" s="1"/>
  <c r="R1998" i="3" a="1"/>
  <c r="R1998" i="3" s="1"/>
  <c r="Q1998" i="3" a="1"/>
  <c r="Q1998" i="3" s="1"/>
  <c r="R1997" i="3" a="1"/>
  <c r="R1997" i="3" s="1"/>
  <c r="Q1997" i="3" a="1"/>
  <c r="Q1997" i="3" s="1"/>
  <c r="R1996" i="3" a="1"/>
  <c r="R1996" i="3" s="1"/>
  <c r="Q1996" i="3" a="1"/>
  <c r="Q1996" i="3" s="1"/>
  <c r="R1995" i="3" a="1"/>
  <c r="R1995" i="3" s="1"/>
  <c r="Q1995" i="3" a="1"/>
  <c r="Q1995" i="3" s="1"/>
  <c r="R1994" i="3" a="1"/>
  <c r="R1994" i="3" s="1"/>
  <c r="Q1994" i="3" a="1"/>
  <c r="Q1994" i="3" s="1"/>
  <c r="R1993" i="3" a="1"/>
  <c r="R1993" i="3" s="1"/>
  <c r="Q1993" i="3" a="1"/>
  <c r="Q1993" i="3" s="1"/>
  <c r="R1992" i="3" a="1"/>
  <c r="R1992" i="3" s="1"/>
  <c r="Q1992" i="3" a="1"/>
  <c r="Q1992" i="3" s="1"/>
  <c r="R1991" i="3" a="1"/>
  <c r="R1991" i="3" s="1"/>
  <c r="Q1991" i="3" a="1"/>
  <c r="Q1991" i="3" s="1"/>
  <c r="R1990" i="3" a="1"/>
  <c r="R1990" i="3" s="1"/>
  <c r="Q1990" i="3" a="1"/>
  <c r="Q1990" i="3" s="1"/>
  <c r="R1989" i="3" a="1"/>
  <c r="R1989" i="3" s="1"/>
  <c r="Q1989" i="3" a="1"/>
  <c r="Q1989" i="3" s="1"/>
  <c r="R1988" i="3" a="1"/>
  <c r="R1988" i="3" s="1"/>
  <c r="Q1988" i="3" a="1"/>
  <c r="Q1988" i="3" s="1"/>
  <c r="R1987" i="3" a="1"/>
  <c r="R1987" i="3" s="1"/>
  <c r="Q1987" i="3" a="1"/>
  <c r="Q1987" i="3" s="1"/>
  <c r="R1986" i="3" a="1"/>
  <c r="R1986" i="3" s="1"/>
  <c r="Q1986" i="3" a="1"/>
  <c r="Q1986" i="3" s="1"/>
  <c r="R1985" i="3" a="1"/>
  <c r="R1985" i="3" s="1"/>
  <c r="Q1985" i="3" a="1"/>
  <c r="Q1985" i="3" s="1"/>
  <c r="R1984" i="3" a="1"/>
  <c r="R1984" i="3" s="1"/>
  <c r="Q1984" i="3" a="1"/>
  <c r="Q1984" i="3" s="1"/>
  <c r="R1983" i="3" a="1"/>
  <c r="R1983" i="3" s="1"/>
  <c r="Q1983" i="3" a="1"/>
  <c r="Q1983" i="3" s="1"/>
  <c r="R1982" i="3" a="1"/>
  <c r="R1982" i="3" s="1"/>
  <c r="Q1982" i="3" a="1"/>
  <c r="Q1982" i="3" s="1"/>
  <c r="R1981" i="3" a="1"/>
  <c r="R1981" i="3" s="1"/>
  <c r="Q1981" i="3" a="1"/>
  <c r="Q1981" i="3" s="1"/>
  <c r="R1980" i="3" a="1"/>
  <c r="R1980" i="3" s="1"/>
  <c r="Q1980" i="3" a="1"/>
  <c r="Q1980" i="3" s="1"/>
  <c r="R1979" i="3" a="1"/>
  <c r="R1979" i="3" s="1"/>
  <c r="Q1979" i="3" a="1"/>
  <c r="Q1979" i="3" s="1"/>
  <c r="R1978" i="3" a="1"/>
  <c r="R1978" i="3" s="1"/>
  <c r="Q1978" i="3" a="1"/>
  <c r="Q1978" i="3" s="1"/>
  <c r="R1977" i="3" a="1"/>
  <c r="R1977" i="3" s="1"/>
  <c r="Q1977" i="3" a="1"/>
  <c r="Q1977" i="3" s="1"/>
  <c r="R1976" i="3" a="1"/>
  <c r="R1976" i="3" s="1"/>
  <c r="Q1976" i="3" a="1"/>
  <c r="Q1976" i="3" s="1"/>
  <c r="R1975" i="3" a="1"/>
  <c r="R1975" i="3" s="1"/>
  <c r="Q1975" i="3" a="1"/>
  <c r="Q1975" i="3" s="1"/>
  <c r="R1974" i="3" a="1"/>
  <c r="R1974" i="3" s="1"/>
  <c r="Q1974" i="3" a="1"/>
  <c r="Q1974" i="3" s="1"/>
  <c r="R1973" i="3" a="1"/>
  <c r="R1973" i="3" s="1"/>
  <c r="Q1973" i="3" a="1"/>
  <c r="Q1973" i="3" s="1"/>
  <c r="R1972" i="3" a="1"/>
  <c r="R1972" i="3" s="1"/>
  <c r="Q1972" i="3" a="1"/>
  <c r="Q1972" i="3" s="1"/>
  <c r="R1971" i="3" a="1"/>
  <c r="R1971" i="3" s="1"/>
  <c r="Q1971" i="3" a="1"/>
  <c r="Q1971" i="3" s="1"/>
  <c r="R1970" i="3" a="1"/>
  <c r="R1970" i="3" s="1"/>
  <c r="Q1970" i="3" a="1"/>
  <c r="Q1970" i="3" s="1"/>
  <c r="R1969" i="3" a="1"/>
  <c r="R1969" i="3" s="1"/>
  <c r="Q1969" i="3" a="1"/>
  <c r="Q1969" i="3" s="1"/>
  <c r="R1968" i="3" a="1"/>
  <c r="R1968" i="3" s="1"/>
  <c r="Q1968" i="3" a="1"/>
  <c r="Q1968" i="3" s="1"/>
  <c r="R1967" i="3" a="1"/>
  <c r="R1967" i="3" s="1"/>
  <c r="Q1967" i="3" a="1"/>
  <c r="Q1967" i="3" s="1"/>
  <c r="R1966" i="3" a="1"/>
  <c r="R1966" i="3" s="1"/>
  <c r="Q1966" i="3" a="1"/>
  <c r="Q1966" i="3" s="1"/>
  <c r="R1965" i="3" a="1"/>
  <c r="R1965" i="3" s="1"/>
  <c r="Q1965" i="3" a="1"/>
  <c r="Q1965" i="3" s="1"/>
  <c r="R1964" i="3" a="1"/>
  <c r="R1964" i="3" s="1"/>
  <c r="Q1964" i="3" a="1"/>
  <c r="Q1964" i="3" s="1"/>
  <c r="R1963" i="3" a="1"/>
  <c r="R1963" i="3" s="1"/>
  <c r="Q1963" i="3" a="1"/>
  <c r="Q1963" i="3" s="1"/>
  <c r="R1962" i="3" a="1"/>
  <c r="R1962" i="3" s="1"/>
  <c r="Q1962" i="3" a="1"/>
  <c r="Q1962" i="3" s="1"/>
  <c r="R1961" i="3" a="1"/>
  <c r="R1961" i="3" s="1"/>
  <c r="Q1961" i="3" a="1"/>
  <c r="Q1961" i="3" s="1"/>
  <c r="R1960" i="3" a="1"/>
  <c r="R1960" i="3" s="1"/>
  <c r="Q1960" i="3" a="1"/>
  <c r="Q1960" i="3" s="1"/>
  <c r="R1959" i="3" a="1"/>
  <c r="R1959" i="3" s="1"/>
  <c r="Q1959" i="3" a="1"/>
  <c r="Q1959" i="3" s="1"/>
  <c r="R1958" i="3" a="1"/>
  <c r="R1958" i="3" s="1"/>
  <c r="Q1958" i="3" a="1"/>
  <c r="Q1958" i="3" s="1"/>
  <c r="R1957" i="3" a="1"/>
  <c r="R1957" i="3" s="1"/>
  <c r="Q1957" i="3" a="1"/>
  <c r="Q1957" i="3" s="1"/>
  <c r="R1956" i="3" a="1"/>
  <c r="R1956" i="3" s="1"/>
  <c r="Q1956" i="3" a="1"/>
  <c r="Q1956" i="3" s="1"/>
  <c r="R1955" i="3" a="1"/>
  <c r="R1955" i="3" s="1"/>
  <c r="Q1955" i="3" a="1"/>
  <c r="Q1955" i="3" s="1"/>
  <c r="R1954" i="3" a="1"/>
  <c r="R1954" i="3" s="1"/>
  <c r="Q1954" i="3" a="1"/>
  <c r="Q1954" i="3" s="1"/>
  <c r="R1953" i="3" a="1"/>
  <c r="R1953" i="3" s="1"/>
  <c r="Q1953" i="3" a="1"/>
  <c r="Q1953" i="3" s="1"/>
  <c r="R1952" i="3" a="1"/>
  <c r="R1952" i="3" s="1"/>
  <c r="Q1952" i="3" a="1"/>
  <c r="Q1952" i="3" s="1"/>
  <c r="R1951" i="3" a="1"/>
  <c r="R1951" i="3" s="1"/>
  <c r="Q1951" i="3" a="1"/>
  <c r="Q1951" i="3" s="1"/>
  <c r="R1950" i="3" a="1"/>
  <c r="R1950" i="3" s="1"/>
  <c r="Q1950" i="3" a="1"/>
  <c r="Q1950" i="3" s="1"/>
  <c r="R1949" i="3" a="1"/>
  <c r="R1949" i="3" s="1"/>
  <c r="Q1949" i="3" a="1"/>
  <c r="Q1949" i="3" s="1"/>
  <c r="R1948" i="3" a="1"/>
  <c r="R1948" i="3" s="1"/>
  <c r="Q1948" i="3" a="1"/>
  <c r="Q1948" i="3" s="1"/>
  <c r="R1947" i="3" a="1"/>
  <c r="R1947" i="3" s="1"/>
  <c r="Q1947" i="3" a="1"/>
  <c r="Q1947" i="3" s="1"/>
  <c r="R1946" i="3" a="1"/>
  <c r="R1946" i="3" s="1"/>
  <c r="Q1946" i="3" a="1"/>
  <c r="Q1946" i="3" s="1"/>
  <c r="R1945" i="3" a="1"/>
  <c r="R1945" i="3" s="1"/>
  <c r="Q1945" i="3" a="1"/>
  <c r="Q1945" i="3" s="1"/>
  <c r="R1944" i="3" a="1"/>
  <c r="R1944" i="3" s="1"/>
  <c r="Q1944" i="3" a="1"/>
  <c r="Q1944" i="3" s="1"/>
  <c r="R1943" i="3" a="1"/>
  <c r="R1943" i="3" s="1"/>
  <c r="Q1943" i="3" a="1"/>
  <c r="Q1943" i="3" s="1"/>
  <c r="R1942" i="3" a="1"/>
  <c r="R1942" i="3" s="1"/>
  <c r="Q1942" i="3" a="1"/>
  <c r="Q1942" i="3" s="1"/>
  <c r="R1941" i="3" a="1"/>
  <c r="R1941" i="3" s="1"/>
  <c r="Q1941" i="3" a="1"/>
  <c r="Q1941" i="3" s="1"/>
  <c r="R1940" i="3" a="1"/>
  <c r="R1940" i="3" s="1"/>
  <c r="Q1940" i="3" a="1"/>
  <c r="Q1940" i="3" s="1"/>
  <c r="R1939" i="3" a="1"/>
  <c r="R1939" i="3" s="1"/>
  <c r="Q1939" i="3" a="1"/>
  <c r="Q1939" i="3" s="1"/>
  <c r="R1938" i="3" a="1"/>
  <c r="R1938" i="3" s="1"/>
  <c r="Q1938" i="3" a="1"/>
  <c r="Q1938" i="3" s="1"/>
  <c r="R1937" i="3" a="1"/>
  <c r="R1937" i="3" s="1"/>
  <c r="Q1937" i="3" a="1"/>
  <c r="Q1937" i="3" s="1"/>
  <c r="R1936" i="3" a="1"/>
  <c r="R1936" i="3" s="1"/>
  <c r="Q1936" i="3" a="1"/>
  <c r="Q1936" i="3" s="1"/>
  <c r="R1935" i="3" a="1"/>
  <c r="R1935" i="3" s="1"/>
  <c r="Q1935" i="3" a="1"/>
  <c r="Q1935" i="3" s="1"/>
  <c r="R1934" i="3" a="1"/>
  <c r="R1934" i="3" s="1"/>
  <c r="Q1934" i="3" a="1"/>
  <c r="Q1934" i="3" s="1"/>
  <c r="R1933" i="3" a="1"/>
  <c r="R1933" i="3" s="1"/>
  <c r="Q1933" i="3" a="1"/>
  <c r="Q1933" i="3" s="1"/>
  <c r="R1932" i="3" a="1"/>
  <c r="R1932" i="3" s="1"/>
  <c r="Q1932" i="3" a="1"/>
  <c r="Q1932" i="3" s="1"/>
  <c r="R1931" i="3" a="1"/>
  <c r="R1931" i="3" s="1"/>
  <c r="Q1931" i="3" a="1"/>
  <c r="Q1931" i="3" s="1"/>
  <c r="R1930" i="3" a="1"/>
  <c r="R1930" i="3" s="1"/>
  <c r="Q1930" i="3" a="1"/>
  <c r="Q1930" i="3" s="1"/>
  <c r="R1929" i="3" a="1"/>
  <c r="R1929" i="3" s="1"/>
  <c r="Q1929" i="3" a="1"/>
  <c r="Q1929" i="3" s="1"/>
  <c r="R1928" i="3" a="1"/>
  <c r="R1928" i="3" s="1"/>
  <c r="Q1928" i="3" a="1"/>
  <c r="Q1928" i="3" s="1"/>
  <c r="R1927" i="3" a="1"/>
  <c r="R1927" i="3" s="1"/>
  <c r="Q1927" i="3" a="1"/>
  <c r="Q1927" i="3" s="1"/>
  <c r="R1926" i="3" a="1"/>
  <c r="R1926" i="3" s="1"/>
  <c r="Q1926" i="3" a="1"/>
  <c r="Q1926" i="3" s="1"/>
  <c r="R1925" i="3" a="1"/>
  <c r="R1925" i="3" s="1"/>
  <c r="Q1925" i="3" a="1"/>
  <c r="Q1925" i="3" s="1"/>
  <c r="R1924" i="3" a="1"/>
  <c r="R1924" i="3" s="1"/>
  <c r="Q1924" i="3" a="1"/>
  <c r="Q1924" i="3" s="1"/>
  <c r="R1923" i="3" a="1"/>
  <c r="R1923" i="3" s="1"/>
  <c r="Q1923" i="3" a="1"/>
  <c r="Q1923" i="3" s="1"/>
  <c r="R1922" i="3" a="1"/>
  <c r="R1922" i="3" s="1"/>
  <c r="Q1922" i="3" a="1"/>
  <c r="Q1922" i="3" s="1"/>
  <c r="R1921" i="3" a="1"/>
  <c r="R1921" i="3" s="1"/>
  <c r="Q1921" i="3" a="1"/>
  <c r="Q1921" i="3" s="1"/>
  <c r="R1920" i="3" a="1"/>
  <c r="R1920" i="3" s="1"/>
  <c r="Q1920" i="3" a="1"/>
  <c r="Q1920" i="3" s="1"/>
  <c r="R1919" i="3" a="1"/>
  <c r="R1919" i="3" s="1"/>
  <c r="Q1919" i="3" a="1"/>
  <c r="Q1919" i="3" s="1"/>
  <c r="R1918" i="3" a="1"/>
  <c r="R1918" i="3" s="1"/>
  <c r="Q1918" i="3" a="1"/>
  <c r="Q1918" i="3" s="1"/>
  <c r="R1917" i="3" a="1"/>
  <c r="R1917" i="3" s="1"/>
  <c r="Q1917" i="3" a="1"/>
  <c r="Q1917" i="3" s="1"/>
  <c r="R1916" i="3" a="1"/>
  <c r="R1916" i="3" s="1"/>
  <c r="Q1916" i="3" a="1"/>
  <c r="Q1916" i="3" s="1"/>
  <c r="R1915" i="3" a="1"/>
  <c r="R1915" i="3" s="1"/>
  <c r="Q1915" i="3" a="1"/>
  <c r="Q1915" i="3" s="1"/>
  <c r="R1914" i="3" a="1"/>
  <c r="R1914" i="3" s="1"/>
  <c r="Q1914" i="3" a="1"/>
  <c r="Q1914" i="3" s="1"/>
  <c r="R1913" i="3" a="1"/>
  <c r="R1913" i="3" s="1"/>
  <c r="Q1913" i="3" a="1"/>
  <c r="Q1913" i="3" s="1"/>
  <c r="R1912" i="3" a="1"/>
  <c r="R1912" i="3" s="1"/>
  <c r="Q1912" i="3" a="1"/>
  <c r="Q1912" i="3" s="1"/>
  <c r="R1911" i="3" a="1"/>
  <c r="R1911" i="3" s="1"/>
  <c r="Q1911" i="3" a="1"/>
  <c r="Q1911" i="3" s="1"/>
  <c r="R1910" i="3" a="1"/>
  <c r="R1910" i="3" s="1"/>
  <c r="Q1910" i="3" a="1"/>
  <c r="Q1910" i="3" s="1"/>
  <c r="R1909" i="3" a="1"/>
  <c r="R1909" i="3" s="1"/>
  <c r="Q1909" i="3" a="1"/>
  <c r="Q1909" i="3" s="1"/>
  <c r="R1908" i="3" a="1"/>
  <c r="R1908" i="3" s="1"/>
  <c r="Q1908" i="3" a="1"/>
  <c r="Q1908" i="3" s="1"/>
  <c r="R1907" i="3" a="1"/>
  <c r="R1907" i="3" s="1"/>
  <c r="Q1907" i="3" a="1"/>
  <c r="Q1907" i="3" s="1"/>
  <c r="R1906" i="3" a="1"/>
  <c r="R1906" i="3" s="1"/>
  <c r="Q1906" i="3" a="1"/>
  <c r="Q1906" i="3" s="1"/>
  <c r="R1905" i="3" a="1"/>
  <c r="R1905" i="3" s="1"/>
  <c r="Q1905" i="3" a="1"/>
  <c r="Q1905" i="3" s="1"/>
  <c r="R1904" i="3" a="1"/>
  <c r="R1904" i="3" s="1"/>
  <c r="Q1904" i="3" a="1"/>
  <c r="Q1904" i="3" s="1"/>
  <c r="R1903" i="3" a="1"/>
  <c r="R1903" i="3" s="1"/>
  <c r="Q1903" i="3" a="1"/>
  <c r="Q1903" i="3" s="1"/>
  <c r="R1902" i="3" a="1"/>
  <c r="R1902" i="3" s="1"/>
  <c r="Q1902" i="3" a="1"/>
  <c r="Q1902" i="3" s="1"/>
  <c r="R1901" i="3" a="1"/>
  <c r="R1901" i="3" s="1"/>
  <c r="Q1901" i="3" a="1"/>
  <c r="Q1901" i="3" s="1"/>
  <c r="R1900" i="3" a="1"/>
  <c r="R1900" i="3" s="1"/>
  <c r="Q1900" i="3" a="1"/>
  <c r="Q1900" i="3" s="1"/>
  <c r="R1899" i="3" a="1"/>
  <c r="R1899" i="3" s="1"/>
  <c r="Q1899" i="3" a="1"/>
  <c r="Q1899" i="3" s="1"/>
  <c r="R1898" i="3" a="1"/>
  <c r="R1898" i="3" s="1"/>
  <c r="Q1898" i="3" a="1"/>
  <c r="Q1898" i="3" s="1"/>
  <c r="R1897" i="3" a="1"/>
  <c r="R1897" i="3" s="1"/>
  <c r="Q1897" i="3" a="1"/>
  <c r="Q1897" i="3" s="1"/>
  <c r="R1896" i="3" a="1"/>
  <c r="R1896" i="3" s="1"/>
  <c r="Q1896" i="3" a="1"/>
  <c r="Q1896" i="3" s="1"/>
  <c r="R1895" i="3" a="1"/>
  <c r="R1895" i="3" s="1"/>
  <c r="Q1895" i="3" a="1"/>
  <c r="Q1895" i="3" s="1"/>
  <c r="R1894" i="3" a="1"/>
  <c r="R1894" i="3" s="1"/>
  <c r="Q1894" i="3" a="1"/>
  <c r="Q1894" i="3" s="1"/>
  <c r="R1893" i="3" a="1"/>
  <c r="R1893" i="3" s="1"/>
  <c r="Q1893" i="3" a="1"/>
  <c r="Q1893" i="3" s="1"/>
  <c r="P2010" i="3" s="1"/>
  <c r="R1892" i="3" a="1"/>
  <c r="R1892" i="3" s="1"/>
  <c r="Q1892" i="3" a="1"/>
  <c r="Q1892" i="3" s="1"/>
  <c r="R1891" i="3" a="1"/>
  <c r="R1891" i="3" s="1"/>
  <c r="Q1891" i="3" a="1"/>
  <c r="Q1891" i="3" s="1"/>
  <c r="R1890" i="3" a="1"/>
  <c r="R1890" i="3" s="1"/>
  <c r="Q1890" i="3" a="1"/>
  <c r="Q1890" i="3" s="1"/>
  <c r="R1889" i="3" a="1"/>
  <c r="R1889" i="3" s="1"/>
  <c r="Q1889" i="3" a="1"/>
  <c r="Q1889" i="3" s="1"/>
  <c r="R1888" i="3" a="1"/>
  <c r="R1888" i="3" s="1"/>
  <c r="Q1888" i="3" a="1"/>
  <c r="Q1888" i="3" s="1"/>
  <c r="R1887" i="3" a="1"/>
  <c r="R1887" i="3" s="1"/>
  <c r="Q1887" i="3" a="1"/>
  <c r="Q1887" i="3" s="1"/>
  <c r="R1886" i="3" a="1"/>
  <c r="R1886" i="3" s="1"/>
  <c r="Q1886" i="3" a="1"/>
  <c r="Q1886" i="3" s="1"/>
  <c r="R1885" i="3" a="1"/>
  <c r="R1885" i="3" s="1"/>
  <c r="Q1885" i="3" a="1"/>
  <c r="Q1885" i="3" s="1"/>
  <c r="P2088" i="3" s="1"/>
  <c r="R1884" i="3" a="1"/>
  <c r="R1884" i="3" s="1"/>
  <c r="Q1884" i="3" a="1"/>
  <c r="Q1884" i="3" s="1"/>
  <c r="R1883" i="3" a="1"/>
  <c r="R1883" i="3" s="1"/>
  <c r="Q1883" i="3" a="1"/>
  <c r="Q1883" i="3" s="1"/>
  <c r="R1882" i="3" a="1"/>
  <c r="R1882" i="3" s="1"/>
  <c r="Q1882" i="3" a="1"/>
  <c r="Q1882" i="3" s="1"/>
  <c r="P2049" i="3" s="1"/>
  <c r="R1881" i="3" a="1"/>
  <c r="R1881" i="3" s="1"/>
  <c r="Q1881" i="3" a="1"/>
  <c r="Q1881" i="3" s="1"/>
  <c r="R1880" i="3" a="1"/>
  <c r="R1880" i="3" s="1"/>
  <c r="Q1880" i="3" a="1"/>
  <c r="Q1880" i="3" s="1"/>
  <c r="R1879" i="3" a="1"/>
  <c r="R1879" i="3" s="1"/>
  <c r="Q1879" i="3" a="1"/>
  <c r="Q1879" i="3" s="1"/>
  <c r="R1878" i="3" a="1"/>
  <c r="R1878" i="3" s="1"/>
  <c r="Q1878" i="3" a="1"/>
  <c r="Q1878" i="3" s="1"/>
  <c r="P2009" i="3" s="1"/>
  <c r="R1877" i="3" a="1"/>
  <c r="R1877" i="3" s="1"/>
  <c r="Q1877" i="3" a="1"/>
  <c r="Q1877" i="3" s="1"/>
  <c r="R1876" i="3" a="1"/>
  <c r="R1876" i="3" s="1"/>
  <c r="Q1876" i="3" a="1"/>
  <c r="Q1876" i="3" s="1"/>
  <c r="R1875" i="3" a="1"/>
  <c r="R1875" i="3" s="1"/>
  <c r="Q1875" i="3" a="1"/>
  <c r="Q1875" i="3" s="1"/>
  <c r="R1874" i="3" a="1"/>
  <c r="R1874" i="3" s="1"/>
  <c r="Q1874" i="3" a="1"/>
  <c r="Q1874" i="3" s="1"/>
  <c r="R1873" i="3" a="1"/>
  <c r="R1873" i="3" s="1"/>
  <c r="Q1873" i="3" a="1"/>
  <c r="Q1873" i="3" s="1"/>
  <c r="R1872" i="3" a="1"/>
  <c r="R1872" i="3" s="1"/>
  <c r="Q1872" i="3" a="1"/>
  <c r="Q1872" i="3" s="1"/>
  <c r="P2008" i="3" s="1"/>
  <c r="R1871" i="3" a="1"/>
  <c r="R1871" i="3" s="1"/>
  <c r="Q1871" i="3" a="1"/>
  <c r="Q1871" i="3" s="1"/>
  <c r="R1870" i="3" a="1"/>
  <c r="R1870" i="3" s="1"/>
  <c r="Q1870" i="3" a="1"/>
  <c r="Q1870" i="3" s="1"/>
  <c r="R1869" i="3" a="1"/>
  <c r="R1869" i="3" s="1"/>
  <c r="Q1869" i="3" a="1"/>
  <c r="Q1869" i="3" s="1"/>
  <c r="R1868" i="3" a="1"/>
  <c r="R1868" i="3" s="1"/>
  <c r="Q1868" i="3" a="1"/>
  <c r="Q1868" i="3" s="1"/>
  <c r="R1867" i="3" a="1"/>
  <c r="R1867" i="3" s="1"/>
  <c r="Q1867" i="3" a="1"/>
  <c r="Q1867" i="3" s="1"/>
  <c r="R1866" i="3" a="1"/>
  <c r="R1866" i="3" s="1"/>
  <c r="Q1866" i="3" a="1"/>
  <c r="Q1866" i="3" s="1"/>
  <c r="P2007" i="3" s="1"/>
  <c r="R1865" i="3" a="1"/>
  <c r="R1865" i="3" s="1"/>
  <c r="Q1865" i="3" a="1"/>
  <c r="Q1865" i="3" s="1"/>
  <c r="R1864" i="3" a="1"/>
  <c r="R1864" i="3" s="1"/>
  <c r="Q1864" i="3" a="1"/>
  <c r="Q1864" i="3" s="1"/>
  <c r="R1863" i="3" a="1"/>
  <c r="R1863" i="3" s="1"/>
  <c r="Q1863" i="3" a="1"/>
  <c r="Q1863" i="3" s="1"/>
  <c r="R1862" i="3" a="1"/>
  <c r="R1862" i="3" s="1"/>
  <c r="Q1862" i="3" a="1"/>
  <c r="Q1862" i="3" s="1"/>
  <c r="P2006" i="3" s="1"/>
  <c r="R1861" i="3" a="1"/>
  <c r="R1861" i="3" s="1"/>
  <c r="Q1861" i="3" a="1"/>
  <c r="Q1861" i="3" s="1"/>
  <c r="R1860" i="3" a="1"/>
  <c r="R1860" i="3" s="1"/>
  <c r="Q1860" i="3" a="1"/>
  <c r="Q1860" i="3" s="1"/>
  <c r="R1859" i="3" a="1"/>
  <c r="R1859" i="3" s="1"/>
  <c r="Q1859" i="3" a="1"/>
  <c r="Q1859" i="3" s="1"/>
  <c r="R1858" i="3" a="1"/>
  <c r="R1858" i="3" s="1"/>
  <c r="Q1858" i="3" a="1"/>
  <c r="Q1858" i="3" s="1"/>
  <c r="R1857" i="3" a="1"/>
  <c r="R1857" i="3" s="1"/>
  <c r="Q1857" i="3" a="1"/>
  <c r="Q1857" i="3" s="1"/>
  <c r="P2005" i="3" s="1"/>
  <c r="R1856" i="3" a="1"/>
  <c r="R1856" i="3" s="1"/>
  <c r="Q1856" i="3" a="1"/>
  <c r="Q1856" i="3" s="1"/>
  <c r="R1855" i="3" a="1"/>
  <c r="R1855" i="3" s="1"/>
  <c r="Q1855" i="3" a="1"/>
  <c r="Q1855" i="3" s="1"/>
  <c r="P2004" i="3" s="1"/>
  <c r="R1854" i="3" a="1"/>
  <c r="R1854" i="3" s="1"/>
  <c r="Q1854" i="3" a="1"/>
  <c r="Q1854" i="3" s="1"/>
  <c r="R1853" i="3" a="1"/>
  <c r="R1853" i="3" s="1"/>
  <c r="Q1853" i="3" a="1"/>
  <c r="Q1853" i="3" s="1"/>
  <c r="R1852" i="3" a="1"/>
  <c r="R1852" i="3" s="1"/>
  <c r="Q1852" i="3" a="1"/>
  <c r="Q1852" i="3" s="1"/>
  <c r="R1851" i="3" a="1"/>
  <c r="R1851" i="3" s="1"/>
  <c r="Q1851" i="3" a="1"/>
  <c r="Q1851" i="3" s="1"/>
  <c r="P2003" i="3" s="1"/>
  <c r="R1850" i="3" a="1"/>
  <c r="R1850" i="3" s="1"/>
  <c r="Q1850" i="3" a="1"/>
  <c r="Q1850" i="3" s="1"/>
  <c r="R1849" i="3" a="1"/>
  <c r="R1849" i="3" s="1"/>
  <c r="Q1849" i="3" a="1"/>
  <c r="Q1849" i="3" s="1"/>
  <c r="R1848" i="3" a="1"/>
  <c r="R1848" i="3" s="1"/>
  <c r="Q1848" i="3" a="1"/>
  <c r="Q1848" i="3" s="1"/>
  <c r="R1847" i="3" a="1"/>
  <c r="R1847" i="3" s="1"/>
  <c r="Q1847" i="3" a="1"/>
  <c r="Q1847" i="3" s="1"/>
  <c r="R1846" i="3" a="1"/>
  <c r="R1846" i="3" s="1"/>
  <c r="Q1846" i="3" a="1"/>
  <c r="Q1846" i="3" s="1"/>
  <c r="R1845" i="3" a="1"/>
  <c r="R1845" i="3" s="1"/>
  <c r="Q1845" i="3" a="1"/>
  <c r="Q1845" i="3" s="1"/>
  <c r="R1844" i="3" a="1"/>
  <c r="R1844" i="3" s="1"/>
  <c r="Q1844" i="3" a="1"/>
  <c r="Q1844" i="3" s="1"/>
  <c r="R1843" i="3" a="1"/>
  <c r="R1843" i="3" s="1"/>
  <c r="Q1843" i="3" a="1"/>
  <c r="Q1843" i="3" s="1"/>
  <c r="R1842" i="3" a="1"/>
  <c r="R1842" i="3" s="1"/>
  <c r="Q1842" i="3" a="1"/>
  <c r="Q1842" i="3" s="1"/>
  <c r="P2002" i="3" s="1"/>
  <c r="R1841" i="3" a="1"/>
  <c r="R1841" i="3" s="1"/>
  <c r="Q1841" i="3" a="1"/>
  <c r="Q1841" i="3" s="1"/>
  <c r="R1840" i="3" a="1"/>
  <c r="R1840" i="3" s="1"/>
  <c r="Q1840" i="3" a="1"/>
  <c r="Q1840" i="3" s="1"/>
  <c r="R1839" i="3" a="1"/>
  <c r="R1839" i="3" s="1"/>
  <c r="Q1839" i="3" a="1"/>
  <c r="Q1839" i="3" s="1"/>
  <c r="R1838" i="3" a="1"/>
  <c r="R1838" i="3" s="1"/>
  <c r="Q1838" i="3" a="1"/>
  <c r="Q1838" i="3" s="1"/>
  <c r="R1837" i="3" a="1"/>
  <c r="R1837" i="3" s="1"/>
  <c r="Q1837" i="3" a="1"/>
  <c r="Q1837" i="3" s="1"/>
  <c r="R1836" i="3" a="1"/>
  <c r="R1836" i="3" s="1"/>
  <c r="Q1836" i="3" a="1"/>
  <c r="Q1836" i="3" s="1"/>
  <c r="R1835" i="3" a="1"/>
  <c r="R1835" i="3" s="1"/>
  <c r="Q1835" i="3" a="1"/>
  <c r="Q1835" i="3" s="1"/>
  <c r="R1834" i="3" a="1"/>
  <c r="R1834" i="3" s="1"/>
  <c r="Q1834" i="3" a="1"/>
  <c r="Q1834" i="3" s="1"/>
  <c r="R1833" i="3" a="1"/>
  <c r="R1833" i="3" s="1"/>
  <c r="Q1833" i="3" a="1"/>
  <c r="Q1833" i="3" s="1"/>
  <c r="R1832" i="3" a="1"/>
  <c r="R1832" i="3" s="1"/>
  <c r="Q1832" i="3" a="1"/>
  <c r="Q1832" i="3" s="1"/>
  <c r="R1831" i="3" a="1"/>
  <c r="R1831" i="3" s="1"/>
  <c r="Q1831" i="3" a="1"/>
  <c r="Q1831" i="3" s="1"/>
  <c r="R1830" i="3" a="1"/>
  <c r="R1830" i="3" s="1"/>
  <c r="Q1830" i="3" a="1"/>
  <c r="Q1830" i="3" s="1"/>
  <c r="R1829" i="3" a="1"/>
  <c r="R1829" i="3" s="1"/>
  <c r="Q1829" i="3" a="1"/>
  <c r="Q1829" i="3" s="1"/>
  <c r="R1828" i="3" a="1"/>
  <c r="R1828" i="3" s="1"/>
  <c r="Q1828" i="3" a="1"/>
  <c r="Q1828" i="3" s="1"/>
  <c r="R1827" i="3" a="1"/>
  <c r="R1827" i="3" s="1"/>
  <c r="Q1827" i="3" a="1"/>
  <c r="Q1827" i="3" s="1"/>
  <c r="R1826" i="3" a="1"/>
  <c r="R1826" i="3" s="1"/>
  <c r="Q1826" i="3" a="1"/>
  <c r="Q1826" i="3" s="1"/>
  <c r="R1825" i="3" a="1"/>
  <c r="R1825" i="3" s="1"/>
  <c r="Q1825" i="3" a="1"/>
  <c r="Q1825" i="3" s="1"/>
  <c r="R1824" i="3" a="1"/>
  <c r="R1824" i="3" s="1"/>
  <c r="Q1824" i="3" a="1"/>
  <c r="Q1824" i="3" s="1"/>
  <c r="R1823" i="3" a="1"/>
  <c r="R1823" i="3" s="1"/>
  <c r="Q1823" i="3" a="1"/>
  <c r="Q1823" i="3" s="1"/>
  <c r="R1822" i="3" a="1"/>
  <c r="R1822" i="3" s="1"/>
  <c r="Q1822" i="3" a="1"/>
  <c r="Q1822" i="3" s="1"/>
  <c r="R1821" i="3" a="1"/>
  <c r="R1821" i="3" s="1"/>
  <c r="Q1821" i="3" a="1"/>
  <c r="Q1821" i="3" s="1"/>
  <c r="R1820" i="3" a="1"/>
  <c r="R1820" i="3" s="1"/>
  <c r="Q1820" i="3" a="1"/>
  <c r="Q1820" i="3" s="1"/>
  <c r="R1819" i="3" a="1"/>
  <c r="R1819" i="3" s="1"/>
  <c r="Q1819" i="3" a="1"/>
  <c r="Q1819" i="3" s="1"/>
  <c r="R1818" i="3" a="1"/>
  <c r="R1818" i="3" s="1"/>
  <c r="Q1818" i="3" a="1"/>
  <c r="Q1818" i="3" s="1"/>
  <c r="R1817" i="3" a="1"/>
  <c r="R1817" i="3" s="1"/>
  <c r="Q1817" i="3" a="1"/>
  <c r="Q1817" i="3" s="1"/>
  <c r="R1816" i="3" a="1"/>
  <c r="R1816" i="3" s="1"/>
  <c r="Q1816" i="3" a="1"/>
  <c r="Q1816" i="3" s="1"/>
  <c r="R1815" i="3" a="1"/>
  <c r="R1815" i="3" s="1"/>
  <c r="Q1815" i="3" a="1"/>
  <c r="Q1815" i="3" s="1"/>
  <c r="R1814" i="3" a="1"/>
  <c r="R1814" i="3" s="1"/>
  <c r="Q1814" i="3" a="1"/>
  <c r="Q1814" i="3" s="1"/>
  <c r="R1813" i="3" a="1"/>
  <c r="R1813" i="3" s="1"/>
  <c r="Q1813" i="3" a="1"/>
  <c r="Q1813" i="3" s="1"/>
  <c r="P2048" i="3" s="1"/>
  <c r="R1812" i="3" a="1"/>
  <c r="R1812" i="3" s="1"/>
  <c r="Q1812" i="3" a="1"/>
  <c r="Q1812" i="3" s="1"/>
  <c r="R1811" i="3" a="1"/>
  <c r="R1811" i="3" s="1"/>
  <c r="Q1811" i="3" a="1"/>
  <c r="Q1811" i="3" s="1"/>
  <c r="R1810" i="3" a="1"/>
  <c r="R1810" i="3" s="1"/>
  <c r="Q1810" i="3" a="1"/>
  <c r="Q1810" i="3" s="1"/>
  <c r="R1809" i="3" a="1"/>
  <c r="R1809" i="3" s="1"/>
  <c r="Q1809" i="3" a="1"/>
  <c r="Q1809" i="3" s="1"/>
  <c r="R1808" i="3" a="1"/>
  <c r="R1808" i="3" s="1"/>
  <c r="Q1808" i="3" a="1"/>
  <c r="Q1808" i="3" s="1"/>
  <c r="R1807" i="3" a="1"/>
  <c r="R1807" i="3" s="1"/>
  <c r="Q1807" i="3" a="1"/>
  <c r="Q1807" i="3" s="1"/>
  <c r="R1806" i="3" a="1"/>
  <c r="R1806" i="3" s="1"/>
  <c r="Q1806" i="3" a="1"/>
  <c r="Q1806" i="3" s="1"/>
  <c r="R1805" i="3" a="1"/>
  <c r="R1805" i="3" s="1"/>
  <c r="Q1805" i="3" a="1"/>
  <c r="Q1805" i="3" s="1"/>
  <c r="R1804" i="3" a="1"/>
  <c r="R1804" i="3" s="1"/>
  <c r="Q1804" i="3" a="1"/>
  <c r="Q1804" i="3" s="1"/>
  <c r="R1803" i="3" a="1"/>
  <c r="R1803" i="3" s="1"/>
  <c r="Q1803" i="3" a="1"/>
  <c r="Q1803" i="3" s="1"/>
  <c r="R1802" i="3" a="1"/>
  <c r="R1802" i="3" s="1"/>
  <c r="Q1802" i="3" a="1"/>
  <c r="Q1802" i="3" s="1"/>
  <c r="R1801" i="3" a="1"/>
  <c r="R1801" i="3" s="1"/>
  <c r="Q1801" i="3" a="1"/>
  <c r="Q1801" i="3" s="1"/>
  <c r="R1800" i="3" a="1"/>
  <c r="R1800" i="3" s="1"/>
  <c r="Q1800" i="3" a="1"/>
  <c r="Q1800" i="3" s="1"/>
  <c r="R1799" i="3" a="1"/>
  <c r="R1799" i="3" s="1"/>
  <c r="Q1799" i="3" a="1"/>
  <c r="Q1799" i="3" s="1"/>
  <c r="R1798" i="3" a="1"/>
  <c r="R1798" i="3" s="1"/>
  <c r="Q1798" i="3" a="1"/>
  <c r="Q1798" i="3" s="1"/>
  <c r="R1797" i="3" a="1"/>
  <c r="R1797" i="3" s="1"/>
  <c r="Q1797" i="3" a="1"/>
  <c r="Q1797" i="3" s="1"/>
  <c r="R1796" i="3" a="1"/>
  <c r="R1796" i="3" s="1"/>
  <c r="Q1796" i="3" a="1"/>
  <c r="Q1796" i="3" s="1"/>
  <c r="R1795" i="3" a="1"/>
  <c r="R1795" i="3" s="1"/>
  <c r="Q1795" i="3" a="1"/>
  <c r="Q1795" i="3" s="1"/>
  <c r="R1794" i="3" a="1"/>
  <c r="R1794" i="3" s="1"/>
  <c r="Q1794" i="3" a="1"/>
  <c r="Q1794" i="3" s="1"/>
  <c r="R1793" i="3" a="1"/>
  <c r="R1793" i="3" s="1"/>
  <c r="Q1793" i="3" a="1"/>
  <c r="Q1793" i="3" s="1"/>
  <c r="R1792" i="3" a="1"/>
  <c r="R1792" i="3" s="1"/>
  <c r="Q1792" i="3" a="1"/>
  <c r="Q1792" i="3" s="1"/>
  <c r="R1791" i="3" a="1"/>
  <c r="R1791" i="3" s="1"/>
  <c r="Q1791" i="3" a="1"/>
  <c r="Q1791" i="3" s="1"/>
  <c r="R1790" i="3" a="1"/>
  <c r="R1790" i="3" s="1"/>
  <c r="Q1790" i="3" a="1"/>
  <c r="Q1790" i="3" s="1"/>
  <c r="R1789" i="3" a="1"/>
  <c r="R1789" i="3" s="1"/>
  <c r="Q1789" i="3" a="1"/>
  <c r="Q1789" i="3" s="1"/>
  <c r="R1788" i="3" a="1"/>
  <c r="R1788" i="3" s="1"/>
  <c r="Q1788" i="3" a="1"/>
  <c r="Q1788" i="3" s="1"/>
  <c r="R1787" i="3" a="1"/>
  <c r="R1787" i="3" s="1"/>
  <c r="Q1787" i="3" a="1"/>
  <c r="Q1787" i="3" s="1"/>
  <c r="R1786" i="3" a="1"/>
  <c r="R1786" i="3" s="1"/>
  <c r="Q1786" i="3" a="1"/>
  <c r="Q1786" i="3" s="1"/>
  <c r="R1785" i="3" a="1"/>
  <c r="R1785" i="3" s="1"/>
  <c r="Q1785" i="3" a="1"/>
  <c r="Q1785" i="3" s="1"/>
  <c r="R1784" i="3" a="1"/>
  <c r="R1784" i="3" s="1"/>
  <c r="Q1784" i="3" a="1"/>
  <c r="Q1784" i="3" s="1"/>
  <c r="R1783" i="3" a="1"/>
  <c r="R1783" i="3" s="1"/>
  <c r="Q1783" i="3" a="1"/>
  <c r="Q1783" i="3" s="1"/>
  <c r="R1782" i="3" a="1"/>
  <c r="R1782" i="3" s="1"/>
  <c r="Q1782" i="3" a="1"/>
  <c r="Q1782" i="3" s="1"/>
  <c r="R1781" i="3" a="1"/>
  <c r="R1781" i="3" s="1"/>
  <c r="Q1781" i="3" a="1"/>
  <c r="Q1781" i="3" s="1"/>
  <c r="R1780" i="3" a="1"/>
  <c r="R1780" i="3" s="1"/>
  <c r="Q1780" i="3" a="1"/>
  <c r="Q1780" i="3" s="1"/>
  <c r="R1779" i="3" a="1"/>
  <c r="R1779" i="3" s="1"/>
  <c r="Q1779" i="3" a="1"/>
  <c r="Q1779" i="3" s="1"/>
  <c r="R1778" i="3" a="1"/>
  <c r="R1778" i="3" s="1"/>
  <c r="Q1778" i="3" a="1"/>
  <c r="Q1778" i="3" s="1"/>
  <c r="R1777" i="3" a="1"/>
  <c r="R1777" i="3" s="1"/>
  <c r="Q1777" i="3" a="1"/>
  <c r="Q1777" i="3" s="1"/>
  <c r="R1776" i="3" a="1"/>
  <c r="R1776" i="3" s="1"/>
  <c r="Q1776" i="3" a="1"/>
  <c r="Q1776" i="3" s="1"/>
  <c r="R1775" i="3" a="1"/>
  <c r="R1775" i="3" s="1"/>
  <c r="Q1775" i="3" a="1"/>
  <c r="Q1775" i="3" s="1"/>
  <c r="R1774" i="3" a="1"/>
  <c r="R1774" i="3" s="1"/>
  <c r="Q1774" i="3" a="1"/>
  <c r="Q1774" i="3" s="1"/>
  <c r="R1773" i="3" a="1"/>
  <c r="R1773" i="3" s="1"/>
  <c r="Q1773" i="3" a="1"/>
  <c r="Q1773" i="3" s="1"/>
  <c r="R1772" i="3" a="1"/>
  <c r="R1772" i="3" s="1"/>
  <c r="Q1772" i="3" a="1"/>
  <c r="Q1772" i="3" s="1"/>
  <c r="R1771" i="3" a="1"/>
  <c r="R1771" i="3" s="1"/>
  <c r="Q1771" i="3" a="1"/>
  <c r="Q1771" i="3" s="1"/>
  <c r="R1770" i="3" a="1"/>
  <c r="R1770" i="3" s="1"/>
  <c r="Q1770" i="3" a="1"/>
  <c r="Q1770" i="3" s="1"/>
  <c r="P2047" i="3" s="1"/>
  <c r="R1769" i="3" a="1"/>
  <c r="R1769" i="3" s="1"/>
  <c r="Q1769" i="3" a="1"/>
  <c r="Q1769" i="3" s="1"/>
  <c r="R1768" i="3" a="1"/>
  <c r="R1768" i="3" s="1"/>
  <c r="Q1768" i="3" a="1"/>
  <c r="Q1768" i="3" s="1"/>
  <c r="R1767" i="3" a="1"/>
  <c r="R1767" i="3" s="1"/>
  <c r="Q1767" i="3" a="1"/>
  <c r="Q1767" i="3" s="1"/>
  <c r="R1766" i="3" a="1"/>
  <c r="R1766" i="3" s="1"/>
  <c r="Q1766" i="3" a="1"/>
  <c r="Q1766" i="3" s="1"/>
  <c r="R1765" i="3" a="1"/>
  <c r="R1765" i="3" s="1"/>
  <c r="Q1765" i="3" a="1"/>
  <c r="Q1765" i="3" s="1"/>
  <c r="R1764" i="3" a="1"/>
  <c r="R1764" i="3" s="1"/>
  <c r="Q1764" i="3" a="1"/>
  <c r="Q1764" i="3" s="1"/>
  <c r="R1763" i="3" a="1"/>
  <c r="R1763" i="3" s="1"/>
  <c r="Q1763" i="3" a="1"/>
  <c r="Q1763" i="3" s="1"/>
  <c r="R1762" i="3" a="1"/>
  <c r="R1762" i="3" s="1"/>
  <c r="Q1762" i="3" a="1"/>
  <c r="Q1762" i="3" s="1"/>
  <c r="R1761" i="3" a="1"/>
  <c r="R1761" i="3" s="1"/>
  <c r="Q1761" i="3" a="1"/>
  <c r="Q1761" i="3" s="1"/>
  <c r="P2001" i="3" s="1"/>
  <c r="R1760" i="3" a="1"/>
  <c r="R1760" i="3" s="1"/>
  <c r="Q1760" i="3" a="1"/>
  <c r="Q1760" i="3" s="1"/>
  <c r="R1759" i="3" a="1"/>
  <c r="R1759" i="3" s="1"/>
  <c r="Q1759" i="3" a="1"/>
  <c r="Q1759" i="3" s="1"/>
  <c r="R1758" i="3" a="1"/>
  <c r="R1758" i="3" s="1"/>
  <c r="Q1758" i="3" a="1"/>
  <c r="Q1758" i="3" s="1"/>
  <c r="R1757" i="3" a="1"/>
  <c r="R1757" i="3" s="1"/>
  <c r="Q1757" i="3" a="1"/>
  <c r="Q1757" i="3" s="1"/>
  <c r="R1756" i="3" a="1"/>
  <c r="R1756" i="3" s="1"/>
  <c r="Q1756" i="3" a="1"/>
  <c r="Q1756" i="3" s="1"/>
  <c r="P2046" i="3" s="1"/>
  <c r="R1755" i="3" a="1"/>
  <c r="R1755" i="3" s="1"/>
  <c r="Q1755" i="3" a="1"/>
  <c r="Q1755" i="3" s="1"/>
  <c r="R1754" i="3" a="1"/>
  <c r="R1754" i="3" s="1"/>
  <c r="Q1754" i="3" a="1"/>
  <c r="Q1754" i="3" s="1"/>
  <c r="R1753" i="3" a="1"/>
  <c r="R1753" i="3" s="1"/>
  <c r="Q1753" i="3" a="1"/>
  <c r="Q1753" i="3" s="1"/>
  <c r="R1752" i="3" a="1"/>
  <c r="R1752" i="3" s="1"/>
  <c r="Q1752" i="3" a="1"/>
  <c r="Q1752" i="3" s="1"/>
  <c r="R1751" i="3" a="1"/>
  <c r="R1751" i="3" s="1"/>
  <c r="Q1751" i="3" a="1"/>
  <c r="Q1751" i="3" s="1"/>
  <c r="R1750" i="3" a="1"/>
  <c r="R1750" i="3" s="1"/>
  <c r="Q1750" i="3" a="1"/>
  <c r="Q1750" i="3" s="1"/>
  <c r="R1749" i="3" a="1"/>
  <c r="R1749" i="3" s="1"/>
  <c r="Q1749" i="3" a="1"/>
  <c r="Q1749" i="3" s="1"/>
  <c r="R1748" i="3" a="1"/>
  <c r="R1748" i="3" s="1"/>
  <c r="Q1748" i="3" a="1"/>
  <c r="Q1748" i="3" s="1"/>
  <c r="R1747" i="3" a="1"/>
  <c r="R1747" i="3" s="1"/>
  <c r="Q1747" i="3" a="1"/>
  <c r="Q1747" i="3" s="1"/>
  <c r="R1746" i="3" a="1"/>
  <c r="R1746" i="3" s="1"/>
  <c r="Q1746" i="3" a="1"/>
  <c r="Q1746" i="3" s="1"/>
  <c r="R1745" i="3" a="1"/>
  <c r="R1745" i="3" s="1"/>
  <c r="Q1745" i="3" a="1"/>
  <c r="Q1745" i="3" s="1"/>
  <c r="R1744" i="3" a="1"/>
  <c r="R1744" i="3" s="1"/>
  <c r="Q1744" i="3" a="1"/>
  <c r="Q1744" i="3" s="1"/>
  <c r="R1743" i="3" a="1"/>
  <c r="R1743" i="3" s="1"/>
  <c r="Q1743" i="3" a="1"/>
  <c r="Q1743" i="3" s="1"/>
  <c r="R1742" i="3" a="1"/>
  <c r="R1742" i="3" s="1"/>
  <c r="Q1742" i="3" a="1"/>
  <c r="Q1742" i="3" s="1"/>
  <c r="R1741" i="3" a="1"/>
  <c r="R1741" i="3" s="1"/>
  <c r="Q1741" i="3" a="1"/>
  <c r="Q1741" i="3" s="1"/>
  <c r="R1740" i="3" a="1"/>
  <c r="R1740" i="3" s="1"/>
  <c r="Q1740" i="3" a="1"/>
  <c r="Q1740" i="3" s="1"/>
  <c r="R1739" i="3" a="1"/>
  <c r="R1739" i="3" s="1"/>
  <c r="Q1739" i="3" a="1"/>
  <c r="Q1739" i="3" s="1"/>
  <c r="R1738" i="3" a="1"/>
  <c r="R1738" i="3" s="1"/>
  <c r="Q1738" i="3" a="1"/>
  <c r="Q1738" i="3" s="1"/>
  <c r="R1737" i="3" a="1"/>
  <c r="R1737" i="3" s="1"/>
  <c r="Q1737" i="3" a="1"/>
  <c r="Q1737" i="3" s="1"/>
  <c r="R1736" i="3" a="1"/>
  <c r="R1736" i="3" s="1"/>
  <c r="Q1736" i="3" a="1"/>
  <c r="Q1736" i="3" s="1"/>
  <c r="P2000" i="3" s="1"/>
  <c r="R1735" i="3" a="1"/>
  <c r="R1735" i="3" s="1"/>
  <c r="Q1735" i="3" a="1"/>
  <c r="Q1735" i="3" s="1"/>
  <c r="R1734" i="3" a="1"/>
  <c r="R1734" i="3" s="1"/>
  <c r="Q1734" i="3" a="1"/>
  <c r="Q1734" i="3" s="1"/>
  <c r="R1733" i="3" a="1"/>
  <c r="R1733" i="3" s="1"/>
  <c r="Q1733" i="3" a="1"/>
  <c r="Q1733" i="3" s="1"/>
  <c r="R1732" i="3" a="1"/>
  <c r="R1732" i="3" s="1"/>
  <c r="Q1732" i="3" a="1"/>
  <c r="Q1732" i="3" s="1"/>
  <c r="R1731" i="3" a="1"/>
  <c r="R1731" i="3" s="1"/>
  <c r="Q1731" i="3" a="1"/>
  <c r="Q1731" i="3" s="1"/>
  <c r="R1730" i="3" a="1"/>
  <c r="R1730" i="3" s="1"/>
  <c r="Q1730" i="3" a="1"/>
  <c r="Q1730" i="3" s="1"/>
  <c r="R1729" i="3" a="1"/>
  <c r="R1729" i="3" s="1"/>
  <c r="Q1729" i="3" a="1"/>
  <c r="Q1729" i="3" s="1"/>
  <c r="R1728" i="3" a="1"/>
  <c r="R1728" i="3" s="1"/>
  <c r="Q1728" i="3" a="1"/>
  <c r="Q1728" i="3" s="1"/>
  <c r="R1727" i="3" a="1"/>
  <c r="R1727" i="3" s="1"/>
  <c r="Q1727" i="3" a="1"/>
  <c r="Q1727" i="3" s="1"/>
  <c r="R1726" i="3" a="1"/>
  <c r="R1726" i="3" s="1"/>
  <c r="Q1726" i="3" a="1"/>
  <c r="Q1726" i="3" s="1"/>
  <c r="R1725" i="3" a="1"/>
  <c r="R1725" i="3" s="1"/>
  <c r="Q1725" i="3" a="1"/>
  <c r="Q1725" i="3" s="1"/>
  <c r="R1724" i="3" a="1"/>
  <c r="R1724" i="3" s="1"/>
  <c r="Q1724" i="3" a="1"/>
  <c r="Q1724" i="3" s="1"/>
  <c r="R1723" i="3" a="1"/>
  <c r="R1723" i="3" s="1"/>
  <c r="Q1723" i="3" a="1"/>
  <c r="Q1723" i="3" s="1"/>
  <c r="R1722" i="3" a="1"/>
  <c r="R1722" i="3" s="1"/>
  <c r="Q1722" i="3" a="1"/>
  <c r="Q1722" i="3" s="1"/>
  <c r="R1721" i="3" a="1"/>
  <c r="R1721" i="3" s="1"/>
  <c r="Q1721" i="3" a="1"/>
  <c r="Q1721" i="3" s="1"/>
  <c r="R1720" i="3" a="1"/>
  <c r="R1720" i="3" s="1"/>
  <c r="Q1720" i="3" a="1"/>
  <c r="Q1720" i="3" s="1"/>
  <c r="R1719" i="3" a="1"/>
  <c r="R1719" i="3" s="1"/>
  <c r="Q1719" i="3" a="1"/>
  <c r="Q1719" i="3" s="1"/>
  <c r="R1718" i="3" a="1"/>
  <c r="R1718" i="3" s="1"/>
  <c r="Q1718" i="3" a="1"/>
  <c r="Q1718" i="3" s="1"/>
  <c r="R1717" i="3" a="1"/>
  <c r="R1717" i="3" s="1"/>
  <c r="Q1717" i="3" a="1"/>
  <c r="Q1717" i="3" s="1"/>
  <c r="R1716" i="3" a="1"/>
  <c r="R1716" i="3" s="1"/>
  <c r="Q1716" i="3" a="1"/>
  <c r="Q1716" i="3" s="1"/>
  <c r="R1715" i="3" a="1"/>
  <c r="R1715" i="3" s="1"/>
  <c r="Q1715" i="3" a="1"/>
  <c r="Q1715" i="3" s="1"/>
  <c r="R1714" i="3" a="1"/>
  <c r="R1714" i="3" s="1"/>
  <c r="Q1714" i="3" a="1"/>
  <c r="Q1714" i="3" s="1"/>
  <c r="R1713" i="3" a="1"/>
  <c r="R1713" i="3" s="1"/>
  <c r="Q1713" i="3" a="1"/>
  <c r="Q1713" i="3" s="1"/>
  <c r="R1712" i="3" a="1"/>
  <c r="R1712" i="3" s="1"/>
  <c r="Q1712" i="3" a="1"/>
  <c r="Q1712" i="3" s="1"/>
  <c r="R1711" i="3" a="1"/>
  <c r="R1711" i="3" s="1"/>
  <c r="Q1711" i="3" a="1"/>
  <c r="Q1711" i="3" s="1"/>
  <c r="R1710" i="3" a="1"/>
  <c r="R1710" i="3" s="1"/>
  <c r="Q1710" i="3" a="1"/>
  <c r="Q1710" i="3" s="1"/>
  <c r="R1709" i="3" a="1"/>
  <c r="R1709" i="3" s="1"/>
  <c r="Q1709" i="3" a="1"/>
  <c r="Q1709" i="3" s="1"/>
  <c r="R1708" i="3" a="1"/>
  <c r="R1708" i="3" s="1"/>
  <c r="Q1708" i="3" a="1"/>
  <c r="Q1708" i="3" s="1"/>
  <c r="R1707" i="3" a="1"/>
  <c r="R1707" i="3" s="1"/>
  <c r="Q1707" i="3" a="1"/>
  <c r="Q1707" i="3" s="1"/>
  <c r="R1706" i="3" a="1"/>
  <c r="R1706" i="3" s="1"/>
  <c r="Q1706" i="3" a="1"/>
  <c r="Q1706" i="3" s="1"/>
  <c r="R1705" i="3" a="1"/>
  <c r="R1705" i="3" s="1"/>
  <c r="Q1705" i="3" a="1"/>
  <c r="Q1705" i="3" s="1"/>
  <c r="R1704" i="3" a="1"/>
  <c r="R1704" i="3" s="1"/>
  <c r="Q1704" i="3" a="1"/>
  <c r="Q1704" i="3" s="1"/>
  <c r="R1703" i="3" a="1"/>
  <c r="R1703" i="3" s="1"/>
  <c r="Q1703" i="3" a="1"/>
  <c r="Q1703" i="3" s="1"/>
  <c r="R1702" i="3" a="1"/>
  <c r="R1702" i="3" s="1"/>
  <c r="Q1702" i="3" a="1"/>
  <c r="Q1702" i="3" s="1"/>
  <c r="R1701" i="3" a="1"/>
  <c r="R1701" i="3" s="1"/>
  <c r="Q1701" i="3" a="1"/>
  <c r="Q1701" i="3" s="1"/>
  <c r="R1700" i="3" a="1"/>
  <c r="R1700" i="3" s="1"/>
  <c r="Q1700" i="3" a="1"/>
  <c r="Q1700" i="3" s="1"/>
  <c r="R1699" i="3" a="1"/>
  <c r="R1699" i="3" s="1"/>
  <c r="Q1699" i="3" a="1"/>
  <c r="Q1699" i="3" s="1"/>
  <c r="R1698" i="3" a="1"/>
  <c r="R1698" i="3" s="1"/>
  <c r="Q1698" i="3" a="1"/>
  <c r="Q1698" i="3" s="1"/>
  <c r="R1697" i="3" a="1"/>
  <c r="R1697" i="3" s="1"/>
  <c r="Q1697" i="3" a="1"/>
  <c r="Q1697" i="3" s="1"/>
  <c r="R1696" i="3" a="1"/>
  <c r="R1696" i="3" s="1"/>
  <c r="Q1696" i="3" a="1"/>
  <c r="Q1696" i="3" s="1"/>
  <c r="R1695" i="3" a="1"/>
  <c r="R1695" i="3" s="1"/>
  <c r="Q1695" i="3" a="1"/>
  <c r="Q1695" i="3" s="1"/>
  <c r="R1694" i="3" a="1"/>
  <c r="R1694" i="3" s="1"/>
  <c r="Q1694" i="3" a="1"/>
  <c r="Q1694" i="3" s="1"/>
  <c r="R1693" i="3" a="1"/>
  <c r="R1693" i="3" s="1"/>
  <c r="Q1693" i="3" a="1"/>
  <c r="Q1693" i="3" s="1"/>
  <c r="R1692" i="3" a="1"/>
  <c r="R1692" i="3" s="1"/>
  <c r="Q1692" i="3" a="1"/>
  <c r="Q1692" i="3" s="1"/>
  <c r="R1691" i="3" a="1"/>
  <c r="R1691" i="3" s="1"/>
  <c r="Q1691" i="3" a="1"/>
  <c r="Q1691" i="3" s="1"/>
  <c r="R1690" i="3" a="1"/>
  <c r="R1690" i="3" s="1"/>
  <c r="Q1690" i="3" a="1"/>
  <c r="Q1690" i="3" s="1"/>
  <c r="R1689" i="3" a="1"/>
  <c r="R1689" i="3" s="1"/>
  <c r="Q1689" i="3" a="1"/>
  <c r="Q1689" i="3" s="1"/>
  <c r="R1688" i="3" a="1"/>
  <c r="R1688" i="3" s="1"/>
  <c r="Q1688" i="3" a="1"/>
  <c r="Q1688" i="3" s="1"/>
  <c r="R1687" i="3" a="1"/>
  <c r="R1687" i="3" s="1"/>
  <c r="Q1687" i="3" a="1"/>
  <c r="Q1687" i="3" s="1"/>
  <c r="R1686" i="3" a="1"/>
  <c r="R1686" i="3" s="1"/>
  <c r="Q1686" i="3" a="1"/>
  <c r="Q1686" i="3" s="1"/>
  <c r="R1685" i="3" a="1"/>
  <c r="R1685" i="3" s="1"/>
  <c r="Q1685" i="3" a="1"/>
  <c r="Q1685" i="3" s="1"/>
  <c r="R1684" i="3" a="1"/>
  <c r="R1684" i="3" s="1"/>
  <c r="Q1684" i="3" a="1"/>
  <c r="Q1684" i="3" s="1"/>
  <c r="P1999" i="3" s="1"/>
  <c r="R1683" i="3" a="1"/>
  <c r="R1683" i="3" s="1"/>
  <c r="Q1683" i="3" a="1"/>
  <c r="Q1683" i="3" s="1"/>
  <c r="R1682" i="3" a="1"/>
  <c r="R1682" i="3" s="1"/>
  <c r="Q1682" i="3" a="1"/>
  <c r="Q1682" i="3" s="1"/>
  <c r="R1681" i="3" a="1"/>
  <c r="R1681" i="3" s="1"/>
  <c r="Q1681" i="3" a="1"/>
  <c r="Q1681" i="3" s="1"/>
  <c r="R1680" i="3" a="1"/>
  <c r="R1680" i="3" s="1"/>
  <c r="Q1680" i="3" a="1"/>
  <c r="Q1680" i="3" s="1"/>
  <c r="R1679" i="3" a="1"/>
  <c r="R1679" i="3" s="1"/>
  <c r="Q1679" i="3" a="1"/>
  <c r="Q1679" i="3" s="1"/>
  <c r="R1678" i="3" a="1"/>
  <c r="R1678" i="3" s="1"/>
  <c r="Q1678" i="3" a="1"/>
  <c r="Q1678" i="3" s="1"/>
  <c r="R1677" i="3" a="1"/>
  <c r="R1677" i="3" s="1"/>
  <c r="Q1677" i="3" a="1"/>
  <c r="Q1677" i="3" s="1"/>
  <c r="R1676" i="3" a="1"/>
  <c r="R1676" i="3" s="1"/>
  <c r="Q1676" i="3" a="1"/>
  <c r="Q1676" i="3" s="1"/>
  <c r="P1998" i="3" s="1"/>
  <c r="R1675" i="3" a="1"/>
  <c r="R1675" i="3" s="1"/>
  <c r="Q1675" i="3" a="1"/>
  <c r="Q1675" i="3" s="1"/>
  <c r="R1674" i="3" a="1"/>
  <c r="R1674" i="3" s="1"/>
  <c r="Q1674" i="3" a="1"/>
  <c r="Q1674" i="3" s="1"/>
  <c r="R1673" i="3" a="1"/>
  <c r="R1673" i="3" s="1"/>
  <c r="Q1673" i="3" a="1"/>
  <c r="Q1673" i="3" s="1"/>
  <c r="R1672" i="3" a="1"/>
  <c r="R1672" i="3" s="1"/>
  <c r="Q1672" i="3" a="1"/>
  <c r="Q1672" i="3" s="1"/>
  <c r="R1671" i="3" a="1"/>
  <c r="R1671" i="3" s="1"/>
  <c r="Q1671" i="3" a="1"/>
  <c r="Q1671" i="3" s="1"/>
  <c r="R1670" i="3" a="1"/>
  <c r="R1670" i="3" s="1"/>
  <c r="Q1670" i="3" a="1"/>
  <c r="Q1670" i="3" s="1"/>
  <c r="R1669" i="3" a="1"/>
  <c r="R1669" i="3" s="1"/>
  <c r="Q1669" i="3" a="1"/>
  <c r="Q1669" i="3" s="1"/>
  <c r="R1668" i="3" a="1"/>
  <c r="R1668" i="3" s="1"/>
  <c r="Q1668" i="3" a="1"/>
  <c r="Q1668" i="3" s="1"/>
  <c r="R1667" i="3" a="1"/>
  <c r="R1667" i="3" s="1"/>
  <c r="Q1667" i="3" a="1"/>
  <c r="Q1667" i="3" s="1"/>
  <c r="R1666" i="3" a="1"/>
  <c r="R1666" i="3" s="1"/>
  <c r="Q1666" i="3" a="1"/>
  <c r="Q1666" i="3" s="1"/>
  <c r="R1665" i="3" a="1"/>
  <c r="R1665" i="3" s="1"/>
  <c r="Q1665" i="3" a="1"/>
  <c r="Q1665" i="3" s="1"/>
  <c r="R1664" i="3" a="1"/>
  <c r="R1664" i="3" s="1"/>
  <c r="Q1664" i="3" a="1"/>
  <c r="Q1664" i="3" s="1"/>
  <c r="R1663" i="3" a="1"/>
  <c r="R1663" i="3" s="1"/>
  <c r="Q1663" i="3" a="1"/>
  <c r="Q1663" i="3" s="1"/>
  <c r="R1662" i="3" a="1"/>
  <c r="R1662" i="3" s="1"/>
  <c r="Q1662" i="3" a="1"/>
  <c r="Q1662" i="3" s="1"/>
  <c r="R1661" i="3" a="1"/>
  <c r="R1661" i="3" s="1"/>
  <c r="Q1661" i="3" a="1"/>
  <c r="Q1661" i="3" s="1"/>
  <c r="R1660" i="3" a="1"/>
  <c r="R1660" i="3" s="1"/>
  <c r="Q1660" i="3" a="1"/>
  <c r="Q1660" i="3" s="1"/>
  <c r="R1659" i="3" a="1"/>
  <c r="R1659" i="3" s="1"/>
  <c r="Q1659" i="3" a="1"/>
  <c r="Q1659" i="3" s="1"/>
  <c r="R1658" i="3" a="1"/>
  <c r="R1658" i="3" s="1"/>
  <c r="Q1658" i="3" a="1"/>
  <c r="Q1658" i="3" s="1"/>
  <c r="R1657" i="3" a="1"/>
  <c r="R1657" i="3" s="1"/>
  <c r="Q1657" i="3" a="1"/>
  <c r="Q1657" i="3" s="1"/>
  <c r="R1656" i="3" a="1"/>
  <c r="R1656" i="3" s="1"/>
  <c r="Q1656" i="3" a="1"/>
  <c r="Q1656" i="3" s="1"/>
  <c r="R1655" i="3" a="1"/>
  <c r="R1655" i="3" s="1"/>
  <c r="Q1655" i="3" a="1"/>
  <c r="Q1655" i="3" s="1"/>
  <c r="R1654" i="3" a="1"/>
  <c r="R1654" i="3" s="1"/>
  <c r="Q1654" i="3" a="1"/>
  <c r="Q1654" i="3" s="1"/>
  <c r="R1653" i="3" a="1"/>
  <c r="R1653" i="3" s="1"/>
  <c r="Q1653" i="3" a="1"/>
  <c r="Q1653" i="3" s="1"/>
  <c r="R1652" i="3" a="1"/>
  <c r="R1652" i="3" s="1"/>
  <c r="Q1652" i="3" a="1"/>
  <c r="Q1652" i="3" s="1"/>
  <c r="R1651" i="3" a="1"/>
  <c r="R1651" i="3" s="1"/>
  <c r="Q1651" i="3" a="1"/>
  <c r="Q1651" i="3" s="1"/>
  <c r="R1650" i="3" a="1"/>
  <c r="R1650" i="3" s="1"/>
  <c r="Q1650" i="3" a="1"/>
  <c r="Q1650" i="3" s="1"/>
  <c r="R1649" i="3" a="1"/>
  <c r="R1649" i="3" s="1"/>
  <c r="Q1649" i="3" a="1"/>
  <c r="Q1649" i="3" s="1"/>
  <c r="R1648" i="3" a="1"/>
  <c r="R1648" i="3" s="1"/>
  <c r="Q1648" i="3" a="1"/>
  <c r="Q1648" i="3" s="1"/>
  <c r="R1647" i="3" a="1"/>
  <c r="R1647" i="3" s="1"/>
  <c r="Q1647" i="3" a="1"/>
  <c r="Q1647" i="3" s="1"/>
  <c r="R1646" i="3" a="1"/>
  <c r="R1646" i="3" s="1"/>
  <c r="Q1646" i="3" a="1"/>
  <c r="Q1646" i="3" s="1"/>
  <c r="R1645" i="3" a="1"/>
  <c r="R1645" i="3" s="1"/>
  <c r="Q1645" i="3" a="1"/>
  <c r="Q1645" i="3" s="1"/>
  <c r="R1644" i="3" a="1"/>
  <c r="R1644" i="3" s="1"/>
  <c r="Q1644" i="3" a="1"/>
  <c r="Q1644" i="3" s="1"/>
  <c r="R1643" i="3" a="1"/>
  <c r="R1643" i="3" s="1"/>
  <c r="Q1643" i="3" a="1"/>
  <c r="Q1643" i="3" s="1"/>
  <c r="P1997" i="3" s="1"/>
  <c r="R1642" i="3" a="1"/>
  <c r="R1642" i="3" s="1"/>
  <c r="Q1642" i="3" a="1"/>
  <c r="Q1642" i="3" s="1"/>
  <c r="R1641" i="3" a="1"/>
  <c r="R1641" i="3" s="1"/>
  <c r="Q1641" i="3" a="1"/>
  <c r="Q1641" i="3" s="1"/>
  <c r="R1640" i="3" a="1"/>
  <c r="R1640" i="3" s="1"/>
  <c r="Q1640" i="3" a="1"/>
  <c r="Q1640" i="3" s="1"/>
  <c r="R1639" i="3" a="1"/>
  <c r="R1639" i="3" s="1"/>
  <c r="Q1639" i="3" a="1"/>
  <c r="Q1639" i="3" s="1"/>
  <c r="R1638" i="3" a="1"/>
  <c r="R1638" i="3" s="1"/>
  <c r="Q1638" i="3" a="1"/>
  <c r="Q1638" i="3" s="1"/>
  <c r="R1637" i="3" a="1"/>
  <c r="R1637" i="3" s="1"/>
  <c r="Q1637" i="3" a="1"/>
  <c r="Q1637" i="3" s="1"/>
  <c r="R1636" i="3" a="1"/>
  <c r="R1636" i="3" s="1"/>
  <c r="Q1636" i="3" a="1"/>
  <c r="Q1636" i="3" s="1"/>
  <c r="R1635" i="3" a="1"/>
  <c r="R1635" i="3" s="1"/>
  <c r="Q1635" i="3" a="1"/>
  <c r="Q1635" i="3" s="1"/>
  <c r="R1634" i="3" a="1"/>
  <c r="R1634" i="3" s="1"/>
  <c r="Q1634" i="3" a="1"/>
  <c r="Q1634" i="3" s="1"/>
  <c r="R1633" i="3" a="1"/>
  <c r="R1633" i="3" s="1"/>
  <c r="Q1633" i="3" a="1"/>
  <c r="Q1633" i="3" s="1"/>
  <c r="R1632" i="3" a="1"/>
  <c r="R1632" i="3" s="1"/>
  <c r="Q1632" i="3" a="1"/>
  <c r="Q1632" i="3" s="1"/>
  <c r="R1631" i="3" a="1"/>
  <c r="R1631" i="3" s="1"/>
  <c r="Q1631" i="3" a="1"/>
  <c r="Q1631" i="3" s="1"/>
  <c r="R1630" i="3" a="1"/>
  <c r="R1630" i="3" s="1"/>
  <c r="Q1630" i="3" a="1"/>
  <c r="Q1630" i="3" s="1"/>
  <c r="R1629" i="3" a="1"/>
  <c r="R1629" i="3" s="1"/>
  <c r="Q1629" i="3" a="1"/>
  <c r="Q1629" i="3" s="1"/>
  <c r="R1628" i="3" a="1"/>
  <c r="R1628" i="3" s="1"/>
  <c r="Q1628" i="3" a="1"/>
  <c r="Q1628" i="3" s="1"/>
  <c r="R1627" i="3" a="1"/>
  <c r="R1627" i="3" s="1"/>
  <c r="Q1627" i="3" a="1"/>
  <c r="Q1627" i="3" s="1"/>
  <c r="R1626" i="3" a="1"/>
  <c r="R1626" i="3" s="1"/>
  <c r="Q1626" i="3" a="1"/>
  <c r="Q1626" i="3" s="1"/>
  <c r="R1625" i="3" a="1"/>
  <c r="R1625" i="3" s="1"/>
  <c r="Q1625" i="3" a="1"/>
  <c r="Q1625" i="3" s="1"/>
  <c r="R1624" i="3" a="1"/>
  <c r="R1624" i="3" s="1"/>
  <c r="Q1624" i="3" a="1"/>
  <c r="Q1624" i="3" s="1"/>
  <c r="R1623" i="3" a="1"/>
  <c r="R1623" i="3" s="1"/>
  <c r="Q1623" i="3" a="1"/>
  <c r="Q1623" i="3" s="1"/>
  <c r="P2045" i="3" s="1"/>
  <c r="R1622" i="3" a="1"/>
  <c r="R1622" i="3" s="1"/>
  <c r="Q1622" i="3" a="1"/>
  <c r="Q1622" i="3" s="1"/>
  <c r="R1621" i="3" a="1"/>
  <c r="R1621" i="3" s="1"/>
  <c r="Q1621" i="3" a="1"/>
  <c r="Q1621" i="3" s="1"/>
  <c r="R1620" i="3" a="1"/>
  <c r="R1620" i="3" s="1"/>
  <c r="Q1620" i="3" a="1"/>
  <c r="Q1620" i="3" s="1"/>
  <c r="R1619" i="3" a="1"/>
  <c r="R1619" i="3" s="1"/>
  <c r="Q1619" i="3" a="1"/>
  <c r="Q1619" i="3" s="1"/>
  <c r="R1618" i="3" a="1"/>
  <c r="R1618" i="3" s="1"/>
  <c r="Q1618" i="3" a="1"/>
  <c r="Q1618" i="3" s="1"/>
  <c r="R1617" i="3" a="1"/>
  <c r="R1617" i="3" s="1"/>
  <c r="Q1617" i="3" a="1"/>
  <c r="Q1617" i="3" s="1"/>
  <c r="R1616" i="3" a="1"/>
  <c r="R1616" i="3" s="1"/>
  <c r="Q1616" i="3" a="1"/>
  <c r="Q1616" i="3" s="1"/>
  <c r="R1615" i="3" a="1"/>
  <c r="R1615" i="3" s="1"/>
  <c r="Q1615" i="3" a="1"/>
  <c r="Q1615" i="3" s="1"/>
  <c r="R1614" i="3" a="1"/>
  <c r="R1614" i="3" s="1"/>
  <c r="Q1614" i="3" a="1"/>
  <c r="Q1614" i="3" s="1"/>
  <c r="R1613" i="3" a="1"/>
  <c r="R1613" i="3" s="1"/>
  <c r="Q1613" i="3" a="1"/>
  <c r="Q1613" i="3" s="1"/>
  <c r="R1612" i="3" a="1"/>
  <c r="R1612" i="3" s="1"/>
  <c r="Q1612" i="3" a="1"/>
  <c r="Q1612" i="3" s="1"/>
  <c r="R1611" i="3" a="1"/>
  <c r="R1611" i="3" s="1"/>
  <c r="Q1611" i="3" a="1"/>
  <c r="Q1611" i="3" s="1"/>
  <c r="R1610" i="3" a="1"/>
  <c r="R1610" i="3" s="1"/>
  <c r="Q1610" i="3" a="1"/>
  <c r="Q1610" i="3" s="1"/>
  <c r="R1609" i="3" a="1"/>
  <c r="R1609" i="3" s="1"/>
  <c r="Q1609" i="3" a="1"/>
  <c r="Q1609" i="3" s="1"/>
  <c r="R1608" i="3" a="1"/>
  <c r="R1608" i="3" s="1"/>
  <c r="Q1608" i="3" a="1"/>
  <c r="Q1608" i="3" s="1"/>
  <c r="R1607" i="3" a="1"/>
  <c r="R1607" i="3" s="1"/>
  <c r="Q1607" i="3" a="1"/>
  <c r="Q1607" i="3" s="1"/>
  <c r="R1606" i="3" a="1"/>
  <c r="R1606" i="3" s="1"/>
  <c r="Q1606" i="3" a="1"/>
  <c r="Q1606" i="3" s="1"/>
  <c r="R1605" i="3" a="1"/>
  <c r="R1605" i="3" s="1"/>
  <c r="Q1605" i="3" a="1"/>
  <c r="Q1605" i="3" s="1"/>
  <c r="R1604" i="3" a="1"/>
  <c r="R1604" i="3" s="1"/>
  <c r="Q1604" i="3" a="1"/>
  <c r="Q1604" i="3" s="1"/>
  <c r="R1603" i="3" a="1"/>
  <c r="R1603" i="3" s="1"/>
  <c r="Q1603" i="3" a="1"/>
  <c r="Q1603" i="3" s="1"/>
  <c r="R1602" i="3" a="1"/>
  <c r="R1602" i="3" s="1"/>
  <c r="Q1602" i="3" a="1"/>
  <c r="Q1602" i="3" s="1"/>
  <c r="R1601" i="3" a="1"/>
  <c r="R1601" i="3" s="1"/>
  <c r="Q1601" i="3" a="1"/>
  <c r="Q1601" i="3" s="1"/>
  <c r="R1600" i="3" a="1"/>
  <c r="R1600" i="3" s="1"/>
  <c r="Q1600" i="3" a="1"/>
  <c r="Q1600" i="3" s="1"/>
  <c r="R1599" i="3" a="1"/>
  <c r="R1599" i="3" s="1"/>
  <c r="Q1599" i="3" a="1"/>
  <c r="Q1599" i="3" s="1"/>
  <c r="R1598" i="3" a="1"/>
  <c r="R1598" i="3" s="1"/>
  <c r="Q1598" i="3" a="1"/>
  <c r="Q1598" i="3" s="1"/>
  <c r="R1597" i="3" a="1"/>
  <c r="R1597" i="3" s="1"/>
  <c r="Q1597" i="3" a="1"/>
  <c r="Q1597" i="3" s="1"/>
  <c r="R1596" i="3" a="1"/>
  <c r="R1596" i="3" s="1"/>
  <c r="Q1596" i="3" a="1"/>
  <c r="Q1596" i="3" s="1"/>
  <c r="R1595" i="3" a="1"/>
  <c r="R1595" i="3" s="1"/>
  <c r="Q1595" i="3" a="1"/>
  <c r="Q1595" i="3" s="1"/>
  <c r="R1594" i="3" a="1"/>
  <c r="R1594" i="3" s="1"/>
  <c r="Q1594" i="3" a="1"/>
  <c r="Q1594" i="3" s="1"/>
  <c r="R1593" i="3" a="1"/>
  <c r="R1593" i="3" s="1"/>
  <c r="Q1593" i="3" a="1"/>
  <c r="Q1593" i="3" s="1"/>
  <c r="R1592" i="3" a="1"/>
  <c r="R1592" i="3" s="1"/>
  <c r="Q1592" i="3" a="1"/>
  <c r="Q1592" i="3" s="1"/>
  <c r="R1591" i="3" a="1"/>
  <c r="R1591" i="3" s="1"/>
  <c r="Q1591" i="3" a="1"/>
  <c r="Q1591" i="3" s="1"/>
  <c r="R1590" i="3" a="1"/>
  <c r="R1590" i="3" s="1"/>
  <c r="Q1590" i="3" a="1"/>
  <c r="Q1590" i="3" s="1"/>
  <c r="R1589" i="3" a="1"/>
  <c r="R1589" i="3" s="1"/>
  <c r="Q1589" i="3" a="1"/>
  <c r="Q1589" i="3" s="1"/>
  <c r="R1588" i="3" a="1"/>
  <c r="R1588" i="3" s="1"/>
  <c r="Q1588" i="3" a="1"/>
  <c r="Q1588" i="3" s="1"/>
  <c r="R1587" i="3" a="1"/>
  <c r="R1587" i="3" s="1"/>
  <c r="Q1587" i="3" a="1"/>
  <c r="Q1587" i="3" s="1"/>
  <c r="R1586" i="3" a="1"/>
  <c r="R1586" i="3" s="1"/>
  <c r="Q1586" i="3" a="1"/>
  <c r="Q1586" i="3" s="1"/>
  <c r="R1585" i="3" a="1"/>
  <c r="R1585" i="3" s="1"/>
  <c r="Q1585" i="3" a="1"/>
  <c r="Q1585" i="3" s="1"/>
  <c r="R1584" i="3" a="1"/>
  <c r="R1584" i="3" s="1"/>
  <c r="Q1584" i="3" a="1"/>
  <c r="Q1584" i="3" s="1"/>
  <c r="R1583" i="3" a="1"/>
  <c r="R1583" i="3" s="1"/>
  <c r="Q1583" i="3" a="1"/>
  <c r="Q1583" i="3" s="1"/>
  <c r="R1582" i="3" a="1"/>
  <c r="R1582" i="3" s="1"/>
  <c r="Q1582" i="3" a="1"/>
  <c r="Q1582" i="3" s="1"/>
  <c r="R1581" i="3" a="1"/>
  <c r="R1581" i="3" s="1"/>
  <c r="Q1581" i="3" a="1"/>
  <c r="Q1581" i="3" s="1"/>
  <c r="R1580" i="3" a="1"/>
  <c r="R1580" i="3" s="1"/>
  <c r="Q1580" i="3" a="1"/>
  <c r="Q1580" i="3" s="1"/>
  <c r="R1579" i="3" a="1"/>
  <c r="R1579" i="3" s="1"/>
  <c r="Q1579" i="3" a="1"/>
  <c r="Q1579" i="3" s="1"/>
  <c r="R1578" i="3" a="1"/>
  <c r="R1578" i="3" s="1"/>
  <c r="Q1578" i="3" a="1"/>
  <c r="Q1578" i="3" s="1"/>
  <c r="R1577" i="3" a="1"/>
  <c r="R1577" i="3" s="1"/>
  <c r="Q1577" i="3" a="1"/>
  <c r="Q1577" i="3" s="1"/>
  <c r="R1576" i="3" a="1"/>
  <c r="R1576" i="3" s="1"/>
  <c r="Q1576" i="3" a="1"/>
  <c r="Q1576" i="3" s="1"/>
  <c r="R1575" i="3" a="1"/>
  <c r="R1575" i="3" s="1"/>
  <c r="Q1575" i="3" a="1"/>
  <c r="Q1575" i="3" s="1"/>
  <c r="R1574" i="3" a="1"/>
  <c r="R1574" i="3" s="1"/>
  <c r="Q1574" i="3" a="1"/>
  <c r="Q1574" i="3" s="1"/>
  <c r="R1573" i="3" a="1"/>
  <c r="R1573" i="3" s="1"/>
  <c r="Q1573" i="3" a="1"/>
  <c r="Q1573" i="3" s="1"/>
  <c r="P2087" i="3" s="1"/>
  <c r="R1572" i="3" a="1"/>
  <c r="R1572" i="3" s="1"/>
  <c r="Q1572" i="3" a="1"/>
  <c r="Q1572" i="3" s="1"/>
  <c r="P2086" i="3" s="1"/>
  <c r="R1571" i="3" a="1"/>
  <c r="R1571" i="3" s="1"/>
  <c r="Q1571" i="3" a="1"/>
  <c r="Q1571" i="3" s="1"/>
  <c r="P2052" i="3" s="1"/>
  <c r="R1570" i="3" a="1"/>
  <c r="R1570" i="3" s="1"/>
  <c r="Q1570" i="3" a="1"/>
  <c r="Q1570" i="3" s="1"/>
  <c r="P2085" i="3" s="1"/>
  <c r="R1569" i="3" a="1"/>
  <c r="R1569" i="3" s="1"/>
  <c r="Q1569" i="3" a="1"/>
  <c r="Q1569" i="3" s="1"/>
  <c r="P2084" i="3" s="1"/>
  <c r="R1568" i="3" a="1"/>
  <c r="R1568" i="3" s="1"/>
  <c r="Q1568" i="3" a="1"/>
  <c r="Q1568" i="3" s="1"/>
  <c r="P2083" i="3" s="1"/>
  <c r="R1567" i="3" a="1"/>
  <c r="R1567" i="3" s="1"/>
  <c r="Q1567" i="3" a="1"/>
  <c r="Q1567" i="3" s="1"/>
  <c r="R1566" i="3" a="1"/>
  <c r="R1566" i="3" s="1"/>
  <c r="Q1566" i="3" a="1"/>
  <c r="Q1566" i="3" s="1"/>
  <c r="P1996" i="3" s="1"/>
  <c r="R1565" i="3" a="1"/>
  <c r="R1565" i="3" s="1"/>
  <c r="Q1565" i="3" a="1"/>
  <c r="Q1565" i="3" s="1"/>
  <c r="R1564" i="3" a="1"/>
  <c r="R1564" i="3" s="1"/>
  <c r="Q1564" i="3" a="1"/>
  <c r="Q1564" i="3" s="1"/>
  <c r="P1995" i="3" s="1"/>
  <c r="R1563" i="3" a="1"/>
  <c r="R1563" i="3" s="1"/>
  <c r="Q1563" i="3" a="1"/>
  <c r="Q1563" i="3" s="1"/>
  <c r="P1994" i="3" s="1"/>
  <c r="R1562" i="3" a="1"/>
  <c r="R1562" i="3" s="1"/>
  <c r="Q1562" i="3" a="1"/>
  <c r="Q1562" i="3" s="1"/>
  <c r="R1561" i="3" a="1"/>
  <c r="R1561" i="3" s="1"/>
  <c r="Q1561" i="3" a="1"/>
  <c r="Q1561" i="3" s="1"/>
  <c r="R1560" i="3" a="1"/>
  <c r="R1560" i="3" s="1"/>
  <c r="Q1560" i="3" a="1"/>
  <c r="Q1560" i="3" s="1"/>
  <c r="R1559" i="3" a="1"/>
  <c r="R1559" i="3" s="1"/>
  <c r="Q1559" i="3" a="1"/>
  <c r="Q1559" i="3" s="1"/>
  <c r="R1558" i="3" a="1"/>
  <c r="R1558" i="3" s="1"/>
  <c r="Q1558" i="3" a="1"/>
  <c r="Q1558" i="3" s="1"/>
  <c r="R1557" i="3" a="1"/>
  <c r="R1557" i="3" s="1"/>
  <c r="Q1557" i="3" a="1"/>
  <c r="Q1557" i="3" s="1"/>
  <c r="R1556" i="3" a="1"/>
  <c r="R1556" i="3" s="1"/>
  <c r="Q1556" i="3" a="1"/>
  <c r="Q1556" i="3" s="1"/>
  <c r="R1555" i="3" a="1"/>
  <c r="R1555" i="3" s="1"/>
  <c r="Q1555" i="3" a="1"/>
  <c r="Q1555" i="3" s="1"/>
  <c r="R1554" i="3" a="1"/>
  <c r="R1554" i="3" s="1"/>
  <c r="Q1554" i="3" a="1"/>
  <c r="Q1554" i="3" s="1"/>
  <c r="P2082" i="3" s="1"/>
  <c r="R1553" i="3" a="1"/>
  <c r="R1553" i="3" s="1"/>
  <c r="Q1553" i="3" a="1"/>
  <c r="Q1553" i="3" s="1"/>
  <c r="R1552" i="3" a="1"/>
  <c r="R1552" i="3" s="1"/>
  <c r="Q1552" i="3" a="1"/>
  <c r="Q1552" i="3" s="1"/>
  <c r="R1551" i="3" a="1"/>
  <c r="R1551" i="3" s="1"/>
  <c r="Q1551" i="3" a="1"/>
  <c r="Q1551" i="3" s="1"/>
  <c r="R1550" i="3" a="1"/>
  <c r="R1550" i="3" s="1"/>
  <c r="Q1550" i="3" a="1"/>
  <c r="Q1550" i="3" s="1"/>
  <c r="R1549" i="3" a="1"/>
  <c r="R1549" i="3" s="1"/>
  <c r="Q1549" i="3" a="1"/>
  <c r="Q1549" i="3" s="1"/>
  <c r="R1548" i="3" a="1"/>
  <c r="R1548" i="3" s="1"/>
  <c r="Q1548" i="3" a="1"/>
  <c r="Q1548" i="3" s="1"/>
  <c r="R1547" i="3" a="1"/>
  <c r="R1547" i="3" s="1"/>
  <c r="Q1547" i="3" a="1"/>
  <c r="Q1547" i="3" s="1"/>
  <c r="R1546" i="3" a="1"/>
  <c r="R1546" i="3" s="1"/>
  <c r="Q1546" i="3" a="1"/>
  <c r="Q1546" i="3" s="1"/>
  <c r="P2081" i="3" s="1"/>
  <c r="R1545" i="3" a="1"/>
  <c r="R1545" i="3" s="1"/>
  <c r="Q1545" i="3" a="1"/>
  <c r="Q1545" i="3" s="1"/>
  <c r="P1993" i="3" s="1"/>
  <c r="R1544" i="3" a="1"/>
  <c r="R1544" i="3" s="1"/>
  <c r="Q1544" i="3" a="1"/>
  <c r="Q1544" i="3" s="1"/>
  <c r="R1543" i="3" a="1"/>
  <c r="R1543" i="3" s="1"/>
  <c r="Q1543" i="3" a="1"/>
  <c r="Q1543" i="3" s="1"/>
  <c r="R1542" i="3" a="1"/>
  <c r="R1542" i="3" s="1"/>
  <c r="Q1542" i="3" a="1"/>
  <c r="Q1542" i="3" s="1"/>
  <c r="R1541" i="3" a="1"/>
  <c r="R1541" i="3" s="1"/>
  <c r="Q1541" i="3" a="1"/>
  <c r="Q1541" i="3" s="1"/>
  <c r="R1540" i="3" a="1"/>
  <c r="R1540" i="3" s="1"/>
  <c r="Q1540" i="3" a="1"/>
  <c r="Q1540" i="3" s="1"/>
  <c r="R1539" i="3" a="1"/>
  <c r="R1539" i="3" s="1"/>
  <c r="Q1539" i="3" a="1"/>
  <c r="Q1539" i="3" s="1"/>
  <c r="R1538" i="3" a="1"/>
  <c r="R1538" i="3" s="1"/>
  <c r="Q1538" i="3" a="1"/>
  <c r="Q1538" i="3" s="1"/>
  <c r="R1537" i="3" a="1"/>
  <c r="R1537" i="3" s="1"/>
  <c r="Q1537" i="3" a="1"/>
  <c r="Q1537" i="3" s="1"/>
  <c r="R1536" i="3" a="1"/>
  <c r="R1536" i="3" s="1"/>
  <c r="Q1536" i="3" a="1"/>
  <c r="Q1536" i="3" s="1"/>
  <c r="R1535" i="3" a="1"/>
  <c r="R1535" i="3" s="1"/>
  <c r="Q1535" i="3" a="1"/>
  <c r="Q1535" i="3" s="1"/>
  <c r="R1534" i="3" a="1"/>
  <c r="R1534" i="3" s="1"/>
  <c r="Q1534" i="3" a="1"/>
  <c r="Q1534" i="3" s="1"/>
  <c r="R1533" i="3" a="1"/>
  <c r="R1533" i="3" s="1"/>
  <c r="Q1533" i="3" a="1"/>
  <c r="Q1533" i="3" s="1"/>
  <c r="R1532" i="3" a="1"/>
  <c r="R1532" i="3" s="1"/>
  <c r="Q1532" i="3" a="1"/>
  <c r="Q1532" i="3" s="1"/>
  <c r="P2080" i="3" s="1"/>
  <c r="R1531" i="3" a="1"/>
  <c r="R1531" i="3" s="1"/>
  <c r="Q1531" i="3" a="1"/>
  <c r="Q1531" i="3" s="1"/>
  <c r="P2079" i="3" s="1"/>
  <c r="R1530" i="3" a="1"/>
  <c r="R1530" i="3" s="1"/>
  <c r="Q1530" i="3" a="1"/>
  <c r="Q1530" i="3" s="1"/>
  <c r="R1529" i="3" a="1"/>
  <c r="R1529" i="3" s="1"/>
  <c r="Q1529" i="3" a="1"/>
  <c r="Q1529" i="3" s="1"/>
  <c r="R1528" i="3" a="1"/>
  <c r="R1528" i="3" s="1"/>
  <c r="Q1528" i="3" a="1"/>
  <c r="Q1528" i="3" s="1"/>
  <c r="R1527" i="3" a="1"/>
  <c r="R1527" i="3" s="1"/>
  <c r="Q1527" i="3" a="1"/>
  <c r="Q1527" i="3" s="1"/>
  <c r="R1526" i="3" a="1"/>
  <c r="R1526" i="3" s="1"/>
  <c r="Q1526" i="3" a="1"/>
  <c r="Q1526" i="3" s="1"/>
  <c r="R1525" i="3" a="1"/>
  <c r="R1525" i="3" s="1"/>
  <c r="Q1525" i="3" a="1"/>
  <c r="Q1525" i="3" s="1"/>
  <c r="R1524" i="3" a="1"/>
  <c r="R1524" i="3" s="1"/>
  <c r="Q1524" i="3" a="1"/>
  <c r="Q1524" i="3" s="1"/>
  <c r="R1523" i="3" a="1"/>
  <c r="R1523" i="3" s="1"/>
  <c r="Q1523" i="3" a="1"/>
  <c r="Q1523" i="3" s="1"/>
  <c r="R1522" i="3" a="1"/>
  <c r="R1522" i="3" s="1"/>
  <c r="Q1522" i="3" a="1"/>
  <c r="Q1522" i="3" s="1"/>
  <c r="P2078" i="3" s="1"/>
  <c r="R1521" i="3" a="1"/>
  <c r="R1521" i="3" s="1"/>
  <c r="Q1521" i="3" a="1"/>
  <c r="Q1521" i="3" s="1"/>
  <c r="P1992" i="3" s="1"/>
  <c r="R1520" i="3" a="1"/>
  <c r="R1520" i="3" s="1"/>
  <c r="Q1520" i="3" a="1"/>
  <c r="Q1520" i="3" s="1"/>
  <c r="P1991" i="3" s="1"/>
  <c r="R1519" i="3" a="1"/>
  <c r="R1519" i="3" s="1"/>
  <c r="Q1519" i="3" a="1"/>
  <c r="Q1519" i="3" s="1"/>
  <c r="R1518" i="3" a="1"/>
  <c r="R1518" i="3" s="1"/>
  <c r="Q1518" i="3" a="1"/>
  <c r="Q1518" i="3" s="1"/>
  <c r="R1517" i="3" a="1"/>
  <c r="R1517" i="3" s="1"/>
  <c r="Q1517" i="3" a="1"/>
  <c r="Q1517" i="3" s="1"/>
  <c r="R1516" i="3" a="1"/>
  <c r="R1516" i="3" s="1"/>
  <c r="Q1516" i="3" a="1"/>
  <c r="Q1516" i="3" s="1"/>
  <c r="R1515" i="3" a="1"/>
  <c r="R1515" i="3" s="1"/>
  <c r="Q1515" i="3" a="1"/>
  <c r="Q1515" i="3" s="1"/>
  <c r="R1514" i="3" a="1"/>
  <c r="R1514" i="3" s="1"/>
  <c r="Q1514" i="3" a="1"/>
  <c r="Q1514" i="3" s="1"/>
  <c r="R1513" i="3" a="1"/>
  <c r="R1513" i="3" s="1"/>
  <c r="Q1513" i="3" a="1"/>
  <c r="Q1513" i="3" s="1"/>
  <c r="R1512" i="3" a="1"/>
  <c r="R1512" i="3" s="1"/>
  <c r="Q1512" i="3" a="1"/>
  <c r="Q1512" i="3" s="1"/>
  <c r="R1511" i="3" a="1"/>
  <c r="R1511" i="3" s="1"/>
  <c r="Q1511" i="3" a="1"/>
  <c r="Q1511" i="3" s="1"/>
  <c r="R1510" i="3" a="1"/>
  <c r="R1510" i="3" s="1"/>
  <c r="Q1510" i="3" a="1"/>
  <c r="Q1510" i="3" s="1"/>
  <c r="R1509" i="3" a="1"/>
  <c r="R1509" i="3" s="1"/>
  <c r="Q1509" i="3" a="1"/>
  <c r="Q1509" i="3" s="1"/>
  <c r="P2077" i="3" s="1"/>
  <c r="R1508" i="3" a="1"/>
  <c r="R1508" i="3" s="1"/>
  <c r="Q1508" i="3" a="1"/>
  <c r="Q1508" i="3" s="1"/>
  <c r="R1507" i="3" a="1"/>
  <c r="R1507" i="3" s="1"/>
  <c r="Q1507" i="3" a="1"/>
  <c r="Q1507" i="3" s="1"/>
  <c r="R1506" i="3" a="1"/>
  <c r="R1506" i="3" s="1"/>
  <c r="Q1506" i="3" a="1"/>
  <c r="Q1506" i="3" s="1"/>
  <c r="R1505" i="3" a="1"/>
  <c r="R1505" i="3" s="1"/>
  <c r="Q1505" i="3" a="1"/>
  <c r="Q1505" i="3" s="1"/>
  <c r="R1504" i="3" a="1"/>
  <c r="R1504" i="3" s="1"/>
  <c r="Q1504" i="3" a="1"/>
  <c r="Q1504" i="3" s="1"/>
  <c r="R1503" i="3" a="1"/>
  <c r="R1503" i="3" s="1"/>
  <c r="Q1503" i="3" a="1"/>
  <c r="Q1503" i="3" s="1"/>
  <c r="R1502" i="3" a="1"/>
  <c r="R1502" i="3" s="1"/>
  <c r="Q1502" i="3" a="1"/>
  <c r="Q1502" i="3" s="1"/>
  <c r="P1990" i="3" s="1"/>
  <c r="R1501" i="3" a="1"/>
  <c r="R1501" i="3" s="1"/>
  <c r="Q1501" i="3" a="1"/>
  <c r="Q1501" i="3" s="1"/>
  <c r="R1500" i="3" a="1"/>
  <c r="R1500" i="3" s="1"/>
  <c r="Q1500" i="3" a="1"/>
  <c r="Q1500" i="3" s="1"/>
  <c r="R1499" i="3" a="1"/>
  <c r="R1499" i="3" s="1"/>
  <c r="Q1499" i="3" a="1"/>
  <c r="Q1499" i="3" s="1"/>
  <c r="R1498" i="3" a="1"/>
  <c r="R1498" i="3" s="1"/>
  <c r="Q1498" i="3" a="1"/>
  <c r="Q1498" i="3" s="1"/>
  <c r="R1497" i="3" a="1"/>
  <c r="R1497" i="3" s="1"/>
  <c r="Q1497" i="3" a="1"/>
  <c r="Q1497" i="3" s="1"/>
  <c r="R1496" i="3" a="1"/>
  <c r="R1496" i="3" s="1"/>
  <c r="Q1496" i="3" a="1"/>
  <c r="Q1496" i="3" s="1"/>
  <c r="R1495" i="3" a="1"/>
  <c r="R1495" i="3" s="1"/>
  <c r="Q1495" i="3" a="1"/>
  <c r="Q1495" i="3" s="1"/>
  <c r="P1989" i="3" s="1"/>
  <c r="R1494" i="3" a="1"/>
  <c r="R1494" i="3" s="1"/>
  <c r="Q1494" i="3" a="1"/>
  <c r="Q1494" i="3" s="1"/>
  <c r="R1493" i="3" a="1"/>
  <c r="R1493" i="3" s="1"/>
  <c r="Q1493" i="3" a="1"/>
  <c r="Q1493" i="3" s="1"/>
  <c r="R1492" i="3" a="1"/>
  <c r="R1492" i="3" s="1"/>
  <c r="Q1492" i="3" a="1"/>
  <c r="Q1492" i="3" s="1"/>
  <c r="R1491" i="3" a="1"/>
  <c r="R1491" i="3" s="1"/>
  <c r="Q1491" i="3" a="1"/>
  <c r="Q1491" i="3" s="1"/>
  <c r="R1490" i="3" a="1"/>
  <c r="R1490" i="3" s="1"/>
  <c r="Q1490" i="3" a="1"/>
  <c r="Q1490" i="3" s="1"/>
  <c r="R1489" i="3" a="1"/>
  <c r="R1489" i="3" s="1"/>
  <c r="Q1489" i="3" a="1"/>
  <c r="Q1489" i="3" s="1"/>
  <c r="R1488" i="3" a="1"/>
  <c r="R1488" i="3" s="1"/>
  <c r="Q1488" i="3" a="1"/>
  <c r="Q1488" i="3" s="1"/>
  <c r="R1487" i="3" a="1"/>
  <c r="R1487" i="3" s="1"/>
  <c r="Q1487" i="3" a="1"/>
  <c r="Q1487" i="3" s="1"/>
  <c r="R1486" i="3" a="1"/>
  <c r="R1486" i="3" s="1"/>
  <c r="Q1486" i="3" a="1"/>
  <c r="Q1486" i="3" s="1"/>
  <c r="P2076" i="3" s="1"/>
  <c r="R1485" i="3" a="1"/>
  <c r="R1485" i="3" s="1"/>
  <c r="Q1485" i="3" a="1"/>
  <c r="Q1485" i="3" s="1"/>
  <c r="R1484" i="3" a="1"/>
  <c r="R1484" i="3" s="1"/>
  <c r="Q1484" i="3" a="1"/>
  <c r="Q1484" i="3" s="1"/>
  <c r="R1483" i="3" a="1"/>
  <c r="R1483" i="3" s="1"/>
  <c r="Q1483" i="3" a="1"/>
  <c r="Q1483" i="3" s="1"/>
  <c r="R1482" i="3" a="1"/>
  <c r="R1482" i="3" s="1"/>
  <c r="Q1482" i="3" a="1"/>
  <c r="Q1482" i="3" s="1"/>
  <c r="P2075" i="3" s="1"/>
  <c r="R1481" i="3" a="1"/>
  <c r="R1481" i="3" s="1"/>
  <c r="Q1481" i="3" a="1"/>
  <c r="Q1481" i="3" s="1"/>
  <c r="R1480" i="3" a="1"/>
  <c r="R1480" i="3" s="1"/>
  <c r="Q1480" i="3" a="1"/>
  <c r="Q1480" i="3" s="1"/>
  <c r="R1479" i="3" a="1"/>
  <c r="R1479" i="3" s="1"/>
  <c r="Q1479" i="3" a="1"/>
  <c r="Q1479" i="3" s="1"/>
  <c r="R1478" i="3" a="1"/>
  <c r="R1478" i="3" s="1"/>
  <c r="Q1478" i="3" a="1"/>
  <c r="Q1478" i="3" s="1"/>
  <c r="R1477" i="3" a="1"/>
  <c r="R1477" i="3" s="1"/>
  <c r="Q1477" i="3" a="1"/>
  <c r="Q1477" i="3" s="1"/>
  <c r="R1476" i="3" a="1"/>
  <c r="R1476" i="3" s="1"/>
  <c r="Q1476" i="3" a="1"/>
  <c r="Q1476" i="3" s="1"/>
  <c r="R1475" i="3" a="1"/>
  <c r="R1475" i="3" s="1"/>
  <c r="Q1475" i="3" a="1"/>
  <c r="Q1475" i="3" s="1"/>
  <c r="R1474" i="3" a="1"/>
  <c r="R1474" i="3" s="1"/>
  <c r="Q1474" i="3" a="1"/>
  <c r="Q1474" i="3" s="1"/>
  <c r="R1473" i="3" a="1"/>
  <c r="R1473" i="3" s="1"/>
  <c r="Q1473" i="3" a="1"/>
  <c r="Q1473" i="3" s="1"/>
  <c r="R1472" i="3" a="1"/>
  <c r="R1472" i="3" s="1"/>
  <c r="Q1472" i="3" a="1"/>
  <c r="Q1472" i="3" s="1"/>
  <c r="R1471" i="3" a="1"/>
  <c r="R1471" i="3" s="1"/>
  <c r="Q1471" i="3" a="1"/>
  <c r="Q1471" i="3" s="1"/>
  <c r="R1470" i="3" a="1"/>
  <c r="R1470" i="3" s="1"/>
  <c r="Q1470" i="3" a="1"/>
  <c r="Q1470" i="3" s="1"/>
  <c r="R1469" i="3" a="1"/>
  <c r="R1469" i="3" s="1"/>
  <c r="Q1469" i="3" a="1"/>
  <c r="Q1469" i="3" s="1"/>
  <c r="R1468" i="3" a="1"/>
  <c r="R1468" i="3" s="1"/>
  <c r="Q1468" i="3" a="1"/>
  <c r="Q1468" i="3" s="1"/>
  <c r="R1467" i="3" a="1"/>
  <c r="R1467" i="3" s="1"/>
  <c r="Q1467" i="3" a="1"/>
  <c r="Q1467" i="3" s="1"/>
  <c r="R1466" i="3" a="1"/>
  <c r="R1466" i="3" s="1"/>
  <c r="Q1466" i="3" a="1"/>
  <c r="Q1466" i="3" s="1"/>
  <c r="R1465" i="3" a="1"/>
  <c r="R1465" i="3" s="1"/>
  <c r="Q1465" i="3" a="1"/>
  <c r="Q1465" i="3" s="1"/>
  <c r="R1464" i="3" a="1"/>
  <c r="R1464" i="3" s="1"/>
  <c r="Q1464" i="3" a="1"/>
  <c r="Q1464" i="3" s="1"/>
  <c r="R1463" i="3" a="1"/>
  <c r="R1463" i="3" s="1"/>
  <c r="Q1463" i="3" a="1"/>
  <c r="Q1463" i="3" s="1"/>
  <c r="R1462" i="3" a="1"/>
  <c r="R1462" i="3" s="1"/>
  <c r="Q1462" i="3" a="1"/>
  <c r="Q1462" i="3" s="1"/>
  <c r="R1461" i="3" a="1"/>
  <c r="R1461" i="3" s="1"/>
  <c r="Q1461" i="3" a="1"/>
  <c r="Q1461" i="3" s="1"/>
  <c r="R1460" i="3" a="1"/>
  <c r="R1460" i="3" s="1"/>
  <c r="Q1460" i="3" a="1"/>
  <c r="Q1460" i="3" s="1"/>
  <c r="R1459" i="3" a="1"/>
  <c r="R1459" i="3" s="1"/>
  <c r="Q1459" i="3" a="1"/>
  <c r="Q1459" i="3" s="1"/>
  <c r="R1458" i="3" a="1"/>
  <c r="R1458" i="3" s="1"/>
  <c r="Q1458" i="3" a="1"/>
  <c r="Q1458" i="3" s="1"/>
  <c r="R1457" i="3" a="1"/>
  <c r="R1457" i="3" s="1"/>
  <c r="Q1457" i="3" a="1"/>
  <c r="Q1457" i="3" s="1"/>
  <c r="R1456" i="3" a="1"/>
  <c r="R1456" i="3" s="1"/>
  <c r="Q1456" i="3" a="1"/>
  <c r="Q1456" i="3" s="1"/>
  <c r="R1455" i="3" a="1"/>
  <c r="R1455" i="3" s="1"/>
  <c r="Q1455" i="3" a="1"/>
  <c r="Q1455" i="3" s="1"/>
  <c r="R1454" i="3" a="1"/>
  <c r="R1454" i="3" s="1"/>
  <c r="Q1454" i="3" a="1"/>
  <c r="Q1454" i="3" s="1"/>
  <c r="R1453" i="3" a="1"/>
  <c r="R1453" i="3" s="1"/>
  <c r="Q1453" i="3" a="1"/>
  <c r="Q1453" i="3" s="1"/>
  <c r="R1452" i="3" a="1"/>
  <c r="R1452" i="3" s="1"/>
  <c r="Q1452" i="3" a="1"/>
  <c r="Q1452" i="3" s="1"/>
  <c r="R1451" i="3" a="1"/>
  <c r="R1451" i="3" s="1"/>
  <c r="Q1451" i="3" a="1"/>
  <c r="Q1451" i="3" s="1"/>
  <c r="R1450" i="3" a="1"/>
  <c r="R1450" i="3" s="1"/>
  <c r="Q1450" i="3" a="1"/>
  <c r="Q1450" i="3" s="1"/>
  <c r="R1449" i="3" a="1"/>
  <c r="R1449" i="3" s="1"/>
  <c r="Q1449" i="3" a="1"/>
  <c r="Q1449" i="3" s="1"/>
  <c r="R1448" i="3" a="1"/>
  <c r="R1448" i="3" s="1"/>
  <c r="Q1448" i="3" a="1"/>
  <c r="Q1448" i="3" s="1"/>
  <c r="R1447" i="3" a="1"/>
  <c r="R1447" i="3" s="1"/>
  <c r="Q1447" i="3" a="1"/>
  <c r="Q1447" i="3" s="1"/>
  <c r="R1446" i="3" a="1"/>
  <c r="R1446" i="3" s="1"/>
  <c r="Q1446" i="3" a="1"/>
  <c r="Q1446" i="3" s="1"/>
  <c r="R1445" i="3" a="1"/>
  <c r="R1445" i="3" s="1"/>
  <c r="Q1445" i="3" a="1"/>
  <c r="Q1445" i="3" s="1"/>
  <c r="R1444" i="3" a="1"/>
  <c r="R1444" i="3" s="1"/>
  <c r="Q1444" i="3" a="1"/>
  <c r="Q1444" i="3" s="1"/>
  <c r="R1443" i="3" a="1"/>
  <c r="R1443" i="3" s="1"/>
  <c r="Q1443" i="3" a="1"/>
  <c r="Q1443" i="3" s="1"/>
  <c r="R1442" i="3" a="1"/>
  <c r="R1442" i="3" s="1"/>
  <c r="Q1442" i="3" a="1"/>
  <c r="Q1442" i="3" s="1"/>
  <c r="R1441" i="3" a="1"/>
  <c r="R1441" i="3" s="1"/>
  <c r="Q1441" i="3" a="1"/>
  <c r="Q1441" i="3" s="1"/>
  <c r="R1440" i="3" a="1"/>
  <c r="R1440" i="3" s="1"/>
  <c r="Q1440" i="3" a="1"/>
  <c r="Q1440" i="3" s="1"/>
  <c r="R1439" i="3" a="1"/>
  <c r="R1439" i="3" s="1"/>
  <c r="Q1439" i="3" a="1"/>
  <c r="Q1439" i="3" s="1"/>
  <c r="R1438" i="3" a="1"/>
  <c r="R1438" i="3" s="1"/>
  <c r="Q1438" i="3" a="1"/>
  <c r="Q1438" i="3" s="1"/>
  <c r="R1437" i="3" a="1"/>
  <c r="R1437" i="3" s="1"/>
  <c r="Q1437" i="3" a="1"/>
  <c r="Q1437" i="3" s="1"/>
  <c r="R1436" i="3" a="1"/>
  <c r="R1436" i="3" s="1"/>
  <c r="Q1436" i="3" a="1"/>
  <c r="Q1436" i="3" s="1"/>
  <c r="R1435" i="3" a="1"/>
  <c r="R1435" i="3" s="1"/>
  <c r="Q1435" i="3" a="1"/>
  <c r="Q1435" i="3" s="1"/>
  <c r="R1434" i="3" a="1"/>
  <c r="R1434" i="3" s="1"/>
  <c r="Q1434" i="3" a="1"/>
  <c r="Q1434" i="3" s="1"/>
  <c r="R1433" i="3" a="1"/>
  <c r="R1433" i="3" s="1"/>
  <c r="Q1433" i="3" a="1"/>
  <c r="Q1433" i="3" s="1"/>
  <c r="R1432" i="3" a="1"/>
  <c r="R1432" i="3" s="1"/>
  <c r="Q1432" i="3" a="1"/>
  <c r="Q1432" i="3" s="1"/>
  <c r="R1431" i="3" a="1"/>
  <c r="R1431" i="3" s="1"/>
  <c r="Q1431" i="3" a="1"/>
  <c r="Q1431" i="3" s="1"/>
  <c r="R1430" i="3" a="1"/>
  <c r="R1430" i="3" s="1"/>
  <c r="Q1430" i="3" a="1"/>
  <c r="Q1430" i="3" s="1"/>
  <c r="R1429" i="3" a="1"/>
  <c r="R1429" i="3" s="1"/>
  <c r="Q1429" i="3" a="1"/>
  <c r="Q1429" i="3" s="1"/>
  <c r="R1428" i="3" a="1"/>
  <c r="R1428" i="3" s="1"/>
  <c r="Q1428" i="3" a="1"/>
  <c r="Q1428" i="3" s="1"/>
  <c r="R1427" i="3" a="1"/>
  <c r="R1427" i="3" s="1"/>
  <c r="Q1427" i="3" a="1"/>
  <c r="Q1427" i="3" s="1"/>
  <c r="R1426" i="3" a="1"/>
  <c r="R1426" i="3" s="1"/>
  <c r="Q1426" i="3" a="1"/>
  <c r="Q1426" i="3" s="1"/>
  <c r="R1425" i="3" a="1"/>
  <c r="R1425" i="3" s="1"/>
  <c r="Q1425" i="3" a="1"/>
  <c r="Q1425" i="3" s="1"/>
  <c r="R1424" i="3" a="1"/>
  <c r="R1424" i="3" s="1"/>
  <c r="Q1424" i="3" a="1"/>
  <c r="Q1424" i="3" s="1"/>
  <c r="R1423" i="3" a="1"/>
  <c r="R1423" i="3" s="1"/>
  <c r="Q1423" i="3" a="1"/>
  <c r="Q1423" i="3" s="1"/>
  <c r="R1422" i="3" a="1"/>
  <c r="R1422" i="3" s="1"/>
  <c r="Q1422" i="3" a="1"/>
  <c r="Q1422" i="3" s="1"/>
  <c r="R1421" i="3" a="1"/>
  <c r="R1421" i="3" s="1"/>
  <c r="Q1421" i="3" a="1"/>
  <c r="Q1421" i="3" s="1"/>
  <c r="R1420" i="3" a="1"/>
  <c r="R1420" i="3" s="1"/>
  <c r="Q1420" i="3" a="1"/>
  <c r="Q1420" i="3" s="1"/>
  <c r="R1419" i="3" a="1"/>
  <c r="R1419" i="3" s="1"/>
  <c r="Q1419" i="3" a="1"/>
  <c r="Q1419" i="3" s="1"/>
  <c r="R1418" i="3" a="1"/>
  <c r="R1418" i="3" s="1"/>
  <c r="Q1418" i="3" a="1"/>
  <c r="Q1418" i="3" s="1"/>
  <c r="R1417" i="3" a="1"/>
  <c r="R1417" i="3" s="1"/>
  <c r="Q1417" i="3" a="1"/>
  <c r="Q1417" i="3" s="1"/>
  <c r="R1416" i="3" a="1"/>
  <c r="R1416" i="3" s="1"/>
  <c r="Q1416" i="3" a="1"/>
  <c r="Q1416" i="3" s="1"/>
  <c r="P171" i="3" s="1"/>
  <c r="R1415" i="3" a="1"/>
  <c r="R1415" i="3" s="1"/>
  <c r="Q1415" i="3" a="1"/>
  <c r="Q1415" i="3" s="1"/>
  <c r="R1414" i="3" a="1"/>
  <c r="R1414" i="3" s="1"/>
  <c r="Q1414" i="3" a="1"/>
  <c r="Q1414" i="3" s="1"/>
  <c r="R1413" i="3" a="1"/>
  <c r="R1413" i="3" s="1"/>
  <c r="Q1413" i="3" a="1"/>
  <c r="Q1413" i="3" s="1"/>
  <c r="R1412" i="3" a="1"/>
  <c r="R1412" i="3" s="1"/>
  <c r="Q1412" i="3" a="1"/>
  <c r="Q1412" i="3" s="1"/>
  <c r="R1411" i="3" a="1"/>
  <c r="R1411" i="3" s="1"/>
  <c r="Q1411" i="3" a="1"/>
  <c r="Q1411" i="3" s="1"/>
  <c r="R1410" i="3" a="1"/>
  <c r="R1410" i="3" s="1"/>
  <c r="Q1410" i="3" a="1"/>
  <c r="Q1410" i="3" s="1"/>
  <c r="R1409" i="3" a="1"/>
  <c r="R1409" i="3" s="1"/>
  <c r="Q1409" i="3" a="1"/>
  <c r="Q1409" i="3" s="1"/>
  <c r="R1408" i="3" a="1"/>
  <c r="R1408" i="3" s="1"/>
  <c r="Q1408" i="3" a="1"/>
  <c r="Q1408" i="3" s="1"/>
  <c r="R1407" i="3" a="1"/>
  <c r="R1407" i="3" s="1"/>
  <c r="Q1407" i="3" a="1"/>
  <c r="Q1407" i="3" s="1"/>
  <c r="R1406" i="3" a="1"/>
  <c r="R1406" i="3" s="1"/>
  <c r="Q1406" i="3" a="1"/>
  <c r="Q1406" i="3" s="1"/>
  <c r="R1405" i="3" a="1"/>
  <c r="R1405" i="3" s="1"/>
  <c r="Q1405" i="3" a="1"/>
  <c r="Q1405" i="3" s="1"/>
  <c r="R1404" i="3" a="1"/>
  <c r="R1404" i="3" s="1"/>
  <c r="Q1404" i="3" a="1"/>
  <c r="Q1404" i="3" s="1"/>
  <c r="R1403" i="3" a="1"/>
  <c r="R1403" i="3" s="1"/>
  <c r="Q1403" i="3" a="1"/>
  <c r="Q1403" i="3" s="1"/>
  <c r="R1402" i="3" a="1"/>
  <c r="R1402" i="3" s="1"/>
  <c r="Q1402" i="3" a="1"/>
  <c r="Q1402" i="3" s="1"/>
  <c r="R1401" i="3" a="1"/>
  <c r="R1401" i="3" s="1"/>
  <c r="Q1401" i="3" a="1"/>
  <c r="Q1401" i="3" s="1"/>
  <c r="R1400" i="3" a="1"/>
  <c r="R1400" i="3" s="1"/>
  <c r="Q1400" i="3" a="1"/>
  <c r="Q1400" i="3" s="1"/>
  <c r="R1399" i="3" a="1"/>
  <c r="R1399" i="3" s="1"/>
  <c r="Q1399" i="3" a="1"/>
  <c r="Q1399" i="3" s="1"/>
  <c r="R1398" i="3" a="1"/>
  <c r="R1398" i="3" s="1"/>
  <c r="Q1398" i="3" a="1"/>
  <c r="Q1398" i="3" s="1"/>
  <c r="P2074" i="3" s="1"/>
  <c r="R1397" i="3" a="1"/>
  <c r="R1397" i="3" s="1"/>
  <c r="Q1397" i="3" a="1"/>
  <c r="Q1397" i="3" s="1"/>
  <c r="P1988" i="3" s="1"/>
  <c r="R1396" i="3" a="1"/>
  <c r="R1396" i="3" s="1"/>
  <c r="Q1396" i="3" a="1"/>
  <c r="Q1396" i="3" s="1"/>
  <c r="P1987" i="3" s="1"/>
  <c r="R1395" i="3" a="1"/>
  <c r="R1395" i="3" s="1"/>
  <c r="Q1395" i="3" a="1"/>
  <c r="Q1395" i="3" s="1"/>
  <c r="P1986" i="3" s="1"/>
  <c r="R1394" i="3" a="1"/>
  <c r="R1394" i="3" s="1"/>
  <c r="Q1394" i="3" a="1"/>
  <c r="Q1394" i="3" s="1"/>
  <c r="P1985" i="3" s="1"/>
  <c r="R1393" i="3" a="1"/>
  <c r="R1393" i="3" s="1"/>
  <c r="Q1393" i="3" a="1"/>
  <c r="Q1393" i="3" s="1"/>
  <c r="P1984" i="3" s="1"/>
  <c r="R1392" i="3" a="1"/>
  <c r="R1392" i="3" s="1"/>
  <c r="Q1392" i="3" a="1"/>
  <c r="Q1392" i="3" s="1"/>
  <c r="P1983" i="3" s="1"/>
  <c r="R1391" i="3" a="1"/>
  <c r="R1391" i="3" s="1"/>
  <c r="Q1391" i="3" a="1"/>
  <c r="Q1391" i="3" s="1"/>
  <c r="P1982" i="3" s="1"/>
  <c r="R1390" i="3" a="1"/>
  <c r="R1390" i="3" s="1"/>
  <c r="Q1390" i="3" a="1"/>
  <c r="Q1390" i="3" s="1"/>
  <c r="P1981" i="3" s="1"/>
  <c r="R1389" i="3" a="1"/>
  <c r="R1389" i="3" s="1"/>
  <c r="Q1389" i="3" a="1"/>
  <c r="Q1389" i="3" s="1"/>
  <c r="P1980" i="3" s="1"/>
  <c r="R1388" i="3" a="1"/>
  <c r="R1388" i="3" s="1"/>
  <c r="Q1388" i="3" a="1"/>
  <c r="Q1388" i="3" s="1"/>
  <c r="P1979" i="3" s="1"/>
  <c r="R1387" i="3" a="1"/>
  <c r="R1387" i="3" s="1"/>
  <c r="Q1387" i="3" a="1"/>
  <c r="Q1387" i="3" s="1"/>
  <c r="P1978" i="3" s="1"/>
  <c r="R1386" i="3" a="1"/>
  <c r="R1386" i="3" s="1"/>
  <c r="Q1386" i="3" a="1"/>
  <c r="Q1386" i="3" s="1"/>
  <c r="P1977" i="3" s="1"/>
  <c r="R1385" i="3" a="1"/>
  <c r="R1385" i="3" s="1"/>
  <c r="Q1385" i="3" a="1"/>
  <c r="Q1385" i="3" s="1"/>
  <c r="P1976" i="3" s="1"/>
  <c r="R1384" i="3" a="1"/>
  <c r="R1384" i="3" s="1"/>
  <c r="Q1384" i="3" a="1"/>
  <c r="Q1384" i="3" s="1"/>
  <c r="P1975" i="3" s="1"/>
  <c r="R1383" i="3" a="1"/>
  <c r="R1383" i="3" s="1"/>
  <c r="Q1383" i="3" a="1"/>
  <c r="Q1383" i="3" s="1"/>
  <c r="R1382" i="3" a="1"/>
  <c r="R1382" i="3" s="1"/>
  <c r="Q1382" i="3" a="1"/>
  <c r="Q1382" i="3" s="1"/>
  <c r="P1973" i="3" s="1"/>
  <c r="R1381" i="3" a="1"/>
  <c r="R1381" i="3" s="1"/>
  <c r="Q1381" i="3" a="1"/>
  <c r="Q1381" i="3" s="1"/>
  <c r="P1972" i="3" s="1"/>
  <c r="R1380" i="3" a="1"/>
  <c r="R1380" i="3" s="1"/>
  <c r="Q1380" i="3" a="1"/>
  <c r="Q1380" i="3" s="1"/>
  <c r="P1971" i="3" s="1"/>
  <c r="R1379" i="3" a="1"/>
  <c r="R1379" i="3" s="1"/>
  <c r="Q1379" i="3" a="1"/>
  <c r="Q1379" i="3" s="1"/>
  <c r="P1970" i="3" s="1"/>
  <c r="R1378" i="3" a="1"/>
  <c r="R1378" i="3" s="1"/>
  <c r="Q1378" i="3" a="1"/>
  <c r="Q1378" i="3" s="1"/>
  <c r="P1969" i="3" s="1"/>
  <c r="R1377" i="3" a="1"/>
  <c r="R1377" i="3" s="1"/>
  <c r="Q1377" i="3" a="1"/>
  <c r="Q1377" i="3" s="1"/>
  <c r="P1968" i="3" s="1"/>
  <c r="R1376" i="3" a="1"/>
  <c r="R1376" i="3" s="1"/>
  <c r="Q1376" i="3" a="1"/>
  <c r="Q1376" i="3" s="1"/>
  <c r="P1967" i="3" s="1"/>
  <c r="R1375" i="3" a="1"/>
  <c r="R1375" i="3" s="1"/>
  <c r="Q1375" i="3" a="1"/>
  <c r="Q1375" i="3" s="1"/>
  <c r="P1966" i="3" s="1"/>
  <c r="R1374" i="3" a="1"/>
  <c r="R1374" i="3" s="1"/>
  <c r="Q1374" i="3" a="1"/>
  <c r="Q1374" i="3" s="1"/>
  <c r="P1965" i="3" s="1"/>
  <c r="R1373" i="3" a="1"/>
  <c r="R1373" i="3" s="1"/>
  <c r="Q1373" i="3" a="1"/>
  <c r="Q1373" i="3" s="1"/>
  <c r="P1964" i="3" s="1"/>
  <c r="R1372" i="3" a="1"/>
  <c r="R1372" i="3" s="1"/>
  <c r="Q1372" i="3" a="1"/>
  <c r="Q1372" i="3" s="1"/>
  <c r="P1963" i="3" s="1"/>
  <c r="R1371" i="3" a="1"/>
  <c r="R1371" i="3" s="1"/>
  <c r="Q1371" i="3" a="1"/>
  <c r="Q1371" i="3" s="1"/>
  <c r="P1962" i="3" s="1"/>
  <c r="R1370" i="3" a="1"/>
  <c r="R1370" i="3" s="1"/>
  <c r="Q1370" i="3" a="1"/>
  <c r="Q1370" i="3" s="1"/>
  <c r="P1961" i="3" s="1"/>
  <c r="R1369" i="3" a="1"/>
  <c r="R1369" i="3" s="1"/>
  <c r="Q1369" i="3" a="1"/>
  <c r="Q1369" i="3" s="1"/>
  <c r="P1960" i="3" s="1"/>
  <c r="R1368" i="3" a="1"/>
  <c r="R1368" i="3" s="1"/>
  <c r="Q1368" i="3" a="1"/>
  <c r="Q1368" i="3" s="1"/>
  <c r="P1959" i="3" s="1"/>
  <c r="R1367" i="3" a="1"/>
  <c r="R1367" i="3" s="1"/>
  <c r="Q1367" i="3" a="1"/>
  <c r="Q1367" i="3" s="1"/>
  <c r="P1958" i="3" s="1"/>
  <c r="R1366" i="3" a="1"/>
  <c r="R1366" i="3" s="1"/>
  <c r="Q1366" i="3" a="1"/>
  <c r="Q1366" i="3" s="1"/>
  <c r="P1957" i="3" s="1"/>
  <c r="R1365" i="3" a="1"/>
  <c r="R1365" i="3" s="1"/>
  <c r="Q1365" i="3" a="1"/>
  <c r="Q1365" i="3" s="1"/>
  <c r="P1956" i="3" s="1"/>
  <c r="R1364" i="3" a="1"/>
  <c r="R1364" i="3" s="1"/>
  <c r="Q1364" i="3" a="1"/>
  <c r="Q1364" i="3" s="1"/>
  <c r="P1955" i="3" s="1"/>
  <c r="R1363" i="3" a="1"/>
  <c r="R1363" i="3" s="1"/>
  <c r="Q1363" i="3" a="1"/>
  <c r="Q1363" i="3" s="1"/>
  <c r="P1954" i="3" s="1"/>
  <c r="R1362" i="3" a="1"/>
  <c r="R1362" i="3" s="1"/>
  <c r="Q1362" i="3" a="1"/>
  <c r="Q1362" i="3" s="1"/>
  <c r="P1953" i="3" s="1"/>
  <c r="R1361" i="3" a="1"/>
  <c r="R1361" i="3" s="1"/>
  <c r="Q1361" i="3" a="1"/>
  <c r="Q1361" i="3" s="1"/>
  <c r="P1952" i="3" s="1"/>
  <c r="R1360" i="3" a="1"/>
  <c r="R1360" i="3" s="1"/>
  <c r="Q1360" i="3" a="1"/>
  <c r="Q1360" i="3" s="1"/>
  <c r="P1951" i="3" s="1"/>
  <c r="R1359" i="3" a="1"/>
  <c r="R1359" i="3" s="1"/>
  <c r="Q1359" i="3" a="1"/>
  <c r="Q1359" i="3" s="1"/>
  <c r="P1950" i="3" s="1"/>
  <c r="R1358" i="3" a="1"/>
  <c r="R1358" i="3" s="1"/>
  <c r="Q1358" i="3" a="1"/>
  <c r="Q1358" i="3" s="1"/>
  <c r="P1949" i="3" s="1"/>
  <c r="R1357" i="3" a="1"/>
  <c r="R1357" i="3" s="1"/>
  <c r="Q1357" i="3" a="1"/>
  <c r="Q1357" i="3" s="1"/>
  <c r="P1948" i="3" s="1"/>
  <c r="R1356" i="3" a="1"/>
  <c r="R1356" i="3" s="1"/>
  <c r="Q1356" i="3" a="1"/>
  <c r="Q1356" i="3" s="1"/>
  <c r="P1947" i="3" s="1"/>
  <c r="R1355" i="3" a="1"/>
  <c r="R1355" i="3" s="1"/>
  <c r="Q1355" i="3" a="1"/>
  <c r="Q1355" i="3" s="1"/>
  <c r="P1946" i="3" s="1"/>
  <c r="R1354" i="3" a="1"/>
  <c r="R1354" i="3" s="1"/>
  <c r="Q1354" i="3" a="1"/>
  <c r="Q1354" i="3" s="1"/>
  <c r="P1945" i="3" s="1"/>
  <c r="R1353" i="3" a="1"/>
  <c r="R1353" i="3" s="1"/>
  <c r="Q1353" i="3" a="1"/>
  <c r="Q1353" i="3" s="1"/>
  <c r="P1944" i="3" s="1"/>
  <c r="R1352" i="3" a="1"/>
  <c r="R1352" i="3" s="1"/>
  <c r="Q1352" i="3" a="1"/>
  <c r="Q1352" i="3" s="1"/>
  <c r="P1943" i="3" s="1"/>
  <c r="R1351" i="3" a="1"/>
  <c r="R1351" i="3" s="1"/>
  <c r="Q1351" i="3" a="1"/>
  <c r="Q1351" i="3" s="1"/>
  <c r="P1942" i="3" s="1"/>
  <c r="R1350" i="3" a="1"/>
  <c r="R1350" i="3" s="1"/>
  <c r="Q1350" i="3" a="1"/>
  <c r="Q1350" i="3" s="1"/>
  <c r="P1941" i="3" s="1"/>
  <c r="R1349" i="3" a="1"/>
  <c r="R1349" i="3" s="1"/>
  <c r="Q1349" i="3" a="1"/>
  <c r="Q1349" i="3" s="1"/>
  <c r="P1940" i="3" s="1"/>
  <c r="R1348" i="3" a="1"/>
  <c r="R1348" i="3" s="1"/>
  <c r="Q1348" i="3" a="1"/>
  <c r="Q1348" i="3" s="1"/>
  <c r="P1939" i="3" s="1"/>
  <c r="R1347" i="3" a="1"/>
  <c r="R1347" i="3" s="1"/>
  <c r="Q1347" i="3" a="1"/>
  <c r="Q1347" i="3" s="1"/>
  <c r="P1938" i="3" s="1"/>
  <c r="R1346" i="3" a="1"/>
  <c r="R1346" i="3" s="1"/>
  <c r="Q1346" i="3" a="1"/>
  <c r="Q1346" i="3" s="1"/>
  <c r="P1937" i="3" s="1"/>
  <c r="R1345" i="3" a="1"/>
  <c r="R1345" i="3" s="1"/>
  <c r="Q1345" i="3" a="1"/>
  <c r="Q1345" i="3" s="1"/>
  <c r="P1936" i="3" s="1"/>
  <c r="R1344" i="3" a="1"/>
  <c r="R1344" i="3" s="1"/>
  <c r="Q1344" i="3" a="1"/>
  <c r="Q1344" i="3" s="1"/>
  <c r="P1935" i="3" s="1"/>
  <c r="R1343" i="3" a="1"/>
  <c r="R1343" i="3" s="1"/>
  <c r="Q1343" i="3" a="1"/>
  <c r="Q1343" i="3" s="1"/>
  <c r="P1934" i="3" s="1"/>
  <c r="R1342" i="3" a="1"/>
  <c r="R1342" i="3" s="1"/>
  <c r="Q1342" i="3" a="1"/>
  <c r="Q1342" i="3" s="1"/>
  <c r="P1933" i="3" s="1"/>
  <c r="R1341" i="3" a="1"/>
  <c r="R1341" i="3" s="1"/>
  <c r="Q1341" i="3" a="1"/>
  <c r="Q1341" i="3" s="1"/>
  <c r="P1932" i="3" s="1"/>
  <c r="R1340" i="3" a="1"/>
  <c r="R1340" i="3" s="1"/>
  <c r="Q1340" i="3" a="1"/>
  <c r="Q1340" i="3" s="1"/>
  <c r="P1931" i="3" s="1"/>
  <c r="R1339" i="3" a="1"/>
  <c r="R1339" i="3" s="1"/>
  <c r="Q1339" i="3" a="1"/>
  <c r="Q1339" i="3" s="1"/>
  <c r="P1930" i="3" s="1"/>
  <c r="R1338" i="3" a="1"/>
  <c r="R1338" i="3" s="1"/>
  <c r="Q1338" i="3" a="1"/>
  <c r="Q1338" i="3" s="1"/>
  <c r="P1929" i="3" s="1"/>
  <c r="R1337" i="3" a="1"/>
  <c r="R1337" i="3" s="1"/>
  <c r="Q1337" i="3" a="1"/>
  <c r="Q1337" i="3" s="1"/>
  <c r="P1928" i="3" s="1"/>
  <c r="R1336" i="3" a="1"/>
  <c r="R1336" i="3" s="1"/>
  <c r="Q1336" i="3" a="1"/>
  <c r="Q1336" i="3" s="1"/>
  <c r="P1927" i="3" s="1"/>
  <c r="R1335" i="3" a="1"/>
  <c r="R1335" i="3" s="1"/>
  <c r="Q1335" i="3" a="1"/>
  <c r="Q1335" i="3" s="1"/>
  <c r="P1926" i="3" s="1"/>
  <c r="R1334" i="3" a="1"/>
  <c r="R1334" i="3" s="1"/>
  <c r="Q1334" i="3" a="1"/>
  <c r="Q1334" i="3" s="1"/>
  <c r="P1925" i="3" s="1"/>
  <c r="R1333" i="3" a="1"/>
  <c r="R1333" i="3" s="1"/>
  <c r="Q1333" i="3" a="1"/>
  <c r="Q1333" i="3" s="1"/>
  <c r="P1924" i="3" s="1"/>
  <c r="R1332" i="3" a="1"/>
  <c r="R1332" i="3" s="1"/>
  <c r="Q1332" i="3" a="1"/>
  <c r="Q1332" i="3" s="1"/>
  <c r="P1923" i="3" s="1"/>
  <c r="R1331" i="3" a="1"/>
  <c r="R1331" i="3" s="1"/>
  <c r="Q1331" i="3" a="1"/>
  <c r="Q1331" i="3" s="1"/>
  <c r="P1922" i="3" s="1"/>
  <c r="R1330" i="3" a="1"/>
  <c r="R1330" i="3" s="1"/>
  <c r="Q1330" i="3" a="1"/>
  <c r="Q1330" i="3" s="1"/>
  <c r="P1921" i="3" s="1"/>
  <c r="R1329" i="3" a="1"/>
  <c r="R1329" i="3" s="1"/>
  <c r="Q1329" i="3" a="1"/>
  <c r="Q1329" i="3" s="1"/>
  <c r="P1920" i="3" s="1"/>
  <c r="R1328" i="3" a="1"/>
  <c r="R1328" i="3" s="1"/>
  <c r="Q1328" i="3" a="1"/>
  <c r="Q1328" i="3" s="1"/>
  <c r="P1919" i="3" s="1"/>
  <c r="R1327" i="3" a="1"/>
  <c r="R1327" i="3" s="1"/>
  <c r="Q1327" i="3" a="1"/>
  <c r="Q1327" i="3" s="1"/>
  <c r="P1918" i="3" s="1"/>
  <c r="R1326" i="3" a="1"/>
  <c r="R1326" i="3" s="1"/>
  <c r="Q1326" i="3" a="1"/>
  <c r="Q1326" i="3" s="1"/>
  <c r="P1917" i="3" s="1"/>
  <c r="R1325" i="3" a="1"/>
  <c r="R1325" i="3" s="1"/>
  <c r="Q1325" i="3" a="1"/>
  <c r="Q1325" i="3" s="1"/>
  <c r="P1916" i="3" s="1"/>
  <c r="R1324" i="3" a="1"/>
  <c r="R1324" i="3" s="1"/>
  <c r="Q1324" i="3" a="1"/>
  <c r="Q1324" i="3" s="1"/>
  <c r="P1915" i="3" s="1"/>
  <c r="R1323" i="3" a="1"/>
  <c r="R1323" i="3" s="1"/>
  <c r="Q1323" i="3" a="1"/>
  <c r="Q1323" i="3" s="1"/>
  <c r="P1914" i="3" s="1"/>
  <c r="R1322" i="3" a="1"/>
  <c r="R1322" i="3" s="1"/>
  <c r="Q1322" i="3" a="1"/>
  <c r="Q1322" i="3" s="1"/>
  <c r="P1913" i="3" s="1"/>
  <c r="R1321" i="3" a="1"/>
  <c r="R1321" i="3" s="1"/>
  <c r="Q1321" i="3" a="1"/>
  <c r="Q1321" i="3" s="1"/>
  <c r="P1912" i="3" s="1"/>
  <c r="R1320" i="3" a="1"/>
  <c r="R1320" i="3" s="1"/>
  <c r="Q1320" i="3" a="1"/>
  <c r="Q1320" i="3" s="1"/>
  <c r="P1911" i="3" s="1"/>
  <c r="R1319" i="3" a="1"/>
  <c r="R1319" i="3" s="1"/>
  <c r="Q1319" i="3" a="1"/>
  <c r="Q1319" i="3" s="1"/>
  <c r="P1910" i="3" s="1"/>
  <c r="R1318" i="3" a="1"/>
  <c r="R1318" i="3" s="1"/>
  <c r="Q1318" i="3" a="1"/>
  <c r="Q1318" i="3" s="1"/>
  <c r="P1909" i="3" s="1"/>
  <c r="R1317" i="3" a="1"/>
  <c r="R1317" i="3" s="1"/>
  <c r="Q1317" i="3" a="1"/>
  <c r="Q1317" i="3" s="1"/>
  <c r="P1908" i="3" s="1"/>
  <c r="R1316" i="3" a="1"/>
  <c r="R1316" i="3" s="1"/>
  <c r="Q1316" i="3" a="1"/>
  <c r="Q1316" i="3" s="1"/>
  <c r="P1907" i="3" s="1"/>
  <c r="R1315" i="3" a="1"/>
  <c r="R1315" i="3" s="1"/>
  <c r="Q1315" i="3" a="1"/>
  <c r="Q1315" i="3" s="1"/>
  <c r="P1906" i="3" s="1"/>
  <c r="R1314" i="3" a="1"/>
  <c r="R1314" i="3" s="1"/>
  <c r="Q1314" i="3" a="1"/>
  <c r="Q1314" i="3" s="1"/>
  <c r="P1905" i="3" s="1"/>
  <c r="R1313" i="3" a="1"/>
  <c r="R1313" i="3" s="1"/>
  <c r="Q1313" i="3" a="1"/>
  <c r="Q1313" i="3" s="1"/>
  <c r="P1904" i="3" s="1"/>
  <c r="R1312" i="3" a="1"/>
  <c r="R1312" i="3" s="1"/>
  <c r="Q1312" i="3" a="1"/>
  <c r="Q1312" i="3" s="1"/>
  <c r="P1903" i="3" s="1"/>
  <c r="R1311" i="3" a="1"/>
  <c r="R1311" i="3" s="1"/>
  <c r="Q1311" i="3" a="1"/>
  <c r="Q1311" i="3" s="1"/>
  <c r="P1902" i="3" s="1"/>
  <c r="R1310" i="3" a="1"/>
  <c r="R1310" i="3" s="1"/>
  <c r="Q1310" i="3" a="1"/>
  <c r="Q1310" i="3" s="1"/>
  <c r="P1901" i="3" s="1"/>
  <c r="R1309" i="3" a="1"/>
  <c r="R1309" i="3" s="1"/>
  <c r="Q1309" i="3" a="1"/>
  <c r="Q1309" i="3" s="1"/>
  <c r="P1900" i="3" s="1"/>
  <c r="R1308" i="3" a="1"/>
  <c r="R1308" i="3" s="1"/>
  <c r="Q1308" i="3" a="1"/>
  <c r="Q1308" i="3" s="1"/>
  <c r="P1899" i="3" s="1"/>
  <c r="R1307" i="3" a="1"/>
  <c r="R1307" i="3" s="1"/>
  <c r="Q1307" i="3" a="1"/>
  <c r="Q1307" i="3" s="1"/>
  <c r="P1898" i="3" s="1"/>
  <c r="R1306" i="3" a="1"/>
  <c r="R1306" i="3" s="1"/>
  <c r="Q1306" i="3" a="1"/>
  <c r="Q1306" i="3" s="1"/>
  <c r="P1897" i="3" s="1"/>
  <c r="R1305" i="3" a="1"/>
  <c r="R1305" i="3" s="1"/>
  <c r="Q1305" i="3" a="1"/>
  <c r="Q1305" i="3" s="1"/>
  <c r="P1896" i="3" s="1"/>
  <c r="R1304" i="3" a="1"/>
  <c r="R1304" i="3" s="1"/>
  <c r="Q1304" i="3" a="1"/>
  <c r="Q1304" i="3" s="1"/>
  <c r="P1895" i="3" s="1"/>
  <c r="R1303" i="3" a="1"/>
  <c r="R1303" i="3" s="1"/>
  <c r="Q1303" i="3" a="1"/>
  <c r="Q1303" i="3" s="1"/>
  <c r="P1894" i="3" s="1"/>
  <c r="R1302" i="3" a="1"/>
  <c r="R1302" i="3" s="1"/>
  <c r="Q1302" i="3" a="1"/>
  <c r="Q1302" i="3" s="1"/>
  <c r="P1893" i="3" s="1"/>
  <c r="R1301" i="3" a="1"/>
  <c r="R1301" i="3" s="1"/>
  <c r="Q1301" i="3" a="1"/>
  <c r="Q1301" i="3" s="1"/>
  <c r="P1892" i="3" s="1"/>
  <c r="R1300" i="3" a="1"/>
  <c r="R1300" i="3" s="1"/>
  <c r="Q1300" i="3" a="1"/>
  <c r="Q1300" i="3" s="1"/>
  <c r="P1891" i="3" s="1"/>
  <c r="R1299" i="3" a="1"/>
  <c r="R1299" i="3" s="1"/>
  <c r="Q1299" i="3" a="1"/>
  <c r="Q1299" i="3" s="1"/>
  <c r="P1890" i="3" s="1"/>
  <c r="R1298" i="3" a="1"/>
  <c r="R1298" i="3" s="1"/>
  <c r="Q1298" i="3" a="1"/>
  <c r="Q1298" i="3" s="1"/>
  <c r="P1889" i="3" s="1"/>
  <c r="R1297" i="3" a="1"/>
  <c r="R1297" i="3" s="1"/>
  <c r="Q1297" i="3" a="1"/>
  <c r="Q1297" i="3" s="1"/>
  <c r="P1888" i="3" s="1"/>
  <c r="R1296" i="3" a="1"/>
  <c r="R1296" i="3" s="1"/>
  <c r="Q1296" i="3" a="1"/>
  <c r="Q1296" i="3" s="1"/>
  <c r="P1887" i="3" s="1"/>
  <c r="R1295" i="3" a="1"/>
  <c r="R1295" i="3" s="1"/>
  <c r="Q1295" i="3" a="1"/>
  <c r="Q1295" i="3" s="1"/>
  <c r="P1886" i="3" s="1"/>
  <c r="R1294" i="3" a="1"/>
  <c r="R1294" i="3" s="1"/>
  <c r="Q1294" i="3" a="1"/>
  <c r="Q1294" i="3" s="1"/>
  <c r="P1885" i="3" s="1"/>
  <c r="R1293" i="3" a="1"/>
  <c r="R1293" i="3" s="1"/>
  <c r="Q1293" i="3" a="1"/>
  <c r="Q1293" i="3" s="1"/>
  <c r="P1884" i="3" s="1"/>
  <c r="R1292" i="3" a="1"/>
  <c r="R1292" i="3" s="1"/>
  <c r="Q1292" i="3" a="1"/>
  <c r="Q1292" i="3" s="1"/>
  <c r="P1883" i="3" s="1"/>
  <c r="R1291" i="3" a="1"/>
  <c r="R1291" i="3" s="1"/>
  <c r="Q1291" i="3" a="1"/>
  <c r="Q1291" i="3" s="1"/>
  <c r="P1882" i="3" s="1"/>
  <c r="R1290" i="3" a="1"/>
  <c r="R1290" i="3" s="1"/>
  <c r="Q1290" i="3" a="1"/>
  <c r="Q1290" i="3" s="1"/>
  <c r="P1881" i="3" s="1"/>
  <c r="R1289" i="3" a="1"/>
  <c r="R1289" i="3" s="1"/>
  <c r="Q1289" i="3" a="1"/>
  <c r="Q1289" i="3" s="1"/>
  <c r="P1880" i="3" s="1"/>
  <c r="R1288" i="3" a="1"/>
  <c r="R1288" i="3" s="1"/>
  <c r="Q1288" i="3" a="1"/>
  <c r="Q1288" i="3" s="1"/>
  <c r="P1879" i="3" s="1"/>
  <c r="R1287" i="3" a="1"/>
  <c r="R1287" i="3" s="1"/>
  <c r="Q1287" i="3" a="1"/>
  <c r="Q1287" i="3" s="1"/>
  <c r="P1878" i="3" s="1"/>
  <c r="R1286" i="3" a="1"/>
  <c r="R1286" i="3" s="1"/>
  <c r="Q1286" i="3" a="1"/>
  <c r="Q1286" i="3" s="1"/>
  <c r="P1877" i="3" s="1"/>
  <c r="R1285" i="3" a="1"/>
  <c r="R1285" i="3" s="1"/>
  <c r="Q1285" i="3" a="1"/>
  <c r="Q1285" i="3" s="1"/>
  <c r="P1876" i="3" s="1"/>
  <c r="R1284" i="3" a="1"/>
  <c r="R1284" i="3" s="1"/>
  <c r="Q1284" i="3" a="1"/>
  <c r="Q1284" i="3" s="1"/>
  <c r="P1875" i="3" s="1"/>
  <c r="R1283" i="3" a="1"/>
  <c r="R1283" i="3" s="1"/>
  <c r="Q1283" i="3" a="1"/>
  <c r="Q1283" i="3" s="1"/>
  <c r="P1874" i="3" s="1"/>
  <c r="R1282" i="3" a="1"/>
  <c r="R1282" i="3" s="1"/>
  <c r="Q1282" i="3" a="1"/>
  <c r="Q1282" i="3" s="1"/>
  <c r="P1873" i="3" s="1"/>
  <c r="R1281" i="3" a="1"/>
  <c r="R1281" i="3" s="1"/>
  <c r="Q1281" i="3" a="1"/>
  <c r="Q1281" i="3" s="1"/>
  <c r="P1872" i="3" s="1"/>
  <c r="R1280" i="3" a="1"/>
  <c r="R1280" i="3" s="1"/>
  <c r="Q1280" i="3" a="1"/>
  <c r="Q1280" i="3" s="1"/>
  <c r="P1871" i="3" s="1"/>
  <c r="R1279" i="3" a="1"/>
  <c r="R1279" i="3" s="1"/>
  <c r="Q1279" i="3" a="1"/>
  <c r="Q1279" i="3" s="1"/>
  <c r="P1870" i="3" s="1"/>
  <c r="R1278" i="3" a="1"/>
  <c r="R1278" i="3" s="1"/>
  <c r="Q1278" i="3" a="1"/>
  <c r="Q1278" i="3" s="1"/>
  <c r="P1869" i="3" s="1"/>
  <c r="R1277" i="3" a="1"/>
  <c r="R1277" i="3" s="1"/>
  <c r="Q1277" i="3" a="1"/>
  <c r="Q1277" i="3" s="1"/>
  <c r="P1868" i="3" s="1"/>
  <c r="R1276" i="3" a="1"/>
  <c r="R1276" i="3" s="1"/>
  <c r="Q1276" i="3" a="1"/>
  <c r="Q1276" i="3" s="1"/>
  <c r="P1867" i="3" s="1"/>
  <c r="R1275" i="3" a="1"/>
  <c r="R1275" i="3" s="1"/>
  <c r="Q1275" i="3" a="1"/>
  <c r="Q1275" i="3" s="1"/>
  <c r="P1866" i="3" s="1"/>
  <c r="R1274" i="3" a="1"/>
  <c r="R1274" i="3" s="1"/>
  <c r="Q1274" i="3" a="1"/>
  <c r="Q1274" i="3" s="1"/>
  <c r="P1865" i="3" s="1"/>
  <c r="R1273" i="3" a="1"/>
  <c r="R1273" i="3" s="1"/>
  <c r="Q1273" i="3" a="1"/>
  <c r="Q1273" i="3" s="1"/>
  <c r="P1864" i="3" s="1"/>
  <c r="R1272" i="3" a="1"/>
  <c r="R1272" i="3" s="1"/>
  <c r="Q1272" i="3" a="1"/>
  <c r="Q1272" i="3" s="1"/>
  <c r="P1863" i="3" s="1"/>
  <c r="R1271" i="3" a="1"/>
  <c r="R1271" i="3" s="1"/>
  <c r="Q1271" i="3" a="1"/>
  <c r="Q1271" i="3" s="1"/>
  <c r="P1862" i="3" s="1"/>
  <c r="R1270" i="3" a="1"/>
  <c r="R1270" i="3" s="1"/>
  <c r="Q1270" i="3" a="1"/>
  <c r="Q1270" i="3" s="1"/>
  <c r="P1861" i="3" s="1"/>
  <c r="R1269" i="3" a="1"/>
  <c r="R1269" i="3" s="1"/>
  <c r="Q1269" i="3" a="1"/>
  <c r="Q1269" i="3" s="1"/>
  <c r="P1860" i="3" s="1"/>
  <c r="R1268" i="3" a="1"/>
  <c r="R1268" i="3" s="1"/>
  <c r="Q1268" i="3" a="1"/>
  <c r="Q1268" i="3" s="1"/>
  <c r="P1859" i="3" s="1"/>
  <c r="R1267" i="3" a="1"/>
  <c r="R1267" i="3" s="1"/>
  <c r="Q1267" i="3" a="1"/>
  <c r="Q1267" i="3" s="1"/>
  <c r="P1858" i="3" s="1"/>
  <c r="R1266" i="3" a="1"/>
  <c r="R1266" i="3" s="1"/>
  <c r="Q1266" i="3" a="1"/>
  <c r="Q1266" i="3" s="1"/>
  <c r="P1857" i="3" s="1"/>
  <c r="R1265" i="3" a="1"/>
  <c r="R1265" i="3" s="1"/>
  <c r="Q1265" i="3" a="1"/>
  <c r="Q1265" i="3" s="1"/>
  <c r="P1856" i="3" s="1"/>
  <c r="R1264" i="3" a="1"/>
  <c r="R1264" i="3" s="1"/>
  <c r="Q1264" i="3" a="1"/>
  <c r="Q1264" i="3" s="1"/>
  <c r="P1855" i="3" s="1"/>
  <c r="R1263" i="3" a="1"/>
  <c r="R1263" i="3" s="1"/>
  <c r="Q1263" i="3" a="1"/>
  <c r="Q1263" i="3" s="1"/>
  <c r="P1854" i="3" s="1"/>
  <c r="R1262" i="3" a="1"/>
  <c r="R1262" i="3" s="1"/>
  <c r="Q1262" i="3" a="1"/>
  <c r="Q1262" i="3" s="1"/>
  <c r="P1853" i="3" s="1"/>
  <c r="R1261" i="3" a="1"/>
  <c r="R1261" i="3" s="1"/>
  <c r="Q1261" i="3" a="1"/>
  <c r="Q1261" i="3" s="1"/>
  <c r="P1852" i="3" s="1"/>
  <c r="R1260" i="3" a="1"/>
  <c r="R1260" i="3" s="1"/>
  <c r="Q1260" i="3" a="1"/>
  <c r="Q1260" i="3" s="1"/>
  <c r="P1851" i="3" s="1"/>
  <c r="R1259" i="3" a="1"/>
  <c r="R1259" i="3" s="1"/>
  <c r="Q1259" i="3" a="1"/>
  <c r="Q1259" i="3" s="1"/>
  <c r="P1850" i="3" s="1"/>
  <c r="R1258" i="3" a="1"/>
  <c r="R1258" i="3" s="1"/>
  <c r="Q1258" i="3" a="1"/>
  <c r="Q1258" i="3" s="1"/>
  <c r="P1849" i="3" s="1"/>
  <c r="R1257" i="3" a="1"/>
  <c r="R1257" i="3" s="1"/>
  <c r="Q1257" i="3" a="1"/>
  <c r="Q1257" i="3" s="1"/>
  <c r="P1848" i="3" s="1"/>
  <c r="R1256" i="3" a="1"/>
  <c r="R1256" i="3" s="1"/>
  <c r="Q1256" i="3" a="1"/>
  <c r="Q1256" i="3" s="1"/>
  <c r="P1847" i="3" s="1"/>
  <c r="R1255" i="3" a="1"/>
  <c r="R1255" i="3" s="1"/>
  <c r="Q1255" i="3" a="1"/>
  <c r="Q1255" i="3" s="1"/>
  <c r="P1846" i="3" s="1"/>
  <c r="R1254" i="3" a="1"/>
  <c r="R1254" i="3" s="1"/>
  <c r="Q1254" i="3" a="1"/>
  <c r="Q1254" i="3" s="1"/>
  <c r="P1845" i="3" s="1"/>
  <c r="R1253" i="3" a="1"/>
  <c r="R1253" i="3" s="1"/>
  <c r="Q1253" i="3" a="1"/>
  <c r="Q1253" i="3" s="1"/>
  <c r="P1844" i="3" s="1"/>
  <c r="R1252" i="3" a="1"/>
  <c r="R1252" i="3" s="1"/>
  <c r="Q1252" i="3" a="1"/>
  <c r="Q1252" i="3" s="1"/>
  <c r="P1843" i="3" s="1"/>
  <c r="R1251" i="3" a="1"/>
  <c r="R1251" i="3" s="1"/>
  <c r="Q1251" i="3" a="1"/>
  <c r="Q1251" i="3" s="1"/>
  <c r="P1842" i="3" s="1"/>
  <c r="R1250" i="3" a="1"/>
  <c r="R1250" i="3" s="1"/>
  <c r="Q1250" i="3" a="1"/>
  <c r="Q1250" i="3" s="1"/>
  <c r="P1841" i="3" s="1"/>
  <c r="R1249" i="3" a="1"/>
  <c r="R1249" i="3" s="1"/>
  <c r="Q1249" i="3" a="1"/>
  <c r="Q1249" i="3" s="1"/>
  <c r="P1840" i="3" s="1"/>
  <c r="R1248" i="3" a="1"/>
  <c r="R1248" i="3" s="1"/>
  <c r="Q1248" i="3" a="1"/>
  <c r="Q1248" i="3" s="1"/>
  <c r="P1839" i="3" s="1"/>
  <c r="R1247" i="3" a="1"/>
  <c r="R1247" i="3" s="1"/>
  <c r="Q1247" i="3" a="1"/>
  <c r="Q1247" i="3" s="1"/>
  <c r="P1838" i="3" s="1"/>
  <c r="R1246" i="3" a="1"/>
  <c r="R1246" i="3" s="1"/>
  <c r="Q1246" i="3" a="1"/>
  <c r="Q1246" i="3" s="1"/>
  <c r="P1837" i="3" s="1"/>
  <c r="R1245" i="3" a="1"/>
  <c r="R1245" i="3" s="1"/>
  <c r="Q1245" i="3" a="1"/>
  <c r="Q1245" i="3" s="1"/>
  <c r="P1836" i="3" s="1"/>
  <c r="R1244" i="3" a="1"/>
  <c r="R1244" i="3" s="1"/>
  <c r="Q1244" i="3" a="1"/>
  <c r="Q1244" i="3" s="1"/>
  <c r="P1835" i="3" s="1"/>
  <c r="R1243" i="3" a="1"/>
  <c r="R1243" i="3" s="1"/>
  <c r="Q1243" i="3" a="1"/>
  <c r="Q1243" i="3" s="1"/>
  <c r="P1834" i="3" s="1"/>
  <c r="R1242" i="3" a="1"/>
  <c r="R1242" i="3" s="1"/>
  <c r="Q1242" i="3" a="1"/>
  <c r="Q1242" i="3" s="1"/>
  <c r="P1833" i="3" s="1"/>
  <c r="R1241" i="3" a="1"/>
  <c r="R1241" i="3" s="1"/>
  <c r="Q1241" i="3" a="1"/>
  <c r="Q1241" i="3" s="1"/>
  <c r="P1832" i="3" s="1"/>
  <c r="R1240" i="3" a="1"/>
  <c r="R1240" i="3" s="1"/>
  <c r="Q1240" i="3" a="1"/>
  <c r="Q1240" i="3" s="1"/>
  <c r="P1831" i="3" s="1"/>
  <c r="R1239" i="3" a="1"/>
  <c r="R1239" i="3" s="1"/>
  <c r="Q1239" i="3" a="1"/>
  <c r="Q1239" i="3" s="1"/>
  <c r="P1830" i="3" s="1"/>
  <c r="R1238" i="3" a="1"/>
  <c r="R1238" i="3" s="1"/>
  <c r="Q1238" i="3" a="1"/>
  <c r="Q1238" i="3" s="1"/>
  <c r="P1829" i="3" s="1"/>
  <c r="R1237" i="3" a="1"/>
  <c r="R1237" i="3" s="1"/>
  <c r="Q1237" i="3" a="1"/>
  <c r="Q1237" i="3" s="1"/>
  <c r="P1828" i="3" s="1"/>
  <c r="R1236" i="3" a="1"/>
  <c r="R1236" i="3" s="1"/>
  <c r="Q1236" i="3" a="1"/>
  <c r="Q1236" i="3" s="1"/>
  <c r="P1827" i="3" s="1"/>
  <c r="R1235" i="3" a="1"/>
  <c r="R1235" i="3" s="1"/>
  <c r="Q1235" i="3" a="1"/>
  <c r="Q1235" i="3" s="1"/>
  <c r="P1826" i="3" s="1"/>
  <c r="R1234" i="3" a="1"/>
  <c r="R1234" i="3" s="1"/>
  <c r="Q1234" i="3" a="1"/>
  <c r="Q1234" i="3" s="1"/>
  <c r="P1825" i="3" s="1"/>
  <c r="R1233" i="3" a="1"/>
  <c r="R1233" i="3" s="1"/>
  <c r="Q1233" i="3" a="1"/>
  <c r="Q1233" i="3" s="1"/>
  <c r="P1824" i="3" s="1"/>
  <c r="R1232" i="3" a="1"/>
  <c r="R1232" i="3" s="1"/>
  <c r="Q1232" i="3" a="1"/>
  <c r="Q1232" i="3" s="1"/>
  <c r="P1823" i="3" s="1"/>
  <c r="R1231" i="3" a="1"/>
  <c r="R1231" i="3" s="1"/>
  <c r="Q1231" i="3" a="1"/>
  <c r="Q1231" i="3" s="1"/>
  <c r="P1822" i="3" s="1"/>
  <c r="R1230" i="3" a="1"/>
  <c r="R1230" i="3" s="1"/>
  <c r="Q1230" i="3" a="1"/>
  <c r="Q1230" i="3" s="1"/>
  <c r="P1821" i="3" s="1"/>
  <c r="R1229" i="3" a="1"/>
  <c r="R1229" i="3" s="1"/>
  <c r="Q1229" i="3" a="1"/>
  <c r="Q1229" i="3" s="1"/>
  <c r="P1820" i="3" s="1"/>
  <c r="R1228" i="3" a="1"/>
  <c r="R1228" i="3" s="1"/>
  <c r="Q1228" i="3" a="1"/>
  <c r="Q1228" i="3" s="1"/>
  <c r="P1819" i="3" s="1"/>
  <c r="R1227" i="3" a="1"/>
  <c r="R1227" i="3" s="1"/>
  <c r="Q1227" i="3" a="1"/>
  <c r="Q1227" i="3" s="1"/>
  <c r="P1818" i="3" s="1"/>
  <c r="R1226" i="3" a="1"/>
  <c r="R1226" i="3" s="1"/>
  <c r="Q1226" i="3" a="1"/>
  <c r="Q1226" i="3" s="1"/>
  <c r="P1817" i="3" s="1"/>
  <c r="R1225" i="3" a="1"/>
  <c r="R1225" i="3" s="1"/>
  <c r="Q1225" i="3" a="1"/>
  <c r="Q1225" i="3" s="1"/>
  <c r="P1816" i="3" s="1"/>
  <c r="R1224" i="3" a="1"/>
  <c r="R1224" i="3" s="1"/>
  <c r="Q1224" i="3" a="1"/>
  <c r="Q1224" i="3" s="1"/>
  <c r="P1815" i="3" s="1"/>
  <c r="R1223" i="3" a="1"/>
  <c r="R1223" i="3" s="1"/>
  <c r="Q1223" i="3" a="1"/>
  <c r="Q1223" i="3" s="1"/>
  <c r="P1814" i="3" s="1"/>
  <c r="R1222" i="3" a="1"/>
  <c r="R1222" i="3" s="1"/>
  <c r="Q1222" i="3" a="1"/>
  <c r="Q1222" i="3" s="1"/>
  <c r="P1813" i="3" s="1"/>
  <c r="R1221" i="3" a="1"/>
  <c r="R1221" i="3" s="1"/>
  <c r="Q1221" i="3" a="1"/>
  <c r="Q1221" i="3" s="1"/>
  <c r="P1812" i="3" s="1"/>
  <c r="R1220" i="3" a="1"/>
  <c r="R1220" i="3" s="1"/>
  <c r="Q1220" i="3" a="1"/>
  <c r="Q1220" i="3" s="1"/>
  <c r="P1811" i="3" s="1"/>
  <c r="R1219" i="3" a="1"/>
  <c r="R1219" i="3" s="1"/>
  <c r="Q1219" i="3" a="1"/>
  <c r="Q1219" i="3" s="1"/>
  <c r="P1810" i="3" s="1"/>
  <c r="R1218" i="3" a="1"/>
  <c r="R1218" i="3" s="1"/>
  <c r="Q1218" i="3" a="1"/>
  <c r="Q1218" i="3" s="1"/>
  <c r="P1809" i="3" s="1"/>
  <c r="R1217" i="3" a="1"/>
  <c r="R1217" i="3" s="1"/>
  <c r="Q1217" i="3" a="1"/>
  <c r="Q1217" i="3" s="1"/>
  <c r="P1808" i="3" s="1"/>
  <c r="R1216" i="3" a="1"/>
  <c r="R1216" i="3" s="1"/>
  <c r="Q1216" i="3" a="1"/>
  <c r="Q1216" i="3" s="1"/>
  <c r="P1807" i="3" s="1"/>
  <c r="R1215" i="3" a="1"/>
  <c r="R1215" i="3" s="1"/>
  <c r="Q1215" i="3" a="1"/>
  <c r="Q1215" i="3" s="1"/>
  <c r="P1806" i="3" s="1"/>
  <c r="R1214" i="3" a="1"/>
  <c r="R1214" i="3" s="1"/>
  <c r="Q1214" i="3" a="1"/>
  <c r="Q1214" i="3" s="1"/>
  <c r="P1805" i="3" s="1"/>
  <c r="R1213" i="3" a="1"/>
  <c r="R1213" i="3" s="1"/>
  <c r="Q1213" i="3" a="1"/>
  <c r="Q1213" i="3" s="1"/>
  <c r="P1804" i="3" s="1"/>
  <c r="R1212" i="3" a="1"/>
  <c r="R1212" i="3" s="1"/>
  <c r="Q1212" i="3" a="1"/>
  <c r="Q1212" i="3" s="1"/>
  <c r="P1803" i="3" s="1"/>
  <c r="R1211" i="3" a="1"/>
  <c r="R1211" i="3" s="1"/>
  <c r="Q1211" i="3" a="1"/>
  <c r="Q1211" i="3" s="1"/>
  <c r="P1802" i="3" s="1"/>
  <c r="R1210" i="3" a="1"/>
  <c r="R1210" i="3" s="1"/>
  <c r="Q1210" i="3" a="1"/>
  <c r="Q1210" i="3" s="1"/>
  <c r="P1801" i="3" s="1"/>
  <c r="R1209" i="3" a="1"/>
  <c r="R1209" i="3" s="1"/>
  <c r="Q1209" i="3" a="1"/>
  <c r="Q1209" i="3" s="1"/>
  <c r="P1800" i="3" s="1"/>
  <c r="R1208" i="3" a="1"/>
  <c r="R1208" i="3" s="1"/>
  <c r="Q1208" i="3" a="1"/>
  <c r="Q1208" i="3" s="1"/>
  <c r="P1799" i="3" s="1"/>
  <c r="R1207" i="3" a="1"/>
  <c r="R1207" i="3" s="1"/>
  <c r="Q1207" i="3" a="1"/>
  <c r="Q1207" i="3" s="1"/>
  <c r="P1798" i="3" s="1"/>
  <c r="R1206" i="3" a="1"/>
  <c r="R1206" i="3" s="1"/>
  <c r="Q1206" i="3" a="1"/>
  <c r="Q1206" i="3" s="1"/>
  <c r="P1797" i="3" s="1"/>
  <c r="R1205" i="3" a="1"/>
  <c r="R1205" i="3" s="1"/>
  <c r="Q1205" i="3" a="1"/>
  <c r="Q1205" i="3" s="1"/>
  <c r="P1796" i="3" s="1"/>
  <c r="R1204" i="3" a="1"/>
  <c r="R1204" i="3" s="1"/>
  <c r="Q1204" i="3" a="1"/>
  <c r="Q1204" i="3" s="1"/>
  <c r="P1795" i="3" s="1"/>
  <c r="R1203" i="3" a="1"/>
  <c r="R1203" i="3" s="1"/>
  <c r="Q1203" i="3" a="1"/>
  <c r="Q1203" i="3" s="1"/>
  <c r="P1794" i="3" s="1"/>
  <c r="R1202" i="3" a="1"/>
  <c r="R1202" i="3" s="1"/>
  <c r="Q1202" i="3" a="1"/>
  <c r="Q1202" i="3" s="1"/>
  <c r="P1793" i="3" s="1"/>
  <c r="R1201" i="3" a="1"/>
  <c r="R1201" i="3" s="1"/>
  <c r="Q1201" i="3" a="1"/>
  <c r="Q1201" i="3" s="1"/>
  <c r="P1792" i="3" s="1"/>
  <c r="R1200" i="3" a="1"/>
  <c r="R1200" i="3" s="1"/>
  <c r="Q1200" i="3" a="1"/>
  <c r="Q1200" i="3" s="1"/>
  <c r="P1791" i="3" s="1"/>
  <c r="R1199" i="3" a="1"/>
  <c r="R1199" i="3" s="1"/>
  <c r="Q1199" i="3" a="1"/>
  <c r="Q1199" i="3" s="1"/>
  <c r="P1790" i="3" s="1"/>
  <c r="R1198" i="3" a="1"/>
  <c r="R1198" i="3" s="1"/>
  <c r="Q1198" i="3" a="1"/>
  <c r="Q1198" i="3" s="1"/>
  <c r="P1789" i="3" s="1"/>
  <c r="R1197" i="3" a="1"/>
  <c r="R1197" i="3" s="1"/>
  <c r="Q1197" i="3" a="1"/>
  <c r="Q1197" i="3" s="1"/>
  <c r="P1788" i="3" s="1"/>
  <c r="R1196" i="3" a="1"/>
  <c r="R1196" i="3" s="1"/>
  <c r="Q1196" i="3" a="1"/>
  <c r="Q1196" i="3" s="1"/>
  <c r="P1787" i="3" s="1"/>
  <c r="R1195" i="3" a="1"/>
  <c r="R1195" i="3" s="1"/>
  <c r="Q1195" i="3" a="1"/>
  <c r="Q1195" i="3" s="1"/>
  <c r="P1786" i="3" s="1"/>
  <c r="R1194" i="3" a="1"/>
  <c r="R1194" i="3" s="1"/>
  <c r="Q1194" i="3" a="1"/>
  <c r="Q1194" i="3" s="1"/>
  <c r="P1785" i="3" s="1"/>
  <c r="R1193" i="3" a="1"/>
  <c r="R1193" i="3" s="1"/>
  <c r="Q1193" i="3" a="1"/>
  <c r="Q1193" i="3" s="1"/>
  <c r="P1784" i="3" s="1"/>
  <c r="R1192" i="3" a="1"/>
  <c r="R1192" i="3" s="1"/>
  <c r="Q1192" i="3" a="1"/>
  <c r="Q1192" i="3" s="1"/>
  <c r="P1783" i="3" s="1"/>
  <c r="R1191" i="3" a="1"/>
  <c r="R1191" i="3" s="1"/>
  <c r="Q1191" i="3" a="1"/>
  <c r="Q1191" i="3" s="1"/>
  <c r="P1782" i="3" s="1"/>
  <c r="R1190" i="3" a="1"/>
  <c r="R1190" i="3" s="1"/>
  <c r="Q1190" i="3" a="1"/>
  <c r="Q1190" i="3" s="1"/>
  <c r="P1781" i="3" s="1"/>
  <c r="R1189" i="3" a="1"/>
  <c r="R1189" i="3" s="1"/>
  <c r="Q1189" i="3" a="1"/>
  <c r="Q1189" i="3" s="1"/>
  <c r="P1780" i="3" s="1"/>
  <c r="R1188" i="3" a="1"/>
  <c r="R1188" i="3" s="1"/>
  <c r="Q1188" i="3" a="1"/>
  <c r="Q1188" i="3" s="1"/>
  <c r="P1779" i="3" s="1"/>
  <c r="R1187" i="3" a="1"/>
  <c r="R1187" i="3" s="1"/>
  <c r="Q1187" i="3" a="1"/>
  <c r="Q1187" i="3" s="1"/>
  <c r="P1778" i="3" s="1"/>
  <c r="R1186" i="3" a="1"/>
  <c r="R1186" i="3" s="1"/>
  <c r="Q1186" i="3" a="1"/>
  <c r="Q1186" i="3" s="1"/>
  <c r="P1777" i="3" s="1"/>
  <c r="R1185" i="3" a="1"/>
  <c r="R1185" i="3" s="1"/>
  <c r="Q1185" i="3" a="1"/>
  <c r="Q1185" i="3" s="1"/>
  <c r="P1776" i="3" s="1"/>
  <c r="R1184" i="3" a="1"/>
  <c r="R1184" i="3" s="1"/>
  <c r="Q1184" i="3" a="1"/>
  <c r="Q1184" i="3" s="1"/>
  <c r="P1775" i="3" s="1"/>
  <c r="R1183" i="3" a="1"/>
  <c r="R1183" i="3" s="1"/>
  <c r="Q1183" i="3" a="1"/>
  <c r="Q1183" i="3" s="1"/>
  <c r="P1774" i="3" s="1"/>
  <c r="R1182" i="3" a="1"/>
  <c r="R1182" i="3" s="1"/>
  <c r="Q1182" i="3" a="1"/>
  <c r="Q1182" i="3" s="1"/>
  <c r="P1773" i="3" s="1"/>
  <c r="R1181" i="3" a="1"/>
  <c r="R1181" i="3" s="1"/>
  <c r="Q1181" i="3" a="1"/>
  <c r="Q1181" i="3" s="1"/>
  <c r="P1772" i="3" s="1"/>
  <c r="R1180" i="3" a="1"/>
  <c r="R1180" i="3" s="1"/>
  <c r="Q1180" i="3" a="1"/>
  <c r="Q1180" i="3" s="1"/>
  <c r="P1771" i="3" s="1"/>
  <c r="R1179" i="3" a="1"/>
  <c r="R1179" i="3" s="1"/>
  <c r="Q1179" i="3" a="1"/>
  <c r="Q1179" i="3" s="1"/>
  <c r="P1770" i="3" s="1"/>
  <c r="R1178" i="3" a="1"/>
  <c r="R1178" i="3" s="1"/>
  <c r="Q1178" i="3" a="1"/>
  <c r="Q1178" i="3" s="1"/>
  <c r="P1769" i="3" s="1"/>
  <c r="R1177" i="3" a="1"/>
  <c r="R1177" i="3" s="1"/>
  <c r="Q1177" i="3" a="1"/>
  <c r="Q1177" i="3" s="1"/>
  <c r="P1768" i="3" s="1"/>
  <c r="R1176" i="3" a="1"/>
  <c r="R1176" i="3" s="1"/>
  <c r="Q1176" i="3" a="1"/>
  <c r="Q1176" i="3" s="1"/>
  <c r="P1767" i="3" s="1"/>
  <c r="R1175" i="3" a="1"/>
  <c r="R1175" i="3" s="1"/>
  <c r="Q1175" i="3" a="1"/>
  <c r="Q1175" i="3" s="1"/>
  <c r="P1766" i="3" s="1"/>
  <c r="R1174" i="3" a="1"/>
  <c r="R1174" i="3" s="1"/>
  <c r="Q1174" i="3" a="1"/>
  <c r="Q1174" i="3" s="1"/>
  <c r="P1765" i="3" s="1"/>
  <c r="R1173" i="3" a="1"/>
  <c r="R1173" i="3" s="1"/>
  <c r="Q1173" i="3" a="1"/>
  <c r="Q1173" i="3" s="1"/>
  <c r="P1764" i="3" s="1"/>
  <c r="R1172" i="3" a="1"/>
  <c r="R1172" i="3" s="1"/>
  <c r="Q1172" i="3" a="1"/>
  <c r="Q1172" i="3" s="1"/>
  <c r="P1763" i="3" s="1"/>
  <c r="R1171" i="3" a="1"/>
  <c r="R1171" i="3" s="1"/>
  <c r="Q1171" i="3" a="1"/>
  <c r="Q1171" i="3" s="1"/>
  <c r="P1762" i="3" s="1"/>
  <c r="R1170" i="3" a="1"/>
  <c r="R1170" i="3" s="1"/>
  <c r="Q1170" i="3" a="1"/>
  <c r="Q1170" i="3" s="1"/>
  <c r="P1761" i="3" s="1"/>
  <c r="R1169" i="3" a="1"/>
  <c r="R1169" i="3" s="1"/>
  <c r="Q1169" i="3" a="1"/>
  <c r="Q1169" i="3" s="1"/>
  <c r="P1760" i="3" s="1"/>
  <c r="R1168" i="3" a="1"/>
  <c r="R1168" i="3" s="1"/>
  <c r="Q1168" i="3" a="1"/>
  <c r="Q1168" i="3" s="1"/>
  <c r="P1759" i="3" s="1"/>
  <c r="R1167" i="3" a="1"/>
  <c r="R1167" i="3" s="1"/>
  <c r="Q1167" i="3" a="1"/>
  <c r="Q1167" i="3" s="1"/>
  <c r="P1758" i="3" s="1"/>
  <c r="R1166" i="3" a="1"/>
  <c r="R1166" i="3" s="1"/>
  <c r="Q1166" i="3" a="1"/>
  <c r="Q1166" i="3" s="1"/>
  <c r="P1757" i="3" s="1"/>
  <c r="R1165" i="3" a="1"/>
  <c r="R1165" i="3" s="1"/>
  <c r="Q1165" i="3" a="1"/>
  <c r="Q1165" i="3" s="1"/>
  <c r="P1756" i="3" s="1"/>
  <c r="R1164" i="3" a="1"/>
  <c r="R1164" i="3" s="1"/>
  <c r="Q1164" i="3" a="1"/>
  <c r="Q1164" i="3" s="1"/>
  <c r="P1755" i="3" s="1"/>
  <c r="R1163" i="3" a="1"/>
  <c r="R1163" i="3" s="1"/>
  <c r="Q1163" i="3" a="1"/>
  <c r="Q1163" i="3" s="1"/>
  <c r="P1754" i="3" s="1"/>
  <c r="R1162" i="3" a="1"/>
  <c r="R1162" i="3" s="1"/>
  <c r="Q1162" i="3" a="1"/>
  <c r="Q1162" i="3" s="1"/>
  <c r="P1753" i="3" s="1"/>
  <c r="R1161" i="3" a="1"/>
  <c r="R1161" i="3" s="1"/>
  <c r="Q1161" i="3" a="1"/>
  <c r="Q1161" i="3" s="1"/>
  <c r="P1752" i="3" s="1"/>
  <c r="R1160" i="3" a="1"/>
  <c r="R1160" i="3" s="1"/>
  <c r="Q1160" i="3" a="1"/>
  <c r="Q1160" i="3" s="1"/>
  <c r="P1751" i="3" s="1"/>
  <c r="R1159" i="3" a="1"/>
  <c r="R1159" i="3" s="1"/>
  <c r="Q1159" i="3" a="1"/>
  <c r="Q1159" i="3" s="1"/>
  <c r="P1750" i="3" s="1"/>
  <c r="R1158" i="3" a="1"/>
  <c r="R1158" i="3" s="1"/>
  <c r="Q1158" i="3" a="1"/>
  <c r="Q1158" i="3" s="1"/>
  <c r="P1749" i="3" s="1"/>
  <c r="R1157" i="3" a="1"/>
  <c r="R1157" i="3" s="1"/>
  <c r="Q1157" i="3" a="1"/>
  <c r="Q1157" i="3" s="1"/>
  <c r="P1748" i="3" s="1"/>
  <c r="R1156" i="3" a="1"/>
  <c r="R1156" i="3" s="1"/>
  <c r="Q1156" i="3" a="1"/>
  <c r="Q1156" i="3" s="1"/>
  <c r="P1747" i="3" s="1"/>
  <c r="R1155" i="3" a="1"/>
  <c r="R1155" i="3" s="1"/>
  <c r="Q1155" i="3" a="1"/>
  <c r="Q1155" i="3" s="1"/>
  <c r="P1746" i="3" s="1"/>
  <c r="R1154" i="3" a="1"/>
  <c r="R1154" i="3" s="1"/>
  <c r="Q1154" i="3" a="1"/>
  <c r="Q1154" i="3" s="1"/>
  <c r="P1745" i="3" s="1"/>
  <c r="R1153" i="3" a="1"/>
  <c r="R1153" i="3" s="1"/>
  <c r="Q1153" i="3" a="1"/>
  <c r="Q1153" i="3" s="1"/>
  <c r="P1744" i="3" s="1"/>
  <c r="R1152" i="3" a="1"/>
  <c r="R1152" i="3" s="1"/>
  <c r="Q1152" i="3" a="1"/>
  <c r="Q1152" i="3" s="1"/>
  <c r="P1743" i="3" s="1"/>
  <c r="R1151" i="3" a="1"/>
  <c r="R1151" i="3" s="1"/>
  <c r="Q1151" i="3" a="1"/>
  <c r="Q1151" i="3" s="1"/>
  <c r="P1742" i="3" s="1"/>
  <c r="R1150" i="3" a="1"/>
  <c r="R1150" i="3" s="1"/>
  <c r="Q1150" i="3" a="1"/>
  <c r="Q1150" i="3" s="1"/>
  <c r="P1741" i="3" s="1"/>
  <c r="R1149" i="3" a="1"/>
  <c r="R1149" i="3" s="1"/>
  <c r="Q1149" i="3" a="1"/>
  <c r="Q1149" i="3" s="1"/>
  <c r="P1740" i="3" s="1"/>
  <c r="R1148" i="3" a="1"/>
  <c r="R1148" i="3" s="1"/>
  <c r="Q1148" i="3" a="1"/>
  <c r="Q1148" i="3" s="1"/>
  <c r="P1739" i="3" s="1"/>
  <c r="R1147" i="3" a="1"/>
  <c r="R1147" i="3" s="1"/>
  <c r="Q1147" i="3" a="1"/>
  <c r="Q1147" i="3" s="1"/>
  <c r="P1738" i="3" s="1"/>
  <c r="R1146" i="3" a="1"/>
  <c r="R1146" i="3" s="1"/>
  <c r="Q1146" i="3" a="1"/>
  <c r="Q1146" i="3" s="1"/>
  <c r="P1737" i="3" s="1"/>
  <c r="R1145" i="3" a="1"/>
  <c r="R1145" i="3" s="1"/>
  <c r="Q1145" i="3" a="1"/>
  <c r="Q1145" i="3" s="1"/>
  <c r="P1736" i="3" s="1"/>
  <c r="R1144" i="3" a="1"/>
  <c r="R1144" i="3" s="1"/>
  <c r="Q1144" i="3" a="1"/>
  <c r="Q1144" i="3" s="1"/>
  <c r="P1735" i="3" s="1"/>
  <c r="R1143" i="3" a="1"/>
  <c r="R1143" i="3" s="1"/>
  <c r="Q1143" i="3" a="1"/>
  <c r="Q1143" i="3" s="1"/>
  <c r="P1734" i="3" s="1"/>
  <c r="R1142" i="3" a="1"/>
  <c r="R1142" i="3" s="1"/>
  <c r="Q1142" i="3" a="1"/>
  <c r="Q1142" i="3" s="1"/>
  <c r="P1733" i="3" s="1"/>
  <c r="R1141" i="3" a="1"/>
  <c r="R1141" i="3" s="1"/>
  <c r="Q1141" i="3" a="1"/>
  <c r="Q1141" i="3" s="1"/>
  <c r="P1732" i="3" s="1"/>
  <c r="R1140" i="3" a="1"/>
  <c r="R1140" i="3" s="1"/>
  <c r="Q1140" i="3" a="1"/>
  <c r="Q1140" i="3" s="1"/>
  <c r="P1731" i="3" s="1"/>
  <c r="R1139" i="3" a="1"/>
  <c r="R1139" i="3" s="1"/>
  <c r="Q1139" i="3" a="1"/>
  <c r="Q1139" i="3" s="1"/>
  <c r="P1730" i="3" s="1"/>
  <c r="R1138" i="3" a="1"/>
  <c r="R1138" i="3" s="1"/>
  <c r="Q1138" i="3" a="1"/>
  <c r="Q1138" i="3" s="1"/>
  <c r="P1729" i="3" s="1"/>
  <c r="R1137" i="3" a="1"/>
  <c r="R1137" i="3" s="1"/>
  <c r="Q1137" i="3" a="1"/>
  <c r="Q1137" i="3" s="1"/>
  <c r="P1728" i="3" s="1"/>
  <c r="R1136" i="3" a="1"/>
  <c r="R1136" i="3" s="1"/>
  <c r="Q1136" i="3" a="1"/>
  <c r="Q1136" i="3" s="1"/>
  <c r="P1727" i="3" s="1"/>
  <c r="R1135" i="3" a="1"/>
  <c r="R1135" i="3" s="1"/>
  <c r="Q1135" i="3" a="1"/>
  <c r="Q1135" i="3" s="1"/>
  <c r="P1726" i="3" s="1"/>
  <c r="R1134" i="3" a="1"/>
  <c r="R1134" i="3" s="1"/>
  <c r="Q1134" i="3" a="1"/>
  <c r="Q1134" i="3" s="1"/>
  <c r="P1725" i="3" s="1"/>
  <c r="R1133" i="3" a="1"/>
  <c r="R1133" i="3" s="1"/>
  <c r="Q1133" i="3" a="1"/>
  <c r="Q1133" i="3" s="1"/>
  <c r="P1724" i="3" s="1"/>
  <c r="R1132" i="3" a="1"/>
  <c r="R1132" i="3" s="1"/>
  <c r="Q1132" i="3" a="1"/>
  <c r="Q1132" i="3" s="1"/>
  <c r="P1723" i="3" s="1"/>
  <c r="R1131" i="3" a="1"/>
  <c r="R1131" i="3" s="1"/>
  <c r="Q1131" i="3" a="1"/>
  <c r="Q1131" i="3" s="1"/>
  <c r="P1722" i="3" s="1"/>
  <c r="R1130" i="3" a="1"/>
  <c r="R1130" i="3" s="1"/>
  <c r="Q1130" i="3" a="1"/>
  <c r="Q1130" i="3" s="1"/>
  <c r="P1721" i="3" s="1"/>
  <c r="R1129" i="3" a="1"/>
  <c r="R1129" i="3" s="1"/>
  <c r="Q1129" i="3" a="1"/>
  <c r="Q1129" i="3" s="1"/>
  <c r="P1720" i="3" s="1"/>
  <c r="R1128" i="3" a="1"/>
  <c r="R1128" i="3" s="1"/>
  <c r="Q1128" i="3" a="1"/>
  <c r="Q1128" i="3" s="1"/>
  <c r="P1719" i="3" s="1"/>
  <c r="R1127" i="3" a="1"/>
  <c r="R1127" i="3" s="1"/>
  <c r="Q1127" i="3" a="1"/>
  <c r="Q1127" i="3" s="1"/>
  <c r="P1718" i="3" s="1"/>
  <c r="R1126" i="3" a="1"/>
  <c r="R1126" i="3" s="1"/>
  <c r="Q1126" i="3" a="1"/>
  <c r="Q1126" i="3" s="1"/>
  <c r="P1717" i="3" s="1"/>
  <c r="R1125" i="3" a="1"/>
  <c r="R1125" i="3" s="1"/>
  <c r="Q1125" i="3" a="1"/>
  <c r="Q1125" i="3" s="1"/>
  <c r="P1716" i="3" s="1"/>
  <c r="R1124" i="3" a="1"/>
  <c r="R1124" i="3" s="1"/>
  <c r="Q1124" i="3" a="1"/>
  <c r="Q1124" i="3" s="1"/>
  <c r="P1715" i="3" s="1"/>
  <c r="R1123" i="3" a="1"/>
  <c r="R1123" i="3" s="1"/>
  <c r="Q1123" i="3" a="1"/>
  <c r="Q1123" i="3" s="1"/>
  <c r="P1714" i="3" s="1"/>
  <c r="R1122" i="3" a="1"/>
  <c r="R1122" i="3" s="1"/>
  <c r="Q1122" i="3" a="1"/>
  <c r="Q1122" i="3" s="1"/>
  <c r="P1713" i="3" s="1"/>
  <c r="R1121" i="3" a="1"/>
  <c r="R1121" i="3" s="1"/>
  <c r="Q1121" i="3" a="1"/>
  <c r="Q1121" i="3" s="1"/>
  <c r="P1712" i="3" s="1"/>
  <c r="R1120" i="3" a="1"/>
  <c r="R1120" i="3" s="1"/>
  <c r="Q1120" i="3" a="1"/>
  <c r="Q1120" i="3" s="1"/>
  <c r="P1711" i="3" s="1"/>
  <c r="R1119" i="3" a="1"/>
  <c r="R1119" i="3" s="1"/>
  <c r="Q1119" i="3" a="1"/>
  <c r="Q1119" i="3" s="1"/>
  <c r="P1710" i="3" s="1"/>
  <c r="R1118" i="3" a="1"/>
  <c r="R1118" i="3" s="1"/>
  <c r="Q1118" i="3" a="1"/>
  <c r="Q1118" i="3" s="1"/>
  <c r="P1709" i="3" s="1"/>
  <c r="R1117" i="3" a="1"/>
  <c r="R1117" i="3" s="1"/>
  <c r="Q1117" i="3" a="1"/>
  <c r="Q1117" i="3" s="1"/>
  <c r="P1708" i="3" s="1"/>
  <c r="R1116" i="3" a="1"/>
  <c r="R1116" i="3" s="1"/>
  <c r="Q1116" i="3" a="1"/>
  <c r="Q1116" i="3" s="1"/>
  <c r="P1707" i="3" s="1"/>
  <c r="R1115" i="3" a="1"/>
  <c r="R1115" i="3" s="1"/>
  <c r="Q1115" i="3" a="1"/>
  <c r="Q1115" i="3" s="1"/>
  <c r="P1706" i="3" s="1"/>
  <c r="R1114" i="3" a="1"/>
  <c r="R1114" i="3" s="1"/>
  <c r="Q1114" i="3" a="1"/>
  <c r="Q1114" i="3" s="1"/>
  <c r="P1705" i="3" s="1"/>
  <c r="R1113" i="3" a="1"/>
  <c r="R1113" i="3" s="1"/>
  <c r="Q1113" i="3" a="1"/>
  <c r="Q1113" i="3" s="1"/>
  <c r="P1704" i="3" s="1"/>
  <c r="R1112" i="3" a="1"/>
  <c r="R1112" i="3" s="1"/>
  <c r="Q1112" i="3" a="1"/>
  <c r="Q1112" i="3" s="1"/>
  <c r="P1703" i="3" s="1"/>
  <c r="R1111" i="3" a="1"/>
  <c r="R1111" i="3" s="1"/>
  <c r="Q1111" i="3" a="1"/>
  <c r="Q1111" i="3" s="1"/>
  <c r="P1702" i="3" s="1"/>
  <c r="R1110" i="3" a="1"/>
  <c r="R1110" i="3" s="1"/>
  <c r="Q1110" i="3" a="1"/>
  <c r="Q1110" i="3" s="1"/>
  <c r="P1701" i="3" s="1"/>
  <c r="R1109" i="3" a="1"/>
  <c r="R1109" i="3" s="1"/>
  <c r="Q1109" i="3" a="1"/>
  <c r="Q1109" i="3" s="1"/>
  <c r="P1700" i="3" s="1"/>
  <c r="R1108" i="3" a="1"/>
  <c r="R1108" i="3" s="1"/>
  <c r="Q1108" i="3" a="1"/>
  <c r="Q1108" i="3" s="1"/>
  <c r="P1699" i="3" s="1"/>
  <c r="R1107" i="3" a="1"/>
  <c r="R1107" i="3" s="1"/>
  <c r="Q1107" i="3" a="1"/>
  <c r="Q1107" i="3" s="1"/>
  <c r="P1698" i="3" s="1"/>
  <c r="R1106" i="3" a="1"/>
  <c r="R1106" i="3" s="1"/>
  <c r="Q1106" i="3" a="1"/>
  <c r="Q1106" i="3" s="1"/>
  <c r="P1697" i="3" s="1"/>
  <c r="R1105" i="3" a="1"/>
  <c r="R1105" i="3" s="1"/>
  <c r="Q1105" i="3" a="1"/>
  <c r="Q1105" i="3" s="1"/>
  <c r="P1696" i="3" s="1"/>
  <c r="R1104" i="3" a="1"/>
  <c r="R1104" i="3" s="1"/>
  <c r="Q1104" i="3" a="1"/>
  <c r="Q1104" i="3" s="1"/>
  <c r="P1695" i="3" s="1"/>
  <c r="R1103" i="3" a="1"/>
  <c r="R1103" i="3" s="1"/>
  <c r="Q1103" i="3" a="1"/>
  <c r="Q1103" i="3" s="1"/>
  <c r="P1694" i="3" s="1"/>
  <c r="R1102" i="3" a="1"/>
  <c r="R1102" i="3" s="1"/>
  <c r="Q1102" i="3" a="1"/>
  <c r="Q1102" i="3" s="1"/>
  <c r="P1693" i="3" s="1"/>
  <c r="R1101" i="3" a="1"/>
  <c r="R1101" i="3" s="1"/>
  <c r="Q1101" i="3" a="1"/>
  <c r="Q1101" i="3" s="1"/>
  <c r="P1692" i="3" s="1"/>
  <c r="R1100" i="3" a="1"/>
  <c r="R1100" i="3" s="1"/>
  <c r="Q1100" i="3" a="1"/>
  <c r="Q1100" i="3" s="1"/>
  <c r="P1691" i="3" s="1"/>
  <c r="R1099" i="3" a="1"/>
  <c r="R1099" i="3" s="1"/>
  <c r="Q1099" i="3" a="1"/>
  <c r="Q1099" i="3" s="1"/>
  <c r="P1690" i="3" s="1"/>
  <c r="R1098" i="3" a="1"/>
  <c r="R1098" i="3" s="1"/>
  <c r="Q1098" i="3" a="1"/>
  <c r="Q1098" i="3" s="1"/>
  <c r="P1689" i="3" s="1"/>
  <c r="R1097" i="3" a="1"/>
  <c r="R1097" i="3" s="1"/>
  <c r="Q1097" i="3" a="1"/>
  <c r="Q1097" i="3" s="1"/>
  <c r="P1688" i="3" s="1"/>
  <c r="R1096" i="3" a="1"/>
  <c r="R1096" i="3" s="1"/>
  <c r="Q1096" i="3" a="1"/>
  <c r="Q1096" i="3" s="1"/>
  <c r="P1687" i="3" s="1"/>
  <c r="R1095" i="3" a="1"/>
  <c r="R1095" i="3" s="1"/>
  <c r="Q1095" i="3" a="1"/>
  <c r="Q1095" i="3" s="1"/>
  <c r="P1686" i="3" s="1"/>
  <c r="R1094" i="3" a="1"/>
  <c r="R1094" i="3" s="1"/>
  <c r="Q1094" i="3" a="1"/>
  <c r="Q1094" i="3" s="1"/>
  <c r="P1685" i="3" s="1"/>
  <c r="R1093" i="3" a="1"/>
  <c r="R1093" i="3" s="1"/>
  <c r="Q1093" i="3" a="1"/>
  <c r="Q1093" i="3" s="1"/>
  <c r="P1684" i="3" s="1"/>
  <c r="R1092" i="3" a="1"/>
  <c r="R1092" i="3" s="1"/>
  <c r="Q1092" i="3" a="1"/>
  <c r="Q1092" i="3" s="1"/>
  <c r="P1683" i="3" s="1"/>
  <c r="R1091" i="3" a="1"/>
  <c r="R1091" i="3" s="1"/>
  <c r="Q1091" i="3" a="1"/>
  <c r="Q1091" i="3" s="1"/>
  <c r="P1682" i="3" s="1"/>
  <c r="R1090" i="3" a="1"/>
  <c r="R1090" i="3" s="1"/>
  <c r="Q1090" i="3" a="1"/>
  <c r="Q1090" i="3" s="1"/>
  <c r="P1681" i="3" s="1"/>
  <c r="R1089" i="3" a="1"/>
  <c r="R1089" i="3" s="1"/>
  <c r="Q1089" i="3" a="1"/>
  <c r="Q1089" i="3" s="1"/>
  <c r="P1680" i="3" s="1"/>
  <c r="R1088" i="3" a="1"/>
  <c r="R1088" i="3" s="1"/>
  <c r="Q1088" i="3" a="1"/>
  <c r="Q1088" i="3" s="1"/>
  <c r="P1679" i="3" s="1"/>
  <c r="R1087" i="3" a="1"/>
  <c r="R1087" i="3" s="1"/>
  <c r="Q1087" i="3" a="1"/>
  <c r="Q1087" i="3" s="1"/>
  <c r="P1678" i="3" s="1"/>
  <c r="R1086" i="3" a="1"/>
  <c r="R1086" i="3" s="1"/>
  <c r="Q1086" i="3" a="1"/>
  <c r="Q1086" i="3" s="1"/>
  <c r="P1677" i="3" s="1"/>
  <c r="R1085" i="3" a="1"/>
  <c r="R1085" i="3" s="1"/>
  <c r="Q1085" i="3" a="1"/>
  <c r="Q1085" i="3" s="1"/>
  <c r="P1676" i="3" s="1"/>
  <c r="R1084" i="3" a="1"/>
  <c r="R1084" i="3" s="1"/>
  <c r="Q1084" i="3" a="1"/>
  <c r="Q1084" i="3" s="1"/>
  <c r="P1675" i="3" s="1"/>
  <c r="R1083" i="3" a="1"/>
  <c r="R1083" i="3" s="1"/>
  <c r="Q1083" i="3" a="1"/>
  <c r="Q1083" i="3" s="1"/>
  <c r="P1674" i="3" s="1"/>
  <c r="R1082" i="3" a="1"/>
  <c r="R1082" i="3" s="1"/>
  <c r="Q1082" i="3" a="1"/>
  <c r="Q1082" i="3" s="1"/>
  <c r="P1673" i="3" s="1"/>
  <c r="R1081" i="3" a="1"/>
  <c r="R1081" i="3" s="1"/>
  <c r="Q1081" i="3" a="1"/>
  <c r="Q1081" i="3" s="1"/>
  <c r="P1672" i="3" s="1"/>
  <c r="R1080" i="3" a="1"/>
  <c r="R1080" i="3" s="1"/>
  <c r="Q1080" i="3" a="1"/>
  <c r="Q1080" i="3" s="1"/>
  <c r="P1671" i="3" s="1"/>
  <c r="R1079" i="3" a="1"/>
  <c r="R1079" i="3" s="1"/>
  <c r="Q1079" i="3" a="1"/>
  <c r="Q1079" i="3" s="1"/>
  <c r="P1670" i="3" s="1"/>
  <c r="R1078" i="3" a="1"/>
  <c r="R1078" i="3" s="1"/>
  <c r="Q1078" i="3" a="1"/>
  <c r="Q1078" i="3" s="1"/>
  <c r="P1669" i="3" s="1"/>
  <c r="R1077" i="3" a="1"/>
  <c r="R1077" i="3" s="1"/>
  <c r="Q1077" i="3" a="1"/>
  <c r="Q1077" i="3" s="1"/>
  <c r="P1668" i="3" s="1"/>
  <c r="R1076" i="3" a="1"/>
  <c r="R1076" i="3" s="1"/>
  <c r="Q1076" i="3" a="1"/>
  <c r="Q1076" i="3" s="1"/>
  <c r="P1667" i="3" s="1"/>
  <c r="R1075" i="3" a="1"/>
  <c r="R1075" i="3" s="1"/>
  <c r="Q1075" i="3" a="1"/>
  <c r="Q1075" i="3" s="1"/>
  <c r="P1666" i="3" s="1"/>
  <c r="R1074" i="3" a="1"/>
  <c r="R1074" i="3" s="1"/>
  <c r="Q1074" i="3" a="1"/>
  <c r="Q1074" i="3" s="1"/>
  <c r="P1665" i="3" s="1"/>
  <c r="R1073" i="3" a="1"/>
  <c r="R1073" i="3" s="1"/>
  <c r="Q1073" i="3" a="1"/>
  <c r="Q1073" i="3" s="1"/>
  <c r="P1664" i="3" s="1"/>
  <c r="R1072" i="3" a="1"/>
  <c r="R1072" i="3" s="1"/>
  <c r="Q1072" i="3" a="1"/>
  <c r="Q1072" i="3" s="1"/>
  <c r="P1663" i="3" s="1"/>
  <c r="R1071" i="3" a="1"/>
  <c r="R1071" i="3" s="1"/>
  <c r="Q1071" i="3" a="1"/>
  <c r="Q1071" i="3" s="1"/>
  <c r="P1662" i="3" s="1"/>
  <c r="R1070" i="3" a="1"/>
  <c r="R1070" i="3" s="1"/>
  <c r="Q1070" i="3" a="1"/>
  <c r="Q1070" i="3" s="1"/>
  <c r="P1661" i="3" s="1"/>
  <c r="R1069" i="3" a="1"/>
  <c r="R1069" i="3" s="1"/>
  <c r="Q1069" i="3" a="1"/>
  <c r="Q1069" i="3" s="1"/>
  <c r="P1660" i="3" s="1"/>
  <c r="R1068" i="3" a="1"/>
  <c r="R1068" i="3" s="1"/>
  <c r="Q1068" i="3" a="1"/>
  <c r="Q1068" i="3" s="1"/>
  <c r="P1659" i="3" s="1"/>
  <c r="R1067" i="3" a="1"/>
  <c r="R1067" i="3" s="1"/>
  <c r="Q1067" i="3" a="1"/>
  <c r="Q1067" i="3" s="1"/>
  <c r="P1658" i="3" s="1"/>
  <c r="R1066" i="3" a="1"/>
  <c r="R1066" i="3" s="1"/>
  <c r="Q1066" i="3" a="1"/>
  <c r="Q1066" i="3" s="1"/>
  <c r="P1657" i="3" s="1"/>
  <c r="R1065" i="3" a="1"/>
  <c r="R1065" i="3" s="1"/>
  <c r="Q1065" i="3" a="1"/>
  <c r="Q1065" i="3" s="1"/>
  <c r="P1656" i="3" s="1"/>
  <c r="R1064" i="3" a="1"/>
  <c r="R1064" i="3" s="1"/>
  <c r="Q1064" i="3" a="1"/>
  <c r="Q1064" i="3" s="1"/>
  <c r="P1655" i="3" s="1"/>
  <c r="R1063" i="3" a="1"/>
  <c r="R1063" i="3" s="1"/>
  <c r="Q1063" i="3" a="1"/>
  <c r="Q1063" i="3" s="1"/>
  <c r="P1654" i="3" s="1"/>
  <c r="R1062" i="3" a="1"/>
  <c r="R1062" i="3" s="1"/>
  <c r="Q1062" i="3" a="1"/>
  <c r="Q1062" i="3" s="1"/>
  <c r="P1653" i="3" s="1"/>
  <c r="R1061" i="3" a="1"/>
  <c r="R1061" i="3" s="1"/>
  <c r="Q1061" i="3" a="1"/>
  <c r="Q1061" i="3" s="1"/>
  <c r="P1652" i="3" s="1"/>
  <c r="R1060" i="3" a="1"/>
  <c r="R1060" i="3" s="1"/>
  <c r="Q1060" i="3" a="1"/>
  <c r="Q1060" i="3" s="1"/>
  <c r="P1651" i="3" s="1"/>
  <c r="R1059" i="3" a="1"/>
  <c r="R1059" i="3" s="1"/>
  <c r="Q1059" i="3" a="1"/>
  <c r="Q1059" i="3" s="1"/>
  <c r="P1650" i="3" s="1"/>
  <c r="R1058" i="3" a="1"/>
  <c r="R1058" i="3" s="1"/>
  <c r="Q1058" i="3" a="1"/>
  <c r="Q1058" i="3" s="1"/>
  <c r="P1649" i="3" s="1"/>
  <c r="R1057" i="3" a="1"/>
  <c r="R1057" i="3" s="1"/>
  <c r="Q1057" i="3" a="1"/>
  <c r="Q1057" i="3" s="1"/>
  <c r="P1648" i="3" s="1"/>
  <c r="R1056" i="3" a="1"/>
  <c r="R1056" i="3" s="1"/>
  <c r="Q1056" i="3" a="1"/>
  <c r="Q1056" i="3" s="1"/>
  <c r="P1647" i="3" s="1"/>
  <c r="R1055" i="3" a="1"/>
  <c r="R1055" i="3" s="1"/>
  <c r="Q1055" i="3" a="1"/>
  <c r="Q1055" i="3" s="1"/>
  <c r="P1646" i="3" s="1"/>
  <c r="R1054" i="3" a="1"/>
  <c r="R1054" i="3" s="1"/>
  <c r="Q1054" i="3" a="1"/>
  <c r="Q1054" i="3" s="1"/>
  <c r="P1645" i="3" s="1"/>
  <c r="R1053" i="3" a="1"/>
  <c r="R1053" i="3" s="1"/>
  <c r="Q1053" i="3" a="1"/>
  <c r="Q1053" i="3" s="1"/>
  <c r="P1644" i="3" s="1"/>
  <c r="R1052" i="3" a="1"/>
  <c r="R1052" i="3" s="1"/>
  <c r="Q1052" i="3" a="1"/>
  <c r="Q1052" i="3" s="1"/>
  <c r="P1643" i="3" s="1"/>
  <c r="R1051" i="3" a="1"/>
  <c r="R1051" i="3" s="1"/>
  <c r="Q1051" i="3" a="1"/>
  <c r="Q1051" i="3" s="1"/>
  <c r="P1642" i="3" s="1"/>
  <c r="R1050" i="3" a="1"/>
  <c r="R1050" i="3" s="1"/>
  <c r="Q1050" i="3" a="1"/>
  <c r="Q1050" i="3" s="1"/>
  <c r="P1641" i="3" s="1"/>
  <c r="R1049" i="3" a="1"/>
  <c r="R1049" i="3" s="1"/>
  <c r="Q1049" i="3" a="1"/>
  <c r="Q1049" i="3" s="1"/>
  <c r="P1640" i="3" s="1"/>
  <c r="R1048" i="3" a="1"/>
  <c r="R1048" i="3" s="1"/>
  <c r="Q1048" i="3" a="1"/>
  <c r="Q1048" i="3" s="1"/>
  <c r="P1639" i="3" s="1"/>
  <c r="R1047" i="3" a="1"/>
  <c r="R1047" i="3" s="1"/>
  <c r="Q1047" i="3" a="1"/>
  <c r="Q1047" i="3" s="1"/>
  <c r="P1638" i="3" s="1"/>
  <c r="R1046" i="3" a="1"/>
  <c r="R1046" i="3" s="1"/>
  <c r="Q1046" i="3" a="1"/>
  <c r="Q1046" i="3" s="1"/>
  <c r="P1637" i="3" s="1"/>
  <c r="R1045" i="3" a="1"/>
  <c r="R1045" i="3" s="1"/>
  <c r="Q1045" i="3" a="1"/>
  <c r="Q1045" i="3" s="1"/>
  <c r="P1636" i="3" s="1"/>
  <c r="R1044" i="3" a="1"/>
  <c r="R1044" i="3" s="1"/>
  <c r="Q1044" i="3" a="1"/>
  <c r="Q1044" i="3" s="1"/>
  <c r="P1635" i="3" s="1"/>
  <c r="R1043" i="3" a="1"/>
  <c r="R1043" i="3" s="1"/>
  <c r="Q1043" i="3" a="1"/>
  <c r="Q1043" i="3" s="1"/>
  <c r="P1634" i="3" s="1"/>
  <c r="R1042" i="3" a="1"/>
  <c r="R1042" i="3" s="1"/>
  <c r="Q1042" i="3" a="1"/>
  <c r="Q1042" i="3" s="1"/>
  <c r="P1633" i="3" s="1"/>
  <c r="R1041" i="3" a="1"/>
  <c r="R1041" i="3" s="1"/>
  <c r="Q1041" i="3" a="1"/>
  <c r="Q1041" i="3" s="1"/>
  <c r="P1632" i="3" s="1"/>
  <c r="R1040" i="3" a="1"/>
  <c r="R1040" i="3" s="1"/>
  <c r="Q1040" i="3" a="1"/>
  <c r="Q1040" i="3" s="1"/>
  <c r="P1631" i="3" s="1"/>
  <c r="R1039" i="3" a="1"/>
  <c r="R1039" i="3" s="1"/>
  <c r="Q1039" i="3" a="1"/>
  <c r="Q1039" i="3" s="1"/>
  <c r="P1630" i="3" s="1"/>
  <c r="R1038" i="3" a="1"/>
  <c r="R1038" i="3" s="1"/>
  <c r="Q1038" i="3" a="1"/>
  <c r="Q1038" i="3" s="1"/>
  <c r="P1629" i="3" s="1"/>
  <c r="R1037" i="3" a="1"/>
  <c r="R1037" i="3" s="1"/>
  <c r="Q1037" i="3" a="1"/>
  <c r="Q1037" i="3" s="1"/>
  <c r="P1628" i="3" s="1"/>
  <c r="R1036" i="3" a="1"/>
  <c r="R1036" i="3" s="1"/>
  <c r="Q1036" i="3" a="1"/>
  <c r="Q1036" i="3" s="1"/>
  <c r="P1627" i="3" s="1"/>
  <c r="R1035" i="3" a="1"/>
  <c r="R1035" i="3" s="1"/>
  <c r="Q1035" i="3" a="1"/>
  <c r="Q1035" i="3" s="1"/>
  <c r="P1626" i="3" s="1"/>
  <c r="R1034" i="3" a="1"/>
  <c r="R1034" i="3" s="1"/>
  <c r="Q1034" i="3" a="1"/>
  <c r="Q1034" i="3" s="1"/>
  <c r="P1625" i="3" s="1"/>
  <c r="R1033" i="3" a="1"/>
  <c r="R1033" i="3" s="1"/>
  <c r="Q1033" i="3" a="1"/>
  <c r="Q1033" i="3" s="1"/>
  <c r="P1624" i="3" s="1"/>
  <c r="R1032" i="3" a="1"/>
  <c r="R1032" i="3" s="1"/>
  <c r="Q1032" i="3" a="1"/>
  <c r="Q1032" i="3" s="1"/>
  <c r="P1623" i="3" s="1"/>
  <c r="R1031" i="3" a="1"/>
  <c r="R1031" i="3" s="1"/>
  <c r="Q1031" i="3" a="1"/>
  <c r="Q1031" i="3" s="1"/>
  <c r="P1622" i="3" s="1"/>
  <c r="R1030" i="3" a="1"/>
  <c r="R1030" i="3" s="1"/>
  <c r="Q1030" i="3" a="1"/>
  <c r="Q1030" i="3" s="1"/>
  <c r="P1621" i="3" s="1"/>
  <c r="R1029" i="3" a="1"/>
  <c r="R1029" i="3" s="1"/>
  <c r="Q1029" i="3" a="1"/>
  <c r="Q1029" i="3" s="1"/>
  <c r="P1620" i="3" s="1"/>
  <c r="R1028" i="3" a="1"/>
  <c r="R1028" i="3" s="1"/>
  <c r="Q1028" i="3" a="1"/>
  <c r="Q1028" i="3" s="1"/>
  <c r="P1619" i="3" s="1"/>
  <c r="R1027" i="3" a="1"/>
  <c r="R1027" i="3" s="1"/>
  <c r="Q1027" i="3" a="1"/>
  <c r="Q1027" i="3" s="1"/>
  <c r="P1618" i="3" s="1"/>
  <c r="R1026" i="3" a="1"/>
  <c r="R1026" i="3" s="1"/>
  <c r="Q1026" i="3" a="1"/>
  <c r="Q1026" i="3" s="1"/>
  <c r="P1617" i="3" s="1"/>
  <c r="R1025" i="3" a="1"/>
  <c r="R1025" i="3" s="1"/>
  <c r="Q1025" i="3" a="1"/>
  <c r="Q1025" i="3" s="1"/>
  <c r="P1616" i="3" s="1"/>
  <c r="R1024" i="3" a="1"/>
  <c r="R1024" i="3" s="1"/>
  <c r="Q1024" i="3" a="1"/>
  <c r="Q1024" i="3" s="1"/>
  <c r="P1615" i="3" s="1"/>
  <c r="R1023" i="3" a="1"/>
  <c r="R1023" i="3" s="1"/>
  <c r="Q1023" i="3" a="1"/>
  <c r="Q1023" i="3" s="1"/>
  <c r="P1614" i="3" s="1"/>
  <c r="R1022" i="3" a="1"/>
  <c r="R1022" i="3" s="1"/>
  <c r="Q1022" i="3" a="1"/>
  <c r="Q1022" i="3" s="1"/>
  <c r="P1613" i="3" s="1"/>
  <c r="R1021" i="3" a="1"/>
  <c r="R1021" i="3" s="1"/>
  <c r="Q1021" i="3" a="1"/>
  <c r="Q1021" i="3" s="1"/>
  <c r="P1612" i="3" s="1"/>
  <c r="R1020" i="3" a="1"/>
  <c r="R1020" i="3" s="1"/>
  <c r="Q1020" i="3" a="1"/>
  <c r="Q1020" i="3" s="1"/>
  <c r="P1611" i="3" s="1"/>
  <c r="R1019" i="3" a="1"/>
  <c r="R1019" i="3" s="1"/>
  <c r="Q1019" i="3" a="1"/>
  <c r="Q1019" i="3" s="1"/>
  <c r="P1610" i="3" s="1"/>
  <c r="R1018" i="3" a="1"/>
  <c r="R1018" i="3" s="1"/>
  <c r="Q1018" i="3" a="1"/>
  <c r="Q1018" i="3" s="1"/>
  <c r="P1609" i="3" s="1"/>
  <c r="R1017" i="3" a="1"/>
  <c r="R1017" i="3" s="1"/>
  <c r="Q1017" i="3" a="1"/>
  <c r="Q1017" i="3" s="1"/>
  <c r="P1608" i="3" s="1"/>
  <c r="R1016" i="3" a="1"/>
  <c r="R1016" i="3" s="1"/>
  <c r="Q1016" i="3" a="1"/>
  <c r="Q1016" i="3" s="1"/>
  <c r="P1607" i="3" s="1"/>
  <c r="R1015" i="3" a="1"/>
  <c r="R1015" i="3" s="1"/>
  <c r="Q1015" i="3" a="1"/>
  <c r="Q1015" i="3" s="1"/>
  <c r="P1606" i="3" s="1"/>
  <c r="R1014" i="3" a="1"/>
  <c r="R1014" i="3" s="1"/>
  <c r="Q1014" i="3" a="1"/>
  <c r="Q1014" i="3" s="1"/>
  <c r="P1605" i="3" s="1"/>
  <c r="R1013" i="3" a="1"/>
  <c r="R1013" i="3" s="1"/>
  <c r="Q1013" i="3" a="1"/>
  <c r="Q1013" i="3" s="1"/>
  <c r="P1604" i="3" s="1"/>
  <c r="R1012" i="3" a="1"/>
  <c r="R1012" i="3" s="1"/>
  <c r="Q1012" i="3" a="1"/>
  <c r="Q1012" i="3" s="1"/>
  <c r="P1603" i="3" s="1"/>
  <c r="R1011" i="3" a="1"/>
  <c r="R1011" i="3" s="1"/>
  <c r="Q1011" i="3" a="1"/>
  <c r="Q1011" i="3" s="1"/>
  <c r="P1602" i="3" s="1"/>
  <c r="R1010" i="3" a="1"/>
  <c r="R1010" i="3" s="1"/>
  <c r="Q1010" i="3" a="1"/>
  <c r="Q1010" i="3" s="1"/>
  <c r="P1601" i="3" s="1"/>
  <c r="R1009" i="3" a="1"/>
  <c r="R1009" i="3" s="1"/>
  <c r="Q1009" i="3" a="1"/>
  <c r="Q1009" i="3" s="1"/>
  <c r="P1600" i="3" s="1"/>
  <c r="R1008" i="3" a="1"/>
  <c r="R1008" i="3" s="1"/>
  <c r="Q1008" i="3" a="1"/>
  <c r="Q1008" i="3" s="1"/>
  <c r="P1599" i="3" s="1"/>
  <c r="R1007" i="3" a="1"/>
  <c r="R1007" i="3" s="1"/>
  <c r="Q1007" i="3" a="1"/>
  <c r="Q1007" i="3" s="1"/>
  <c r="P1598" i="3" s="1"/>
  <c r="R1006" i="3" a="1"/>
  <c r="R1006" i="3" s="1"/>
  <c r="Q1006" i="3" a="1"/>
  <c r="Q1006" i="3" s="1"/>
  <c r="P1597" i="3" s="1"/>
  <c r="R1005" i="3" a="1"/>
  <c r="R1005" i="3" s="1"/>
  <c r="Q1005" i="3" a="1"/>
  <c r="Q1005" i="3" s="1"/>
  <c r="P1596" i="3" s="1"/>
  <c r="R1004" i="3" a="1"/>
  <c r="R1004" i="3" s="1"/>
  <c r="Q1004" i="3" a="1"/>
  <c r="Q1004" i="3" s="1"/>
  <c r="P1595" i="3" s="1"/>
  <c r="R1003" i="3" a="1"/>
  <c r="R1003" i="3" s="1"/>
  <c r="Q1003" i="3" a="1"/>
  <c r="Q1003" i="3" s="1"/>
  <c r="P1594" i="3" s="1"/>
  <c r="R1002" i="3" a="1"/>
  <c r="R1002" i="3" s="1"/>
  <c r="Q1002" i="3" a="1"/>
  <c r="Q1002" i="3" s="1"/>
  <c r="P1593" i="3" s="1"/>
  <c r="R1001" i="3" a="1"/>
  <c r="R1001" i="3" s="1"/>
  <c r="Q1001" i="3" a="1"/>
  <c r="Q1001" i="3" s="1"/>
  <c r="P1592" i="3" s="1"/>
  <c r="R1000" i="3" a="1"/>
  <c r="R1000" i="3" s="1"/>
  <c r="Q1000" i="3" a="1"/>
  <c r="Q1000" i="3" s="1"/>
  <c r="P1591" i="3" s="1"/>
  <c r="R999" i="3" a="1"/>
  <c r="R999" i="3" s="1"/>
  <c r="Q999" i="3" a="1"/>
  <c r="Q999" i="3" s="1"/>
  <c r="P1590" i="3" s="1"/>
  <c r="R998" i="3" a="1"/>
  <c r="R998" i="3" s="1"/>
  <c r="Q998" i="3" a="1"/>
  <c r="Q998" i="3" s="1"/>
  <c r="P1589" i="3" s="1"/>
  <c r="R997" i="3" a="1"/>
  <c r="R997" i="3" s="1"/>
  <c r="Q997" i="3" a="1"/>
  <c r="Q997" i="3" s="1"/>
  <c r="P1588" i="3" s="1"/>
  <c r="R996" i="3" a="1"/>
  <c r="R996" i="3" s="1"/>
  <c r="Q996" i="3" a="1"/>
  <c r="Q996" i="3" s="1"/>
  <c r="P1587" i="3" s="1"/>
  <c r="R995" i="3" a="1"/>
  <c r="R995" i="3" s="1"/>
  <c r="Q995" i="3" a="1"/>
  <c r="Q995" i="3" s="1"/>
  <c r="P1586" i="3" s="1"/>
  <c r="R994" i="3" a="1"/>
  <c r="R994" i="3" s="1"/>
  <c r="Q994" i="3" a="1"/>
  <c r="Q994" i="3" s="1"/>
  <c r="P1585" i="3" s="1"/>
  <c r="R993" i="3" a="1"/>
  <c r="R993" i="3" s="1"/>
  <c r="Q993" i="3" a="1"/>
  <c r="Q993" i="3" s="1"/>
  <c r="P1584" i="3" s="1"/>
  <c r="R992" i="3" a="1"/>
  <c r="R992" i="3" s="1"/>
  <c r="Q992" i="3" a="1"/>
  <c r="Q992" i="3" s="1"/>
  <c r="P1583" i="3" s="1"/>
  <c r="R991" i="3" a="1"/>
  <c r="R991" i="3" s="1"/>
  <c r="Q991" i="3" a="1"/>
  <c r="Q991" i="3" s="1"/>
  <c r="P1582" i="3" s="1"/>
  <c r="R990" i="3" a="1"/>
  <c r="R990" i="3" s="1"/>
  <c r="Q990" i="3" a="1"/>
  <c r="Q990" i="3" s="1"/>
  <c r="P1581" i="3" s="1"/>
  <c r="R989" i="3" a="1"/>
  <c r="R989" i="3" s="1"/>
  <c r="Q989" i="3" a="1"/>
  <c r="Q989" i="3" s="1"/>
  <c r="P1580" i="3" s="1"/>
  <c r="R988" i="3" a="1"/>
  <c r="R988" i="3" s="1"/>
  <c r="Q988" i="3" a="1"/>
  <c r="Q988" i="3" s="1"/>
  <c r="P1579" i="3" s="1"/>
  <c r="R987" i="3" a="1"/>
  <c r="R987" i="3" s="1"/>
  <c r="Q987" i="3" a="1"/>
  <c r="Q987" i="3" s="1"/>
  <c r="P1578" i="3" s="1"/>
  <c r="R986" i="3" a="1"/>
  <c r="R986" i="3" s="1"/>
  <c r="Q986" i="3" a="1"/>
  <c r="Q986" i="3" s="1"/>
  <c r="P1577" i="3" s="1"/>
  <c r="R985" i="3" a="1"/>
  <c r="R985" i="3" s="1"/>
  <c r="Q985" i="3" a="1"/>
  <c r="Q985" i="3" s="1"/>
  <c r="P1576" i="3" s="1"/>
  <c r="R984" i="3" a="1"/>
  <c r="R984" i="3" s="1"/>
  <c r="Q984" i="3" a="1"/>
  <c r="Q984" i="3" s="1"/>
  <c r="P1575" i="3" s="1"/>
  <c r="R983" i="3" a="1"/>
  <c r="R983" i="3" s="1"/>
  <c r="Q983" i="3" a="1"/>
  <c r="Q983" i="3" s="1"/>
  <c r="P1574" i="3" s="1"/>
  <c r="R982" i="3" a="1"/>
  <c r="R982" i="3" s="1"/>
  <c r="Q982" i="3" a="1"/>
  <c r="Q982" i="3" s="1"/>
  <c r="P1573" i="3" s="1"/>
  <c r="R981" i="3" a="1"/>
  <c r="R981" i="3" s="1"/>
  <c r="Q981" i="3" a="1"/>
  <c r="Q981" i="3" s="1"/>
  <c r="P1572" i="3" s="1"/>
  <c r="R980" i="3" a="1"/>
  <c r="R980" i="3" s="1"/>
  <c r="Q980" i="3" a="1"/>
  <c r="Q980" i="3" s="1"/>
  <c r="P1571" i="3" s="1"/>
  <c r="R979" i="3" a="1"/>
  <c r="R979" i="3" s="1"/>
  <c r="Q979" i="3" a="1"/>
  <c r="Q979" i="3" s="1"/>
  <c r="P1570" i="3" s="1"/>
  <c r="R978" i="3" a="1"/>
  <c r="R978" i="3" s="1"/>
  <c r="Q978" i="3" a="1"/>
  <c r="Q978" i="3" s="1"/>
  <c r="P1569" i="3" s="1"/>
  <c r="R977" i="3" a="1"/>
  <c r="R977" i="3" s="1"/>
  <c r="Q977" i="3" a="1"/>
  <c r="Q977" i="3" s="1"/>
  <c r="P1568" i="3" s="1"/>
  <c r="R976" i="3" a="1"/>
  <c r="R976" i="3" s="1"/>
  <c r="Q976" i="3" a="1"/>
  <c r="Q976" i="3" s="1"/>
  <c r="P1567" i="3" s="1"/>
  <c r="R975" i="3" a="1"/>
  <c r="R975" i="3" s="1"/>
  <c r="Q975" i="3" a="1"/>
  <c r="Q975" i="3" s="1"/>
  <c r="P1566" i="3" s="1"/>
  <c r="R974" i="3" a="1"/>
  <c r="R974" i="3" s="1"/>
  <c r="Q974" i="3" a="1"/>
  <c r="Q974" i="3" s="1"/>
  <c r="P1565" i="3" s="1"/>
  <c r="R973" i="3" a="1"/>
  <c r="R973" i="3" s="1"/>
  <c r="Q973" i="3" a="1"/>
  <c r="Q973" i="3" s="1"/>
  <c r="P1564" i="3" s="1"/>
  <c r="R972" i="3" a="1"/>
  <c r="R972" i="3" s="1"/>
  <c r="Q972" i="3" a="1"/>
  <c r="Q972" i="3" s="1"/>
  <c r="P1563" i="3" s="1"/>
  <c r="R971" i="3" a="1"/>
  <c r="R971" i="3" s="1"/>
  <c r="Q971" i="3" a="1"/>
  <c r="Q971" i="3" s="1"/>
  <c r="P1562" i="3" s="1"/>
  <c r="R970" i="3" a="1"/>
  <c r="R970" i="3" s="1"/>
  <c r="Q970" i="3" a="1"/>
  <c r="Q970" i="3" s="1"/>
  <c r="P1561" i="3" s="1"/>
  <c r="R969" i="3" a="1"/>
  <c r="R969" i="3" s="1"/>
  <c r="Q969" i="3" a="1"/>
  <c r="Q969" i="3" s="1"/>
  <c r="P1560" i="3" s="1"/>
  <c r="R968" i="3" a="1"/>
  <c r="R968" i="3" s="1"/>
  <c r="Q968" i="3" a="1"/>
  <c r="Q968" i="3" s="1"/>
  <c r="P1559" i="3" s="1"/>
  <c r="R967" i="3" a="1"/>
  <c r="R967" i="3" s="1"/>
  <c r="Q967" i="3" a="1"/>
  <c r="Q967" i="3" s="1"/>
  <c r="P1558" i="3" s="1"/>
  <c r="R966" i="3" a="1"/>
  <c r="R966" i="3" s="1"/>
  <c r="Q966" i="3" a="1"/>
  <c r="Q966" i="3" s="1"/>
  <c r="P1557" i="3" s="1"/>
  <c r="R965" i="3" a="1"/>
  <c r="R965" i="3" s="1"/>
  <c r="Q965" i="3" a="1"/>
  <c r="Q965" i="3" s="1"/>
  <c r="P1556" i="3" s="1"/>
  <c r="R964" i="3" a="1"/>
  <c r="R964" i="3" s="1"/>
  <c r="Q964" i="3" a="1"/>
  <c r="Q964" i="3" s="1"/>
  <c r="P1555" i="3" s="1"/>
  <c r="R963" i="3" a="1"/>
  <c r="R963" i="3" s="1"/>
  <c r="Q963" i="3" a="1"/>
  <c r="Q963" i="3" s="1"/>
  <c r="P1554" i="3" s="1"/>
  <c r="R962" i="3" a="1"/>
  <c r="R962" i="3" s="1"/>
  <c r="Q962" i="3" a="1"/>
  <c r="Q962" i="3" s="1"/>
  <c r="P1553" i="3" s="1"/>
  <c r="R961" i="3" a="1"/>
  <c r="R961" i="3" s="1"/>
  <c r="Q961" i="3" a="1"/>
  <c r="Q961" i="3" s="1"/>
  <c r="P1552" i="3" s="1"/>
  <c r="R960" i="3" a="1"/>
  <c r="R960" i="3" s="1"/>
  <c r="Q960" i="3" a="1"/>
  <c r="Q960" i="3" s="1"/>
  <c r="P1551" i="3" s="1"/>
  <c r="R959" i="3" a="1"/>
  <c r="R959" i="3" s="1"/>
  <c r="Q959" i="3" a="1"/>
  <c r="Q959" i="3" s="1"/>
  <c r="P1550" i="3" s="1"/>
  <c r="R958" i="3" a="1"/>
  <c r="R958" i="3" s="1"/>
  <c r="Q958" i="3" a="1"/>
  <c r="Q958" i="3" s="1"/>
  <c r="P1549" i="3" s="1"/>
  <c r="R957" i="3" a="1"/>
  <c r="R957" i="3" s="1"/>
  <c r="Q957" i="3" a="1"/>
  <c r="Q957" i="3" s="1"/>
  <c r="P1548" i="3" s="1"/>
  <c r="R956" i="3" a="1"/>
  <c r="R956" i="3" s="1"/>
  <c r="Q956" i="3" a="1"/>
  <c r="Q956" i="3" s="1"/>
  <c r="P1547" i="3" s="1"/>
  <c r="R955" i="3" a="1"/>
  <c r="R955" i="3" s="1"/>
  <c r="Q955" i="3" a="1"/>
  <c r="Q955" i="3" s="1"/>
  <c r="P1546" i="3" s="1"/>
  <c r="R954" i="3" a="1"/>
  <c r="R954" i="3" s="1"/>
  <c r="Q954" i="3" a="1"/>
  <c r="Q954" i="3" s="1"/>
  <c r="P1545" i="3" s="1"/>
  <c r="R953" i="3" a="1"/>
  <c r="R953" i="3" s="1"/>
  <c r="Q953" i="3" a="1"/>
  <c r="Q953" i="3" s="1"/>
  <c r="P1544" i="3" s="1"/>
  <c r="R952" i="3" a="1"/>
  <c r="R952" i="3" s="1"/>
  <c r="Q952" i="3" a="1"/>
  <c r="Q952" i="3" s="1"/>
  <c r="P1543" i="3" s="1"/>
  <c r="R951" i="3" a="1"/>
  <c r="R951" i="3" s="1"/>
  <c r="Q951" i="3" a="1"/>
  <c r="Q951" i="3" s="1"/>
  <c r="P1542" i="3" s="1"/>
  <c r="R950" i="3" a="1"/>
  <c r="R950" i="3" s="1"/>
  <c r="Q950" i="3" a="1"/>
  <c r="Q950" i="3" s="1"/>
  <c r="P1541" i="3" s="1"/>
  <c r="R949" i="3" a="1"/>
  <c r="R949" i="3" s="1"/>
  <c r="Q949" i="3" a="1"/>
  <c r="Q949" i="3" s="1"/>
  <c r="P1540" i="3" s="1"/>
  <c r="R948" i="3" a="1"/>
  <c r="R948" i="3" s="1"/>
  <c r="Q948" i="3" a="1"/>
  <c r="Q948" i="3" s="1"/>
  <c r="P1539" i="3" s="1"/>
  <c r="R947" i="3" a="1"/>
  <c r="R947" i="3" s="1"/>
  <c r="Q947" i="3" a="1"/>
  <c r="Q947" i="3" s="1"/>
  <c r="P1538" i="3" s="1"/>
  <c r="R946" i="3" a="1"/>
  <c r="R946" i="3" s="1"/>
  <c r="Q946" i="3" a="1"/>
  <c r="Q946" i="3" s="1"/>
  <c r="P1537" i="3" s="1"/>
  <c r="R945" i="3" a="1"/>
  <c r="R945" i="3" s="1"/>
  <c r="Q945" i="3" a="1"/>
  <c r="Q945" i="3" s="1"/>
  <c r="P1536" i="3" s="1"/>
  <c r="R944" i="3" a="1"/>
  <c r="R944" i="3" s="1"/>
  <c r="Q944" i="3" a="1"/>
  <c r="Q944" i="3" s="1"/>
  <c r="P1535" i="3" s="1"/>
  <c r="R943" i="3" a="1"/>
  <c r="R943" i="3" s="1"/>
  <c r="Q943" i="3" a="1"/>
  <c r="Q943" i="3" s="1"/>
  <c r="P1534" i="3" s="1"/>
  <c r="R942" i="3" a="1"/>
  <c r="R942" i="3" s="1"/>
  <c r="Q942" i="3" a="1"/>
  <c r="Q942" i="3" s="1"/>
  <c r="P1533" i="3" s="1"/>
  <c r="R941" i="3" a="1"/>
  <c r="R941" i="3" s="1"/>
  <c r="Q941" i="3" a="1"/>
  <c r="Q941" i="3" s="1"/>
  <c r="P1532" i="3" s="1"/>
  <c r="R940" i="3" a="1"/>
  <c r="R940" i="3" s="1"/>
  <c r="Q940" i="3" a="1"/>
  <c r="Q940" i="3" s="1"/>
  <c r="P1531" i="3" s="1"/>
  <c r="R939" i="3" a="1"/>
  <c r="R939" i="3" s="1"/>
  <c r="Q939" i="3" a="1"/>
  <c r="Q939" i="3" s="1"/>
  <c r="P1530" i="3" s="1"/>
  <c r="R938" i="3" a="1"/>
  <c r="R938" i="3" s="1"/>
  <c r="Q938" i="3" a="1"/>
  <c r="Q938" i="3" s="1"/>
  <c r="P1529" i="3" s="1"/>
  <c r="R937" i="3" a="1"/>
  <c r="R937" i="3" s="1"/>
  <c r="Q937" i="3" a="1"/>
  <c r="Q937" i="3" s="1"/>
  <c r="P1528" i="3" s="1"/>
  <c r="R936" i="3" a="1"/>
  <c r="R936" i="3" s="1"/>
  <c r="Q936" i="3" a="1"/>
  <c r="Q936" i="3" s="1"/>
  <c r="P1527" i="3" s="1"/>
  <c r="R935" i="3" a="1"/>
  <c r="R935" i="3" s="1"/>
  <c r="Q935" i="3" a="1"/>
  <c r="Q935" i="3" s="1"/>
  <c r="P1526" i="3" s="1"/>
  <c r="R934" i="3" a="1"/>
  <c r="R934" i="3" s="1"/>
  <c r="Q934" i="3" a="1"/>
  <c r="Q934" i="3" s="1"/>
  <c r="P1525" i="3" s="1"/>
  <c r="R933" i="3" a="1"/>
  <c r="R933" i="3" s="1"/>
  <c r="Q933" i="3" a="1"/>
  <c r="Q933" i="3" s="1"/>
  <c r="P1524" i="3" s="1"/>
  <c r="R932" i="3" a="1"/>
  <c r="R932" i="3" s="1"/>
  <c r="Q932" i="3" a="1"/>
  <c r="Q932" i="3" s="1"/>
  <c r="P1523" i="3" s="1"/>
  <c r="R931" i="3" a="1"/>
  <c r="R931" i="3" s="1"/>
  <c r="Q931" i="3" a="1"/>
  <c r="Q931" i="3" s="1"/>
  <c r="P1522" i="3" s="1"/>
  <c r="R930" i="3" a="1"/>
  <c r="R930" i="3" s="1"/>
  <c r="Q930" i="3" a="1"/>
  <c r="Q930" i="3" s="1"/>
  <c r="P1521" i="3" s="1"/>
  <c r="R929" i="3" a="1"/>
  <c r="R929" i="3" s="1"/>
  <c r="Q929" i="3" a="1"/>
  <c r="Q929" i="3" s="1"/>
  <c r="P1520" i="3" s="1"/>
  <c r="R928" i="3" a="1"/>
  <c r="R928" i="3" s="1"/>
  <c r="Q928" i="3" a="1"/>
  <c r="Q928" i="3" s="1"/>
  <c r="P1519" i="3" s="1"/>
  <c r="R927" i="3" a="1"/>
  <c r="R927" i="3" s="1"/>
  <c r="Q927" i="3" a="1"/>
  <c r="Q927" i="3" s="1"/>
  <c r="P1518" i="3" s="1"/>
  <c r="R926" i="3" a="1"/>
  <c r="R926" i="3" s="1"/>
  <c r="Q926" i="3" a="1"/>
  <c r="Q926" i="3" s="1"/>
  <c r="P1517" i="3" s="1"/>
  <c r="R925" i="3" a="1"/>
  <c r="R925" i="3" s="1"/>
  <c r="Q925" i="3" a="1"/>
  <c r="Q925" i="3" s="1"/>
  <c r="P1516" i="3" s="1"/>
  <c r="R924" i="3" a="1"/>
  <c r="R924" i="3" s="1"/>
  <c r="Q924" i="3" a="1"/>
  <c r="Q924" i="3" s="1"/>
  <c r="P1515" i="3" s="1"/>
  <c r="R923" i="3" a="1"/>
  <c r="R923" i="3" s="1"/>
  <c r="Q923" i="3" a="1"/>
  <c r="Q923" i="3" s="1"/>
  <c r="P1514" i="3" s="1"/>
  <c r="R922" i="3" a="1"/>
  <c r="R922" i="3" s="1"/>
  <c r="Q922" i="3" a="1"/>
  <c r="Q922" i="3" s="1"/>
  <c r="P1513" i="3" s="1"/>
  <c r="R921" i="3" a="1"/>
  <c r="R921" i="3" s="1"/>
  <c r="Q921" i="3" a="1"/>
  <c r="Q921" i="3" s="1"/>
  <c r="P1512" i="3" s="1"/>
  <c r="R920" i="3" a="1"/>
  <c r="R920" i="3" s="1"/>
  <c r="Q920" i="3" a="1"/>
  <c r="Q920" i="3" s="1"/>
  <c r="P1511" i="3" s="1"/>
  <c r="R919" i="3" a="1"/>
  <c r="R919" i="3" s="1"/>
  <c r="Q919" i="3" a="1"/>
  <c r="Q919" i="3" s="1"/>
  <c r="P1510" i="3" s="1"/>
  <c r="R918" i="3" a="1"/>
  <c r="R918" i="3" s="1"/>
  <c r="Q918" i="3" a="1"/>
  <c r="Q918" i="3" s="1"/>
  <c r="P1509" i="3" s="1"/>
  <c r="R917" i="3" a="1"/>
  <c r="R917" i="3" s="1"/>
  <c r="Q917" i="3" a="1"/>
  <c r="Q917" i="3" s="1"/>
  <c r="P1508" i="3" s="1"/>
  <c r="R916" i="3" a="1"/>
  <c r="R916" i="3" s="1"/>
  <c r="Q916" i="3" a="1"/>
  <c r="Q916" i="3" s="1"/>
  <c r="P1507" i="3" s="1"/>
  <c r="R915" i="3" a="1"/>
  <c r="R915" i="3" s="1"/>
  <c r="Q915" i="3" a="1"/>
  <c r="Q915" i="3" s="1"/>
  <c r="P1506" i="3" s="1"/>
  <c r="R914" i="3" a="1"/>
  <c r="R914" i="3" s="1"/>
  <c r="Q914" i="3" a="1"/>
  <c r="Q914" i="3" s="1"/>
  <c r="P1505" i="3" s="1"/>
  <c r="R913" i="3" a="1"/>
  <c r="R913" i="3" s="1"/>
  <c r="Q913" i="3" a="1"/>
  <c r="Q913" i="3" s="1"/>
  <c r="P1504" i="3" s="1"/>
  <c r="R912" i="3" a="1"/>
  <c r="R912" i="3" s="1"/>
  <c r="Q912" i="3" a="1"/>
  <c r="Q912" i="3" s="1"/>
  <c r="P1503" i="3" s="1"/>
  <c r="R911" i="3" a="1"/>
  <c r="R911" i="3" s="1"/>
  <c r="Q911" i="3" a="1"/>
  <c r="Q911" i="3" s="1"/>
  <c r="P1502" i="3" s="1"/>
  <c r="R910" i="3" a="1"/>
  <c r="R910" i="3" s="1"/>
  <c r="Q910" i="3" a="1"/>
  <c r="Q910" i="3" s="1"/>
  <c r="P1501" i="3" s="1"/>
  <c r="R909" i="3" a="1"/>
  <c r="R909" i="3" s="1"/>
  <c r="Q909" i="3" a="1"/>
  <c r="Q909" i="3" s="1"/>
  <c r="P1500" i="3" s="1"/>
  <c r="R908" i="3" a="1"/>
  <c r="R908" i="3" s="1"/>
  <c r="Q908" i="3" a="1"/>
  <c r="Q908" i="3" s="1"/>
  <c r="P1499" i="3" s="1"/>
  <c r="R907" i="3" a="1"/>
  <c r="R907" i="3" s="1"/>
  <c r="Q907" i="3" a="1"/>
  <c r="Q907" i="3" s="1"/>
  <c r="P1498" i="3" s="1"/>
  <c r="R906" i="3" a="1"/>
  <c r="R906" i="3" s="1"/>
  <c r="Q906" i="3" a="1"/>
  <c r="Q906" i="3" s="1"/>
  <c r="P1497" i="3" s="1"/>
  <c r="R905" i="3" a="1"/>
  <c r="R905" i="3" s="1"/>
  <c r="Q905" i="3" a="1"/>
  <c r="Q905" i="3" s="1"/>
  <c r="P1496" i="3" s="1"/>
  <c r="R904" i="3" a="1"/>
  <c r="R904" i="3" s="1"/>
  <c r="Q904" i="3" a="1"/>
  <c r="Q904" i="3" s="1"/>
  <c r="P1495" i="3" s="1"/>
  <c r="R903" i="3" a="1"/>
  <c r="R903" i="3" s="1"/>
  <c r="Q903" i="3" a="1"/>
  <c r="Q903" i="3" s="1"/>
  <c r="P1494" i="3" s="1"/>
  <c r="R902" i="3" a="1"/>
  <c r="R902" i="3" s="1"/>
  <c r="Q902" i="3" a="1"/>
  <c r="Q902" i="3" s="1"/>
  <c r="P1493" i="3" s="1"/>
  <c r="R901" i="3" a="1"/>
  <c r="R901" i="3" s="1"/>
  <c r="Q901" i="3" a="1"/>
  <c r="Q901" i="3" s="1"/>
  <c r="P1492" i="3" s="1"/>
  <c r="R900" i="3" a="1"/>
  <c r="R900" i="3" s="1"/>
  <c r="Q900" i="3" a="1"/>
  <c r="Q900" i="3" s="1"/>
  <c r="P1491" i="3" s="1"/>
  <c r="R899" i="3" a="1"/>
  <c r="R899" i="3" s="1"/>
  <c r="Q899" i="3" a="1"/>
  <c r="Q899" i="3" s="1"/>
  <c r="P1490" i="3" s="1"/>
  <c r="R898" i="3" a="1"/>
  <c r="R898" i="3" s="1"/>
  <c r="Q898" i="3" a="1"/>
  <c r="Q898" i="3" s="1"/>
  <c r="P1489" i="3" s="1"/>
  <c r="R897" i="3" a="1"/>
  <c r="R897" i="3" s="1"/>
  <c r="Q897" i="3" a="1"/>
  <c r="Q897" i="3" s="1"/>
  <c r="P1488" i="3" s="1"/>
  <c r="R896" i="3" a="1"/>
  <c r="R896" i="3" s="1"/>
  <c r="Q896" i="3" a="1"/>
  <c r="Q896" i="3" s="1"/>
  <c r="P1487" i="3" s="1"/>
  <c r="R895" i="3" a="1"/>
  <c r="R895" i="3" s="1"/>
  <c r="Q895" i="3" a="1"/>
  <c r="Q895" i="3" s="1"/>
  <c r="P1486" i="3" s="1"/>
  <c r="R894" i="3" a="1"/>
  <c r="R894" i="3" s="1"/>
  <c r="Q894" i="3" a="1"/>
  <c r="Q894" i="3" s="1"/>
  <c r="P1485" i="3" s="1"/>
  <c r="R893" i="3" a="1"/>
  <c r="R893" i="3" s="1"/>
  <c r="Q893" i="3" a="1"/>
  <c r="Q893" i="3" s="1"/>
  <c r="P1484" i="3" s="1"/>
  <c r="R892" i="3" a="1"/>
  <c r="R892" i="3" s="1"/>
  <c r="Q892" i="3" a="1"/>
  <c r="Q892" i="3" s="1"/>
  <c r="P1483" i="3" s="1"/>
  <c r="R891" i="3" a="1"/>
  <c r="R891" i="3" s="1"/>
  <c r="Q891" i="3" a="1"/>
  <c r="Q891" i="3" s="1"/>
  <c r="P1482" i="3" s="1"/>
  <c r="R890" i="3" a="1"/>
  <c r="R890" i="3" s="1"/>
  <c r="Q890" i="3" a="1"/>
  <c r="Q890" i="3" s="1"/>
  <c r="P1481" i="3" s="1"/>
  <c r="R889" i="3" a="1"/>
  <c r="R889" i="3" s="1"/>
  <c r="Q889" i="3" a="1"/>
  <c r="Q889" i="3" s="1"/>
  <c r="P1480" i="3" s="1"/>
  <c r="R888" i="3" a="1"/>
  <c r="R888" i="3" s="1"/>
  <c r="Q888" i="3" a="1"/>
  <c r="Q888" i="3" s="1"/>
  <c r="P1479" i="3" s="1"/>
  <c r="R887" i="3" a="1"/>
  <c r="R887" i="3" s="1"/>
  <c r="Q887" i="3" a="1"/>
  <c r="Q887" i="3" s="1"/>
  <c r="P1478" i="3" s="1"/>
  <c r="R886" i="3" a="1"/>
  <c r="R886" i="3" s="1"/>
  <c r="Q886" i="3" a="1"/>
  <c r="Q886" i="3" s="1"/>
  <c r="P1477" i="3" s="1"/>
  <c r="R885" i="3" a="1"/>
  <c r="R885" i="3" s="1"/>
  <c r="Q885" i="3" a="1"/>
  <c r="Q885" i="3" s="1"/>
  <c r="P1476" i="3" s="1"/>
  <c r="R884" i="3" a="1"/>
  <c r="R884" i="3" s="1"/>
  <c r="Q884" i="3" a="1"/>
  <c r="Q884" i="3" s="1"/>
  <c r="P1475" i="3" s="1"/>
  <c r="R883" i="3" a="1"/>
  <c r="R883" i="3" s="1"/>
  <c r="Q883" i="3" a="1"/>
  <c r="Q883" i="3" s="1"/>
  <c r="P1474" i="3" s="1"/>
  <c r="R882" i="3" a="1"/>
  <c r="R882" i="3" s="1"/>
  <c r="Q882" i="3" a="1"/>
  <c r="Q882" i="3" s="1"/>
  <c r="P1473" i="3" s="1"/>
  <c r="R881" i="3" a="1"/>
  <c r="R881" i="3" s="1"/>
  <c r="Q881" i="3" a="1"/>
  <c r="Q881" i="3" s="1"/>
  <c r="P1472" i="3" s="1"/>
  <c r="R880" i="3" a="1"/>
  <c r="R880" i="3" s="1"/>
  <c r="Q880" i="3" a="1"/>
  <c r="Q880" i="3" s="1"/>
  <c r="P1471" i="3" s="1"/>
  <c r="R879" i="3" a="1"/>
  <c r="R879" i="3" s="1"/>
  <c r="Q879" i="3" a="1"/>
  <c r="Q879" i="3" s="1"/>
  <c r="P1470" i="3" s="1"/>
  <c r="R878" i="3" a="1"/>
  <c r="R878" i="3" s="1"/>
  <c r="Q878" i="3" a="1"/>
  <c r="Q878" i="3" s="1"/>
  <c r="P1469" i="3" s="1"/>
  <c r="R877" i="3" a="1"/>
  <c r="R877" i="3" s="1"/>
  <c r="Q877" i="3" a="1"/>
  <c r="Q877" i="3" s="1"/>
  <c r="P1468" i="3" s="1"/>
  <c r="R876" i="3" a="1"/>
  <c r="R876" i="3" s="1"/>
  <c r="Q876" i="3" a="1"/>
  <c r="Q876" i="3" s="1"/>
  <c r="P1467" i="3" s="1"/>
  <c r="R875" i="3" a="1"/>
  <c r="R875" i="3" s="1"/>
  <c r="Q875" i="3" a="1"/>
  <c r="Q875" i="3" s="1"/>
  <c r="P994" i="3" s="1"/>
  <c r="R874" i="3" a="1"/>
  <c r="R874" i="3" s="1"/>
  <c r="Q874" i="3" a="1"/>
  <c r="Q874" i="3" s="1"/>
  <c r="P993" i="3" s="1"/>
  <c r="R873" i="3" a="1"/>
  <c r="R873" i="3" s="1"/>
  <c r="Q873" i="3" a="1"/>
  <c r="Q873" i="3" s="1"/>
  <c r="P992" i="3" s="1"/>
  <c r="R872" i="3" a="1"/>
  <c r="R872" i="3" s="1"/>
  <c r="Q872" i="3" a="1"/>
  <c r="Q872" i="3" s="1"/>
  <c r="P991" i="3" s="1"/>
  <c r="R871" i="3" a="1"/>
  <c r="R871" i="3" s="1"/>
  <c r="Q871" i="3" a="1"/>
  <c r="Q871" i="3" s="1"/>
  <c r="P990" i="3" s="1"/>
  <c r="R870" i="3" a="1"/>
  <c r="R870" i="3" s="1"/>
  <c r="Q870" i="3" a="1"/>
  <c r="Q870" i="3" s="1"/>
  <c r="P989" i="3" s="1"/>
  <c r="R869" i="3" a="1"/>
  <c r="R869" i="3" s="1"/>
  <c r="Q869" i="3" a="1"/>
  <c r="Q869" i="3" s="1"/>
  <c r="P988" i="3" s="1"/>
  <c r="R868" i="3" a="1"/>
  <c r="R868" i="3" s="1"/>
  <c r="Q868" i="3" a="1"/>
  <c r="Q868" i="3" s="1"/>
  <c r="P987" i="3" s="1"/>
  <c r="R867" i="3" a="1"/>
  <c r="R867" i="3" s="1"/>
  <c r="Q867" i="3" a="1"/>
  <c r="Q867" i="3" s="1"/>
  <c r="P986" i="3" s="1"/>
  <c r="R866" i="3" a="1"/>
  <c r="R866" i="3" s="1"/>
  <c r="Q866" i="3" a="1"/>
  <c r="Q866" i="3" s="1"/>
  <c r="P985" i="3" s="1"/>
  <c r="R865" i="3" a="1"/>
  <c r="R865" i="3" s="1"/>
  <c r="Q865" i="3" a="1"/>
  <c r="Q865" i="3" s="1"/>
  <c r="P984" i="3" s="1"/>
  <c r="R864" i="3" a="1"/>
  <c r="R864" i="3" s="1"/>
  <c r="Q864" i="3" a="1"/>
  <c r="Q864" i="3" s="1"/>
  <c r="P983" i="3" s="1"/>
  <c r="R863" i="3" a="1"/>
  <c r="R863" i="3" s="1"/>
  <c r="Q863" i="3" a="1"/>
  <c r="Q863" i="3" s="1"/>
  <c r="P982" i="3" s="1"/>
  <c r="R862" i="3" a="1"/>
  <c r="R862" i="3" s="1"/>
  <c r="Q862" i="3" a="1"/>
  <c r="Q862" i="3" s="1"/>
  <c r="P981" i="3" s="1"/>
  <c r="R861" i="3" a="1"/>
  <c r="R861" i="3" s="1"/>
  <c r="Q861" i="3" a="1"/>
  <c r="Q861" i="3" s="1"/>
  <c r="P980" i="3" s="1"/>
  <c r="R860" i="3" a="1"/>
  <c r="R860" i="3" s="1"/>
  <c r="Q860" i="3" a="1"/>
  <c r="Q860" i="3" s="1"/>
  <c r="P979" i="3" s="1"/>
  <c r="R859" i="3" a="1"/>
  <c r="R859" i="3" s="1"/>
  <c r="Q859" i="3" a="1"/>
  <c r="Q859" i="3" s="1"/>
  <c r="P978" i="3" s="1"/>
  <c r="R858" i="3" a="1"/>
  <c r="R858" i="3" s="1"/>
  <c r="Q858" i="3" a="1"/>
  <c r="Q858" i="3" s="1"/>
  <c r="P977" i="3" s="1"/>
  <c r="R857" i="3" a="1"/>
  <c r="R857" i="3" s="1"/>
  <c r="Q857" i="3" a="1"/>
  <c r="Q857" i="3" s="1"/>
  <c r="P976" i="3" s="1"/>
  <c r="R856" i="3" a="1"/>
  <c r="R856" i="3" s="1"/>
  <c r="Q856" i="3" a="1"/>
  <c r="Q856" i="3" s="1"/>
  <c r="P975" i="3" s="1"/>
  <c r="R855" i="3" a="1"/>
  <c r="R855" i="3" s="1"/>
  <c r="Q855" i="3" a="1"/>
  <c r="Q855" i="3" s="1"/>
  <c r="P974" i="3" s="1"/>
  <c r="R854" i="3" a="1"/>
  <c r="R854" i="3" s="1"/>
  <c r="Q854" i="3" a="1"/>
  <c r="Q854" i="3" s="1"/>
  <c r="P973" i="3" s="1"/>
  <c r="R853" i="3" a="1"/>
  <c r="R853" i="3" s="1"/>
  <c r="Q853" i="3" a="1"/>
  <c r="Q853" i="3" s="1"/>
  <c r="P972" i="3" s="1"/>
  <c r="R852" i="3" a="1"/>
  <c r="R852" i="3" s="1"/>
  <c r="Q852" i="3" a="1"/>
  <c r="Q852" i="3" s="1"/>
  <c r="P971" i="3" s="1"/>
  <c r="R851" i="3" a="1"/>
  <c r="R851" i="3" s="1"/>
  <c r="Q851" i="3" a="1"/>
  <c r="Q851" i="3" s="1"/>
  <c r="P970" i="3" s="1"/>
  <c r="R850" i="3" a="1"/>
  <c r="R850" i="3" s="1"/>
  <c r="Q850" i="3" a="1"/>
  <c r="Q850" i="3" s="1"/>
  <c r="P969" i="3" s="1"/>
  <c r="R849" i="3" a="1"/>
  <c r="R849" i="3" s="1"/>
  <c r="Q849" i="3" a="1"/>
  <c r="Q849" i="3" s="1"/>
  <c r="P968" i="3" s="1"/>
  <c r="R848" i="3" a="1"/>
  <c r="R848" i="3" s="1"/>
  <c r="Q848" i="3" a="1"/>
  <c r="Q848" i="3" s="1"/>
  <c r="P967" i="3" s="1"/>
  <c r="R847" i="3" a="1"/>
  <c r="R847" i="3" s="1"/>
  <c r="Q847" i="3" a="1"/>
  <c r="Q847" i="3" s="1"/>
  <c r="P966" i="3" s="1"/>
  <c r="R846" i="3" a="1"/>
  <c r="R846" i="3" s="1"/>
  <c r="Q846" i="3" a="1"/>
  <c r="Q846" i="3" s="1"/>
  <c r="P965" i="3" s="1"/>
  <c r="R845" i="3" a="1"/>
  <c r="R845" i="3" s="1"/>
  <c r="Q845" i="3" a="1"/>
  <c r="Q845" i="3" s="1"/>
  <c r="P964" i="3" s="1"/>
  <c r="R844" i="3" a="1"/>
  <c r="R844" i="3" s="1"/>
  <c r="Q844" i="3" a="1"/>
  <c r="Q844" i="3" s="1"/>
  <c r="P963" i="3" s="1"/>
  <c r="R843" i="3" a="1"/>
  <c r="R843" i="3" s="1"/>
  <c r="Q843" i="3" a="1"/>
  <c r="Q843" i="3" s="1"/>
  <c r="P962" i="3" s="1"/>
  <c r="R842" i="3" a="1"/>
  <c r="R842" i="3" s="1"/>
  <c r="Q842" i="3" a="1"/>
  <c r="Q842" i="3" s="1"/>
  <c r="P961" i="3" s="1"/>
  <c r="R841" i="3" a="1"/>
  <c r="R841" i="3" s="1"/>
  <c r="Q841" i="3" a="1"/>
  <c r="Q841" i="3" s="1"/>
  <c r="P960" i="3" s="1"/>
  <c r="R840" i="3" a="1"/>
  <c r="R840" i="3" s="1"/>
  <c r="Q840" i="3" a="1"/>
  <c r="Q840" i="3" s="1"/>
  <c r="P959" i="3" s="1"/>
  <c r="R839" i="3" a="1"/>
  <c r="R839" i="3" s="1"/>
  <c r="Q839" i="3" a="1"/>
  <c r="Q839" i="3" s="1"/>
  <c r="P958" i="3" s="1"/>
  <c r="R838" i="3" a="1"/>
  <c r="R838" i="3" s="1"/>
  <c r="Q838" i="3" a="1"/>
  <c r="Q838" i="3" s="1"/>
  <c r="P957" i="3" s="1"/>
  <c r="R837" i="3" a="1"/>
  <c r="R837" i="3" s="1"/>
  <c r="Q837" i="3" a="1"/>
  <c r="Q837" i="3" s="1"/>
  <c r="P956" i="3" s="1"/>
  <c r="R836" i="3" a="1"/>
  <c r="R836" i="3" s="1"/>
  <c r="Q836" i="3" a="1"/>
  <c r="Q836" i="3" s="1"/>
  <c r="P955" i="3" s="1"/>
  <c r="R835" i="3" a="1"/>
  <c r="R835" i="3" s="1"/>
  <c r="Q835" i="3" a="1"/>
  <c r="Q835" i="3" s="1"/>
  <c r="P954" i="3" s="1"/>
  <c r="R834" i="3" a="1"/>
  <c r="R834" i="3" s="1"/>
  <c r="Q834" i="3" a="1"/>
  <c r="Q834" i="3" s="1"/>
  <c r="P953" i="3" s="1"/>
  <c r="R833" i="3" a="1"/>
  <c r="R833" i="3" s="1"/>
  <c r="Q833" i="3" a="1"/>
  <c r="Q833" i="3" s="1"/>
  <c r="P952" i="3" s="1"/>
  <c r="R832" i="3" a="1"/>
  <c r="R832" i="3" s="1"/>
  <c r="Q832" i="3" a="1"/>
  <c r="Q832" i="3" s="1"/>
  <c r="P951" i="3" s="1"/>
  <c r="R831" i="3" a="1"/>
  <c r="R831" i="3" s="1"/>
  <c r="Q831" i="3" a="1"/>
  <c r="Q831" i="3" s="1"/>
  <c r="P950" i="3" s="1"/>
  <c r="R830" i="3" a="1"/>
  <c r="R830" i="3" s="1"/>
  <c r="Q830" i="3" a="1"/>
  <c r="Q830" i="3" s="1"/>
  <c r="P949" i="3" s="1"/>
  <c r="R829" i="3" a="1"/>
  <c r="R829" i="3" s="1"/>
  <c r="Q829" i="3" a="1"/>
  <c r="Q829" i="3" s="1"/>
  <c r="P948" i="3" s="1"/>
  <c r="R828" i="3" a="1"/>
  <c r="R828" i="3" s="1"/>
  <c r="Q828" i="3" a="1"/>
  <c r="Q828" i="3" s="1"/>
  <c r="P947" i="3" s="1"/>
  <c r="R827" i="3" a="1"/>
  <c r="R827" i="3" s="1"/>
  <c r="Q827" i="3" a="1"/>
  <c r="Q827" i="3" s="1"/>
  <c r="P946" i="3" s="1"/>
  <c r="R826" i="3" a="1"/>
  <c r="R826" i="3" s="1"/>
  <c r="Q826" i="3" a="1"/>
  <c r="Q826" i="3" s="1"/>
  <c r="P945" i="3" s="1"/>
  <c r="R825" i="3" a="1"/>
  <c r="R825" i="3" s="1"/>
  <c r="Q825" i="3" a="1"/>
  <c r="Q825" i="3" s="1"/>
  <c r="P944" i="3" s="1"/>
  <c r="R824" i="3" a="1"/>
  <c r="R824" i="3" s="1"/>
  <c r="Q824" i="3" a="1"/>
  <c r="Q824" i="3" s="1"/>
  <c r="P943" i="3" s="1"/>
  <c r="R823" i="3" a="1"/>
  <c r="R823" i="3" s="1"/>
  <c r="Q823" i="3" a="1"/>
  <c r="Q823" i="3" s="1"/>
  <c r="P942" i="3" s="1"/>
  <c r="R822" i="3" a="1"/>
  <c r="R822" i="3" s="1"/>
  <c r="Q822" i="3" a="1"/>
  <c r="Q822" i="3" s="1"/>
  <c r="P941" i="3" s="1"/>
  <c r="R821" i="3" a="1"/>
  <c r="R821" i="3" s="1"/>
  <c r="Q821" i="3" a="1"/>
  <c r="Q821" i="3" s="1"/>
  <c r="P940" i="3" s="1"/>
  <c r="R820" i="3" a="1"/>
  <c r="R820" i="3" s="1"/>
  <c r="Q820" i="3" a="1"/>
  <c r="Q820" i="3" s="1"/>
  <c r="P939" i="3" s="1"/>
  <c r="R819" i="3" a="1"/>
  <c r="R819" i="3" s="1"/>
  <c r="Q819" i="3" a="1"/>
  <c r="Q819" i="3" s="1"/>
  <c r="P938" i="3" s="1"/>
  <c r="R818" i="3" a="1"/>
  <c r="R818" i="3" s="1"/>
  <c r="Q818" i="3" a="1"/>
  <c r="Q818" i="3" s="1"/>
  <c r="P937" i="3" s="1"/>
  <c r="R817" i="3" a="1"/>
  <c r="R817" i="3" s="1"/>
  <c r="Q817" i="3" a="1"/>
  <c r="Q817" i="3" s="1"/>
  <c r="P936" i="3" s="1"/>
  <c r="R816" i="3" a="1"/>
  <c r="R816" i="3" s="1"/>
  <c r="Q816" i="3" a="1"/>
  <c r="Q816" i="3" s="1"/>
  <c r="P935" i="3" s="1"/>
  <c r="R815" i="3" a="1"/>
  <c r="R815" i="3" s="1"/>
  <c r="Q815" i="3" a="1"/>
  <c r="Q815" i="3" s="1"/>
  <c r="P934" i="3" s="1"/>
  <c r="R814" i="3" a="1"/>
  <c r="R814" i="3" s="1"/>
  <c r="Q814" i="3" a="1"/>
  <c r="Q814" i="3" s="1"/>
  <c r="P933" i="3" s="1"/>
  <c r="P932" i="3"/>
  <c r="R812" i="3" a="1"/>
  <c r="R812" i="3" s="1"/>
  <c r="P931" i="3"/>
  <c r="R811" i="3" a="1"/>
  <c r="R811" i="3" s="1"/>
  <c r="P930" i="3"/>
  <c r="R810" i="3" a="1"/>
  <c r="R810" i="3" s="1"/>
  <c r="P929" i="3"/>
  <c r="R809" i="3" a="1"/>
  <c r="R809" i="3" s="1"/>
  <c r="P928" i="3"/>
  <c r="R808" i="3" a="1"/>
  <c r="R808" i="3" s="1"/>
  <c r="P927" i="3"/>
  <c r="R807" i="3" a="1"/>
  <c r="R807" i="3" s="1"/>
  <c r="P926" i="3"/>
  <c r="R806" i="3" a="1"/>
  <c r="R806" i="3" s="1"/>
  <c r="P925" i="3"/>
  <c r="R805" i="3" a="1"/>
  <c r="R805" i="3" s="1"/>
  <c r="P924" i="3"/>
  <c r="R804" i="3" a="1"/>
  <c r="R804" i="3" s="1"/>
  <c r="P923" i="3"/>
  <c r="R803" i="3" a="1"/>
  <c r="R803" i="3" s="1"/>
  <c r="P922" i="3"/>
  <c r="R802" i="3" a="1"/>
  <c r="R802" i="3" s="1"/>
  <c r="P921" i="3"/>
  <c r="R801" i="3" a="1"/>
  <c r="R801" i="3" s="1"/>
  <c r="P920" i="3"/>
  <c r="R800" i="3" a="1"/>
  <c r="R800" i="3" s="1"/>
  <c r="P919" i="3"/>
  <c r="R799" i="3" a="1"/>
  <c r="R799" i="3" s="1"/>
  <c r="P918" i="3"/>
  <c r="R798" i="3" a="1"/>
  <c r="R798" i="3" s="1"/>
  <c r="P917" i="3"/>
  <c r="P916" i="3"/>
  <c r="R796" i="3" a="1"/>
  <c r="R796" i="3" s="1"/>
  <c r="Q796" i="3" a="1"/>
  <c r="Q796" i="3" s="1"/>
  <c r="P915" i="3" s="1"/>
  <c r="R795" i="3" a="1"/>
  <c r="R795" i="3" s="1"/>
  <c r="Q795" i="3" a="1"/>
  <c r="Q795" i="3" s="1"/>
  <c r="P914" i="3" s="1"/>
  <c r="R794" i="3" a="1"/>
  <c r="R794" i="3" s="1"/>
  <c r="Q794" i="3" a="1"/>
  <c r="Q794" i="3" s="1"/>
  <c r="P913" i="3" s="1"/>
  <c r="R793" i="3" a="1"/>
  <c r="R793" i="3" s="1"/>
  <c r="Q793" i="3" a="1"/>
  <c r="Q793" i="3" s="1"/>
  <c r="P912" i="3" s="1"/>
  <c r="R792" i="3" a="1"/>
  <c r="R792" i="3" s="1"/>
  <c r="Q792" i="3" a="1"/>
  <c r="Q792" i="3" s="1"/>
  <c r="P911" i="3" s="1"/>
  <c r="R791" i="3" a="1"/>
  <c r="R791" i="3" s="1"/>
  <c r="Q791" i="3" a="1"/>
  <c r="Q791" i="3" s="1"/>
  <c r="P910" i="3" s="1"/>
  <c r="R790" i="3" a="1"/>
  <c r="R790" i="3" s="1"/>
  <c r="Q790" i="3" a="1"/>
  <c r="Q790" i="3" s="1"/>
  <c r="P909" i="3" s="1"/>
  <c r="R789" i="3" a="1"/>
  <c r="R789" i="3" s="1"/>
  <c r="Q789" i="3" a="1"/>
  <c r="Q789" i="3" s="1"/>
  <c r="P908" i="3" s="1"/>
  <c r="R788" i="3" a="1"/>
  <c r="R788" i="3" s="1"/>
  <c r="Q788" i="3" a="1"/>
  <c r="Q788" i="3" s="1"/>
  <c r="P907" i="3" s="1"/>
  <c r="R787" i="3" a="1"/>
  <c r="R787" i="3" s="1"/>
  <c r="Q787" i="3" a="1"/>
  <c r="Q787" i="3" s="1"/>
  <c r="P906" i="3" s="1"/>
  <c r="R786" i="3" a="1"/>
  <c r="R786" i="3" s="1"/>
  <c r="Q786" i="3" a="1"/>
  <c r="Q786" i="3" s="1"/>
  <c r="P905" i="3" s="1"/>
  <c r="R785" i="3" a="1"/>
  <c r="R785" i="3" s="1"/>
  <c r="Q785" i="3" a="1"/>
  <c r="Q785" i="3" s="1"/>
  <c r="P904" i="3" s="1"/>
  <c r="R784" i="3" a="1"/>
  <c r="R784" i="3" s="1"/>
  <c r="Q784" i="3" a="1"/>
  <c r="Q784" i="3" s="1"/>
  <c r="P903" i="3" s="1"/>
  <c r="R783" i="3" a="1"/>
  <c r="R783" i="3" s="1"/>
  <c r="Q783" i="3" a="1"/>
  <c r="Q783" i="3" s="1"/>
  <c r="P902" i="3" s="1"/>
  <c r="R782" i="3" a="1"/>
  <c r="R782" i="3" s="1"/>
  <c r="Q782" i="3" a="1"/>
  <c r="Q782" i="3" s="1"/>
  <c r="P901" i="3" s="1"/>
  <c r="R781" i="3" a="1"/>
  <c r="R781" i="3" s="1"/>
  <c r="Q781" i="3" a="1"/>
  <c r="Q781" i="3" s="1"/>
  <c r="P900" i="3" s="1"/>
  <c r="R780" i="3" a="1"/>
  <c r="R780" i="3" s="1"/>
  <c r="Q780" i="3" a="1"/>
  <c r="Q780" i="3" s="1"/>
  <c r="P899" i="3" s="1"/>
  <c r="R779" i="3" a="1"/>
  <c r="R779" i="3" s="1"/>
  <c r="Q779" i="3" a="1"/>
  <c r="Q779" i="3" s="1"/>
  <c r="P898" i="3" s="1"/>
  <c r="R778" i="3" a="1"/>
  <c r="R778" i="3" s="1"/>
  <c r="Q778" i="3" a="1"/>
  <c r="Q778" i="3" s="1"/>
  <c r="P897" i="3" s="1"/>
  <c r="R777" i="3" a="1"/>
  <c r="R777" i="3" s="1"/>
  <c r="Q777" i="3" a="1"/>
  <c r="Q777" i="3" s="1"/>
  <c r="P896" i="3" s="1"/>
  <c r="R776" i="3" a="1"/>
  <c r="R776" i="3" s="1"/>
  <c r="Q776" i="3" a="1"/>
  <c r="Q776" i="3" s="1"/>
  <c r="P895" i="3" s="1"/>
  <c r="R775" i="3" a="1"/>
  <c r="R775" i="3" s="1"/>
  <c r="Q775" i="3" a="1"/>
  <c r="Q775" i="3" s="1"/>
  <c r="P894" i="3" s="1"/>
  <c r="R774" i="3" a="1"/>
  <c r="R774" i="3" s="1"/>
  <c r="Q774" i="3" a="1"/>
  <c r="Q774" i="3" s="1"/>
  <c r="P893" i="3" s="1"/>
  <c r="R773" i="3" a="1"/>
  <c r="R773" i="3" s="1"/>
  <c r="Q773" i="3" a="1"/>
  <c r="Q773" i="3" s="1"/>
  <c r="P892" i="3" s="1"/>
  <c r="R772" i="3" a="1"/>
  <c r="R772" i="3" s="1"/>
  <c r="Q772" i="3" a="1"/>
  <c r="Q772" i="3" s="1"/>
  <c r="P891" i="3" s="1"/>
  <c r="R771" i="3" a="1"/>
  <c r="R771" i="3" s="1"/>
  <c r="Q771" i="3" a="1"/>
  <c r="Q771" i="3" s="1"/>
  <c r="P890" i="3" s="1"/>
  <c r="R770" i="3" a="1"/>
  <c r="R770" i="3" s="1"/>
  <c r="Q770" i="3" a="1"/>
  <c r="Q770" i="3" s="1"/>
  <c r="P889" i="3" s="1"/>
  <c r="R769" i="3" a="1"/>
  <c r="R769" i="3" s="1"/>
  <c r="Q769" i="3" a="1"/>
  <c r="Q769" i="3" s="1"/>
  <c r="P888" i="3" s="1"/>
  <c r="R768" i="3" a="1"/>
  <c r="R768" i="3" s="1"/>
  <c r="Q768" i="3" a="1"/>
  <c r="Q768" i="3" s="1"/>
  <c r="P887" i="3" s="1"/>
  <c r="R767" i="3" a="1"/>
  <c r="R767" i="3" s="1"/>
  <c r="Q767" i="3" a="1"/>
  <c r="Q767" i="3" s="1"/>
  <c r="P886" i="3" s="1"/>
  <c r="R766" i="3" a="1"/>
  <c r="R766" i="3" s="1"/>
  <c r="Q766" i="3" a="1"/>
  <c r="Q766" i="3" s="1"/>
  <c r="P885" i="3" s="1"/>
  <c r="R765" i="3" a="1"/>
  <c r="R765" i="3" s="1"/>
  <c r="Q765" i="3" a="1"/>
  <c r="Q765" i="3" s="1"/>
  <c r="P884" i="3" s="1"/>
  <c r="R764" i="3" a="1"/>
  <c r="R764" i="3" s="1"/>
  <c r="Q764" i="3" a="1"/>
  <c r="Q764" i="3" s="1"/>
  <c r="P883" i="3" s="1"/>
  <c r="R763" i="3" a="1"/>
  <c r="R763" i="3" s="1"/>
  <c r="Q763" i="3" a="1"/>
  <c r="Q763" i="3" s="1"/>
  <c r="P882" i="3" s="1"/>
  <c r="R762" i="3" a="1"/>
  <c r="R762" i="3" s="1"/>
  <c r="Q762" i="3" a="1"/>
  <c r="Q762" i="3" s="1"/>
  <c r="P881" i="3" s="1"/>
  <c r="R761" i="3" a="1"/>
  <c r="R761" i="3" s="1"/>
  <c r="Q761" i="3" a="1"/>
  <c r="Q761" i="3" s="1"/>
  <c r="P880" i="3" s="1"/>
  <c r="R760" i="3" a="1"/>
  <c r="R760" i="3" s="1"/>
  <c r="Q760" i="3" a="1"/>
  <c r="Q760" i="3" s="1"/>
  <c r="P879" i="3" s="1"/>
  <c r="R759" i="3" a="1"/>
  <c r="R759" i="3" s="1"/>
  <c r="Q759" i="3" a="1"/>
  <c r="Q759" i="3" s="1"/>
  <c r="P878" i="3" s="1"/>
  <c r="R758" i="3" a="1"/>
  <c r="R758" i="3" s="1"/>
  <c r="Q758" i="3" a="1"/>
  <c r="Q758" i="3" s="1"/>
  <c r="P877" i="3" s="1"/>
  <c r="R757" i="3" a="1"/>
  <c r="R757" i="3" s="1"/>
  <c r="Q757" i="3" a="1"/>
  <c r="Q757" i="3" s="1"/>
  <c r="P876" i="3" s="1"/>
  <c r="R756" i="3" a="1"/>
  <c r="R756" i="3" s="1"/>
  <c r="Q756" i="3" a="1"/>
  <c r="Q756" i="3" s="1"/>
  <c r="P875" i="3" s="1"/>
  <c r="R755" i="3" a="1"/>
  <c r="R755" i="3" s="1"/>
  <c r="Q755" i="3" a="1"/>
  <c r="Q755" i="3" s="1"/>
  <c r="P874" i="3" s="1"/>
  <c r="R754" i="3" a="1"/>
  <c r="R754" i="3" s="1"/>
  <c r="Q754" i="3" a="1"/>
  <c r="Q754" i="3" s="1"/>
  <c r="P873" i="3" s="1"/>
  <c r="R753" i="3" a="1"/>
  <c r="R753" i="3" s="1"/>
  <c r="Q753" i="3" a="1"/>
  <c r="Q753" i="3" s="1"/>
  <c r="P872" i="3" s="1"/>
  <c r="R752" i="3" a="1"/>
  <c r="R752" i="3" s="1"/>
  <c r="Q752" i="3" a="1"/>
  <c r="Q752" i="3" s="1"/>
  <c r="P871" i="3" s="1"/>
  <c r="R751" i="3" a="1"/>
  <c r="R751" i="3" s="1"/>
  <c r="Q751" i="3" a="1"/>
  <c r="Q751" i="3" s="1"/>
  <c r="P870" i="3" s="1"/>
  <c r="R750" i="3" a="1"/>
  <c r="R750" i="3" s="1"/>
  <c r="Q750" i="3" a="1"/>
  <c r="Q750" i="3" s="1"/>
  <c r="P869" i="3" s="1"/>
  <c r="R749" i="3" a="1"/>
  <c r="R749" i="3" s="1"/>
  <c r="Q749" i="3" a="1"/>
  <c r="Q749" i="3" s="1"/>
  <c r="P868" i="3" s="1"/>
  <c r="R748" i="3" a="1"/>
  <c r="R748" i="3" s="1"/>
  <c r="Q748" i="3" a="1"/>
  <c r="Q748" i="3" s="1"/>
  <c r="P867" i="3" s="1"/>
  <c r="R747" i="3" a="1"/>
  <c r="R747" i="3" s="1"/>
  <c r="Q747" i="3" a="1"/>
  <c r="Q747" i="3" s="1"/>
  <c r="P866" i="3" s="1"/>
  <c r="R746" i="3" a="1"/>
  <c r="R746" i="3" s="1"/>
  <c r="Q746" i="3" a="1"/>
  <c r="Q746" i="3" s="1"/>
  <c r="P865" i="3" s="1"/>
  <c r="R745" i="3" a="1"/>
  <c r="R745" i="3" s="1"/>
  <c r="Q745" i="3" a="1"/>
  <c r="Q745" i="3" s="1"/>
  <c r="P825" i="3" s="1"/>
  <c r="R744" i="3" a="1"/>
  <c r="R744" i="3" s="1"/>
  <c r="Q744" i="3" a="1"/>
  <c r="Q744" i="3" s="1"/>
  <c r="P824" i="3" s="1"/>
  <c r="R743" i="3" a="1"/>
  <c r="R743" i="3" s="1"/>
  <c r="Q743" i="3" a="1"/>
  <c r="Q743" i="3" s="1"/>
  <c r="P823" i="3" s="1"/>
  <c r="R742" i="3" a="1"/>
  <c r="R742" i="3" s="1"/>
  <c r="Q742" i="3" a="1"/>
  <c r="Q742" i="3" s="1"/>
  <c r="P822" i="3" s="1"/>
  <c r="R741" i="3" a="1"/>
  <c r="R741" i="3" s="1"/>
  <c r="Q741" i="3" a="1"/>
  <c r="Q741" i="3" s="1"/>
  <c r="P821" i="3" s="1"/>
  <c r="R740" i="3" a="1"/>
  <c r="R740" i="3" s="1"/>
  <c r="Q740" i="3" a="1"/>
  <c r="Q740" i="3" s="1"/>
  <c r="P820" i="3" s="1"/>
  <c r="R739" i="3" a="1"/>
  <c r="R739" i="3" s="1"/>
  <c r="Q739" i="3" a="1"/>
  <c r="Q739" i="3" s="1"/>
  <c r="P819" i="3" s="1"/>
  <c r="R738" i="3" a="1"/>
  <c r="R738" i="3" s="1"/>
  <c r="Q738" i="3" a="1"/>
  <c r="Q738" i="3" s="1"/>
  <c r="P818" i="3" s="1"/>
  <c r="R737" i="3" a="1"/>
  <c r="R737" i="3" s="1"/>
  <c r="Q737" i="3" a="1"/>
  <c r="Q737" i="3" s="1"/>
  <c r="P817" i="3" s="1"/>
  <c r="R736" i="3" a="1"/>
  <c r="R736" i="3" s="1"/>
  <c r="Q736" i="3" a="1"/>
  <c r="Q736" i="3" s="1"/>
  <c r="P816" i="3" s="1"/>
  <c r="R735" i="3" a="1"/>
  <c r="R735" i="3" s="1"/>
  <c r="Q735" i="3" a="1"/>
  <c r="Q735" i="3" s="1"/>
  <c r="P815" i="3" s="1"/>
  <c r="R734" i="3" a="1"/>
  <c r="R734" i="3" s="1"/>
  <c r="Q734" i="3" a="1"/>
  <c r="Q734" i="3" s="1"/>
  <c r="P814" i="3" s="1"/>
  <c r="R733" i="3" a="1"/>
  <c r="R733" i="3" s="1"/>
  <c r="Q733" i="3" a="1"/>
  <c r="Q733" i="3" s="1"/>
  <c r="R732" i="3" a="1"/>
  <c r="R732" i="3" s="1"/>
  <c r="Q732" i="3" a="1"/>
  <c r="Q732" i="3" s="1"/>
  <c r="R731" i="3" a="1"/>
  <c r="R731" i="3" s="1"/>
  <c r="Q731" i="3" a="1"/>
  <c r="Q731" i="3" s="1"/>
  <c r="R730" i="3" a="1"/>
  <c r="R730" i="3" s="1"/>
  <c r="Q730" i="3" a="1"/>
  <c r="Q730" i="3" s="1"/>
  <c r="R729" i="3" a="1"/>
  <c r="R729" i="3" s="1"/>
  <c r="Q729" i="3" a="1"/>
  <c r="Q729" i="3" s="1"/>
  <c r="R728" i="3" a="1"/>
  <c r="R728" i="3" s="1"/>
  <c r="Q728" i="3" a="1"/>
  <c r="Q728" i="3" s="1"/>
  <c r="R727" i="3" a="1"/>
  <c r="R727" i="3" s="1"/>
  <c r="Q727" i="3" a="1"/>
  <c r="Q727" i="3" s="1"/>
  <c r="R726" i="3" a="1"/>
  <c r="R726" i="3" s="1"/>
  <c r="Q726" i="3" a="1"/>
  <c r="Q726" i="3" s="1"/>
  <c r="P1466" i="3" s="1"/>
  <c r="R725" i="3" a="1"/>
  <c r="R725" i="3" s="1"/>
  <c r="Q725" i="3" a="1"/>
  <c r="Q725" i="3" s="1"/>
  <c r="R724" i="3" a="1"/>
  <c r="R724" i="3" s="1"/>
  <c r="Q724" i="3" a="1"/>
  <c r="Q724" i="3" s="1"/>
  <c r="P2073" i="3" s="1"/>
  <c r="R723" i="3" a="1"/>
  <c r="R723" i="3" s="1"/>
  <c r="Q723" i="3" a="1"/>
  <c r="Q723" i="3" s="1"/>
  <c r="R722" i="3" a="1"/>
  <c r="R722" i="3" s="1"/>
  <c r="Q722" i="3" a="1"/>
  <c r="Q722" i="3" s="1"/>
  <c r="P813" i="3" s="1"/>
  <c r="R721" i="3" a="1"/>
  <c r="R721" i="3" s="1"/>
  <c r="Q721" i="3" a="1"/>
  <c r="Q721" i="3" s="1"/>
  <c r="P1365" i="3" s="1"/>
  <c r="R720" i="3" a="1"/>
  <c r="R720" i="3" s="1"/>
  <c r="Q720" i="3" a="1"/>
  <c r="Q720" i="3" s="1"/>
  <c r="R719" i="3" a="1"/>
  <c r="R719" i="3" s="1"/>
  <c r="Q719" i="3" a="1"/>
  <c r="Q719" i="3" s="1"/>
  <c r="R718" i="3" a="1"/>
  <c r="R718" i="3" s="1"/>
  <c r="Q718" i="3" a="1"/>
  <c r="Q718" i="3" s="1"/>
  <c r="R717" i="3" a="1"/>
  <c r="R717" i="3" s="1"/>
  <c r="Q717" i="3" a="1"/>
  <c r="Q717" i="3" s="1"/>
  <c r="R716" i="3" a="1"/>
  <c r="R716" i="3" s="1"/>
  <c r="Q716" i="3" a="1"/>
  <c r="Q716" i="3" s="1"/>
  <c r="R715" i="3" a="1"/>
  <c r="R715" i="3" s="1"/>
  <c r="Q715" i="3" a="1"/>
  <c r="Q715" i="3" s="1"/>
  <c r="R714" i="3" a="1"/>
  <c r="R714" i="3" s="1"/>
  <c r="Q714" i="3" a="1"/>
  <c r="Q714" i="3" s="1"/>
  <c r="R713" i="3" a="1"/>
  <c r="R713" i="3" s="1"/>
  <c r="Q713" i="3" a="1"/>
  <c r="Q713" i="3" s="1"/>
  <c r="R712" i="3" a="1"/>
  <c r="R712" i="3" s="1"/>
  <c r="Q712" i="3" a="1"/>
  <c r="Q712" i="3" s="1"/>
  <c r="R711" i="3" a="1"/>
  <c r="R711" i="3" s="1"/>
  <c r="Q711" i="3" a="1"/>
  <c r="Q711" i="3" s="1"/>
  <c r="R710" i="3" a="1"/>
  <c r="R710" i="3" s="1"/>
  <c r="Q710" i="3" a="1"/>
  <c r="Q710" i="3" s="1"/>
  <c r="R709" i="3" a="1"/>
  <c r="R709" i="3" s="1"/>
  <c r="Q709" i="3" a="1"/>
  <c r="Q709" i="3" s="1"/>
  <c r="R708" i="3" a="1"/>
  <c r="R708" i="3" s="1"/>
  <c r="Q708" i="3" a="1"/>
  <c r="Q708" i="3" s="1"/>
  <c r="R707" i="3" a="1"/>
  <c r="R707" i="3" s="1"/>
  <c r="Q707" i="3" a="1"/>
  <c r="Q707" i="3" s="1"/>
  <c r="R706" i="3" a="1"/>
  <c r="R706" i="3" s="1"/>
  <c r="Q706" i="3" a="1"/>
  <c r="Q706" i="3" s="1"/>
  <c r="R705" i="3" a="1"/>
  <c r="R705" i="3" s="1"/>
  <c r="Q705" i="3" a="1"/>
  <c r="Q705" i="3" s="1"/>
  <c r="R704" i="3" a="1"/>
  <c r="R704" i="3" s="1"/>
  <c r="Q704" i="3" a="1"/>
  <c r="Q704" i="3" s="1"/>
  <c r="R703" i="3" a="1"/>
  <c r="R703" i="3" s="1"/>
  <c r="Q703" i="3" a="1"/>
  <c r="Q703" i="3" s="1"/>
  <c r="R702" i="3" a="1"/>
  <c r="R702" i="3" s="1"/>
  <c r="Q702" i="3" a="1"/>
  <c r="Q702" i="3" s="1"/>
  <c r="R701" i="3" a="1"/>
  <c r="R701" i="3" s="1"/>
  <c r="Q701" i="3" a="1"/>
  <c r="Q701" i="3" s="1"/>
  <c r="R700" i="3" a="1"/>
  <c r="R700" i="3" s="1"/>
  <c r="Q700" i="3" a="1"/>
  <c r="Q700" i="3" s="1"/>
  <c r="R699" i="3" a="1"/>
  <c r="R699" i="3" s="1"/>
  <c r="Q699" i="3" a="1"/>
  <c r="Q699" i="3" s="1"/>
  <c r="R698" i="3" a="1"/>
  <c r="R698" i="3" s="1"/>
  <c r="Q698" i="3" a="1"/>
  <c r="Q698" i="3" s="1"/>
  <c r="R697" i="3" a="1"/>
  <c r="R697" i="3" s="1"/>
  <c r="Q697" i="3" a="1"/>
  <c r="Q697" i="3" s="1"/>
  <c r="R696" i="3" a="1"/>
  <c r="R696" i="3" s="1"/>
  <c r="Q696" i="3" a="1"/>
  <c r="Q696" i="3" s="1"/>
  <c r="R695" i="3" a="1"/>
  <c r="R695" i="3" s="1"/>
  <c r="Q695" i="3" a="1"/>
  <c r="Q695" i="3" s="1"/>
  <c r="R694" i="3" a="1"/>
  <c r="R694" i="3" s="1"/>
  <c r="Q694" i="3" a="1"/>
  <c r="Q694" i="3" s="1"/>
  <c r="R693" i="3" a="1"/>
  <c r="R693" i="3" s="1"/>
  <c r="Q693" i="3" a="1"/>
  <c r="Q693" i="3" s="1"/>
  <c r="R692" i="3" a="1"/>
  <c r="R692" i="3" s="1"/>
  <c r="Q692" i="3" a="1"/>
  <c r="Q692" i="3" s="1"/>
  <c r="R691" i="3" a="1"/>
  <c r="R691" i="3" s="1"/>
  <c r="Q691" i="3" a="1"/>
  <c r="Q691" i="3" s="1"/>
  <c r="R690" i="3" a="1"/>
  <c r="R690" i="3" s="1"/>
  <c r="Q690" i="3" a="1"/>
  <c r="Q690" i="3" s="1"/>
  <c r="R689" i="3" a="1"/>
  <c r="R689" i="3" s="1"/>
  <c r="Q689" i="3" a="1"/>
  <c r="Q689" i="3" s="1"/>
  <c r="R688" i="3" a="1"/>
  <c r="R688" i="3" s="1"/>
  <c r="Q688" i="3" a="1"/>
  <c r="Q688" i="3" s="1"/>
  <c r="R687" i="3" a="1"/>
  <c r="R687" i="3" s="1"/>
  <c r="Q687" i="3" a="1"/>
  <c r="Q687" i="3" s="1"/>
  <c r="R686" i="3" a="1"/>
  <c r="R686" i="3" s="1"/>
  <c r="Q686" i="3" a="1"/>
  <c r="Q686" i="3" s="1"/>
  <c r="R685" i="3" a="1"/>
  <c r="R685" i="3" s="1"/>
  <c r="Q685" i="3" a="1"/>
  <c r="Q685" i="3" s="1"/>
  <c r="R684" i="3" a="1"/>
  <c r="R684" i="3" s="1"/>
  <c r="Q684" i="3" a="1"/>
  <c r="Q684" i="3" s="1"/>
  <c r="R683" i="3" a="1"/>
  <c r="R683" i="3" s="1"/>
  <c r="Q683" i="3" a="1"/>
  <c r="Q683" i="3" s="1"/>
  <c r="R682" i="3" a="1"/>
  <c r="R682" i="3" s="1"/>
  <c r="Q682" i="3" a="1"/>
  <c r="Q682" i="3" s="1"/>
  <c r="R681" i="3" a="1"/>
  <c r="R681" i="3" s="1"/>
  <c r="Q681" i="3" a="1"/>
  <c r="Q681" i="3" s="1"/>
  <c r="R680" i="3" a="1"/>
  <c r="R680" i="3" s="1"/>
  <c r="Q680" i="3" a="1"/>
  <c r="Q680" i="3" s="1"/>
  <c r="R679" i="3" a="1"/>
  <c r="R679" i="3" s="1"/>
  <c r="Q679" i="3" a="1"/>
  <c r="Q679" i="3" s="1"/>
  <c r="R678" i="3" a="1"/>
  <c r="R678" i="3" s="1"/>
  <c r="Q678" i="3" a="1"/>
  <c r="Q678" i="3" s="1"/>
  <c r="R677" i="3" a="1"/>
  <c r="R677" i="3" s="1"/>
  <c r="Q677" i="3" a="1"/>
  <c r="Q677" i="3" s="1"/>
  <c r="R676" i="3" a="1"/>
  <c r="R676" i="3" s="1"/>
  <c r="Q676" i="3" a="1"/>
  <c r="Q676" i="3" s="1"/>
  <c r="R675" i="3" a="1"/>
  <c r="R675" i="3" s="1"/>
  <c r="Q675" i="3" a="1"/>
  <c r="Q675" i="3" s="1"/>
  <c r="R674" i="3" a="1"/>
  <c r="R674" i="3" s="1"/>
  <c r="Q674" i="3" a="1"/>
  <c r="Q674" i="3" s="1"/>
  <c r="R673" i="3" a="1"/>
  <c r="R673" i="3" s="1"/>
  <c r="Q673" i="3" a="1"/>
  <c r="Q673" i="3" s="1"/>
  <c r="R672" i="3" a="1"/>
  <c r="R672" i="3" s="1"/>
  <c r="Q672" i="3" a="1"/>
  <c r="Q672" i="3" s="1"/>
  <c r="R671" i="3" a="1"/>
  <c r="R671" i="3" s="1"/>
  <c r="Q671" i="3" a="1"/>
  <c r="Q671" i="3" s="1"/>
  <c r="R670" i="3" a="1"/>
  <c r="R670" i="3" s="1"/>
  <c r="Q670" i="3" a="1"/>
  <c r="Q670" i="3" s="1"/>
  <c r="R669" i="3" a="1"/>
  <c r="R669" i="3" s="1"/>
  <c r="Q669" i="3" a="1"/>
  <c r="Q669" i="3" s="1"/>
  <c r="R668" i="3" a="1"/>
  <c r="R668" i="3" s="1"/>
  <c r="Q668" i="3" a="1"/>
  <c r="Q668" i="3" s="1"/>
  <c r="R667" i="3" a="1"/>
  <c r="R667" i="3" s="1"/>
  <c r="Q667" i="3" a="1"/>
  <c r="Q667" i="3" s="1"/>
  <c r="R666" i="3" a="1"/>
  <c r="R666" i="3" s="1"/>
  <c r="Q666" i="3" a="1"/>
  <c r="Q666" i="3" s="1"/>
  <c r="R665" i="3" a="1"/>
  <c r="R665" i="3" s="1"/>
  <c r="Q665" i="3" a="1"/>
  <c r="Q665" i="3" s="1"/>
  <c r="R664" i="3" a="1"/>
  <c r="R664" i="3" s="1"/>
  <c r="Q664" i="3" a="1"/>
  <c r="Q664" i="3" s="1"/>
  <c r="R663" i="3" a="1"/>
  <c r="R663" i="3" s="1"/>
  <c r="Q663" i="3" a="1"/>
  <c r="Q663" i="3" s="1"/>
  <c r="R662" i="3" a="1"/>
  <c r="R662" i="3" s="1"/>
  <c r="Q662" i="3" a="1"/>
  <c r="Q662" i="3" s="1"/>
  <c r="R661" i="3" a="1"/>
  <c r="R661" i="3" s="1"/>
  <c r="Q661" i="3" a="1"/>
  <c r="Q661" i="3" s="1"/>
  <c r="R660" i="3" a="1"/>
  <c r="R660" i="3" s="1"/>
  <c r="Q660" i="3" a="1"/>
  <c r="Q660" i="3" s="1"/>
  <c r="R659" i="3" a="1"/>
  <c r="R659" i="3" s="1"/>
  <c r="Q659" i="3" a="1"/>
  <c r="Q659" i="3" s="1"/>
  <c r="R658" i="3" a="1"/>
  <c r="R658" i="3" s="1"/>
  <c r="Q658" i="3" a="1"/>
  <c r="Q658" i="3" s="1"/>
  <c r="R657" i="3" a="1"/>
  <c r="R657" i="3" s="1"/>
  <c r="Q657" i="3" a="1"/>
  <c r="Q657" i="3" s="1"/>
  <c r="R656" i="3" a="1"/>
  <c r="R656" i="3" s="1"/>
  <c r="Q656" i="3" a="1"/>
  <c r="Q656" i="3" s="1"/>
  <c r="R655" i="3" a="1"/>
  <c r="R655" i="3" s="1"/>
  <c r="Q655" i="3" a="1"/>
  <c r="Q655" i="3" s="1"/>
  <c r="R654" i="3" a="1"/>
  <c r="R654" i="3" s="1"/>
  <c r="Q654" i="3" a="1"/>
  <c r="Q654" i="3" s="1"/>
  <c r="R653" i="3" a="1"/>
  <c r="R653" i="3" s="1"/>
  <c r="Q653" i="3" a="1"/>
  <c r="Q653" i="3" s="1"/>
  <c r="R652" i="3" a="1"/>
  <c r="R652" i="3" s="1"/>
  <c r="Q652" i="3" a="1"/>
  <c r="Q652" i="3" s="1"/>
  <c r="R651" i="3" a="1"/>
  <c r="R651" i="3" s="1"/>
  <c r="Q651" i="3" a="1"/>
  <c r="Q651" i="3" s="1"/>
  <c r="R650" i="3" a="1"/>
  <c r="R650" i="3" s="1"/>
  <c r="Q650" i="3" a="1"/>
  <c r="Q650" i="3" s="1"/>
  <c r="R649" i="3" a="1"/>
  <c r="R649" i="3" s="1"/>
  <c r="Q649" i="3" a="1"/>
  <c r="Q649" i="3" s="1"/>
  <c r="R648" i="3" a="1"/>
  <c r="R648" i="3" s="1"/>
  <c r="Q648" i="3" a="1"/>
  <c r="Q648" i="3" s="1"/>
  <c r="R647" i="3" a="1"/>
  <c r="R647" i="3" s="1"/>
  <c r="Q647" i="3" a="1"/>
  <c r="Q647" i="3" s="1"/>
  <c r="R646" i="3" a="1"/>
  <c r="R646" i="3" s="1"/>
  <c r="Q646" i="3" a="1"/>
  <c r="Q646" i="3" s="1"/>
  <c r="R645" i="3" a="1"/>
  <c r="R645" i="3" s="1"/>
  <c r="Q645" i="3" a="1"/>
  <c r="Q645" i="3" s="1"/>
  <c r="R644" i="3" a="1"/>
  <c r="R644" i="3" s="1"/>
  <c r="Q644" i="3" a="1"/>
  <c r="Q644" i="3" s="1"/>
  <c r="R643" i="3" a="1"/>
  <c r="R643" i="3" s="1"/>
  <c r="Q643" i="3" a="1"/>
  <c r="Q643" i="3" s="1"/>
  <c r="R642" i="3" a="1"/>
  <c r="R642" i="3" s="1"/>
  <c r="Q642" i="3" a="1"/>
  <c r="Q642" i="3" s="1"/>
  <c r="R641" i="3" a="1"/>
  <c r="R641" i="3" s="1"/>
  <c r="Q641" i="3" a="1"/>
  <c r="Q641" i="3" s="1"/>
  <c r="R640" i="3" a="1"/>
  <c r="R640" i="3" s="1"/>
  <c r="Q640" i="3" a="1"/>
  <c r="Q640" i="3" s="1"/>
  <c r="R639" i="3" a="1"/>
  <c r="R639" i="3" s="1"/>
  <c r="Q639" i="3" a="1"/>
  <c r="Q639" i="3" s="1"/>
  <c r="R638" i="3" a="1"/>
  <c r="R638" i="3" s="1"/>
  <c r="Q638" i="3" a="1"/>
  <c r="Q638" i="3" s="1"/>
  <c r="R637" i="3" a="1"/>
  <c r="R637" i="3" s="1"/>
  <c r="Q637" i="3" a="1"/>
  <c r="Q637" i="3" s="1"/>
  <c r="P2072" i="3" s="1"/>
  <c r="R636" i="3" a="1"/>
  <c r="R636" i="3" s="1"/>
  <c r="Q636" i="3" a="1"/>
  <c r="Q636" i="3" s="1"/>
  <c r="P2071" i="3" s="1"/>
  <c r="R635" i="3" a="1"/>
  <c r="R635" i="3" s="1"/>
  <c r="Q635" i="3" a="1"/>
  <c r="Q635" i="3" s="1"/>
  <c r="P2070" i="3" s="1"/>
  <c r="R634" i="3" a="1"/>
  <c r="R634" i="3" s="1"/>
  <c r="Q634" i="3" a="1"/>
  <c r="Q634" i="3" s="1"/>
  <c r="P2069" i="3" s="1"/>
  <c r="R633" i="3" a="1"/>
  <c r="R633" i="3" s="1"/>
  <c r="Q633" i="3" a="1"/>
  <c r="Q633" i="3" s="1"/>
  <c r="P2068" i="3" s="1"/>
  <c r="R632" i="3" a="1"/>
  <c r="R632" i="3" s="1"/>
  <c r="Q632" i="3" a="1"/>
  <c r="Q632" i="3" s="1"/>
  <c r="P2067" i="3" s="1"/>
  <c r="R631" i="3" a="1"/>
  <c r="R631" i="3" s="1"/>
  <c r="Q631" i="3" a="1"/>
  <c r="Q631" i="3" s="1"/>
  <c r="P2066" i="3" s="1"/>
  <c r="R630" i="3" a="1"/>
  <c r="R630" i="3" s="1"/>
  <c r="Q630" i="3" a="1"/>
  <c r="Q630" i="3" s="1"/>
  <c r="P2065" i="3" s="1"/>
  <c r="R629" i="3" a="1"/>
  <c r="R629" i="3" s="1"/>
  <c r="Q629" i="3" a="1"/>
  <c r="Q629" i="3" s="1"/>
  <c r="P2064" i="3" s="1"/>
  <c r="R628" i="3" a="1"/>
  <c r="R628" i="3" s="1"/>
  <c r="Q628" i="3" a="1"/>
  <c r="Q628" i="3" s="1"/>
  <c r="P2063" i="3" s="1"/>
  <c r="R627" i="3" a="1"/>
  <c r="R627" i="3" s="1"/>
  <c r="Q627" i="3" a="1"/>
  <c r="Q627" i="3" s="1"/>
  <c r="P2062" i="3" s="1"/>
  <c r="R626" i="3" a="1"/>
  <c r="R626" i="3" s="1"/>
  <c r="Q626" i="3" a="1"/>
  <c r="Q626" i="3" s="1"/>
  <c r="P2061" i="3" s="1"/>
  <c r="R625" i="3" a="1"/>
  <c r="R625" i="3" s="1"/>
  <c r="Q625" i="3" a="1"/>
  <c r="Q625" i="3" s="1"/>
  <c r="P2060" i="3" s="1"/>
  <c r="R624" i="3" a="1"/>
  <c r="R624" i="3" s="1"/>
  <c r="Q624" i="3" a="1"/>
  <c r="Q624" i="3" s="1"/>
  <c r="P2059" i="3" s="1"/>
  <c r="R623" i="3" a="1"/>
  <c r="R623" i="3" s="1"/>
  <c r="Q623" i="3" a="1"/>
  <c r="Q623" i="3" s="1"/>
  <c r="P2058" i="3" s="1"/>
  <c r="R622" i="3" a="1"/>
  <c r="R622" i="3" s="1"/>
  <c r="Q622" i="3" a="1"/>
  <c r="Q622" i="3" s="1"/>
  <c r="P1465" i="3" s="1"/>
  <c r="R621" i="3" a="1"/>
  <c r="R621" i="3" s="1"/>
  <c r="Q621" i="3" a="1"/>
  <c r="Q621" i="3" s="1"/>
  <c r="P1464" i="3" s="1"/>
  <c r="R620" i="3" a="1"/>
  <c r="R620" i="3" s="1"/>
  <c r="Q620" i="3" a="1"/>
  <c r="Q620" i="3" s="1"/>
  <c r="P1463" i="3" s="1"/>
  <c r="R619" i="3" a="1"/>
  <c r="R619" i="3" s="1"/>
  <c r="Q619" i="3" a="1"/>
  <c r="Q619" i="3" s="1"/>
  <c r="P1462" i="3" s="1"/>
  <c r="R618" i="3" a="1"/>
  <c r="R618" i="3" s="1"/>
  <c r="Q618" i="3" a="1"/>
  <c r="Q618" i="3" s="1"/>
  <c r="P1461" i="3" s="1"/>
  <c r="R617" i="3" a="1"/>
  <c r="R617" i="3" s="1"/>
  <c r="Q617" i="3" a="1"/>
  <c r="Q617" i="3" s="1"/>
  <c r="P1460" i="3" s="1"/>
  <c r="R616" i="3" a="1"/>
  <c r="R616" i="3" s="1"/>
  <c r="Q616" i="3" a="1"/>
  <c r="Q616" i="3" s="1"/>
  <c r="P1459" i="3" s="1"/>
  <c r="R615" i="3" a="1"/>
  <c r="R615" i="3" s="1"/>
  <c r="Q615" i="3" a="1"/>
  <c r="Q615" i="3" s="1"/>
  <c r="P1458" i="3" s="1"/>
  <c r="R614" i="3" a="1"/>
  <c r="R614" i="3" s="1"/>
  <c r="Q614" i="3" a="1"/>
  <c r="Q614" i="3" s="1"/>
  <c r="P1457" i="3" s="1"/>
  <c r="R613" i="3" a="1"/>
  <c r="R613" i="3" s="1"/>
  <c r="Q613" i="3" a="1"/>
  <c r="Q613" i="3" s="1"/>
  <c r="P1456" i="3" s="1"/>
  <c r="R612" i="3" a="1"/>
  <c r="R612" i="3" s="1"/>
  <c r="Q612" i="3" a="1"/>
  <c r="Q612" i="3" s="1"/>
  <c r="P1455" i="3" s="1"/>
  <c r="R611" i="3" a="1"/>
  <c r="R611" i="3" s="1"/>
  <c r="Q611" i="3" a="1"/>
  <c r="Q611" i="3" s="1"/>
  <c r="P1454" i="3" s="1"/>
  <c r="R610" i="3" a="1"/>
  <c r="R610" i="3" s="1"/>
  <c r="Q610" i="3" a="1"/>
  <c r="Q610" i="3" s="1"/>
  <c r="P1453" i="3" s="1"/>
  <c r="R609" i="3" a="1"/>
  <c r="R609" i="3" s="1"/>
  <c r="Q609" i="3" a="1"/>
  <c r="Q609" i="3" s="1"/>
  <c r="P1452" i="3" s="1"/>
  <c r="R608" i="3" a="1"/>
  <c r="R608" i="3" s="1"/>
  <c r="Q608" i="3" a="1"/>
  <c r="Q608" i="3" s="1"/>
  <c r="P1451" i="3" s="1"/>
  <c r="R607" i="3" a="1"/>
  <c r="R607" i="3" s="1"/>
  <c r="Q607" i="3" a="1"/>
  <c r="Q607" i="3" s="1"/>
  <c r="P1450" i="3" s="1"/>
  <c r="R606" i="3" a="1"/>
  <c r="R606" i="3" s="1"/>
  <c r="Q606" i="3" a="1"/>
  <c r="Q606" i="3" s="1"/>
  <c r="P1449" i="3" s="1"/>
  <c r="R605" i="3" a="1"/>
  <c r="R605" i="3" s="1"/>
  <c r="Q605" i="3" a="1"/>
  <c r="Q605" i="3" s="1"/>
  <c r="P1448" i="3" s="1"/>
  <c r="R604" i="3" a="1"/>
  <c r="R604" i="3" s="1"/>
  <c r="Q604" i="3" a="1"/>
  <c r="Q604" i="3" s="1"/>
  <c r="P1447" i="3" s="1"/>
  <c r="R603" i="3" a="1"/>
  <c r="R603" i="3" s="1"/>
  <c r="Q603" i="3" a="1"/>
  <c r="Q603" i="3" s="1"/>
  <c r="P1446" i="3" s="1"/>
  <c r="R602" i="3" a="1"/>
  <c r="R602" i="3" s="1"/>
  <c r="Q602" i="3" a="1"/>
  <c r="Q602" i="3" s="1"/>
  <c r="P1445" i="3" s="1"/>
  <c r="R601" i="3" a="1"/>
  <c r="R601" i="3" s="1"/>
  <c r="Q601" i="3" a="1"/>
  <c r="Q601" i="3" s="1"/>
  <c r="P1444" i="3" s="1"/>
  <c r="R600" i="3" a="1"/>
  <c r="R600" i="3" s="1"/>
  <c r="Q600" i="3" a="1"/>
  <c r="Q600" i="3" s="1"/>
  <c r="P1443" i="3" s="1"/>
  <c r="R599" i="3" a="1"/>
  <c r="R599" i="3" s="1"/>
  <c r="Q599" i="3" a="1"/>
  <c r="Q599" i="3" s="1"/>
  <c r="P1442" i="3" s="1"/>
  <c r="R598" i="3" a="1"/>
  <c r="R598" i="3" s="1"/>
  <c r="Q598" i="3" a="1"/>
  <c r="Q598" i="3" s="1"/>
  <c r="P1441" i="3" s="1"/>
  <c r="R597" i="3" a="1"/>
  <c r="R597" i="3" s="1"/>
  <c r="Q597" i="3" a="1"/>
  <c r="Q597" i="3" s="1"/>
  <c r="P1440" i="3" s="1"/>
  <c r="R596" i="3" a="1"/>
  <c r="R596" i="3" s="1"/>
  <c r="Q596" i="3" a="1"/>
  <c r="Q596" i="3" s="1"/>
  <c r="P1439" i="3" s="1"/>
  <c r="R595" i="3" a="1"/>
  <c r="R595" i="3" s="1"/>
  <c r="Q595" i="3" a="1"/>
  <c r="Q595" i="3" s="1"/>
  <c r="P1438" i="3" s="1"/>
  <c r="R594" i="3" a="1"/>
  <c r="R594" i="3" s="1"/>
  <c r="Q594" i="3" a="1"/>
  <c r="Q594" i="3" s="1"/>
  <c r="P1437" i="3" s="1"/>
  <c r="R593" i="3" a="1"/>
  <c r="R593" i="3" s="1"/>
  <c r="Q593" i="3" a="1"/>
  <c r="Q593" i="3" s="1"/>
  <c r="P1436" i="3" s="1"/>
  <c r="R592" i="3" a="1"/>
  <c r="R592" i="3" s="1"/>
  <c r="Q592" i="3" a="1"/>
  <c r="Q592" i="3" s="1"/>
  <c r="P1435" i="3" s="1"/>
  <c r="R591" i="3" a="1"/>
  <c r="R591" i="3" s="1"/>
  <c r="Q591" i="3" a="1"/>
  <c r="Q591" i="3" s="1"/>
  <c r="P1434" i="3" s="1"/>
  <c r="R590" i="3" a="1"/>
  <c r="R590" i="3" s="1"/>
  <c r="Q590" i="3" a="1"/>
  <c r="Q590" i="3" s="1"/>
  <c r="P1433" i="3" s="1"/>
  <c r="R589" i="3" a="1"/>
  <c r="R589" i="3" s="1"/>
  <c r="Q589" i="3" a="1"/>
  <c r="Q589" i="3" s="1"/>
  <c r="P1432" i="3" s="1"/>
  <c r="R588" i="3" a="1"/>
  <c r="R588" i="3" s="1"/>
  <c r="Q588" i="3" a="1"/>
  <c r="Q588" i="3" s="1"/>
  <c r="P1431" i="3" s="1"/>
  <c r="R587" i="3" a="1"/>
  <c r="R587" i="3" s="1"/>
  <c r="Q587" i="3" a="1"/>
  <c r="Q587" i="3" s="1"/>
  <c r="P1430" i="3" s="1"/>
  <c r="R586" i="3" a="1"/>
  <c r="R586" i="3" s="1"/>
  <c r="Q586" i="3" a="1"/>
  <c r="Q586" i="3" s="1"/>
  <c r="P1429" i="3" s="1"/>
  <c r="R585" i="3" a="1"/>
  <c r="R585" i="3" s="1"/>
  <c r="Q585" i="3" a="1"/>
  <c r="Q585" i="3" s="1"/>
  <c r="P1428" i="3" s="1"/>
  <c r="R584" i="3" a="1"/>
  <c r="R584" i="3" s="1"/>
  <c r="Q584" i="3" a="1"/>
  <c r="Q584" i="3" s="1"/>
  <c r="P1427" i="3" s="1"/>
  <c r="R583" i="3" a="1"/>
  <c r="R583" i="3" s="1"/>
  <c r="Q583" i="3" a="1"/>
  <c r="Q583" i="3" s="1"/>
  <c r="P1426" i="3" s="1"/>
  <c r="R582" i="3" a="1"/>
  <c r="R582" i="3" s="1"/>
  <c r="Q582" i="3" a="1"/>
  <c r="Q582" i="3" s="1"/>
  <c r="P1425" i="3" s="1"/>
  <c r="R581" i="3" a="1"/>
  <c r="R581" i="3" s="1"/>
  <c r="Q581" i="3" a="1"/>
  <c r="Q581" i="3" s="1"/>
  <c r="P1424" i="3" s="1"/>
  <c r="R580" i="3" a="1"/>
  <c r="R580" i="3" s="1"/>
  <c r="Q580" i="3" a="1"/>
  <c r="Q580" i="3" s="1"/>
  <c r="P1423" i="3" s="1"/>
  <c r="R579" i="3" a="1"/>
  <c r="R579" i="3" s="1"/>
  <c r="Q579" i="3" a="1"/>
  <c r="Q579" i="3" s="1"/>
  <c r="P1422" i="3" s="1"/>
  <c r="R578" i="3" a="1"/>
  <c r="R578" i="3" s="1"/>
  <c r="Q578" i="3" a="1"/>
  <c r="Q578" i="3" s="1"/>
  <c r="P1421" i="3" s="1"/>
  <c r="R577" i="3" a="1"/>
  <c r="R577" i="3" s="1"/>
  <c r="Q577" i="3" a="1"/>
  <c r="Q577" i="3" s="1"/>
  <c r="P1420" i="3" s="1"/>
  <c r="R576" i="3" a="1"/>
  <c r="R576" i="3" s="1"/>
  <c r="Q576" i="3" a="1"/>
  <c r="Q576" i="3" s="1"/>
  <c r="P1419" i="3" s="1"/>
  <c r="R575" i="3" a="1"/>
  <c r="R575" i="3" s="1"/>
  <c r="Q575" i="3" a="1"/>
  <c r="Q575" i="3" s="1"/>
  <c r="P1418" i="3" s="1"/>
  <c r="R574" i="3" a="1"/>
  <c r="R574" i="3" s="1"/>
  <c r="Q574" i="3" a="1"/>
  <c r="Q574" i="3" s="1"/>
  <c r="P1417" i="3" s="1"/>
  <c r="R573" i="3" a="1"/>
  <c r="R573" i="3" s="1"/>
  <c r="Q573" i="3" a="1"/>
  <c r="Q573" i="3" s="1"/>
  <c r="P1416" i="3" s="1"/>
  <c r="R572" i="3" a="1"/>
  <c r="R572" i="3" s="1"/>
  <c r="Q572" i="3" a="1"/>
  <c r="Q572" i="3" s="1"/>
  <c r="P1415" i="3" s="1"/>
  <c r="R571" i="3" a="1"/>
  <c r="R571" i="3" s="1"/>
  <c r="Q571" i="3" a="1"/>
  <c r="Q571" i="3" s="1"/>
  <c r="P1414" i="3" s="1"/>
  <c r="R570" i="3" a="1"/>
  <c r="R570" i="3" s="1"/>
  <c r="Q570" i="3" a="1"/>
  <c r="Q570" i="3" s="1"/>
  <c r="P1413" i="3" s="1"/>
  <c r="R569" i="3" a="1"/>
  <c r="R569" i="3" s="1"/>
  <c r="Q569" i="3" a="1"/>
  <c r="Q569" i="3" s="1"/>
  <c r="P1412" i="3" s="1"/>
  <c r="R568" i="3" a="1"/>
  <c r="R568" i="3" s="1"/>
  <c r="Q568" i="3" a="1"/>
  <c r="Q568" i="3" s="1"/>
  <c r="P1411" i="3" s="1"/>
  <c r="R567" i="3" a="1"/>
  <c r="R567" i="3" s="1"/>
  <c r="Q567" i="3" a="1"/>
  <c r="Q567" i="3" s="1"/>
  <c r="P1410" i="3" s="1"/>
  <c r="R566" i="3" a="1"/>
  <c r="R566" i="3" s="1"/>
  <c r="Q566" i="3" a="1"/>
  <c r="Q566" i="3" s="1"/>
  <c r="P1409" i="3" s="1"/>
  <c r="R565" i="3" a="1"/>
  <c r="R565" i="3" s="1"/>
  <c r="Q565" i="3" a="1"/>
  <c r="Q565" i="3" s="1"/>
  <c r="P1408" i="3" s="1"/>
  <c r="R564" i="3" a="1"/>
  <c r="R564" i="3" s="1"/>
  <c r="Q564" i="3" a="1"/>
  <c r="Q564" i="3" s="1"/>
  <c r="P864" i="3" s="1"/>
  <c r="R563" i="3" a="1"/>
  <c r="R563" i="3" s="1"/>
  <c r="Q563" i="3" a="1"/>
  <c r="Q563" i="3" s="1"/>
  <c r="P863" i="3" s="1"/>
  <c r="R562" i="3" a="1"/>
  <c r="R562" i="3" s="1"/>
  <c r="Q562" i="3" a="1"/>
  <c r="Q562" i="3" s="1"/>
  <c r="P862" i="3" s="1"/>
  <c r="R561" i="3" a="1"/>
  <c r="R561" i="3" s="1"/>
  <c r="Q561" i="3" a="1"/>
  <c r="Q561" i="3" s="1"/>
  <c r="P861" i="3" s="1"/>
  <c r="R560" i="3" a="1"/>
  <c r="R560" i="3" s="1"/>
  <c r="Q560" i="3" a="1"/>
  <c r="Q560" i="3" s="1"/>
  <c r="P860" i="3" s="1"/>
  <c r="R559" i="3" a="1"/>
  <c r="R559" i="3" s="1"/>
  <c r="Q559" i="3" a="1"/>
  <c r="Q559" i="3" s="1"/>
  <c r="P859" i="3" s="1"/>
  <c r="R558" i="3" a="1"/>
  <c r="R558" i="3" s="1"/>
  <c r="Q558" i="3" a="1"/>
  <c r="Q558" i="3" s="1"/>
  <c r="P858" i="3" s="1"/>
  <c r="R557" i="3" a="1"/>
  <c r="R557" i="3" s="1"/>
  <c r="Q557" i="3" a="1"/>
  <c r="Q557" i="3" s="1"/>
  <c r="P857" i="3" s="1"/>
  <c r="R556" i="3" a="1"/>
  <c r="R556" i="3" s="1"/>
  <c r="Q556" i="3" a="1"/>
  <c r="Q556" i="3" s="1"/>
  <c r="P856" i="3" s="1"/>
  <c r="R555" i="3" a="1"/>
  <c r="R555" i="3" s="1"/>
  <c r="Q555" i="3" a="1"/>
  <c r="Q555" i="3" s="1"/>
  <c r="P855" i="3" s="1"/>
  <c r="R554" i="3" a="1"/>
  <c r="R554" i="3" s="1"/>
  <c r="Q554" i="3" a="1"/>
  <c r="Q554" i="3" s="1"/>
  <c r="P854" i="3" s="1"/>
  <c r="R553" i="3" a="1"/>
  <c r="R553" i="3" s="1"/>
  <c r="Q553" i="3" a="1"/>
  <c r="Q553" i="3" s="1"/>
  <c r="P812" i="3" s="1"/>
  <c r="R552" i="3" a="1"/>
  <c r="R552" i="3" s="1"/>
  <c r="Q552" i="3" a="1"/>
  <c r="Q552" i="3" s="1"/>
  <c r="P811" i="3" s="1"/>
  <c r="R551" i="3" a="1"/>
  <c r="R551" i="3" s="1"/>
  <c r="Q551" i="3" a="1"/>
  <c r="Q551" i="3" s="1"/>
  <c r="P810" i="3" s="1"/>
  <c r="R550" i="3" a="1"/>
  <c r="R550" i="3" s="1"/>
  <c r="Q550" i="3" a="1"/>
  <c r="Q550" i="3" s="1"/>
  <c r="P809" i="3" s="1"/>
  <c r="R549" i="3" a="1"/>
  <c r="R549" i="3" s="1"/>
  <c r="Q549" i="3" a="1"/>
  <c r="Q549" i="3" s="1"/>
  <c r="P808" i="3" s="1"/>
  <c r="R548" i="3" a="1"/>
  <c r="R548" i="3" s="1"/>
  <c r="Q548" i="3" a="1"/>
  <c r="Q548" i="3" s="1"/>
  <c r="P807" i="3" s="1"/>
  <c r="R547" i="3" a="1"/>
  <c r="R547" i="3" s="1"/>
  <c r="Q547" i="3" a="1"/>
  <c r="Q547" i="3" s="1"/>
  <c r="P806" i="3" s="1"/>
  <c r="R546" i="3" a="1"/>
  <c r="R546" i="3" s="1"/>
  <c r="Q546" i="3" a="1"/>
  <c r="Q546" i="3" s="1"/>
  <c r="P805" i="3" s="1"/>
  <c r="R545" i="3" a="1"/>
  <c r="R545" i="3" s="1"/>
  <c r="Q545" i="3" a="1"/>
  <c r="Q545" i="3" s="1"/>
  <c r="P804" i="3" s="1"/>
  <c r="R544" i="3" a="1"/>
  <c r="R544" i="3" s="1"/>
  <c r="Q544" i="3" a="1"/>
  <c r="Q544" i="3" s="1"/>
  <c r="P803" i="3" s="1"/>
  <c r="R543" i="3" a="1"/>
  <c r="R543" i="3" s="1"/>
  <c r="Q543" i="3" a="1"/>
  <c r="Q543" i="3" s="1"/>
  <c r="P802" i="3" s="1"/>
  <c r="R542" i="3" a="1"/>
  <c r="R542" i="3" s="1"/>
  <c r="Q542" i="3" a="1"/>
  <c r="Q542" i="3" s="1"/>
  <c r="P801" i="3" s="1"/>
  <c r="R541" i="3" a="1"/>
  <c r="R541" i="3" s="1"/>
  <c r="Q541" i="3" a="1"/>
  <c r="Q541" i="3" s="1"/>
  <c r="R540" i="3" a="1"/>
  <c r="R540" i="3" s="1"/>
  <c r="Q540" i="3" a="1"/>
  <c r="Q540" i="3" s="1"/>
  <c r="R539" i="3" a="1"/>
  <c r="R539" i="3" s="1"/>
  <c r="Q539" i="3" a="1"/>
  <c r="Q539" i="3" s="1"/>
  <c r="R538" i="3" a="1"/>
  <c r="R538" i="3" s="1"/>
  <c r="Q538" i="3" a="1"/>
  <c r="Q538" i="3" s="1"/>
  <c r="R537" i="3" a="1"/>
  <c r="R537" i="3" s="1"/>
  <c r="Q537" i="3" a="1"/>
  <c r="Q537" i="3" s="1"/>
  <c r="R536" i="3" a="1"/>
  <c r="R536" i="3" s="1"/>
  <c r="Q536" i="3" a="1"/>
  <c r="Q536" i="3" s="1"/>
  <c r="R535" i="3" a="1"/>
  <c r="R535" i="3" s="1"/>
  <c r="Q535" i="3" a="1"/>
  <c r="Q535" i="3" s="1"/>
  <c r="R534" i="3" a="1"/>
  <c r="R534" i="3" s="1"/>
  <c r="Q534" i="3" a="1"/>
  <c r="Q534" i="3" s="1"/>
  <c r="R533" i="3" a="1"/>
  <c r="R533" i="3" s="1"/>
  <c r="Q533" i="3" a="1"/>
  <c r="Q533" i="3" s="1"/>
  <c r="R532" i="3" a="1"/>
  <c r="R532" i="3" s="1"/>
  <c r="Q532" i="3" a="1"/>
  <c r="Q532" i="3" s="1"/>
  <c r="R531" i="3" a="1"/>
  <c r="R531" i="3" s="1"/>
  <c r="Q531" i="3" a="1"/>
  <c r="Q531" i="3" s="1"/>
  <c r="P1407" i="3" s="1"/>
  <c r="R530" i="3" a="1"/>
  <c r="R530" i="3" s="1"/>
  <c r="Q530" i="3" a="1"/>
  <c r="Q530" i="3" s="1"/>
  <c r="P2057" i="3" s="1"/>
  <c r="R529" i="3" a="1"/>
  <c r="R529" i="3" s="1"/>
  <c r="Q529" i="3" a="1"/>
  <c r="Q529" i="3" s="1"/>
  <c r="R528" i="3" a="1"/>
  <c r="R528" i="3" s="1"/>
  <c r="Q528" i="3" a="1"/>
  <c r="Q528" i="3" s="1"/>
  <c r="P1406" i="3" s="1"/>
  <c r="R527" i="3" a="1"/>
  <c r="R527" i="3" s="1"/>
  <c r="Q527" i="3" a="1"/>
  <c r="Q527" i="3" s="1"/>
  <c r="R526" i="3" a="1"/>
  <c r="R526" i="3" s="1"/>
  <c r="Q526" i="3" a="1"/>
  <c r="Q526" i="3" s="1"/>
  <c r="R525" i="3" a="1"/>
  <c r="R525" i="3" s="1"/>
  <c r="Q525" i="3" a="1"/>
  <c r="Q525" i="3" s="1"/>
  <c r="R524" i="3" a="1"/>
  <c r="R524" i="3" s="1"/>
  <c r="Q524" i="3" a="1"/>
  <c r="Q524" i="3" s="1"/>
  <c r="P2056" i="3" s="1"/>
  <c r="R523" i="3" a="1"/>
  <c r="R523" i="3" s="1"/>
  <c r="Q523" i="3" a="1"/>
  <c r="Q523" i="3" s="1"/>
  <c r="R522" i="3" a="1"/>
  <c r="R522" i="3" s="1"/>
  <c r="Q522" i="3" a="1"/>
  <c r="Q522" i="3" s="1"/>
  <c r="P1405" i="3" s="1"/>
  <c r="R521" i="3" a="1"/>
  <c r="R521" i="3" s="1"/>
  <c r="Q521" i="3" a="1"/>
  <c r="Q521" i="3" s="1"/>
  <c r="P1404" i="3" s="1"/>
  <c r="R520" i="3" a="1"/>
  <c r="R520" i="3" s="1"/>
  <c r="Q520" i="3" a="1"/>
  <c r="Q520" i="3" s="1"/>
  <c r="R519" i="3" a="1"/>
  <c r="R519" i="3" s="1"/>
  <c r="Q519" i="3" a="1"/>
  <c r="Q519" i="3" s="1"/>
  <c r="R518" i="3" a="1"/>
  <c r="R518" i="3" s="1"/>
  <c r="Q518" i="3" a="1"/>
  <c r="Q518" i="3" s="1"/>
  <c r="R517" i="3" a="1"/>
  <c r="R517" i="3" s="1"/>
  <c r="Q517" i="3" a="1"/>
  <c r="Q517" i="3" s="1"/>
  <c r="R516" i="3" a="1"/>
  <c r="R516" i="3" s="1"/>
  <c r="Q516" i="3" a="1"/>
  <c r="Q516" i="3" s="1"/>
  <c r="R515" i="3" a="1"/>
  <c r="R515" i="3" s="1"/>
  <c r="Q515" i="3" a="1"/>
  <c r="Q515" i="3" s="1"/>
  <c r="R514" i="3" a="1"/>
  <c r="R514" i="3" s="1"/>
  <c r="Q514" i="3" a="1"/>
  <c r="Q514" i="3" s="1"/>
  <c r="R513" i="3" a="1"/>
  <c r="R513" i="3" s="1"/>
  <c r="Q513" i="3" a="1"/>
  <c r="Q513" i="3" s="1"/>
  <c r="R512" i="3" a="1"/>
  <c r="R512" i="3" s="1"/>
  <c r="Q512" i="3" a="1"/>
  <c r="Q512" i="3" s="1"/>
  <c r="R511" i="3" a="1"/>
  <c r="R511" i="3" s="1"/>
  <c r="Q511" i="3" a="1"/>
  <c r="Q511" i="3" s="1"/>
  <c r="P2044" i="3" s="1"/>
  <c r="R510" i="3" a="1"/>
  <c r="R510" i="3" s="1"/>
  <c r="Q510" i="3" a="1"/>
  <c r="Q510" i="3" s="1"/>
  <c r="R509" i="3" a="1"/>
  <c r="R509" i="3" s="1"/>
  <c r="Q509" i="3" a="1"/>
  <c r="Q509" i="3" s="1"/>
  <c r="R508" i="3" a="1"/>
  <c r="R508" i="3" s="1"/>
  <c r="Q508" i="3" a="1"/>
  <c r="Q508" i="3" s="1"/>
  <c r="R507" i="3" a="1"/>
  <c r="R507" i="3" s="1"/>
  <c r="Q507" i="3" a="1"/>
  <c r="Q507" i="3" s="1"/>
  <c r="R506" i="3" a="1"/>
  <c r="R506" i="3" s="1"/>
  <c r="Q506" i="3" a="1"/>
  <c r="Q506" i="3" s="1"/>
  <c r="R505" i="3" a="1"/>
  <c r="R505" i="3" s="1"/>
  <c r="Q505" i="3" a="1"/>
  <c r="Q505" i="3" s="1"/>
  <c r="P2051" i="3" s="1"/>
  <c r="R504" i="3" a="1"/>
  <c r="R504" i="3" s="1"/>
  <c r="Q504" i="3" a="1"/>
  <c r="Q504" i="3" s="1"/>
  <c r="R503" i="3" a="1"/>
  <c r="R503" i="3" s="1"/>
  <c r="Q503" i="3" a="1"/>
  <c r="Q503" i="3" s="1"/>
  <c r="R502" i="3" a="1"/>
  <c r="R502" i="3" s="1"/>
  <c r="Q502" i="3" a="1"/>
  <c r="Q502" i="3" s="1"/>
  <c r="P800" i="3" s="1"/>
  <c r="R501" i="3" a="1"/>
  <c r="R501" i="3" s="1"/>
  <c r="Q501" i="3" a="1"/>
  <c r="Q501" i="3" s="1"/>
  <c r="R500" i="3" a="1"/>
  <c r="R500" i="3" s="1"/>
  <c r="Q500" i="3" a="1"/>
  <c r="Q500" i="3" s="1"/>
  <c r="P1364" i="3" s="1"/>
  <c r="R499" i="3" a="1"/>
  <c r="R499" i="3" s="1"/>
  <c r="Q499" i="3" a="1"/>
  <c r="Q499" i="3" s="1"/>
  <c r="R498" i="3" a="1"/>
  <c r="R498" i="3" s="1"/>
  <c r="Q498" i="3" a="1"/>
  <c r="Q498" i="3" s="1"/>
  <c r="R497" i="3" a="1"/>
  <c r="R497" i="3" s="1"/>
  <c r="Q497" i="3" a="1"/>
  <c r="Q497" i="3" s="1"/>
  <c r="R496" i="3" a="1"/>
  <c r="R496" i="3" s="1"/>
  <c r="Q496" i="3" a="1"/>
  <c r="Q496" i="3" s="1"/>
  <c r="P2050" i="3" s="1"/>
  <c r="R495" i="3" a="1"/>
  <c r="R495" i="3" s="1"/>
  <c r="Q495" i="3" a="1"/>
  <c r="Q495" i="3" s="1"/>
  <c r="P1363" i="3" s="1"/>
  <c r="R494" i="3" a="1"/>
  <c r="R494" i="3" s="1"/>
  <c r="Q494" i="3" a="1"/>
  <c r="Q494" i="3" s="1"/>
  <c r="P1362" i="3" s="1"/>
  <c r="R493" i="3" a="1"/>
  <c r="R493" i="3" s="1"/>
  <c r="Q493" i="3" a="1"/>
  <c r="Q493" i="3" s="1"/>
  <c r="P1361" i="3" s="1"/>
  <c r="R492" i="3" a="1"/>
  <c r="R492" i="3" s="1"/>
  <c r="Q492" i="3" a="1"/>
  <c r="Q492" i="3" s="1"/>
  <c r="P848" i="3" s="1"/>
  <c r="R491" i="3" a="1"/>
  <c r="R491" i="3" s="1"/>
  <c r="Q491" i="3" a="1"/>
  <c r="Q491" i="3" s="1"/>
  <c r="P2055" i="3" s="1"/>
  <c r="R490" i="3" a="1"/>
  <c r="R490" i="3" s="1"/>
  <c r="Q490" i="3" a="1"/>
  <c r="Q490" i="3" s="1"/>
  <c r="P2043" i="3" s="1"/>
  <c r="R489" i="3" a="1"/>
  <c r="R489" i="3" s="1"/>
  <c r="Q489" i="3" a="1"/>
  <c r="Q489" i="3" s="1"/>
  <c r="R488" i="3" a="1"/>
  <c r="R488" i="3" s="1"/>
  <c r="Q488" i="3" a="1"/>
  <c r="Q488" i="3" s="1"/>
  <c r="P2029" i="3" s="1"/>
  <c r="R487" i="3" a="1"/>
  <c r="R487" i="3" s="1"/>
  <c r="Q487" i="3" a="1"/>
  <c r="Q487" i="3" s="1"/>
  <c r="P2042" i="3" s="1"/>
  <c r="R486" i="3" a="1"/>
  <c r="R486" i="3" s="1"/>
  <c r="Q486" i="3" a="1"/>
  <c r="Q486" i="3" s="1"/>
  <c r="P2028" i="3" s="1"/>
  <c r="R485" i="3" a="1"/>
  <c r="R485" i="3" s="1"/>
  <c r="Q485" i="3" a="1"/>
  <c r="Q485" i="3" s="1"/>
  <c r="P2041" i="3" s="1"/>
  <c r="R484" i="3" a="1"/>
  <c r="R484" i="3" s="1"/>
  <c r="Q484" i="3" a="1"/>
  <c r="Q484" i="3" s="1"/>
  <c r="R483" i="3" a="1"/>
  <c r="R483" i="3" s="1"/>
  <c r="Q483" i="3" a="1"/>
  <c r="Q483" i="3" s="1"/>
  <c r="P2027" i="3" s="1"/>
  <c r="R482" i="3" a="1"/>
  <c r="R482" i="3" s="1"/>
  <c r="Q482" i="3" a="1"/>
  <c r="Q482" i="3" s="1"/>
  <c r="P2040" i="3" s="1"/>
  <c r="R481" i="3" a="1"/>
  <c r="R481" i="3" s="1"/>
  <c r="Q481" i="3" a="1"/>
  <c r="Q481" i="3" s="1"/>
  <c r="R480" i="3" a="1"/>
  <c r="R480" i="3" s="1"/>
  <c r="Q480" i="3" a="1"/>
  <c r="Q480" i="3" s="1"/>
  <c r="P2026" i="3" s="1"/>
  <c r="R479" i="3" a="1"/>
  <c r="R479" i="3" s="1"/>
  <c r="Q479" i="3" a="1"/>
  <c r="Q479" i="3" s="1"/>
  <c r="P2025" i="3" s="1"/>
  <c r="R478" i="3" a="1"/>
  <c r="R478" i="3" s="1"/>
  <c r="Q478" i="3" a="1"/>
  <c r="Q478" i="3" s="1"/>
  <c r="P2039" i="3" s="1"/>
  <c r="R477" i="3" a="1"/>
  <c r="R477" i="3" s="1"/>
  <c r="Q477" i="3" a="1"/>
  <c r="Q477" i="3" s="1"/>
  <c r="P2024" i="3" s="1"/>
  <c r="R476" i="3" a="1"/>
  <c r="R476" i="3" s="1"/>
  <c r="Q476" i="3" a="1"/>
  <c r="Q476" i="3" s="1"/>
  <c r="P2038" i="3" s="1"/>
  <c r="R475" i="3" a="1"/>
  <c r="R475" i="3" s="1"/>
  <c r="Q475" i="3" a="1"/>
  <c r="Q475" i="3" s="1"/>
  <c r="P2023" i="3" s="1"/>
  <c r="R474" i="3" a="1"/>
  <c r="R474" i="3" s="1"/>
  <c r="Q474" i="3" a="1"/>
  <c r="Q474" i="3" s="1"/>
  <c r="R473" i="3" a="1"/>
  <c r="R473" i="3" s="1"/>
  <c r="Q473" i="3" a="1"/>
  <c r="Q473" i="3" s="1"/>
  <c r="P2037" i="3" s="1"/>
  <c r="R472" i="3" a="1"/>
  <c r="R472" i="3" s="1"/>
  <c r="Q472" i="3" a="1"/>
  <c r="Q472" i="3" s="1"/>
  <c r="P2036" i="3" s="1"/>
  <c r="R471" i="3" a="1"/>
  <c r="R471" i="3" s="1"/>
  <c r="Q471" i="3" a="1"/>
  <c r="Q471" i="3" s="1"/>
  <c r="P2022" i="3" s="1"/>
  <c r="R470" i="3" a="1"/>
  <c r="R470" i="3" s="1"/>
  <c r="Q470" i="3" a="1"/>
  <c r="Q470" i="3" s="1"/>
  <c r="P2021" i="3" s="1"/>
  <c r="R469" i="3" a="1"/>
  <c r="R469" i="3" s="1"/>
  <c r="Q469" i="3" a="1"/>
  <c r="Q469" i="3" s="1"/>
  <c r="P2020" i="3" s="1"/>
  <c r="R468" i="3" a="1"/>
  <c r="R468" i="3" s="1"/>
  <c r="Q468" i="3" a="1"/>
  <c r="Q468" i="3" s="1"/>
  <c r="P2035" i="3" s="1"/>
  <c r="R467" i="3" a="1"/>
  <c r="R467" i="3" s="1"/>
  <c r="Q467" i="3" a="1"/>
  <c r="Q467" i="3" s="1"/>
  <c r="P2019" i="3" s="1"/>
  <c r="R466" i="3" a="1"/>
  <c r="R466" i="3" s="1"/>
  <c r="Q466" i="3" a="1"/>
  <c r="Q466" i="3" s="1"/>
  <c r="P2018" i="3" s="1"/>
  <c r="R465" i="3" a="1"/>
  <c r="R465" i="3" s="1"/>
  <c r="Q465" i="3" a="1"/>
  <c r="Q465" i="3" s="1"/>
  <c r="P2017" i="3" s="1"/>
  <c r="R464" i="3" a="1"/>
  <c r="R464" i="3" s="1"/>
  <c r="Q464" i="3" a="1"/>
  <c r="Q464" i="3" s="1"/>
  <c r="P2016" i="3" s="1"/>
  <c r="R463" i="3" a="1"/>
  <c r="R463" i="3" s="1"/>
  <c r="Q463" i="3" a="1"/>
  <c r="Q463" i="3" s="1"/>
  <c r="R462" i="3" a="1"/>
  <c r="R462" i="3" s="1"/>
  <c r="Q462" i="3" a="1"/>
  <c r="Q462" i="3" s="1"/>
  <c r="P2015" i="3" s="1"/>
  <c r="R461" i="3" a="1"/>
  <c r="R461" i="3" s="1"/>
  <c r="Q461" i="3" a="1"/>
  <c r="Q461" i="3" s="1"/>
  <c r="P2014" i="3" s="1"/>
  <c r="R460" i="3" a="1"/>
  <c r="R460" i="3" s="1"/>
  <c r="Q460" i="3" a="1"/>
  <c r="Q460" i="3" s="1"/>
  <c r="P2034" i="3" s="1"/>
  <c r="R459" i="3" a="1"/>
  <c r="R459" i="3" s="1"/>
  <c r="Q459" i="3" a="1"/>
  <c r="Q459" i="3" s="1"/>
  <c r="P2013" i="3" s="1"/>
  <c r="R458" i="3" a="1"/>
  <c r="R458" i="3" s="1"/>
  <c r="Q458" i="3" a="1"/>
  <c r="Q458" i="3" s="1"/>
  <c r="P2012" i="3" s="1"/>
  <c r="R457" i="3" a="1"/>
  <c r="R457" i="3" s="1"/>
  <c r="Q457" i="3" a="1"/>
  <c r="Q457" i="3" s="1"/>
  <c r="R456" i="3" a="1"/>
  <c r="R456" i="3" s="1"/>
  <c r="Q456" i="3" a="1"/>
  <c r="Q456" i="3" s="1"/>
  <c r="P2033" i="3" s="1"/>
  <c r="R455" i="3" a="1"/>
  <c r="R455" i="3" s="1"/>
  <c r="Q455" i="3" a="1"/>
  <c r="Q455" i="3" s="1"/>
  <c r="P2011" i="3" s="1"/>
  <c r="R454" i="3" a="1"/>
  <c r="R454" i="3" s="1"/>
  <c r="Q454" i="3" a="1"/>
  <c r="Q454" i="3" s="1"/>
  <c r="P853" i="3" s="1"/>
  <c r="R453" i="3" a="1"/>
  <c r="R453" i="3" s="1"/>
  <c r="Q453" i="3" a="1"/>
  <c r="Q453" i="3" s="1"/>
  <c r="P2032" i="3" s="1"/>
  <c r="R452" i="3" a="1"/>
  <c r="R452" i="3" s="1"/>
  <c r="Q452" i="3" a="1"/>
  <c r="Q452" i="3" s="1"/>
  <c r="P2031" i="3" s="1"/>
  <c r="R451" i="3" a="1"/>
  <c r="R451" i="3" s="1"/>
  <c r="Q451" i="3" a="1"/>
  <c r="Q451" i="3" s="1"/>
  <c r="P1360" i="3" s="1"/>
  <c r="R450" i="3" a="1"/>
  <c r="R450" i="3" s="1"/>
  <c r="Q450" i="3" a="1"/>
  <c r="Q450" i="3" s="1"/>
  <c r="P1403" i="3" s="1"/>
  <c r="R449" i="3" a="1"/>
  <c r="R449" i="3" s="1"/>
  <c r="Q449" i="3" a="1"/>
  <c r="Q449" i="3" s="1"/>
  <c r="P1402" i="3" s="1"/>
  <c r="R448" i="3" a="1"/>
  <c r="R448" i="3" s="1"/>
  <c r="Q448" i="3" a="1"/>
  <c r="Q448" i="3" s="1"/>
  <c r="P1359" i="3" s="1"/>
  <c r="R447" i="3" a="1"/>
  <c r="R447" i="3" s="1"/>
  <c r="Q447" i="3" a="1"/>
  <c r="Q447" i="3" s="1"/>
  <c r="P1358" i="3" s="1"/>
  <c r="R446" i="3" a="1"/>
  <c r="R446" i="3" s="1"/>
  <c r="Q446" i="3" a="1"/>
  <c r="Q446" i="3" s="1"/>
  <c r="P1357" i="3" s="1"/>
  <c r="R445" i="3" a="1"/>
  <c r="R445" i="3" s="1"/>
  <c r="Q445" i="3" a="1"/>
  <c r="Q445" i="3" s="1"/>
  <c r="P1356" i="3" s="1"/>
  <c r="R444" i="3" a="1"/>
  <c r="R444" i="3" s="1"/>
  <c r="Q444" i="3" a="1"/>
  <c r="Q444" i="3" s="1"/>
  <c r="P1355" i="3" s="1"/>
  <c r="R443" i="3" a="1"/>
  <c r="R443" i="3" s="1"/>
  <c r="Q443" i="3" a="1"/>
  <c r="Q443" i="3" s="1"/>
  <c r="P1354" i="3" s="1"/>
  <c r="R442" i="3" a="1"/>
  <c r="R442" i="3" s="1"/>
  <c r="Q442" i="3" a="1"/>
  <c r="Q442" i="3" s="1"/>
  <c r="P1353" i="3" s="1"/>
  <c r="R441" i="3" a="1"/>
  <c r="R441" i="3" s="1"/>
  <c r="Q441" i="3" a="1"/>
  <c r="Q441" i="3" s="1"/>
  <c r="P1352" i="3" s="1"/>
  <c r="R440" i="3" a="1"/>
  <c r="R440" i="3" s="1"/>
  <c r="Q440" i="3" a="1"/>
  <c r="Q440" i="3" s="1"/>
  <c r="P1351" i="3" s="1"/>
  <c r="R439" i="3" a="1"/>
  <c r="R439" i="3" s="1"/>
  <c r="Q439" i="3" a="1"/>
  <c r="Q439" i="3" s="1"/>
  <c r="P1401" i="3" s="1"/>
  <c r="R438" i="3" a="1"/>
  <c r="R438" i="3" s="1"/>
  <c r="Q438" i="3" a="1"/>
  <c r="Q438" i="3" s="1"/>
  <c r="P1400" i="3" s="1"/>
  <c r="R437" i="3" a="1"/>
  <c r="R437" i="3" s="1"/>
  <c r="Q437" i="3" a="1"/>
  <c r="Q437" i="3" s="1"/>
  <c r="P1350" i="3" s="1"/>
  <c r="R436" i="3" a="1"/>
  <c r="R436" i="3" s="1"/>
  <c r="Q436" i="3" a="1"/>
  <c r="Q436" i="3" s="1"/>
  <c r="R435" i="3" a="1"/>
  <c r="R435" i="3" s="1"/>
  <c r="Q435" i="3" a="1"/>
  <c r="Q435" i="3" s="1"/>
  <c r="P1349" i="3" s="1"/>
  <c r="R434" i="3" a="1"/>
  <c r="R434" i="3" s="1"/>
  <c r="Q434" i="3" a="1"/>
  <c r="Q434" i="3" s="1"/>
  <c r="P1399" i="3" s="1"/>
  <c r="R433" i="3" a="1"/>
  <c r="R433" i="3" s="1"/>
  <c r="Q433" i="3" a="1"/>
  <c r="Q433" i="3" s="1"/>
  <c r="P1348" i="3" s="1"/>
  <c r="R432" i="3" a="1"/>
  <c r="R432" i="3" s="1"/>
  <c r="Q432" i="3" a="1"/>
  <c r="Q432" i="3" s="1"/>
  <c r="P1347" i="3" s="1"/>
  <c r="R431" i="3" a="1"/>
  <c r="R431" i="3" s="1"/>
  <c r="Q431" i="3" a="1"/>
  <c r="Q431" i="3" s="1"/>
  <c r="P1346" i="3" s="1"/>
  <c r="R430" i="3" a="1"/>
  <c r="R430" i="3" s="1"/>
  <c r="Q430" i="3" a="1"/>
  <c r="Q430" i="3" s="1"/>
  <c r="P1345" i="3" s="1"/>
  <c r="R429" i="3" a="1"/>
  <c r="R429" i="3" s="1"/>
  <c r="Q429" i="3" a="1"/>
  <c r="Q429" i="3" s="1"/>
  <c r="P1344" i="3" s="1"/>
  <c r="R428" i="3" a="1"/>
  <c r="R428" i="3" s="1"/>
  <c r="Q428" i="3" a="1"/>
  <c r="Q428" i="3" s="1"/>
  <c r="P847" i="3" s="1"/>
  <c r="R427" i="3" a="1"/>
  <c r="R427" i="3" s="1"/>
  <c r="Q427" i="3" a="1"/>
  <c r="Q427" i="3" s="1"/>
  <c r="P846" i="3" s="1"/>
  <c r="R426" i="3" a="1"/>
  <c r="R426" i="3" s="1"/>
  <c r="Q426" i="3" a="1"/>
  <c r="Q426" i="3" s="1"/>
  <c r="P845" i="3" s="1"/>
  <c r="R425" i="3" a="1"/>
  <c r="R425" i="3" s="1"/>
  <c r="Q425" i="3" a="1"/>
  <c r="Q425" i="3" s="1"/>
  <c r="P844" i="3" s="1"/>
  <c r="R424" i="3" a="1"/>
  <c r="R424" i="3" s="1"/>
  <c r="Q424" i="3" a="1"/>
  <c r="Q424" i="3" s="1"/>
  <c r="P843" i="3" s="1"/>
  <c r="R423" i="3" a="1"/>
  <c r="R423" i="3" s="1"/>
  <c r="Q423" i="3" a="1"/>
  <c r="Q423" i="3" s="1"/>
  <c r="P842" i="3" s="1"/>
  <c r="R422" i="3" a="1"/>
  <c r="R422" i="3" s="1"/>
  <c r="Q422" i="3" a="1"/>
  <c r="Q422" i="3" s="1"/>
  <c r="P1343" i="3" s="1"/>
  <c r="R421" i="3" a="1"/>
  <c r="R421" i="3" s="1"/>
  <c r="Q421" i="3" a="1"/>
  <c r="Q421" i="3" s="1"/>
  <c r="P1342" i="3" s="1"/>
  <c r="R420" i="3" a="1"/>
  <c r="R420" i="3" s="1"/>
  <c r="Q420" i="3" a="1"/>
  <c r="Q420" i="3" s="1"/>
  <c r="P1341" i="3" s="1"/>
  <c r="R419" i="3" a="1"/>
  <c r="R419" i="3" s="1"/>
  <c r="Q419" i="3" a="1"/>
  <c r="Q419" i="3" s="1"/>
  <c r="P1398" i="3" s="1"/>
  <c r="R418" i="3" a="1"/>
  <c r="R418" i="3" s="1"/>
  <c r="Q418" i="3" a="1"/>
  <c r="Q418" i="3" s="1"/>
  <c r="P841" i="3" s="1"/>
  <c r="R417" i="3" a="1"/>
  <c r="R417" i="3" s="1"/>
  <c r="Q417" i="3" a="1"/>
  <c r="Q417" i="3" s="1"/>
  <c r="P1340" i="3" s="1"/>
  <c r="R416" i="3" a="1"/>
  <c r="R416" i="3" s="1"/>
  <c r="Q416" i="3" a="1"/>
  <c r="Q416" i="3" s="1"/>
  <c r="P852" i="3" s="1"/>
  <c r="R415" i="3" a="1"/>
  <c r="R415" i="3" s="1"/>
  <c r="Q415" i="3" a="1"/>
  <c r="Q415" i="3" s="1"/>
  <c r="P840" i="3" s="1"/>
  <c r="R414" i="3" a="1"/>
  <c r="R414" i="3" s="1"/>
  <c r="Q414" i="3" a="1"/>
  <c r="Q414" i="3" s="1"/>
  <c r="P839" i="3" s="1"/>
  <c r="R413" i="3" a="1"/>
  <c r="R413" i="3" s="1"/>
  <c r="Q413" i="3" a="1"/>
  <c r="Q413" i="3" s="1"/>
  <c r="P1339" i="3" s="1"/>
  <c r="R412" i="3" a="1"/>
  <c r="R412" i="3" s="1"/>
  <c r="Q412" i="3" a="1"/>
  <c r="Q412" i="3" s="1"/>
  <c r="P1338" i="3" s="1"/>
  <c r="R411" i="3" a="1"/>
  <c r="R411" i="3" s="1"/>
  <c r="Q411" i="3" a="1"/>
  <c r="Q411" i="3" s="1"/>
  <c r="P1337" i="3" s="1"/>
  <c r="R410" i="3" a="1"/>
  <c r="R410" i="3" s="1"/>
  <c r="Q410" i="3" a="1"/>
  <c r="Q410" i="3" s="1"/>
  <c r="P1336" i="3" s="1"/>
  <c r="R409" i="3" a="1"/>
  <c r="R409" i="3" s="1"/>
  <c r="Q409" i="3" a="1"/>
  <c r="Q409" i="3" s="1"/>
  <c r="R408" i="3" a="1"/>
  <c r="R408" i="3" s="1"/>
  <c r="Q408" i="3" a="1"/>
  <c r="Q408" i="3" s="1"/>
  <c r="R407" i="3" a="1"/>
  <c r="R407" i="3" s="1"/>
  <c r="Q407" i="3" a="1"/>
  <c r="Q407" i="3" s="1"/>
  <c r="P1335" i="3" s="1"/>
  <c r="R406" i="3" a="1"/>
  <c r="R406" i="3" s="1"/>
  <c r="Q406" i="3" a="1"/>
  <c r="Q406" i="3" s="1"/>
  <c r="R405" i="3" a="1"/>
  <c r="R405" i="3" s="1"/>
  <c r="Q405" i="3" a="1"/>
  <c r="Q405" i="3" s="1"/>
  <c r="P1334" i="3" s="1"/>
  <c r="R404" i="3" a="1"/>
  <c r="R404" i="3" s="1"/>
  <c r="Q404" i="3" a="1"/>
  <c r="Q404" i="3" s="1"/>
  <c r="P838" i="3" s="1"/>
  <c r="R403" i="3" a="1"/>
  <c r="R403" i="3" s="1"/>
  <c r="Q403" i="3" a="1"/>
  <c r="Q403" i="3" s="1"/>
  <c r="P1397" i="3" s="1"/>
  <c r="R402" i="3" a="1"/>
  <c r="R402" i="3" s="1"/>
  <c r="Q402" i="3" a="1"/>
  <c r="Q402" i="3" s="1"/>
  <c r="P1333" i="3" s="1"/>
  <c r="R401" i="3" a="1"/>
  <c r="R401" i="3" s="1"/>
  <c r="Q401" i="3" a="1"/>
  <c r="Q401" i="3" s="1"/>
  <c r="R400" i="3" a="1"/>
  <c r="R400" i="3" s="1"/>
  <c r="Q400" i="3" a="1"/>
  <c r="Q400" i="3" s="1"/>
  <c r="P1332" i="3" s="1"/>
  <c r="R399" i="3" a="1"/>
  <c r="R399" i="3" s="1"/>
  <c r="Q399" i="3" a="1"/>
  <c r="Q399" i="3" s="1"/>
  <c r="P1331" i="3" s="1"/>
  <c r="R398" i="3" a="1"/>
  <c r="R398" i="3" s="1"/>
  <c r="Q398" i="3" a="1"/>
  <c r="Q398" i="3" s="1"/>
  <c r="P1330" i="3" s="1"/>
  <c r="R397" i="3" a="1"/>
  <c r="R397" i="3" s="1"/>
  <c r="Q397" i="3" a="1"/>
  <c r="Q397" i="3" s="1"/>
  <c r="P1329" i="3" s="1"/>
  <c r="R396" i="3" a="1"/>
  <c r="R396" i="3" s="1"/>
  <c r="Q396" i="3" a="1"/>
  <c r="Q396" i="3" s="1"/>
  <c r="P1328" i="3" s="1"/>
  <c r="R395" i="3" a="1"/>
  <c r="R395" i="3" s="1"/>
  <c r="Q395" i="3" a="1"/>
  <c r="Q395" i="3" s="1"/>
  <c r="P1396" i="3" s="1"/>
  <c r="R394" i="3" a="1"/>
  <c r="R394" i="3" s="1"/>
  <c r="Q394" i="3" a="1"/>
  <c r="Q394" i="3" s="1"/>
  <c r="P1327" i="3" s="1"/>
  <c r="R393" i="3" a="1"/>
  <c r="R393" i="3" s="1"/>
  <c r="Q393" i="3" a="1"/>
  <c r="Q393" i="3" s="1"/>
  <c r="P1395" i="3" s="1"/>
  <c r="R392" i="3" a="1"/>
  <c r="R392" i="3" s="1"/>
  <c r="Q392" i="3" a="1"/>
  <c r="Q392" i="3" s="1"/>
  <c r="R391" i="3" a="1"/>
  <c r="R391" i="3" s="1"/>
  <c r="Q391" i="3" a="1"/>
  <c r="Q391" i="3" s="1"/>
  <c r="P1326" i="3" s="1"/>
  <c r="R390" i="3" a="1"/>
  <c r="R390" i="3" s="1"/>
  <c r="Q390" i="3" a="1"/>
  <c r="Q390" i="3" s="1"/>
  <c r="P1325" i="3" s="1"/>
  <c r="R389" i="3" a="1"/>
  <c r="R389" i="3" s="1"/>
  <c r="Q389" i="3" a="1"/>
  <c r="Q389" i="3" s="1"/>
  <c r="P1324" i="3" s="1"/>
  <c r="R388" i="3" a="1"/>
  <c r="R388" i="3" s="1"/>
  <c r="Q388" i="3" a="1"/>
  <c r="Q388" i="3" s="1"/>
  <c r="P1323" i="3" s="1"/>
  <c r="R387" i="3" a="1"/>
  <c r="R387" i="3" s="1"/>
  <c r="Q387" i="3" a="1"/>
  <c r="Q387" i="3" s="1"/>
  <c r="P1322" i="3" s="1"/>
  <c r="R386" i="3" a="1"/>
  <c r="R386" i="3" s="1"/>
  <c r="Q386" i="3" a="1"/>
  <c r="Q386" i="3" s="1"/>
  <c r="P1394" i="3" s="1"/>
  <c r="R385" i="3" a="1"/>
  <c r="R385" i="3" s="1"/>
  <c r="Q385" i="3" a="1"/>
  <c r="Q385" i="3" s="1"/>
  <c r="P1321" i="3" s="1"/>
  <c r="R384" i="3" a="1"/>
  <c r="R384" i="3" s="1"/>
  <c r="Q384" i="3" a="1"/>
  <c r="Q384" i="3" s="1"/>
  <c r="P1320" i="3" s="1"/>
  <c r="R383" i="3" a="1"/>
  <c r="R383" i="3" s="1"/>
  <c r="Q383" i="3" a="1"/>
  <c r="Q383" i="3" s="1"/>
  <c r="P1319" i="3" s="1"/>
  <c r="R382" i="3" a="1"/>
  <c r="R382" i="3" s="1"/>
  <c r="Q382" i="3" a="1"/>
  <c r="Q382" i="3" s="1"/>
  <c r="P1318" i="3" s="1"/>
  <c r="R381" i="3" a="1"/>
  <c r="R381" i="3" s="1"/>
  <c r="Q381" i="3" a="1"/>
  <c r="Q381" i="3" s="1"/>
  <c r="R380" i="3" a="1"/>
  <c r="R380" i="3" s="1"/>
  <c r="Q380" i="3" a="1"/>
  <c r="Q380" i="3" s="1"/>
  <c r="P1317" i="3" s="1"/>
  <c r="R379" i="3" a="1"/>
  <c r="R379" i="3" s="1"/>
  <c r="Q379" i="3" a="1"/>
  <c r="Q379" i="3" s="1"/>
  <c r="P1316" i="3" s="1"/>
  <c r="R378" i="3" a="1"/>
  <c r="R378" i="3" s="1"/>
  <c r="Q378" i="3" a="1"/>
  <c r="Q378" i="3" s="1"/>
  <c r="P1393" i="3" s="1"/>
  <c r="R377" i="3" a="1"/>
  <c r="R377" i="3" s="1"/>
  <c r="Q377" i="3" a="1"/>
  <c r="Q377" i="3" s="1"/>
  <c r="P1315" i="3" s="1"/>
  <c r="R376" i="3" a="1"/>
  <c r="R376" i="3" s="1"/>
  <c r="Q376" i="3" a="1"/>
  <c r="Q376" i="3" s="1"/>
  <c r="P799" i="3" s="1"/>
  <c r="R375" i="3" a="1"/>
  <c r="R375" i="3" s="1"/>
  <c r="Q375" i="3" a="1"/>
  <c r="Q375" i="3" s="1"/>
  <c r="P837" i="3" s="1"/>
  <c r="R374" i="3" a="1"/>
  <c r="R374" i="3" s="1"/>
  <c r="Q374" i="3" a="1"/>
  <c r="Q374" i="3" s="1"/>
  <c r="P1392" i="3" s="1"/>
  <c r="R373" i="3" a="1"/>
  <c r="R373" i="3" s="1"/>
  <c r="Q373" i="3" a="1"/>
  <c r="Q373" i="3" s="1"/>
  <c r="P1391" i="3" s="1"/>
  <c r="R372" i="3" a="1"/>
  <c r="R372" i="3" s="1"/>
  <c r="Q372" i="3" a="1"/>
  <c r="Q372" i="3" s="1"/>
  <c r="P798" i="3" s="1"/>
  <c r="R371" i="3" a="1"/>
  <c r="R371" i="3" s="1"/>
  <c r="Q371" i="3" a="1"/>
  <c r="Q371" i="3" s="1"/>
  <c r="P1314" i="3" s="1"/>
  <c r="R370" i="3" a="1"/>
  <c r="R370" i="3" s="1"/>
  <c r="Q370" i="3" a="1"/>
  <c r="Q370" i="3" s="1"/>
  <c r="P1390" i="3" s="1"/>
  <c r="R369" i="3" a="1"/>
  <c r="R369" i="3" s="1"/>
  <c r="Q369" i="3" a="1"/>
  <c r="Q369" i="3" s="1"/>
  <c r="P1313" i="3" s="1"/>
  <c r="R368" i="3" a="1"/>
  <c r="R368" i="3" s="1"/>
  <c r="Q368" i="3" a="1"/>
  <c r="Q368" i="3" s="1"/>
  <c r="P1312" i="3" s="1"/>
  <c r="R367" i="3" a="1"/>
  <c r="R367" i="3" s="1"/>
  <c r="Q367" i="3" a="1"/>
  <c r="Q367" i="3" s="1"/>
  <c r="P1311" i="3" s="1"/>
  <c r="R366" i="3" a="1"/>
  <c r="R366" i="3" s="1"/>
  <c r="Q366" i="3" a="1"/>
  <c r="Q366" i="3" s="1"/>
  <c r="P1310" i="3" s="1"/>
  <c r="R365" i="3" a="1"/>
  <c r="R365" i="3" s="1"/>
  <c r="Q365" i="3" a="1"/>
  <c r="Q365" i="3" s="1"/>
  <c r="P1309" i="3" s="1"/>
  <c r="R364" i="3" a="1"/>
  <c r="R364" i="3" s="1"/>
  <c r="Q364" i="3" a="1"/>
  <c r="Q364" i="3" s="1"/>
  <c r="P796" i="3" s="1"/>
  <c r="R363" i="3" a="1"/>
  <c r="R363" i="3" s="1"/>
  <c r="Q363" i="3" a="1"/>
  <c r="Q363" i="3" s="1"/>
  <c r="P2030" i="3" s="1"/>
  <c r="R362" i="3" a="1"/>
  <c r="R362" i="3" s="1"/>
  <c r="Q362" i="3" a="1"/>
  <c r="Q362" i="3" s="1"/>
  <c r="P795" i="3" s="1"/>
  <c r="R361" i="3" a="1"/>
  <c r="R361" i="3" s="1"/>
  <c r="Q361" i="3" a="1"/>
  <c r="Q361" i="3" s="1"/>
  <c r="P1308" i="3" s="1"/>
  <c r="R360" i="3" a="1"/>
  <c r="R360" i="3" s="1"/>
  <c r="Q360" i="3" a="1"/>
  <c r="Q360" i="3" s="1"/>
  <c r="P1307" i="3" s="1"/>
  <c r="R359" i="3" a="1"/>
  <c r="R359" i="3" s="1"/>
  <c r="Q359" i="3" a="1"/>
  <c r="Q359" i="3" s="1"/>
  <c r="P1306" i="3" s="1"/>
  <c r="R358" i="3" a="1"/>
  <c r="R358" i="3" s="1"/>
  <c r="Q358" i="3" a="1"/>
  <c r="Q358" i="3" s="1"/>
  <c r="P1305" i="3" s="1"/>
  <c r="R357" i="3" a="1"/>
  <c r="R357" i="3" s="1"/>
  <c r="Q357" i="3" a="1"/>
  <c r="Q357" i="3" s="1"/>
  <c r="P1304" i="3" s="1"/>
  <c r="R356" i="3" a="1"/>
  <c r="R356" i="3" s="1"/>
  <c r="Q356" i="3" a="1"/>
  <c r="Q356" i="3" s="1"/>
  <c r="P1303" i="3" s="1"/>
  <c r="R355" i="3" a="1"/>
  <c r="R355" i="3" s="1"/>
  <c r="Q355" i="3" a="1"/>
  <c r="Q355" i="3" s="1"/>
  <c r="P1302" i="3" s="1"/>
  <c r="R354" i="3" a="1"/>
  <c r="R354" i="3" s="1"/>
  <c r="Q354" i="3" a="1"/>
  <c r="Q354" i="3" s="1"/>
  <c r="P1301" i="3" s="1"/>
  <c r="R353" i="3" a="1"/>
  <c r="R353" i="3" s="1"/>
  <c r="Q353" i="3" a="1"/>
  <c r="Q353" i="3" s="1"/>
  <c r="P1300" i="3" s="1"/>
  <c r="R352" i="3" a="1"/>
  <c r="R352" i="3" s="1"/>
  <c r="Q352" i="3" a="1"/>
  <c r="Q352" i="3" s="1"/>
  <c r="P1299" i="3" s="1"/>
  <c r="R351" i="3" a="1"/>
  <c r="R351" i="3" s="1"/>
  <c r="Q351" i="3" a="1"/>
  <c r="Q351" i="3" s="1"/>
  <c r="P1298" i="3" s="1"/>
  <c r="R350" i="3" a="1"/>
  <c r="R350" i="3" s="1"/>
  <c r="Q350" i="3" a="1"/>
  <c r="Q350" i="3" s="1"/>
  <c r="P1297" i="3" s="1"/>
  <c r="R349" i="3" a="1"/>
  <c r="R349" i="3" s="1"/>
  <c r="Q349" i="3" a="1"/>
  <c r="Q349" i="3" s="1"/>
  <c r="P1296" i="3" s="1"/>
  <c r="R348" i="3" a="1"/>
  <c r="R348" i="3" s="1"/>
  <c r="Q348" i="3" a="1"/>
  <c r="Q348" i="3" s="1"/>
  <c r="P1295" i="3" s="1"/>
  <c r="R347" i="3" a="1"/>
  <c r="R347" i="3" s="1"/>
  <c r="Q347" i="3" a="1"/>
  <c r="Q347" i="3" s="1"/>
  <c r="P1294" i="3" s="1"/>
  <c r="R346" i="3" a="1"/>
  <c r="R346" i="3" s="1"/>
  <c r="Q346" i="3" a="1"/>
  <c r="Q346" i="3" s="1"/>
  <c r="P1293" i="3" s="1"/>
  <c r="R345" i="3" a="1"/>
  <c r="R345" i="3" s="1"/>
  <c r="Q345" i="3" a="1"/>
  <c r="Q345" i="3" s="1"/>
  <c r="P1292" i="3" s="1"/>
  <c r="R344" i="3" a="1"/>
  <c r="R344" i="3" s="1"/>
  <c r="Q344" i="3" a="1"/>
  <c r="Q344" i="3" s="1"/>
  <c r="P1291" i="3" s="1"/>
  <c r="R343" i="3" a="1"/>
  <c r="R343" i="3" s="1"/>
  <c r="Q343" i="3" a="1"/>
  <c r="Q343" i="3" s="1"/>
  <c r="P1290" i="3" s="1"/>
  <c r="R342" i="3" a="1"/>
  <c r="R342" i="3" s="1"/>
  <c r="Q342" i="3" a="1"/>
  <c r="Q342" i="3" s="1"/>
  <c r="P1289" i="3" s="1"/>
  <c r="R341" i="3" a="1"/>
  <c r="R341" i="3" s="1"/>
  <c r="Q341" i="3" a="1"/>
  <c r="Q341" i="3" s="1"/>
  <c r="P1288" i="3" s="1"/>
  <c r="R340" i="3" a="1"/>
  <c r="R340" i="3" s="1"/>
  <c r="Q340" i="3" a="1"/>
  <c r="Q340" i="3" s="1"/>
  <c r="P1287" i="3" s="1"/>
  <c r="R339" i="3" a="1"/>
  <c r="R339" i="3" s="1"/>
  <c r="Q339" i="3" a="1"/>
  <c r="Q339" i="3" s="1"/>
  <c r="P1286" i="3" s="1"/>
  <c r="R338" i="3" a="1"/>
  <c r="R338" i="3" s="1"/>
  <c r="Q338" i="3" a="1"/>
  <c r="Q338" i="3" s="1"/>
  <c r="P1285" i="3" s="1"/>
  <c r="R337" i="3" a="1"/>
  <c r="R337" i="3" s="1"/>
  <c r="Q337" i="3" a="1"/>
  <c r="Q337" i="3" s="1"/>
  <c r="P1284" i="3" s="1"/>
  <c r="R336" i="3" a="1"/>
  <c r="R336" i="3" s="1"/>
  <c r="Q336" i="3" a="1"/>
  <c r="Q336" i="3" s="1"/>
  <c r="P1283" i="3" s="1"/>
  <c r="R335" i="3" a="1"/>
  <c r="R335" i="3" s="1"/>
  <c r="Q335" i="3" a="1"/>
  <c r="Q335" i="3" s="1"/>
  <c r="P1282" i="3" s="1"/>
  <c r="R334" i="3" a="1"/>
  <c r="R334" i="3" s="1"/>
  <c r="Q334" i="3" a="1"/>
  <c r="Q334" i="3" s="1"/>
  <c r="P1281" i="3" s="1"/>
  <c r="R333" i="3" a="1"/>
  <c r="R333" i="3" s="1"/>
  <c r="Q333" i="3" a="1"/>
  <c r="Q333" i="3" s="1"/>
  <c r="P1280" i="3" s="1"/>
  <c r="R332" i="3" a="1"/>
  <c r="R332" i="3" s="1"/>
  <c r="Q332" i="3" a="1"/>
  <c r="Q332" i="3" s="1"/>
  <c r="P1279" i="3" s="1"/>
  <c r="R331" i="3" a="1"/>
  <c r="R331" i="3" s="1"/>
  <c r="Q331" i="3" a="1"/>
  <c r="Q331" i="3" s="1"/>
  <c r="P1278" i="3" s="1"/>
  <c r="R330" i="3" a="1"/>
  <c r="R330" i="3" s="1"/>
  <c r="Q330" i="3" a="1"/>
  <c r="Q330" i="3" s="1"/>
  <c r="P1277" i="3" s="1"/>
  <c r="R329" i="3" a="1"/>
  <c r="R329" i="3" s="1"/>
  <c r="Q329" i="3" a="1"/>
  <c r="Q329" i="3" s="1"/>
  <c r="P1276" i="3" s="1"/>
  <c r="R328" i="3" a="1"/>
  <c r="R328" i="3" s="1"/>
  <c r="Q328" i="3" a="1"/>
  <c r="Q328" i="3" s="1"/>
  <c r="P1275" i="3" s="1"/>
  <c r="R327" i="3" a="1"/>
  <c r="R327" i="3" s="1"/>
  <c r="Q327" i="3" a="1"/>
  <c r="Q327" i="3" s="1"/>
  <c r="P1274" i="3" s="1"/>
  <c r="R326" i="3" a="1"/>
  <c r="R326" i="3" s="1"/>
  <c r="Q326" i="3" a="1"/>
  <c r="Q326" i="3" s="1"/>
  <c r="P1273" i="3" s="1"/>
  <c r="R325" i="3" a="1"/>
  <c r="R325" i="3" s="1"/>
  <c r="Q325" i="3" a="1"/>
  <c r="Q325" i="3" s="1"/>
  <c r="P1272" i="3" s="1"/>
  <c r="R324" i="3" a="1"/>
  <c r="R324" i="3" s="1"/>
  <c r="Q324" i="3" a="1"/>
  <c r="Q324" i="3" s="1"/>
  <c r="P1271" i="3" s="1"/>
  <c r="R323" i="3" a="1"/>
  <c r="R323" i="3" s="1"/>
  <c r="Q323" i="3" a="1"/>
  <c r="Q323" i="3" s="1"/>
  <c r="P1270" i="3" s="1"/>
  <c r="R322" i="3" a="1"/>
  <c r="R322" i="3" s="1"/>
  <c r="Q322" i="3" a="1"/>
  <c r="Q322" i="3" s="1"/>
  <c r="P1269" i="3" s="1"/>
  <c r="R321" i="3" a="1"/>
  <c r="R321" i="3" s="1"/>
  <c r="Q321" i="3" a="1"/>
  <c r="Q321" i="3" s="1"/>
  <c r="P1268" i="3" s="1"/>
  <c r="R320" i="3" a="1"/>
  <c r="R320" i="3" s="1"/>
  <c r="Q320" i="3" a="1"/>
  <c r="Q320" i="3" s="1"/>
  <c r="P1267" i="3" s="1"/>
  <c r="R319" i="3" a="1"/>
  <c r="R319" i="3" s="1"/>
  <c r="Q319" i="3" a="1"/>
  <c r="Q319" i="3" s="1"/>
  <c r="P1266" i="3" s="1"/>
  <c r="R318" i="3" a="1"/>
  <c r="R318" i="3" s="1"/>
  <c r="Q318" i="3" a="1"/>
  <c r="Q318" i="3" s="1"/>
  <c r="P1265" i="3" s="1"/>
  <c r="R317" i="3" a="1"/>
  <c r="R317" i="3" s="1"/>
  <c r="Q317" i="3" a="1"/>
  <c r="Q317" i="3" s="1"/>
  <c r="P1264" i="3" s="1"/>
  <c r="R316" i="3" a="1"/>
  <c r="R316" i="3" s="1"/>
  <c r="Q316" i="3" a="1"/>
  <c r="Q316" i="3" s="1"/>
  <c r="P1263" i="3" s="1"/>
  <c r="R315" i="3" a="1"/>
  <c r="R315" i="3" s="1"/>
  <c r="Q315" i="3" a="1"/>
  <c r="Q315" i="3" s="1"/>
  <c r="P1262" i="3" s="1"/>
  <c r="R314" i="3" a="1"/>
  <c r="R314" i="3" s="1"/>
  <c r="Q314" i="3" a="1"/>
  <c r="Q314" i="3" s="1"/>
  <c r="P1261" i="3" s="1"/>
  <c r="R313" i="3" a="1"/>
  <c r="R313" i="3" s="1"/>
  <c r="Q313" i="3" a="1"/>
  <c r="Q313" i="3" s="1"/>
  <c r="P1260" i="3" s="1"/>
  <c r="R312" i="3" a="1"/>
  <c r="R312" i="3" s="1"/>
  <c r="Q312" i="3" a="1"/>
  <c r="Q312" i="3" s="1"/>
  <c r="P1259" i="3" s="1"/>
  <c r="R311" i="3" a="1"/>
  <c r="R311" i="3" s="1"/>
  <c r="Q311" i="3" a="1"/>
  <c r="Q311" i="3" s="1"/>
  <c r="P1258" i="3" s="1"/>
  <c r="R310" i="3" a="1"/>
  <c r="R310" i="3" s="1"/>
  <c r="Q310" i="3" a="1"/>
  <c r="Q310" i="3" s="1"/>
  <c r="P1257" i="3" s="1"/>
  <c r="R309" i="3" a="1"/>
  <c r="R309" i="3" s="1"/>
  <c r="Q309" i="3" a="1"/>
  <c r="Q309" i="3" s="1"/>
  <c r="P1256" i="3" s="1"/>
  <c r="R308" i="3" a="1"/>
  <c r="R308" i="3" s="1"/>
  <c r="Q308" i="3" a="1"/>
  <c r="Q308" i="3" s="1"/>
  <c r="P1255" i="3" s="1"/>
  <c r="R307" i="3" a="1"/>
  <c r="R307" i="3" s="1"/>
  <c r="Q307" i="3" a="1"/>
  <c r="Q307" i="3" s="1"/>
  <c r="P1254" i="3" s="1"/>
  <c r="R306" i="3" a="1"/>
  <c r="R306" i="3" s="1"/>
  <c r="Q306" i="3" a="1"/>
  <c r="Q306" i="3" s="1"/>
  <c r="P1253" i="3" s="1"/>
  <c r="R305" i="3" a="1"/>
  <c r="R305" i="3" s="1"/>
  <c r="Q305" i="3" a="1"/>
  <c r="Q305" i="3" s="1"/>
  <c r="P1252" i="3" s="1"/>
  <c r="R304" i="3" a="1"/>
  <c r="R304" i="3" s="1"/>
  <c r="Q304" i="3" a="1"/>
  <c r="Q304" i="3" s="1"/>
  <c r="P1251" i="3" s="1"/>
  <c r="R303" i="3" a="1"/>
  <c r="R303" i="3" s="1"/>
  <c r="Q303" i="3" a="1"/>
  <c r="Q303" i="3" s="1"/>
  <c r="P1250" i="3" s="1"/>
  <c r="R302" i="3" a="1"/>
  <c r="R302" i="3" s="1"/>
  <c r="Q302" i="3" a="1"/>
  <c r="Q302" i="3" s="1"/>
  <c r="P1249" i="3" s="1"/>
  <c r="R301" i="3" a="1"/>
  <c r="R301" i="3" s="1"/>
  <c r="Q301" i="3" a="1"/>
  <c r="Q301" i="3" s="1"/>
  <c r="P1248" i="3" s="1"/>
  <c r="R300" i="3" a="1"/>
  <c r="R300" i="3" s="1"/>
  <c r="Q300" i="3" a="1"/>
  <c r="Q300" i="3" s="1"/>
  <c r="P1247" i="3" s="1"/>
  <c r="R299" i="3" a="1"/>
  <c r="R299" i="3" s="1"/>
  <c r="Q299" i="3" a="1"/>
  <c r="Q299" i="3" s="1"/>
  <c r="P1246" i="3" s="1"/>
  <c r="R298" i="3" a="1"/>
  <c r="R298" i="3" s="1"/>
  <c r="Q298" i="3" a="1"/>
  <c r="Q298" i="3" s="1"/>
  <c r="P1245" i="3" s="1"/>
  <c r="R297" i="3" a="1"/>
  <c r="R297" i="3" s="1"/>
  <c r="Q297" i="3" a="1"/>
  <c r="Q297" i="3" s="1"/>
  <c r="P1244" i="3" s="1"/>
  <c r="R296" i="3" a="1"/>
  <c r="R296" i="3" s="1"/>
  <c r="Q296" i="3" a="1"/>
  <c r="Q296" i="3" s="1"/>
  <c r="P1243" i="3" s="1"/>
  <c r="R295" i="3" a="1"/>
  <c r="R295" i="3" s="1"/>
  <c r="Q295" i="3" a="1"/>
  <c r="Q295" i="3" s="1"/>
  <c r="P1242" i="3" s="1"/>
  <c r="R294" i="3" a="1"/>
  <c r="R294" i="3" s="1"/>
  <c r="Q294" i="3" a="1"/>
  <c r="Q294" i="3" s="1"/>
  <c r="P1241" i="3" s="1"/>
  <c r="R293" i="3" a="1"/>
  <c r="R293" i="3" s="1"/>
  <c r="Q293" i="3" a="1"/>
  <c r="Q293" i="3" s="1"/>
  <c r="P1240" i="3" s="1"/>
  <c r="R292" i="3" a="1"/>
  <c r="R292" i="3" s="1"/>
  <c r="Q292" i="3" a="1"/>
  <c r="Q292" i="3" s="1"/>
  <c r="P1239" i="3" s="1"/>
  <c r="R291" i="3" a="1"/>
  <c r="R291" i="3" s="1"/>
  <c r="Q291" i="3" a="1"/>
  <c r="Q291" i="3" s="1"/>
  <c r="P1238" i="3" s="1"/>
  <c r="R290" i="3" a="1"/>
  <c r="R290" i="3" s="1"/>
  <c r="Q290" i="3" a="1"/>
  <c r="Q290" i="3" s="1"/>
  <c r="P1237" i="3" s="1"/>
  <c r="R289" i="3" a="1"/>
  <c r="R289" i="3" s="1"/>
  <c r="Q289" i="3" a="1"/>
  <c r="Q289" i="3" s="1"/>
  <c r="P1236" i="3" s="1"/>
  <c r="R288" i="3" a="1"/>
  <c r="R288" i="3" s="1"/>
  <c r="Q288" i="3" a="1"/>
  <c r="Q288" i="3" s="1"/>
  <c r="P1235" i="3" s="1"/>
  <c r="R287" i="3" a="1"/>
  <c r="R287" i="3" s="1"/>
  <c r="Q287" i="3" a="1"/>
  <c r="Q287" i="3" s="1"/>
  <c r="P1234" i="3" s="1"/>
  <c r="R286" i="3" a="1"/>
  <c r="R286" i="3" s="1"/>
  <c r="Q286" i="3" a="1"/>
  <c r="Q286" i="3" s="1"/>
  <c r="P1233" i="3" s="1"/>
  <c r="R285" i="3" a="1"/>
  <c r="R285" i="3" s="1"/>
  <c r="Q285" i="3" a="1"/>
  <c r="Q285" i="3" s="1"/>
  <c r="P1232" i="3" s="1"/>
  <c r="R284" i="3" a="1"/>
  <c r="R284" i="3" s="1"/>
  <c r="Q284" i="3" a="1"/>
  <c r="Q284" i="3" s="1"/>
  <c r="P1231" i="3" s="1"/>
  <c r="R283" i="3" a="1"/>
  <c r="R283" i="3" s="1"/>
  <c r="Q283" i="3" a="1"/>
  <c r="Q283" i="3" s="1"/>
  <c r="P1230" i="3" s="1"/>
  <c r="R282" i="3" a="1"/>
  <c r="R282" i="3" s="1"/>
  <c r="Q282" i="3" a="1"/>
  <c r="Q282" i="3" s="1"/>
  <c r="P1229" i="3" s="1"/>
  <c r="R281" i="3" a="1"/>
  <c r="R281" i="3" s="1"/>
  <c r="Q281" i="3" a="1"/>
  <c r="Q281" i="3" s="1"/>
  <c r="P1228" i="3" s="1"/>
  <c r="R280" i="3" a="1"/>
  <c r="R280" i="3" s="1"/>
  <c r="Q280" i="3" a="1"/>
  <c r="Q280" i="3" s="1"/>
  <c r="P1227" i="3" s="1"/>
  <c r="R279" i="3" a="1"/>
  <c r="R279" i="3" s="1"/>
  <c r="Q279" i="3" a="1"/>
  <c r="Q279" i="3" s="1"/>
  <c r="P1226" i="3" s="1"/>
  <c r="R278" i="3" a="1"/>
  <c r="R278" i="3" s="1"/>
  <c r="Q278" i="3" a="1"/>
  <c r="Q278" i="3" s="1"/>
  <c r="P1225" i="3" s="1"/>
  <c r="R277" i="3" a="1"/>
  <c r="R277" i="3" s="1"/>
  <c r="Q277" i="3" a="1"/>
  <c r="Q277" i="3" s="1"/>
  <c r="P1224" i="3" s="1"/>
  <c r="R276" i="3" a="1"/>
  <c r="R276" i="3" s="1"/>
  <c r="Q276" i="3" a="1"/>
  <c r="Q276" i="3" s="1"/>
  <c r="P1223" i="3" s="1"/>
  <c r="R275" i="3" a="1"/>
  <c r="R275" i="3" s="1"/>
  <c r="Q275" i="3" a="1"/>
  <c r="Q275" i="3" s="1"/>
  <c r="P1222" i="3" s="1"/>
  <c r="R274" i="3" a="1"/>
  <c r="R274" i="3" s="1"/>
  <c r="Q274" i="3" a="1"/>
  <c r="Q274" i="3" s="1"/>
  <c r="P1221" i="3" s="1"/>
  <c r="R273" i="3" a="1"/>
  <c r="R273" i="3" s="1"/>
  <c r="Q273" i="3" a="1"/>
  <c r="Q273" i="3" s="1"/>
  <c r="P1220" i="3" s="1"/>
  <c r="R272" i="3" a="1"/>
  <c r="R272" i="3" s="1"/>
  <c r="Q272" i="3" a="1"/>
  <c r="Q272" i="3" s="1"/>
  <c r="P1219" i="3" s="1"/>
  <c r="R271" i="3" a="1"/>
  <c r="R271" i="3" s="1"/>
  <c r="Q271" i="3" a="1"/>
  <c r="Q271" i="3" s="1"/>
  <c r="P1218" i="3" s="1"/>
  <c r="R270" i="3" a="1"/>
  <c r="R270" i="3" s="1"/>
  <c r="Q270" i="3" a="1"/>
  <c r="Q270" i="3" s="1"/>
  <c r="P1217" i="3" s="1"/>
  <c r="R269" i="3" a="1"/>
  <c r="R269" i="3" s="1"/>
  <c r="Q269" i="3" a="1"/>
  <c r="Q269" i="3" s="1"/>
  <c r="P1216" i="3" s="1"/>
  <c r="R268" i="3" a="1"/>
  <c r="R268" i="3" s="1"/>
  <c r="Q268" i="3" a="1"/>
  <c r="Q268" i="3" s="1"/>
  <c r="P1215" i="3" s="1"/>
  <c r="R267" i="3" a="1"/>
  <c r="R267" i="3" s="1"/>
  <c r="Q267" i="3" a="1"/>
  <c r="Q267" i="3" s="1"/>
  <c r="P1214" i="3" s="1"/>
  <c r="R266" i="3" a="1"/>
  <c r="R266" i="3" s="1"/>
  <c r="Q266" i="3" a="1"/>
  <c r="Q266" i="3" s="1"/>
  <c r="P1213" i="3" s="1"/>
  <c r="R265" i="3" a="1"/>
  <c r="R265" i="3" s="1"/>
  <c r="Q265" i="3" a="1"/>
  <c r="Q265" i="3" s="1"/>
  <c r="P1212" i="3" s="1"/>
  <c r="R264" i="3" a="1"/>
  <c r="R264" i="3" s="1"/>
  <c r="Q264" i="3" a="1"/>
  <c r="Q264" i="3" s="1"/>
  <c r="P1211" i="3" s="1"/>
  <c r="R263" i="3" a="1"/>
  <c r="R263" i="3" s="1"/>
  <c r="Q263" i="3" a="1"/>
  <c r="Q263" i="3" s="1"/>
  <c r="P1210" i="3" s="1"/>
  <c r="R262" i="3" a="1"/>
  <c r="R262" i="3" s="1"/>
  <c r="Q262" i="3" a="1"/>
  <c r="Q262" i="3" s="1"/>
  <c r="P1209" i="3" s="1"/>
  <c r="R261" i="3" a="1"/>
  <c r="R261" i="3" s="1"/>
  <c r="Q261" i="3" a="1"/>
  <c r="Q261" i="3" s="1"/>
  <c r="P1208" i="3" s="1"/>
  <c r="R260" i="3" a="1"/>
  <c r="R260" i="3" s="1"/>
  <c r="Q260" i="3" a="1"/>
  <c r="Q260" i="3" s="1"/>
  <c r="P1207" i="3" s="1"/>
  <c r="R259" i="3" a="1"/>
  <c r="R259" i="3" s="1"/>
  <c r="Q259" i="3" a="1"/>
  <c r="Q259" i="3" s="1"/>
  <c r="P1206" i="3" s="1"/>
  <c r="R258" i="3" a="1"/>
  <c r="R258" i="3" s="1"/>
  <c r="Q258" i="3" a="1"/>
  <c r="Q258" i="3" s="1"/>
  <c r="P836" i="3" s="1"/>
  <c r="R257" i="3" a="1"/>
  <c r="R257" i="3" s="1"/>
  <c r="Q257" i="3" a="1"/>
  <c r="Q257" i="3" s="1"/>
  <c r="P835" i="3" s="1"/>
  <c r="R256" i="3" a="1"/>
  <c r="R256" i="3" s="1"/>
  <c r="Q256" i="3" a="1"/>
  <c r="Q256" i="3" s="1"/>
  <c r="P834" i="3" s="1"/>
  <c r="R255" i="3" a="1"/>
  <c r="R255" i="3" s="1"/>
  <c r="Q255" i="3" a="1"/>
  <c r="Q255" i="3" s="1"/>
  <c r="P833" i="3" s="1"/>
  <c r="R254" i="3" a="1"/>
  <c r="R254" i="3" s="1"/>
  <c r="Q254" i="3" a="1"/>
  <c r="Q254" i="3" s="1"/>
  <c r="P832" i="3" s="1"/>
  <c r="R253" i="3" a="1"/>
  <c r="R253" i="3" s="1"/>
  <c r="Q253" i="3" a="1"/>
  <c r="Q253" i="3" s="1"/>
  <c r="P831" i="3" s="1"/>
  <c r="R252" i="3" a="1"/>
  <c r="R252" i="3" s="1"/>
  <c r="Q252" i="3" a="1"/>
  <c r="Q252" i="3" s="1"/>
  <c r="P830" i="3" s="1"/>
  <c r="R251" i="3" a="1"/>
  <c r="R251" i="3" s="1"/>
  <c r="Q251" i="3" a="1"/>
  <c r="Q251" i="3" s="1"/>
  <c r="P829" i="3" s="1"/>
  <c r="R250" i="3" a="1"/>
  <c r="R250" i="3" s="1"/>
  <c r="Q250" i="3" a="1"/>
  <c r="Q250" i="3" s="1"/>
  <c r="P828" i="3" s="1"/>
  <c r="R249" i="3" a="1"/>
  <c r="R249" i="3" s="1"/>
  <c r="Q249" i="3" a="1"/>
  <c r="Q249" i="3" s="1"/>
  <c r="P1205" i="3" s="1"/>
  <c r="R248" i="3" a="1"/>
  <c r="R248" i="3" s="1"/>
  <c r="Q248" i="3" a="1"/>
  <c r="Q248" i="3" s="1"/>
  <c r="P1204" i="3" s="1"/>
  <c r="R247" i="3" a="1"/>
  <c r="R247" i="3" s="1"/>
  <c r="Q247" i="3" a="1"/>
  <c r="Q247" i="3" s="1"/>
  <c r="P1203" i="3" s="1"/>
  <c r="R246" i="3" a="1"/>
  <c r="R246" i="3" s="1"/>
  <c r="Q246" i="3" a="1"/>
  <c r="Q246" i="3" s="1"/>
  <c r="P1202" i="3" s="1"/>
  <c r="R245" i="3" a="1"/>
  <c r="R245" i="3" s="1"/>
  <c r="Q245" i="3" a="1"/>
  <c r="Q245" i="3" s="1"/>
  <c r="P1201" i="3" s="1"/>
  <c r="R244" i="3" a="1"/>
  <c r="R244" i="3" s="1"/>
  <c r="Q244" i="3" a="1"/>
  <c r="Q244" i="3" s="1"/>
  <c r="P1200" i="3" s="1"/>
  <c r="R243" i="3" a="1"/>
  <c r="R243" i="3" s="1"/>
  <c r="Q243" i="3" a="1"/>
  <c r="Q243" i="3" s="1"/>
  <c r="P1199" i="3" s="1"/>
  <c r="R242" i="3" a="1"/>
  <c r="R242" i="3" s="1"/>
  <c r="Q242" i="3" a="1"/>
  <c r="Q242" i="3" s="1"/>
  <c r="P1389" i="3" s="1"/>
  <c r="R241" i="3" a="1"/>
  <c r="R241" i="3" s="1"/>
  <c r="Q241" i="3" a="1"/>
  <c r="Q241" i="3" s="1"/>
  <c r="P1198" i="3" s="1"/>
  <c r="R240" i="3" a="1"/>
  <c r="R240" i="3" s="1"/>
  <c r="Q240" i="3" a="1"/>
  <c r="Q240" i="3" s="1"/>
  <c r="P1197" i="3" s="1"/>
  <c r="R239" i="3" a="1"/>
  <c r="R239" i="3" s="1"/>
  <c r="Q239" i="3" a="1"/>
  <c r="Q239" i="3" s="1"/>
  <c r="P1196" i="3" s="1"/>
  <c r="R238" i="3" a="1"/>
  <c r="R238" i="3" s="1"/>
  <c r="Q238" i="3" a="1"/>
  <c r="Q238" i="3" s="1"/>
  <c r="P1195" i="3" s="1"/>
  <c r="R237" i="3" a="1"/>
  <c r="R237" i="3" s="1"/>
  <c r="Q237" i="3" a="1"/>
  <c r="Q237" i="3" s="1"/>
  <c r="P1194" i="3" s="1"/>
  <c r="R236" i="3" a="1"/>
  <c r="R236" i="3" s="1"/>
  <c r="Q236" i="3" a="1"/>
  <c r="Q236" i="3" s="1"/>
  <c r="P1193" i="3" s="1"/>
  <c r="R235" i="3" a="1"/>
  <c r="R235" i="3" s="1"/>
  <c r="Q235" i="3" a="1"/>
  <c r="Q235" i="3" s="1"/>
  <c r="P1192" i="3" s="1"/>
  <c r="R234" i="3" a="1"/>
  <c r="R234" i="3" s="1"/>
  <c r="Q234" i="3" a="1"/>
  <c r="Q234" i="3" s="1"/>
  <c r="P1191" i="3" s="1"/>
  <c r="R233" i="3" a="1"/>
  <c r="R233" i="3" s="1"/>
  <c r="Q233" i="3" a="1"/>
  <c r="Q233" i="3" s="1"/>
  <c r="P1190" i="3" s="1"/>
  <c r="R232" i="3" a="1"/>
  <c r="R232" i="3" s="1"/>
  <c r="Q232" i="3" a="1"/>
  <c r="Q232" i="3" s="1"/>
  <c r="P1189" i="3" s="1"/>
  <c r="R231" i="3" a="1"/>
  <c r="R231" i="3" s="1"/>
  <c r="Q231" i="3" a="1"/>
  <c r="Q231" i="3" s="1"/>
  <c r="P1388" i="3" s="1"/>
  <c r="R230" i="3" a="1"/>
  <c r="R230" i="3" s="1"/>
  <c r="Q230" i="3" a="1"/>
  <c r="Q230" i="3" s="1"/>
  <c r="P1188" i="3" s="1"/>
  <c r="R229" i="3" a="1"/>
  <c r="R229" i="3" s="1"/>
  <c r="Q229" i="3" a="1"/>
  <c r="Q229" i="3" s="1"/>
  <c r="P1187" i="3" s="1"/>
  <c r="R228" i="3" a="1"/>
  <c r="R228" i="3" s="1"/>
  <c r="Q228" i="3" a="1"/>
  <c r="Q228" i="3" s="1"/>
  <c r="P1186" i="3" s="1"/>
  <c r="R227" i="3" a="1"/>
  <c r="R227" i="3" s="1"/>
  <c r="Q227" i="3" a="1"/>
  <c r="Q227" i="3" s="1"/>
  <c r="P1185" i="3" s="1"/>
  <c r="R226" i="3" a="1"/>
  <c r="R226" i="3" s="1"/>
  <c r="Q226" i="3" a="1"/>
  <c r="Q226" i="3" s="1"/>
  <c r="P1184" i="3" s="1"/>
  <c r="R225" i="3" a="1"/>
  <c r="R225" i="3" s="1"/>
  <c r="Q225" i="3" a="1"/>
  <c r="Q225" i="3" s="1"/>
  <c r="P1183" i="3" s="1"/>
  <c r="R224" i="3" a="1"/>
  <c r="R224" i="3" s="1"/>
  <c r="Q224" i="3" a="1"/>
  <c r="Q224" i="3" s="1"/>
  <c r="P1182" i="3" s="1"/>
  <c r="R223" i="3" a="1"/>
  <c r="R223" i="3" s="1"/>
  <c r="Q223" i="3" a="1"/>
  <c r="Q223" i="3" s="1"/>
  <c r="P1181" i="3" s="1"/>
  <c r="R222" i="3" a="1"/>
  <c r="R222" i="3" s="1"/>
  <c r="Q222" i="3" a="1"/>
  <c r="Q222" i="3" s="1"/>
  <c r="P1180" i="3" s="1"/>
  <c r="R221" i="3" a="1"/>
  <c r="R221" i="3" s="1"/>
  <c r="Q221" i="3" a="1"/>
  <c r="Q221" i="3" s="1"/>
  <c r="P1179" i="3" s="1"/>
  <c r="R220" i="3" a="1"/>
  <c r="R220" i="3" s="1"/>
  <c r="Q220" i="3" a="1"/>
  <c r="Q220" i="3" s="1"/>
  <c r="P1178" i="3" s="1"/>
  <c r="R219" i="3" a="1"/>
  <c r="R219" i="3" s="1"/>
  <c r="Q219" i="3" a="1"/>
  <c r="Q219" i="3" s="1"/>
  <c r="P1177" i="3" s="1"/>
  <c r="R218" i="3" a="1"/>
  <c r="R218" i="3" s="1"/>
  <c r="Q218" i="3" a="1"/>
  <c r="Q218" i="3" s="1"/>
  <c r="P1176" i="3" s="1"/>
  <c r="R217" i="3" a="1"/>
  <c r="R217" i="3" s="1"/>
  <c r="Q217" i="3" a="1"/>
  <c r="Q217" i="3" s="1"/>
  <c r="P1175" i="3" s="1"/>
  <c r="R216" i="3" a="1"/>
  <c r="R216" i="3" s="1"/>
  <c r="Q216" i="3" a="1"/>
  <c r="Q216" i="3" s="1"/>
  <c r="P1174" i="3" s="1"/>
  <c r="R215" i="3" a="1"/>
  <c r="R215" i="3" s="1"/>
  <c r="Q215" i="3" a="1"/>
  <c r="Q215" i="3" s="1"/>
  <c r="P1173" i="3" s="1"/>
  <c r="R214" i="3" a="1"/>
  <c r="R214" i="3" s="1"/>
  <c r="Q214" i="3" a="1"/>
  <c r="Q214" i="3" s="1"/>
  <c r="P1172" i="3" s="1"/>
  <c r="R213" i="3" a="1"/>
  <c r="R213" i="3" s="1"/>
  <c r="Q213" i="3" a="1"/>
  <c r="Q213" i="3" s="1"/>
  <c r="P1171" i="3" s="1"/>
  <c r="R212" i="3" a="1"/>
  <c r="R212" i="3" s="1"/>
  <c r="Q212" i="3" a="1"/>
  <c r="Q212" i="3" s="1"/>
  <c r="P1387" i="3" s="1"/>
  <c r="R211" i="3" a="1"/>
  <c r="R211" i="3" s="1"/>
  <c r="Q211" i="3" a="1"/>
  <c r="Q211" i="3" s="1"/>
  <c r="P1170" i="3" s="1"/>
  <c r="R210" i="3" a="1"/>
  <c r="R210" i="3" s="1"/>
  <c r="Q210" i="3" a="1"/>
  <c r="Q210" i="3" s="1"/>
  <c r="P797" i="3" s="1"/>
  <c r="R209" i="3" a="1"/>
  <c r="R209" i="3" s="1"/>
  <c r="Q209" i="3" a="1"/>
  <c r="Q209" i="3" s="1"/>
  <c r="P1169" i="3" s="1"/>
  <c r="R208" i="3" a="1"/>
  <c r="R208" i="3" s="1"/>
  <c r="Q208" i="3" a="1"/>
  <c r="Q208" i="3" s="1"/>
  <c r="P1386" i="3" s="1"/>
  <c r="R207" i="3" a="1"/>
  <c r="R207" i="3" s="1"/>
  <c r="Q207" i="3" a="1"/>
  <c r="Q207" i="3" s="1"/>
  <c r="P1168" i="3" s="1"/>
  <c r="R206" i="3" a="1"/>
  <c r="R206" i="3" s="1"/>
  <c r="Q206" i="3" a="1"/>
  <c r="Q206" i="3" s="1"/>
  <c r="P1167" i="3" s="1"/>
  <c r="R205" i="3" a="1"/>
  <c r="R205" i="3" s="1"/>
  <c r="Q205" i="3" a="1"/>
  <c r="Q205" i="3" s="1"/>
  <c r="P1166" i="3" s="1"/>
  <c r="R204" i="3" a="1"/>
  <c r="R204" i="3" s="1"/>
  <c r="Q204" i="3" a="1"/>
  <c r="Q204" i="3" s="1"/>
  <c r="P1165" i="3" s="1"/>
  <c r="R203" i="3" a="1"/>
  <c r="R203" i="3" s="1"/>
  <c r="Q203" i="3" a="1"/>
  <c r="Q203" i="3" s="1"/>
  <c r="P1164" i="3" s="1"/>
  <c r="R202" i="3" a="1"/>
  <c r="R202" i="3" s="1"/>
  <c r="Q202" i="3" a="1"/>
  <c r="Q202" i="3" s="1"/>
  <c r="P1163" i="3" s="1"/>
  <c r="R201" i="3" a="1"/>
  <c r="R201" i="3" s="1"/>
  <c r="Q201" i="3" a="1"/>
  <c r="Q201" i="3" s="1"/>
  <c r="P1162" i="3" s="1"/>
  <c r="R200" i="3" a="1"/>
  <c r="R200" i="3" s="1"/>
  <c r="Q200" i="3" a="1"/>
  <c r="Q200" i="3" s="1"/>
  <c r="P1161" i="3" s="1"/>
  <c r="R199" i="3" a="1"/>
  <c r="R199" i="3" s="1"/>
  <c r="Q199" i="3" a="1"/>
  <c r="Q199" i="3" s="1"/>
  <c r="R198" i="3" a="1"/>
  <c r="R198" i="3" s="1"/>
  <c r="Q198" i="3" a="1"/>
  <c r="Q198" i="3" s="1"/>
  <c r="P1160" i="3" s="1"/>
  <c r="R197" i="3" a="1"/>
  <c r="R197" i="3" s="1"/>
  <c r="Q197" i="3" a="1"/>
  <c r="Q197" i="3" s="1"/>
  <c r="P1159" i="3" s="1"/>
  <c r="R196" i="3" a="1"/>
  <c r="R196" i="3" s="1"/>
  <c r="Q196" i="3" a="1"/>
  <c r="Q196" i="3" s="1"/>
  <c r="P1385" i="3" s="1"/>
  <c r="R195" i="3" a="1"/>
  <c r="R195" i="3" s="1"/>
  <c r="Q195" i="3" a="1"/>
  <c r="Q195" i="3" s="1"/>
  <c r="P1158" i="3" s="1"/>
  <c r="R194" i="3" a="1"/>
  <c r="R194" i="3" s="1"/>
  <c r="Q194" i="3" a="1"/>
  <c r="Q194" i="3" s="1"/>
  <c r="P1157" i="3" s="1"/>
  <c r="R193" i="3" a="1"/>
  <c r="R193" i="3" s="1"/>
  <c r="Q193" i="3" a="1"/>
  <c r="Q193" i="3" s="1"/>
  <c r="P1156" i="3" s="1"/>
  <c r="R192" i="3" a="1"/>
  <c r="R192" i="3" s="1"/>
  <c r="Q192" i="3" a="1"/>
  <c r="Q192" i="3" s="1"/>
  <c r="P1155" i="3" s="1"/>
  <c r="R191" i="3" a="1"/>
  <c r="R191" i="3" s="1"/>
  <c r="Q191" i="3" a="1"/>
  <c r="Q191" i="3" s="1"/>
  <c r="P1154" i="3" s="1"/>
  <c r="R190" i="3" a="1"/>
  <c r="R190" i="3" s="1"/>
  <c r="Q190" i="3" a="1"/>
  <c r="Q190" i="3" s="1"/>
  <c r="P1153" i="3" s="1"/>
  <c r="R189" i="3" a="1"/>
  <c r="R189" i="3" s="1"/>
  <c r="Q189" i="3" a="1"/>
  <c r="Q189" i="3" s="1"/>
  <c r="P1152" i="3" s="1"/>
  <c r="R188" i="3" a="1"/>
  <c r="R188" i="3" s="1"/>
  <c r="Q188" i="3" a="1"/>
  <c r="Q188" i="3" s="1"/>
  <c r="P1151" i="3" s="1"/>
  <c r="R187" i="3" a="1"/>
  <c r="R187" i="3" s="1"/>
  <c r="Q187" i="3" a="1"/>
  <c r="Q187" i="3" s="1"/>
  <c r="P1150" i="3" s="1"/>
  <c r="R186" i="3" a="1"/>
  <c r="R186" i="3" s="1"/>
  <c r="Q186" i="3" a="1"/>
  <c r="Q186" i="3" s="1"/>
  <c r="P794" i="3" s="1"/>
  <c r="R185" i="3" a="1"/>
  <c r="R185" i="3" s="1"/>
  <c r="Q185" i="3" a="1"/>
  <c r="Q185" i="3" s="1"/>
  <c r="P1149" i="3" s="1"/>
  <c r="R184" i="3" a="1"/>
  <c r="R184" i="3" s="1"/>
  <c r="Q184" i="3" a="1"/>
  <c r="Q184" i="3" s="1"/>
  <c r="P1148" i="3" s="1"/>
  <c r="R183" i="3" a="1"/>
  <c r="R183" i="3" s="1"/>
  <c r="Q183" i="3" a="1"/>
  <c r="Q183" i="3" s="1"/>
  <c r="P1147" i="3" s="1"/>
  <c r="R182" i="3" a="1"/>
  <c r="R182" i="3" s="1"/>
  <c r="Q182" i="3" a="1"/>
  <c r="Q182" i="3" s="1"/>
  <c r="P1146" i="3" s="1"/>
  <c r="R181" i="3" a="1"/>
  <c r="R181" i="3" s="1"/>
  <c r="Q181" i="3" a="1"/>
  <c r="Q181" i="3" s="1"/>
  <c r="P1145" i="3" s="1"/>
  <c r="R180" i="3" a="1"/>
  <c r="R180" i="3" s="1"/>
  <c r="Q180" i="3" a="1"/>
  <c r="Q180" i="3" s="1"/>
  <c r="P1144" i="3" s="1"/>
  <c r="R179" i="3" a="1"/>
  <c r="R179" i="3" s="1"/>
  <c r="Q179" i="3" a="1"/>
  <c r="Q179" i="3" s="1"/>
  <c r="P1143" i="3" s="1"/>
  <c r="R178" i="3" a="1"/>
  <c r="R178" i="3" s="1"/>
  <c r="Q178" i="3" a="1"/>
  <c r="Q178" i="3" s="1"/>
  <c r="P1142" i="3" s="1"/>
  <c r="R177" i="3" a="1"/>
  <c r="R177" i="3" s="1"/>
  <c r="Q177" i="3" a="1"/>
  <c r="Q177" i="3" s="1"/>
  <c r="P1141" i="3" s="1"/>
  <c r="R176" i="3" a="1"/>
  <c r="R176" i="3" s="1"/>
  <c r="Q176" i="3" a="1"/>
  <c r="Q176" i="3" s="1"/>
  <c r="P1140" i="3" s="1"/>
  <c r="R175" i="3" a="1"/>
  <c r="R175" i="3" s="1"/>
  <c r="Q175" i="3" a="1"/>
  <c r="Q175" i="3" s="1"/>
  <c r="P1139" i="3" s="1"/>
  <c r="R174" i="3" a="1"/>
  <c r="R174" i="3" s="1"/>
  <c r="Q174" i="3" a="1"/>
  <c r="Q174" i="3" s="1"/>
  <c r="P1138" i="3" s="1"/>
  <c r="R173" i="3" a="1"/>
  <c r="R173" i="3" s="1"/>
  <c r="Q173" i="3" a="1"/>
  <c r="Q173" i="3" s="1"/>
  <c r="P1137" i="3" s="1"/>
  <c r="Q172" i="3" a="1"/>
  <c r="Q172" i="3" s="1"/>
  <c r="P1384" i="3" s="1"/>
  <c r="R170" i="3" a="1"/>
  <c r="R170" i="3" s="1"/>
  <c r="Q170" i="3" a="1"/>
  <c r="Q170" i="3" s="1"/>
  <c r="P1136" i="3" s="1"/>
  <c r="R169" i="3" a="1"/>
  <c r="R169" i="3" s="1"/>
  <c r="Q169" i="3" a="1"/>
  <c r="Q169" i="3" s="1"/>
  <c r="P1135" i="3" s="1"/>
  <c r="R168" i="3" a="1"/>
  <c r="R168" i="3" s="1"/>
  <c r="Q168" i="3" a="1"/>
  <c r="Q168" i="3" s="1"/>
  <c r="P1382" i="3" s="1"/>
  <c r="R167" i="3" a="1"/>
  <c r="R167" i="3" s="1"/>
  <c r="Q167" i="3" a="1"/>
  <c r="Q167" i="3" s="1"/>
  <c r="P1134" i="3" s="1"/>
  <c r="R166" i="3" a="1"/>
  <c r="R166" i="3" s="1"/>
  <c r="Q166" i="3" a="1"/>
  <c r="Q166" i="3" s="1"/>
  <c r="R165" i="3" a="1"/>
  <c r="R165" i="3" s="1"/>
  <c r="Q165" i="3" a="1"/>
  <c r="Q165" i="3" s="1"/>
  <c r="P1133" i="3" s="1"/>
  <c r="R164" i="3" a="1"/>
  <c r="R164" i="3" s="1"/>
  <c r="Q164" i="3" a="1"/>
  <c r="Q164" i="3" s="1"/>
  <c r="P1132" i="3" s="1"/>
  <c r="R163" i="3" a="1"/>
  <c r="R163" i="3" s="1"/>
  <c r="Q163" i="3" a="1"/>
  <c r="Q163" i="3" s="1"/>
  <c r="P1131" i="3" s="1"/>
  <c r="R162" i="3" a="1"/>
  <c r="R162" i="3" s="1"/>
  <c r="Q162" i="3" a="1"/>
  <c r="Q162" i="3" s="1"/>
  <c r="P851" i="3" s="1"/>
  <c r="R161" i="3" a="1"/>
  <c r="R161" i="3" s="1"/>
  <c r="Q161" i="3" a="1"/>
  <c r="Q161" i="3" s="1"/>
  <c r="R160" i="3" a="1"/>
  <c r="R160" i="3" s="1"/>
  <c r="Q160" i="3" a="1"/>
  <c r="Q160" i="3" s="1"/>
  <c r="R159" i="3" a="1"/>
  <c r="R159" i="3" s="1"/>
  <c r="Q159" i="3" a="1"/>
  <c r="Q159" i="3" s="1"/>
  <c r="P1381" i="3" s="1"/>
  <c r="R158" i="3" a="1"/>
  <c r="R158" i="3" s="1"/>
  <c r="Q158" i="3" a="1"/>
  <c r="Q158" i="3" s="1"/>
  <c r="P1380" i="3" s="1"/>
  <c r="R157" i="3" a="1"/>
  <c r="R157" i="3" s="1"/>
  <c r="Q157" i="3" a="1"/>
  <c r="Q157" i="3" s="1"/>
  <c r="P1130" i="3" s="1"/>
  <c r="R156" i="3" a="1"/>
  <c r="R156" i="3" s="1"/>
  <c r="Q156" i="3" a="1"/>
  <c r="Q156" i="3" s="1"/>
  <c r="R155" i="3" a="1"/>
  <c r="R155" i="3" s="1"/>
  <c r="Q155" i="3" a="1"/>
  <c r="Q155" i="3" s="1"/>
  <c r="P1129" i="3" s="1"/>
  <c r="R154" i="3" a="1"/>
  <c r="R154" i="3" s="1"/>
  <c r="Q154" i="3" a="1"/>
  <c r="Q154" i="3" s="1"/>
  <c r="R153" i="3" a="1"/>
  <c r="R153" i="3" s="1"/>
  <c r="Q153" i="3" a="1"/>
  <c r="Q153" i="3" s="1"/>
  <c r="P1128" i="3" s="1"/>
  <c r="R152" i="3" a="1"/>
  <c r="R152" i="3" s="1"/>
  <c r="Q152" i="3" a="1"/>
  <c r="Q152" i="3" s="1"/>
  <c r="P1127" i="3" s="1"/>
  <c r="R151" i="3" a="1"/>
  <c r="R151" i="3" s="1"/>
  <c r="Q151" i="3" a="1"/>
  <c r="Q151" i="3" s="1"/>
  <c r="P1126" i="3" s="1"/>
  <c r="R150" i="3" a="1"/>
  <c r="R150" i="3" s="1"/>
  <c r="Q150" i="3" a="1"/>
  <c r="Q150" i="3" s="1"/>
  <c r="P1379" i="3" s="1"/>
  <c r="R149" i="3" a="1"/>
  <c r="R149" i="3" s="1"/>
  <c r="Q149" i="3" a="1"/>
  <c r="Q149" i="3" s="1"/>
  <c r="P1125" i="3" s="1"/>
  <c r="R148" i="3" a="1"/>
  <c r="R148" i="3" s="1"/>
  <c r="Q148" i="3" a="1"/>
  <c r="Q148" i="3" s="1"/>
  <c r="P1378" i="3" s="1"/>
  <c r="R147" i="3" a="1"/>
  <c r="R147" i="3" s="1"/>
  <c r="Q147" i="3" a="1"/>
  <c r="Q147" i="3" s="1"/>
  <c r="P1377" i="3" s="1"/>
  <c r="R146" i="3" a="1"/>
  <c r="R146" i="3" s="1"/>
  <c r="Q146" i="3" a="1"/>
  <c r="Q146" i="3" s="1"/>
  <c r="P1124" i="3" s="1"/>
  <c r="R145" i="3" a="1"/>
  <c r="R145" i="3" s="1"/>
  <c r="Q145" i="3" a="1"/>
  <c r="Q145" i="3" s="1"/>
  <c r="P1123" i="3" s="1"/>
  <c r="R144" i="3" a="1"/>
  <c r="R144" i="3" s="1"/>
  <c r="Q144" i="3" a="1"/>
  <c r="Q144" i="3" s="1"/>
  <c r="P1122" i="3" s="1"/>
  <c r="R143" i="3" a="1"/>
  <c r="R143" i="3" s="1"/>
  <c r="Q143" i="3" a="1"/>
  <c r="Q143" i="3" s="1"/>
  <c r="R142" i="3" a="1"/>
  <c r="R142" i="3" s="1"/>
  <c r="Q142" i="3" a="1"/>
  <c r="Q142" i="3" s="1"/>
  <c r="P1121" i="3" s="1"/>
  <c r="R141" i="3" a="1"/>
  <c r="R141" i="3" s="1"/>
  <c r="Q141" i="3" a="1"/>
  <c r="Q141" i="3" s="1"/>
  <c r="P1120" i="3" s="1"/>
  <c r="R140" i="3" a="1"/>
  <c r="R140" i="3" s="1"/>
  <c r="Q140" i="3" a="1"/>
  <c r="Q140" i="3" s="1"/>
  <c r="P1119" i="3" s="1"/>
  <c r="R139" i="3" a="1"/>
  <c r="R139" i="3" s="1"/>
  <c r="Q139" i="3" a="1"/>
  <c r="Q139" i="3" s="1"/>
  <c r="P1118" i="3" s="1"/>
  <c r="R138" i="3" a="1"/>
  <c r="R138" i="3" s="1"/>
  <c r="Q138" i="3" a="1"/>
  <c r="Q138" i="3" s="1"/>
  <c r="P1117" i="3" s="1"/>
  <c r="R137" i="3" a="1"/>
  <c r="R137" i="3" s="1"/>
  <c r="Q137" i="3" a="1"/>
  <c r="Q137" i="3" s="1"/>
  <c r="P1116" i="3" s="1"/>
  <c r="R136" i="3" a="1"/>
  <c r="R136" i="3" s="1"/>
  <c r="Q136" i="3" a="1"/>
  <c r="Q136" i="3" s="1"/>
  <c r="P1115" i="3" s="1"/>
  <c r="R135" i="3" a="1"/>
  <c r="R135" i="3" s="1"/>
  <c r="Q135" i="3" a="1"/>
  <c r="Q135" i="3" s="1"/>
  <c r="P1114" i="3" s="1"/>
  <c r="R134" i="3" a="1"/>
  <c r="R134" i="3" s="1"/>
  <c r="Q134" i="3" a="1"/>
  <c r="Q134" i="3" s="1"/>
  <c r="P1113" i="3" s="1"/>
  <c r="R133" i="3" a="1"/>
  <c r="R133" i="3" s="1"/>
  <c r="Q133" i="3" a="1"/>
  <c r="Q133" i="3" s="1"/>
  <c r="P1112" i="3" s="1"/>
  <c r="R132" i="3" a="1"/>
  <c r="R132" i="3" s="1"/>
  <c r="Q132" i="3" a="1"/>
  <c r="Q132" i="3" s="1"/>
  <c r="P1111" i="3" s="1"/>
  <c r="R131" i="3" a="1"/>
  <c r="R131" i="3" s="1"/>
  <c r="Q131" i="3" a="1"/>
  <c r="Q131" i="3" s="1"/>
  <c r="P1376" i="3" s="1"/>
  <c r="R130" i="3" a="1"/>
  <c r="R130" i="3" s="1"/>
  <c r="Q130" i="3" a="1"/>
  <c r="Q130" i="3" s="1"/>
  <c r="P1375" i="3" s="1"/>
  <c r="R129" i="3" a="1"/>
  <c r="R129" i="3" s="1"/>
  <c r="Q129" i="3" a="1"/>
  <c r="Q129" i="3" s="1"/>
  <c r="P1110" i="3" s="1"/>
  <c r="R128" i="3" a="1"/>
  <c r="R128" i="3" s="1"/>
  <c r="Q128" i="3" a="1"/>
  <c r="Q128" i="3" s="1"/>
  <c r="P1109" i="3" s="1"/>
  <c r="R127" i="3" a="1"/>
  <c r="R127" i="3" s="1"/>
  <c r="Q127" i="3" a="1"/>
  <c r="Q127" i="3" s="1"/>
  <c r="P1108" i="3" s="1"/>
  <c r="R126" i="3" a="1"/>
  <c r="R126" i="3" s="1"/>
  <c r="Q126" i="3" a="1"/>
  <c r="Q126" i="3" s="1"/>
  <c r="P1107" i="3" s="1"/>
  <c r="R125" i="3" a="1"/>
  <c r="R125" i="3" s="1"/>
  <c r="Q125" i="3" a="1"/>
  <c r="Q125" i="3" s="1"/>
  <c r="P1106" i="3" s="1"/>
  <c r="R124" i="3" a="1"/>
  <c r="R124" i="3" s="1"/>
  <c r="Q124" i="3" a="1"/>
  <c r="Q124" i="3" s="1"/>
  <c r="P1105" i="3" s="1"/>
  <c r="R123" i="3" a="1"/>
  <c r="R123" i="3" s="1"/>
  <c r="Q123" i="3" a="1"/>
  <c r="Q123" i="3" s="1"/>
  <c r="P1104" i="3" s="1"/>
  <c r="R122" i="3" a="1"/>
  <c r="R122" i="3" s="1"/>
  <c r="Q122" i="3" a="1"/>
  <c r="Q122" i="3" s="1"/>
  <c r="P1374" i="3" s="1"/>
  <c r="R121" i="3" a="1"/>
  <c r="R121" i="3" s="1"/>
  <c r="Q121" i="3" a="1"/>
  <c r="Q121" i="3" s="1"/>
  <c r="P1103" i="3" s="1"/>
  <c r="R120" i="3" a="1"/>
  <c r="R120" i="3" s="1"/>
  <c r="Q120" i="3" a="1"/>
  <c r="Q120" i="3" s="1"/>
  <c r="P1102" i="3" s="1"/>
  <c r="R119" i="3" a="1"/>
  <c r="R119" i="3" s="1"/>
  <c r="Q119" i="3" a="1"/>
  <c r="Q119" i="3" s="1"/>
  <c r="P1101" i="3" s="1"/>
  <c r="R118" i="3" a="1"/>
  <c r="R118" i="3" s="1"/>
  <c r="Q118" i="3" a="1"/>
  <c r="Q118" i="3" s="1"/>
  <c r="P1100" i="3" s="1"/>
  <c r="R117" i="3" a="1"/>
  <c r="R117" i="3" s="1"/>
  <c r="Q117" i="3" a="1"/>
  <c r="Q117" i="3" s="1"/>
  <c r="P1099" i="3" s="1"/>
  <c r="R116" i="3" a="1"/>
  <c r="R116" i="3" s="1"/>
  <c r="Q116" i="3" a="1"/>
  <c r="Q116" i="3" s="1"/>
  <c r="P1098" i="3" s="1"/>
  <c r="R115" i="3" a="1"/>
  <c r="R115" i="3" s="1"/>
  <c r="Q115" i="3" a="1"/>
  <c r="Q115" i="3" s="1"/>
  <c r="P1097" i="3" s="1"/>
  <c r="R114" i="3" a="1"/>
  <c r="R114" i="3" s="1"/>
  <c r="Q114" i="3" a="1"/>
  <c r="Q114" i="3" s="1"/>
  <c r="P1096" i="3" s="1"/>
  <c r="R113" i="3" a="1"/>
  <c r="R113" i="3" s="1"/>
  <c r="Q113" i="3" a="1"/>
  <c r="Q113" i="3" s="1"/>
  <c r="P1373" i="3" s="1"/>
  <c r="R112" i="3" a="1"/>
  <c r="R112" i="3" s="1"/>
  <c r="Q112" i="3" a="1"/>
  <c r="Q112" i="3" s="1"/>
  <c r="P1095" i="3" s="1"/>
  <c r="R111" i="3" a="1"/>
  <c r="R111" i="3" s="1"/>
  <c r="Q111" i="3" a="1"/>
  <c r="Q111" i="3" s="1"/>
  <c r="P1094" i="3" s="1"/>
  <c r="R110" i="3" a="1"/>
  <c r="R110" i="3" s="1"/>
  <c r="Q110" i="3" a="1"/>
  <c r="Q110" i="3" s="1"/>
  <c r="P1093" i="3" s="1"/>
  <c r="R109" i="3" a="1"/>
  <c r="R109" i="3" s="1"/>
  <c r="Q109" i="3" a="1"/>
  <c r="Q109" i="3" s="1"/>
  <c r="P1372" i="3" s="1"/>
  <c r="R108" i="3" a="1"/>
  <c r="R108" i="3" s="1"/>
  <c r="Q108" i="3" a="1"/>
  <c r="Q108" i="3" s="1"/>
  <c r="P1092" i="3" s="1"/>
  <c r="R107" i="3" a="1"/>
  <c r="R107" i="3" s="1"/>
  <c r="Q107" i="3" a="1"/>
  <c r="Q107" i="3" s="1"/>
  <c r="P1091" i="3" s="1"/>
  <c r="R106" i="3" a="1"/>
  <c r="R106" i="3" s="1"/>
  <c r="Q106" i="3" a="1"/>
  <c r="Q106" i="3" s="1"/>
  <c r="P1090" i="3" s="1"/>
  <c r="R105" i="3" a="1"/>
  <c r="R105" i="3" s="1"/>
  <c r="Q105" i="3" a="1"/>
  <c r="Q105" i="3" s="1"/>
  <c r="P1089" i="3" s="1"/>
  <c r="R104" i="3" a="1"/>
  <c r="R104" i="3" s="1"/>
  <c r="Q104" i="3" a="1"/>
  <c r="Q104" i="3" s="1"/>
  <c r="P1088" i="3" s="1"/>
  <c r="R103" i="3" a="1"/>
  <c r="R103" i="3" s="1"/>
  <c r="Q103" i="3" a="1"/>
  <c r="Q103" i="3" s="1"/>
  <c r="P1087" i="3" s="1"/>
  <c r="R102" i="3" a="1"/>
  <c r="R102" i="3" s="1"/>
  <c r="Q102" i="3" a="1"/>
  <c r="Q102" i="3" s="1"/>
  <c r="P1086" i="3" s="1"/>
  <c r="R101" i="3" a="1"/>
  <c r="R101" i="3" s="1"/>
  <c r="Q101" i="3" a="1"/>
  <c r="Q101" i="3" s="1"/>
  <c r="P1085" i="3" s="1"/>
  <c r="R100" i="3" a="1"/>
  <c r="R100" i="3" s="1"/>
  <c r="Q100" i="3" a="1"/>
  <c r="Q100" i="3" s="1"/>
  <c r="P1084" i="3" s="1"/>
  <c r="R99" i="3" a="1"/>
  <c r="R99" i="3" s="1"/>
  <c r="Q99" i="3" a="1"/>
  <c r="Q99" i="3" s="1"/>
  <c r="R98" i="3" a="1"/>
  <c r="R98" i="3" s="1"/>
  <c r="Q98" i="3" a="1"/>
  <c r="Q98" i="3" s="1"/>
  <c r="P1083" i="3" s="1"/>
  <c r="R97" i="3" a="1"/>
  <c r="R97" i="3" s="1"/>
  <c r="Q97" i="3" a="1"/>
  <c r="Q97" i="3" s="1"/>
  <c r="R96" i="3" a="1"/>
  <c r="R96" i="3" s="1"/>
  <c r="Q96" i="3" a="1"/>
  <c r="Q96" i="3" s="1"/>
  <c r="P1082" i="3" s="1"/>
  <c r="R95" i="3" a="1"/>
  <c r="R95" i="3" s="1"/>
  <c r="Q95" i="3" a="1"/>
  <c r="Q95" i="3" s="1"/>
  <c r="P1081" i="3" s="1"/>
  <c r="R94" i="3" a="1"/>
  <c r="R94" i="3" s="1"/>
  <c r="Q94" i="3" a="1"/>
  <c r="Q94" i="3" s="1"/>
  <c r="P1080" i="3" s="1"/>
  <c r="R93" i="3" a="1"/>
  <c r="R93" i="3" s="1"/>
  <c r="Q93" i="3" a="1"/>
  <c r="Q93" i="3" s="1"/>
  <c r="P1079" i="3" s="1"/>
  <c r="R92" i="3" a="1"/>
  <c r="R92" i="3" s="1"/>
  <c r="Q92" i="3" a="1"/>
  <c r="Q92" i="3" s="1"/>
  <c r="P1078" i="3" s="1"/>
  <c r="R91" i="3" a="1"/>
  <c r="R91" i="3" s="1"/>
  <c r="Q91" i="3" a="1"/>
  <c r="Q91" i="3" s="1"/>
  <c r="P1077" i="3" s="1"/>
  <c r="R90" i="3" a="1"/>
  <c r="R90" i="3" s="1"/>
  <c r="Q90" i="3" a="1"/>
  <c r="Q90" i="3" s="1"/>
  <c r="P1076" i="3" s="1"/>
  <c r="R89" i="3" a="1"/>
  <c r="R89" i="3" s="1"/>
  <c r="Q89" i="3" a="1"/>
  <c r="Q89" i="3" s="1"/>
  <c r="P850" i="3" s="1"/>
  <c r="R88" i="3" a="1"/>
  <c r="R88" i="3" s="1"/>
  <c r="Q88" i="3" a="1"/>
  <c r="Q88" i="3" s="1"/>
  <c r="P1371" i="3" s="1"/>
  <c r="R87" i="3" a="1"/>
  <c r="R87" i="3" s="1"/>
  <c r="Q87" i="3" a="1"/>
  <c r="Q87" i="3" s="1"/>
  <c r="P1075" i="3" s="1"/>
  <c r="R86" i="3" a="1"/>
  <c r="R86" i="3" s="1"/>
  <c r="Q86" i="3" a="1"/>
  <c r="Q86" i="3" s="1"/>
  <c r="P1074" i="3" s="1"/>
  <c r="R85" i="3" a="1"/>
  <c r="R85" i="3" s="1"/>
  <c r="Q85" i="3" a="1"/>
  <c r="Q85" i="3" s="1"/>
  <c r="P1073" i="3" s="1"/>
  <c r="R84" i="3" a="1"/>
  <c r="R84" i="3" s="1"/>
  <c r="Q84" i="3" a="1"/>
  <c r="Q84" i="3" s="1"/>
  <c r="P1072" i="3" s="1"/>
  <c r="R83" i="3" a="1"/>
  <c r="R83" i="3" s="1"/>
  <c r="Q83" i="3" a="1"/>
  <c r="Q83" i="3" s="1"/>
  <c r="P1071" i="3" s="1"/>
  <c r="R82" i="3" a="1"/>
  <c r="R82" i="3" s="1"/>
  <c r="Q82" i="3" a="1"/>
  <c r="Q82" i="3" s="1"/>
  <c r="P1070" i="3" s="1"/>
  <c r="R81" i="3" a="1"/>
  <c r="R81" i="3" s="1"/>
  <c r="Q81" i="3" a="1"/>
  <c r="Q81" i="3" s="1"/>
  <c r="P1069" i="3" s="1"/>
  <c r="R80" i="3" a="1"/>
  <c r="R80" i="3" s="1"/>
  <c r="Q80" i="3" a="1"/>
  <c r="Q80" i="3" s="1"/>
  <c r="P1068" i="3" s="1"/>
  <c r="R79" i="3" a="1"/>
  <c r="R79" i="3" s="1"/>
  <c r="Q79" i="3" a="1"/>
  <c r="Q79" i="3" s="1"/>
  <c r="P1067" i="3" s="1"/>
  <c r="R78" i="3" a="1"/>
  <c r="R78" i="3" s="1"/>
  <c r="Q78" i="3" a="1"/>
  <c r="Q78" i="3" s="1"/>
  <c r="P1066" i="3" s="1"/>
  <c r="R77" i="3" a="1"/>
  <c r="R77" i="3" s="1"/>
  <c r="Q77" i="3" a="1"/>
  <c r="Q77" i="3" s="1"/>
  <c r="P1065" i="3" s="1"/>
  <c r="R76" i="3" a="1"/>
  <c r="R76" i="3" s="1"/>
  <c r="Q76" i="3" a="1"/>
  <c r="Q76" i="3" s="1"/>
  <c r="R75" i="3" a="1"/>
  <c r="R75" i="3" s="1"/>
  <c r="Q75" i="3" a="1"/>
  <c r="Q75" i="3" s="1"/>
  <c r="P1064" i="3" s="1"/>
  <c r="R74" i="3" a="1"/>
  <c r="R74" i="3" s="1"/>
  <c r="Q74" i="3" a="1"/>
  <c r="Q74" i="3" s="1"/>
  <c r="P1063" i="3" s="1"/>
  <c r="R73" i="3" a="1"/>
  <c r="R73" i="3" s="1"/>
  <c r="Q73" i="3" a="1"/>
  <c r="Q73" i="3" s="1"/>
  <c r="P1062" i="3" s="1"/>
  <c r="R72" i="3" a="1"/>
  <c r="R72" i="3" s="1"/>
  <c r="Q72" i="3" a="1"/>
  <c r="Q72" i="3" s="1"/>
  <c r="P1061" i="3" s="1"/>
  <c r="R71" i="3" a="1"/>
  <c r="R71" i="3" s="1"/>
  <c r="Q71" i="3" a="1"/>
  <c r="Q71" i="3" s="1"/>
  <c r="P1060" i="3" s="1"/>
  <c r="R70" i="3" a="1"/>
  <c r="R70" i="3" s="1"/>
  <c r="Q70" i="3" a="1"/>
  <c r="Q70" i="3" s="1"/>
  <c r="P1059" i="3" s="1"/>
  <c r="R69" i="3" a="1"/>
  <c r="R69" i="3" s="1"/>
  <c r="Q69" i="3" a="1"/>
  <c r="Q69" i="3" s="1"/>
  <c r="P1058" i="3" s="1"/>
  <c r="R68" i="3" a="1"/>
  <c r="R68" i="3" s="1"/>
  <c r="Q68" i="3" a="1"/>
  <c r="Q68" i="3" s="1"/>
  <c r="P793" i="3" s="1"/>
  <c r="R67" i="3" a="1"/>
  <c r="R67" i="3" s="1"/>
  <c r="Q67" i="3" a="1"/>
  <c r="Q67" i="3" s="1"/>
  <c r="P1057" i="3" s="1"/>
  <c r="R66" i="3" a="1"/>
  <c r="R66" i="3" s="1"/>
  <c r="Q66" i="3" a="1"/>
  <c r="Q66" i="3" s="1"/>
  <c r="P1056" i="3" s="1"/>
  <c r="R65" i="3" a="1"/>
  <c r="R65" i="3" s="1"/>
  <c r="Q65" i="3" a="1"/>
  <c r="Q65" i="3" s="1"/>
  <c r="P1055" i="3" s="1"/>
  <c r="R64" i="3" a="1"/>
  <c r="R64" i="3" s="1"/>
  <c r="Q64" i="3" a="1"/>
  <c r="Q64" i="3" s="1"/>
  <c r="P1370" i="3" s="1"/>
  <c r="R63" i="3" a="1"/>
  <c r="R63" i="3" s="1"/>
  <c r="Q63" i="3" a="1"/>
  <c r="Q63" i="3" s="1"/>
  <c r="P1054" i="3" s="1"/>
  <c r="R62" i="3" a="1"/>
  <c r="R62" i="3" s="1"/>
  <c r="Q62" i="3" a="1"/>
  <c r="Q62" i="3" s="1"/>
  <c r="P1053" i="3" s="1"/>
  <c r="R61" i="3" a="1"/>
  <c r="R61" i="3" s="1"/>
  <c r="Q61" i="3" a="1"/>
  <c r="Q61" i="3" s="1"/>
  <c r="P1052" i="3" s="1"/>
  <c r="R60" i="3" a="1"/>
  <c r="R60" i="3" s="1"/>
  <c r="Q60" i="3" a="1"/>
  <c r="Q60" i="3" s="1"/>
  <c r="P1051" i="3" s="1"/>
  <c r="R59" i="3" a="1"/>
  <c r="R59" i="3" s="1"/>
  <c r="Q59" i="3" a="1"/>
  <c r="Q59" i="3" s="1"/>
  <c r="P1050" i="3" s="1"/>
  <c r="R58" i="3" a="1"/>
  <c r="R58" i="3" s="1"/>
  <c r="Q58" i="3" a="1"/>
  <c r="Q58" i="3" s="1"/>
  <c r="P1369" i="3" s="1"/>
  <c r="R57" i="3" a="1"/>
  <c r="R57" i="3" s="1"/>
  <c r="Q57" i="3" a="1"/>
  <c r="Q57" i="3" s="1"/>
  <c r="P1049" i="3" s="1"/>
  <c r="R56" i="3" a="1"/>
  <c r="R56" i="3" s="1"/>
  <c r="Q56" i="3" a="1"/>
  <c r="Q56" i="3" s="1"/>
  <c r="P1048" i="3" s="1"/>
  <c r="R55" i="3" a="1"/>
  <c r="R55" i="3" s="1"/>
  <c r="Q55" i="3" a="1"/>
  <c r="Q55" i="3" s="1"/>
  <c r="P1047" i="3" s="1"/>
  <c r="R54" i="3" a="1"/>
  <c r="R54" i="3" s="1"/>
  <c r="Q54" i="3" a="1"/>
  <c r="Q54" i="3" s="1"/>
  <c r="P1046" i="3" s="1"/>
  <c r="R53" i="3" a="1"/>
  <c r="R53" i="3" s="1"/>
  <c r="Q53" i="3" a="1"/>
  <c r="Q53" i="3" s="1"/>
  <c r="P1045" i="3" s="1"/>
  <c r="R52" i="3" a="1"/>
  <c r="R52" i="3" s="1"/>
  <c r="Q52" i="3" a="1"/>
  <c r="Q52" i="3" s="1"/>
  <c r="P1044" i="3" s="1"/>
  <c r="R51" i="3" a="1"/>
  <c r="R51" i="3" s="1"/>
  <c r="Q51" i="3" a="1"/>
  <c r="Q51" i="3" s="1"/>
  <c r="P1043" i="3" s="1"/>
  <c r="R50" i="3" a="1"/>
  <c r="R50" i="3" s="1"/>
  <c r="Q50" i="3" a="1"/>
  <c r="Q50" i="3" s="1"/>
  <c r="P1042" i="3" s="1"/>
  <c r="R49" i="3" a="1"/>
  <c r="R49" i="3" s="1"/>
  <c r="Q49" i="3" a="1"/>
  <c r="Q49" i="3" s="1"/>
  <c r="P1368" i="3" s="1"/>
  <c r="R48" i="3" a="1"/>
  <c r="R48" i="3" s="1"/>
  <c r="Q48" i="3" a="1"/>
  <c r="Q48" i="3" s="1"/>
  <c r="P1041" i="3" s="1"/>
  <c r="R47" i="3" a="1"/>
  <c r="R47" i="3" s="1"/>
  <c r="Q47" i="3" a="1"/>
  <c r="Q47" i="3" s="1"/>
  <c r="P1040" i="3" s="1"/>
  <c r="R46" i="3" a="1"/>
  <c r="R46" i="3" s="1"/>
  <c r="Q46" i="3" a="1"/>
  <c r="Q46" i="3" s="1"/>
  <c r="P1039" i="3" s="1"/>
  <c r="R45" i="3" a="1"/>
  <c r="R45" i="3" s="1"/>
  <c r="Q45" i="3" a="1"/>
  <c r="Q45" i="3" s="1"/>
  <c r="P1038" i="3" s="1"/>
  <c r="R44" i="3" a="1"/>
  <c r="R44" i="3" s="1"/>
  <c r="Q44" i="3" a="1"/>
  <c r="Q44" i="3" s="1"/>
  <c r="P792" i="3" s="1"/>
  <c r="R43" i="3" a="1"/>
  <c r="R43" i="3" s="1"/>
  <c r="Q43" i="3" a="1"/>
  <c r="Q43" i="3" s="1"/>
  <c r="P1037" i="3" s="1"/>
  <c r="R42" i="3" a="1"/>
  <c r="R42" i="3" s="1"/>
  <c r="Q42" i="3" a="1"/>
  <c r="Q42" i="3" s="1"/>
  <c r="P791" i="3" s="1"/>
  <c r="R41" i="3" a="1"/>
  <c r="R41" i="3" s="1"/>
  <c r="Q41" i="3" a="1"/>
  <c r="Q41" i="3" s="1"/>
  <c r="P1036" i="3" s="1"/>
  <c r="R40" i="3" a="1"/>
  <c r="R40" i="3" s="1"/>
  <c r="Q40" i="3" a="1"/>
  <c r="Q40" i="3" s="1"/>
  <c r="P1035" i="3" s="1"/>
  <c r="R39" i="3" a="1"/>
  <c r="R39" i="3" s="1"/>
  <c r="Q39" i="3" a="1"/>
  <c r="Q39" i="3" s="1"/>
  <c r="P1034" i="3" s="1"/>
  <c r="R38" i="3" a="1"/>
  <c r="R38" i="3" s="1"/>
  <c r="Q38" i="3" a="1"/>
  <c r="Q38" i="3" s="1"/>
  <c r="P1033" i="3" s="1"/>
  <c r="R37" i="3" a="1"/>
  <c r="R37" i="3" s="1"/>
  <c r="Q37" i="3" a="1"/>
  <c r="Q37" i="3" s="1"/>
  <c r="P1032" i="3" s="1"/>
  <c r="R36" i="3" a="1"/>
  <c r="R36" i="3" s="1"/>
  <c r="Q36" i="3" a="1"/>
  <c r="Q36" i="3" s="1"/>
  <c r="R35" i="3" a="1"/>
  <c r="R35" i="3" s="1"/>
  <c r="Q35" i="3" a="1"/>
  <c r="Q35" i="3" s="1"/>
  <c r="P1031" i="3" s="1"/>
  <c r="R34" i="3" a="1"/>
  <c r="R34" i="3" s="1"/>
  <c r="Q34" i="3" a="1"/>
  <c r="Q34" i="3" s="1"/>
  <c r="P1030" i="3" s="1"/>
  <c r="R33" i="3" a="1"/>
  <c r="R33" i="3" s="1"/>
  <c r="Q33" i="3" a="1"/>
  <c r="Q33" i="3" s="1"/>
  <c r="P1029" i="3" s="1"/>
  <c r="R32" i="3" a="1"/>
  <c r="R32" i="3" s="1"/>
  <c r="Q32" i="3" a="1"/>
  <c r="Q32" i="3" s="1"/>
  <c r="P1028" i="3" s="1"/>
  <c r="R31" i="3" a="1"/>
  <c r="R31" i="3" s="1"/>
  <c r="Q31" i="3" a="1"/>
  <c r="Q31" i="3" s="1"/>
  <c r="P1027" i="3" s="1"/>
  <c r="R30" i="3" a="1"/>
  <c r="R30" i="3" s="1"/>
  <c r="Q30" i="3" a="1"/>
  <c r="Q30" i="3" s="1"/>
  <c r="P1026" i="3" s="1"/>
  <c r="R29" i="3" a="1"/>
  <c r="R29" i="3" s="1"/>
  <c r="Q29" i="3" a="1"/>
  <c r="Q29" i="3" s="1"/>
  <c r="P1025" i="3" s="1"/>
  <c r="R28" i="3" a="1"/>
  <c r="R28" i="3" s="1"/>
  <c r="Q28" i="3" a="1"/>
  <c r="Q28" i="3" s="1"/>
  <c r="P1024" i="3" s="1"/>
  <c r="R27" i="3" a="1"/>
  <c r="R27" i="3" s="1"/>
  <c r="Q27" i="3" a="1"/>
  <c r="Q27" i="3" s="1"/>
  <c r="P1023" i="3" s="1"/>
  <c r="R26" i="3" a="1"/>
  <c r="R26" i="3" s="1"/>
  <c r="Q26" i="3" a="1"/>
  <c r="Q26" i="3" s="1"/>
  <c r="P1022" i="3" s="1"/>
  <c r="R25" i="3" a="1"/>
  <c r="R25" i="3" s="1"/>
  <c r="Q25" i="3" a="1"/>
  <c r="Q25" i="3" s="1"/>
  <c r="P1021" i="3" s="1"/>
  <c r="R24" i="3" a="1"/>
  <c r="R24" i="3" s="1"/>
  <c r="Q24" i="3" a="1"/>
  <c r="Q24" i="3" s="1"/>
  <c r="P1020" i="3" s="1"/>
  <c r="R23" i="3" a="1"/>
  <c r="R23" i="3" s="1"/>
  <c r="Q23" i="3" a="1"/>
  <c r="Q23" i="3" s="1"/>
  <c r="P1019" i="3" s="1"/>
  <c r="R22" i="3" a="1"/>
  <c r="R22" i="3" s="1"/>
  <c r="Q22" i="3" a="1"/>
  <c r="Q22" i="3" s="1"/>
  <c r="P1018" i="3" s="1"/>
  <c r="R21" i="3" a="1"/>
  <c r="R21" i="3" s="1"/>
  <c r="Q21" i="3" a="1"/>
  <c r="Q21" i="3" s="1"/>
  <c r="P1017" i="3" s="1"/>
  <c r="R20" i="3" a="1"/>
  <c r="R20" i="3" s="1"/>
  <c r="Q20" i="3" a="1"/>
  <c r="Q20" i="3" s="1"/>
  <c r="P1016" i="3" s="1"/>
  <c r="R19" i="3" a="1"/>
  <c r="R19" i="3" s="1"/>
  <c r="Q19" i="3" a="1"/>
  <c r="Q19" i="3" s="1"/>
  <c r="P1015" i="3" s="1"/>
  <c r="R18" i="3" a="1"/>
  <c r="R18" i="3" s="1"/>
  <c r="Q18" i="3" a="1"/>
  <c r="Q18" i="3" s="1"/>
  <c r="P1014" i="3" s="1"/>
  <c r="R17" i="3" a="1"/>
  <c r="R17" i="3" s="1"/>
  <c r="Q17" i="3" a="1"/>
  <c r="Q17" i="3" s="1"/>
  <c r="P1013" i="3" s="1"/>
  <c r="R16" i="3" a="1"/>
  <c r="R16" i="3" s="1"/>
  <c r="Q16" i="3" a="1"/>
  <c r="Q16" i="3" s="1"/>
  <c r="P1012" i="3" s="1"/>
  <c r="R15" i="3" a="1"/>
  <c r="R15" i="3" s="1"/>
  <c r="Q15" i="3" a="1"/>
  <c r="Q15" i="3" s="1"/>
  <c r="P1011" i="3" s="1"/>
  <c r="R14" i="3" a="1"/>
  <c r="R14" i="3" s="1"/>
  <c r="Q14" i="3" a="1"/>
  <c r="Q14" i="3" s="1"/>
  <c r="P1010" i="3" s="1"/>
  <c r="R13" i="3" a="1"/>
  <c r="R13" i="3" s="1"/>
  <c r="Q13" i="3" a="1"/>
  <c r="Q13" i="3" s="1"/>
  <c r="P827" i="3" s="1"/>
  <c r="R12" i="3" a="1"/>
  <c r="R12" i="3" s="1"/>
  <c r="Q12" i="3" a="1"/>
  <c r="Q12" i="3" s="1"/>
  <c r="P1009" i="3" s="1"/>
  <c r="R11" i="3" a="1"/>
  <c r="R11" i="3" s="1"/>
  <c r="Q11" i="3" a="1"/>
  <c r="Q11" i="3" s="1"/>
  <c r="P1008" i="3" s="1"/>
  <c r="R10" i="3" a="1"/>
  <c r="R10" i="3" s="1"/>
  <c r="Q10" i="3" a="1"/>
  <c r="Q10" i="3" s="1"/>
  <c r="P1007" i="3" s="1"/>
  <c r="R9" i="3" a="1"/>
  <c r="R9" i="3" s="1"/>
  <c r="Q9" i="3" a="1"/>
  <c r="Q9" i="3" s="1"/>
  <c r="P1006" i="3" s="1"/>
  <c r="R8" i="3" a="1"/>
  <c r="R8" i="3" s="1"/>
  <c r="Q8" i="3" a="1"/>
  <c r="Q8" i="3" s="1"/>
  <c r="P1005" i="3" s="1"/>
  <c r="R7" i="3" a="1"/>
  <c r="R7" i="3" s="1"/>
  <c r="Q7" i="3" a="1"/>
  <c r="Q7" i="3" s="1"/>
  <c r="P1004" i="3" s="1"/>
  <c r="R6" i="3" a="1"/>
  <c r="R6" i="3" s="1"/>
  <c r="Q6" i="3" a="1"/>
  <c r="Q6" i="3" s="1"/>
  <c r="P1003" i="3" s="1"/>
  <c r="R5" i="3" a="1"/>
  <c r="R5" i="3" s="1"/>
  <c r="Q5" i="3" a="1"/>
  <c r="Q5" i="3" s="1"/>
  <c r="P1002" i="3" s="1"/>
  <c r="R4" i="3" a="1"/>
  <c r="R4" i="3" s="1"/>
  <c r="Q4" i="3" a="1"/>
  <c r="Q4" i="3" s="1"/>
  <c r="R3" i="3" a="1"/>
  <c r="R3" i="3" s="1"/>
  <c r="Q3" i="3" a="1"/>
  <c r="Q3" i="3" s="1"/>
  <c r="P1001" i="3" s="1"/>
  <c r="R2" i="3" a="1"/>
  <c r="R2" i="3"/>
  <c r="Q2" i="3" a="1"/>
  <c r="Q2" i="3"/>
  <c r="L334" i="2" a="1"/>
  <c r="L334" i="2" s="1"/>
  <c r="K334" i="2" a="1"/>
  <c r="K334" i="2" s="1"/>
  <c r="L333" i="2" a="1"/>
  <c r="L333" i="2" s="1"/>
  <c r="K333" i="2" a="1"/>
  <c r="K333" i="2" s="1"/>
  <c r="L332" i="2" a="1"/>
  <c r="L332" i="2" s="1"/>
  <c r="K332" i="2" a="1"/>
  <c r="K332" i="2" s="1"/>
  <c r="L331" i="2" a="1"/>
  <c r="L331" i="2" s="1"/>
  <c r="K331" i="2" a="1"/>
  <c r="K331" i="2" s="1"/>
  <c r="L330" i="2" a="1"/>
  <c r="L330" i="2" s="1"/>
  <c r="K330" i="2" a="1"/>
  <c r="K330" i="2" s="1"/>
  <c r="L329" i="2" a="1"/>
  <c r="L329" i="2" s="1"/>
  <c r="K329" i="2" a="1"/>
  <c r="K329" i="2" s="1"/>
  <c r="L328" i="2" a="1"/>
  <c r="L328" i="2" s="1"/>
  <c r="K328" i="2" a="1"/>
  <c r="K328" i="2" s="1"/>
  <c r="L327" i="2" a="1"/>
  <c r="L327" i="2" s="1"/>
  <c r="K327" i="2" a="1"/>
  <c r="K327" i="2" s="1"/>
  <c r="L326" i="2" a="1"/>
  <c r="L326" i="2" s="1"/>
  <c r="K326" i="2" a="1"/>
  <c r="K326" i="2" s="1"/>
  <c r="L325" i="2" a="1"/>
  <c r="L325" i="2" s="1"/>
  <c r="K325" i="2" a="1"/>
  <c r="K325" i="2" s="1"/>
  <c r="L324" i="2" a="1"/>
  <c r="L324" i="2" s="1"/>
  <c r="K324" i="2" a="1"/>
  <c r="K324" i="2" s="1"/>
  <c r="L323" i="2" a="1"/>
  <c r="L323" i="2" s="1"/>
  <c r="K323" i="2" a="1"/>
  <c r="K323" i="2" s="1"/>
  <c r="L322" i="2" a="1"/>
  <c r="L322" i="2" s="1"/>
  <c r="K322" i="2" a="1"/>
  <c r="K322" i="2" s="1"/>
  <c r="L321" i="2" a="1"/>
  <c r="L321" i="2" s="1"/>
  <c r="K321" i="2" a="1"/>
  <c r="K321" i="2" s="1"/>
  <c r="L320" i="2" a="1"/>
  <c r="L320" i="2" s="1"/>
  <c r="K320" i="2" a="1"/>
  <c r="K320" i="2" s="1"/>
  <c r="L319" i="2" a="1"/>
  <c r="L319" i="2" s="1"/>
  <c r="K319" i="2" a="1"/>
  <c r="K319" i="2" s="1"/>
  <c r="L318" i="2" a="1"/>
  <c r="L318" i="2" s="1"/>
  <c r="K318" i="2" a="1"/>
  <c r="K318" i="2" s="1"/>
  <c r="L317" i="2" a="1"/>
  <c r="L317" i="2" s="1"/>
  <c r="K317" i="2" a="1"/>
  <c r="K317" i="2" s="1"/>
  <c r="L316" i="2" a="1"/>
  <c r="L316" i="2" s="1"/>
  <c r="K316" i="2" a="1"/>
  <c r="K316" i="2" s="1"/>
  <c r="L315" i="2" a="1"/>
  <c r="L315" i="2" s="1"/>
  <c r="K315" i="2" a="1"/>
  <c r="K315" i="2" s="1"/>
  <c r="L314" i="2" a="1"/>
  <c r="L314" i="2" s="1"/>
  <c r="K314" i="2" a="1"/>
  <c r="K314" i="2" s="1"/>
  <c r="L313" i="2" a="1"/>
  <c r="L313" i="2" s="1"/>
  <c r="K313" i="2" a="1"/>
  <c r="K313" i="2" s="1"/>
  <c r="L312" i="2" a="1"/>
  <c r="L312" i="2" s="1"/>
  <c r="K312" i="2" a="1"/>
  <c r="K312" i="2" s="1"/>
  <c r="L311" i="2" a="1"/>
  <c r="L311" i="2" s="1"/>
  <c r="K311" i="2" a="1"/>
  <c r="K311" i="2" s="1"/>
  <c r="L310" i="2" a="1"/>
  <c r="L310" i="2" s="1"/>
  <c r="K310" i="2" a="1"/>
  <c r="K310" i="2" s="1"/>
  <c r="L309" i="2" a="1"/>
  <c r="L309" i="2" s="1"/>
  <c r="K309" i="2" a="1"/>
  <c r="K309" i="2" s="1"/>
  <c r="L308" i="2" a="1"/>
  <c r="L308" i="2" s="1"/>
  <c r="K308" i="2" a="1"/>
  <c r="K308" i="2" s="1"/>
  <c r="L307" i="2" a="1"/>
  <c r="L307" i="2" s="1"/>
  <c r="K307" i="2" a="1"/>
  <c r="K307" i="2" s="1"/>
  <c r="L306" i="2" a="1"/>
  <c r="L306" i="2" s="1"/>
  <c r="K306" i="2" a="1"/>
  <c r="K306" i="2" s="1"/>
  <c r="L305" i="2" a="1"/>
  <c r="L305" i="2" s="1"/>
  <c r="K305" i="2" a="1"/>
  <c r="K305" i="2" s="1"/>
  <c r="L304" i="2" a="1"/>
  <c r="L304" i="2" s="1"/>
  <c r="K304" i="2" a="1"/>
  <c r="K304" i="2" s="1"/>
  <c r="L303" i="2" a="1"/>
  <c r="L303" i="2" s="1"/>
  <c r="K303" i="2" a="1"/>
  <c r="K303" i="2" s="1"/>
  <c r="L302" i="2" a="1"/>
  <c r="L302" i="2" s="1"/>
  <c r="K302" i="2" a="1"/>
  <c r="K302" i="2" s="1"/>
  <c r="L301" i="2" a="1"/>
  <c r="L301" i="2" s="1"/>
  <c r="K301" i="2" a="1"/>
  <c r="K301" i="2" s="1"/>
  <c r="L300" i="2" a="1"/>
  <c r="L300" i="2" s="1"/>
  <c r="K300" i="2" a="1"/>
  <c r="K300" i="2" s="1"/>
  <c r="L299" i="2" a="1"/>
  <c r="L299" i="2" s="1"/>
  <c r="K299" i="2" a="1"/>
  <c r="K299" i="2" s="1"/>
  <c r="L298" i="2" a="1"/>
  <c r="L298" i="2" s="1"/>
  <c r="K298" i="2" a="1"/>
  <c r="K298" i="2" s="1"/>
  <c r="L297" i="2" a="1"/>
  <c r="L297" i="2" s="1"/>
  <c r="K297" i="2" a="1"/>
  <c r="K297" i="2" s="1"/>
  <c r="L296" i="2" a="1"/>
  <c r="L296" i="2" s="1"/>
  <c r="K296" i="2" a="1"/>
  <c r="K296" i="2" s="1"/>
  <c r="L295" i="2" a="1"/>
  <c r="L295" i="2" s="1"/>
  <c r="K295" i="2" a="1"/>
  <c r="K295" i="2" s="1"/>
  <c r="L294" i="2" a="1"/>
  <c r="L294" i="2" s="1"/>
  <c r="K294" i="2" a="1"/>
  <c r="K294" i="2" s="1"/>
  <c r="L293" i="2" a="1"/>
  <c r="L293" i="2" s="1"/>
  <c r="K293" i="2" a="1"/>
  <c r="K293" i="2" s="1"/>
  <c r="L292" i="2" a="1"/>
  <c r="L292" i="2" s="1"/>
  <c r="K292" i="2" a="1"/>
  <c r="K292" i="2" s="1"/>
  <c r="L291" i="2" a="1"/>
  <c r="L291" i="2" s="1"/>
  <c r="K291" i="2" a="1"/>
  <c r="K291" i="2" s="1"/>
  <c r="L290" i="2" a="1"/>
  <c r="L290" i="2" s="1"/>
  <c r="K290" i="2" a="1"/>
  <c r="K290" i="2" s="1"/>
  <c r="L289" i="2" a="1"/>
  <c r="L289" i="2" s="1"/>
  <c r="K289" i="2" a="1"/>
  <c r="K289" i="2" s="1"/>
  <c r="L288" i="2" a="1"/>
  <c r="L288" i="2" s="1"/>
  <c r="K288" i="2" a="1"/>
  <c r="K288" i="2" s="1"/>
  <c r="L287" i="2" a="1"/>
  <c r="L287" i="2" s="1"/>
  <c r="K287" i="2" a="1"/>
  <c r="K287" i="2" s="1"/>
  <c r="L286" i="2" a="1"/>
  <c r="L286" i="2" s="1"/>
  <c r="K286" i="2" a="1"/>
  <c r="K286" i="2" s="1"/>
  <c r="L285" i="2" a="1"/>
  <c r="L285" i="2" s="1"/>
  <c r="K285" i="2" a="1"/>
  <c r="K285" i="2" s="1"/>
  <c r="L284" i="2" a="1"/>
  <c r="L284" i="2" s="1"/>
  <c r="K284" i="2" a="1"/>
  <c r="K284" i="2" s="1"/>
  <c r="L283" i="2" a="1"/>
  <c r="L283" i="2" s="1"/>
  <c r="K283" i="2" a="1"/>
  <c r="K283" i="2" s="1"/>
  <c r="L282" i="2" a="1"/>
  <c r="L282" i="2" s="1"/>
  <c r="K282" i="2" a="1"/>
  <c r="K282" i="2" s="1"/>
  <c r="L281" i="2" a="1"/>
  <c r="L281" i="2" s="1"/>
  <c r="K281" i="2" a="1"/>
  <c r="K281" i="2" s="1"/>
  <c r="L280" i="2" a="1"/>
  <c r="L280" i="2" s="1"/>
  <c r="K280" i="2" a="1"/>
  <c r="K280" i="2" s="1"/>
  <c r="L279" i="2" a="1"/>
  <c r="L279" i="2" s="1"/>
  <c r="K279" i="2" a="1"/>
  <c r="K279" i="2" s="1"/>
  <c r="L278" i="2" a="1"/>
  <c r="L278" i="2" s="1"/>
  <c r="K278" i="2" a="1"/>
  <c r="K278" i="2" s="1"/>
  <c r="L277" i="2" a="1"/>
  <c r="L277" i="2" s="1"/>
  <c r="K277" i="2" a="1"/>
  <c r="K277" i="2" s="1"/>
  <c r="L276" i="2" a="1"/>
  <c r="L276" i="2" s="1"/>
  <c r="K276" i="2" a="1"/>
  <c r="K276" i="2" s="1"/>
  <c r="L275" i="2" a="1"/>
  <c r="L275" i="2" s="1"/>
  <c r="K275" i="2" a="1"/>
  <c r="K275" i="2" s="1"/>
  <c r="L274" i="2" a="1"/>
  <c r="L274" i="2" s="1"/>
  <c r="K274" i="2" a="1"/>
  <c r="K274" i="2" s="1"/>
  <c r="L273" i="2" a="1"/>
  <c r="L273" i="2" s="1"/>
  <c r="K273" i="2" a="1"/>
  <c r="K273" i="2" s="1"/>
  <c r="L272" i="2" a="1"/>
  <c r="L272" i="2" s="1"/>
  <c r="K272" i="2" a="1"/>
  <c r="K272" i="2" s="1"/>
  <c r="L271" i="2" a="1"/>
  <c r="L271" i="2" s="1"/>
  <c r="K271" i="2" a="1"/>
  <c r="K271" i="2" s="1"/>
  <c r="L270" i="2" a="1"/>
  <c r="L270" i="2" s="1"/>
  <c r="K270" i="2" a="1"/>
  <c r="K270" i="2" s="1"/>
  <c r="L269" i="2" a="1"/>
  <c r="L269" i="2" s="1"/>
  <c r="K269" i="2" a="1"/>
  <c r="K269" i="2" s="1"/>
  <c r="L268" i="2" a="1"/>
  <c r="L268" i="2" s="1"/>
  <c r="K268" i="2" a="1"/>
  <c r="K268" i="2" s="1"/>
  <c r="L267" i="2" a="1"/>
  <c r="L267" i="2" s="1"/>
  <c r="K267" i="2" a="1"/>
  <c r="K267" i="2" s="1"/>
  <c r="L266" i="2" a="1"/>
  <c r="L266" i="2" s="1"/>
  <c r="K266" i="2" a="1"/>
  <c r="K266" i="2" s="1"/>
  <c r="L265" i="2" a="1"/>
  <c r="L265" i="2" s="1"/>
  <c r="K265" i="2" a="1"/>
  <c r="K265" i="2" s="1"/>
  <c r="L264" i="2" a="1"/>
  <c r="L264" i="2" s="1"/>
  <c r="K264" i="2" a="1"/>
  <c r="K264" i="2" s="1"/>
  <c r="L263" i="2" a="1"/>
  <c r="L263" i="2" s="1"/>
  <c r="K263" i="2" a="1"/>
  <c r="K263" i="2" s="1"/>
  <c r="L262" i="2" a="1"/>
  <c r="L262" i="2" s="1"/>
  <c r="K262" i="2" a="1"/>
  <c r="K262" i="2" s="1"/>
  <c r="L261" i="2" a="1"/>
  <c r="L261" i="2" s="1"/>
  <c r="K261" i="2" a="1"/>
  <c r="K261" i="2" s="1"/>
  <c r="L260" i="2" a="1"/>
  <c r="L260" i="2" s="1"/>
  <c r="K260" i="2" a="1"/>
  <c r="K260" i="2" s="1"/>
  <c r="L259" i="2" a="1"/>
  <c r="L259" i="2" s="1"/>
  <c r="K259" i="2" a="1"/>
  <c r="K259" i="2" s="1"/>
  <c r="L258" i="2" a="1"/>
  <c r="L258" i="2" s="1"/>
  <c r="K258" i="2" a="1"/>
  <c r="K258" i="2" s="1"/>
  <c r="L257" i="2" a="1"/>
  <c r="L257" i="2" s="1"/>
  <c r="K257" i="2" a="1"/>
  <c r="K257" i="2" s="1"/>
  <c r="L256" i="2" a="1"/>
  <c r="L256" i="2" s="1"/>
  <c r="K256" i="2" a="1"/>
  <c r="K256" i="2" s="1"/>
  <c r="L255" i="2" a="1"/>
  <c r="L255" i="2" s="1"/>
  <c r="K255" i="2" a="1"/>
  <c r="K255" i="2" s="1"/>
  <c r="L254" i="2" a="1"/>
  <c r="L254" i="2" s="1"/>
  <c r="K254" i="2" a="1"/>
  <c r="K254" i="2" s="1"/>
  <c r="L253" i="2" a="1"/>
  <c r="L253" i="2" s="1"/>
  <c r="K253" i="2" a="1"/>
  <c r="K253" i="2" s="1"/>
  <c r="L252" i="2" a="1"/>
  <c r="L252" i="2" s="1"/>
  <c r="K252" i="2" a="1"/>
  <c r="K252" i="2" s="1"/>
  <c r="L251" i="2" a="1"/>
  <c r="L251" i="2" s="1"/>
  <c r="K251" i="2" a="1"/>
  <c r="K251" i="2" s="1"/>
  <c r="L250" i="2" a="1"/>
  <c r="L250" i="2" s="1"/>
  <c r="K250" i="2" a="1"/>
  <c r="K250" i="2" s="1"/>
  <c r="L249" i="2" a="1"/>
  <c r="L249" i="2" s="1"/>
  <c r="K249" i="2" a="1"/>
  <c r="K249" i="2" s="1"/>
  <c r="L248" i="2" a="1"/>
  <c r="L248" i="2" s="1"/>
  <c r="K248" i="2" a="1"/>
  <c r="K248" i="2" s="1"/>
  <c r="L247" i="2" a="1"/>
  <c r="L247" i="2" s="1"/>
  <c r="K247" i="2" a="1"/>
  <c r="K247" i="2" s="1"/>
  <c r="L246" i="2" a="1"/>
  <c r="L246" i="2" s="1"/>
  <c r="K246" i="2" a="1"/>
  <c r="K246" i="2" s="1"/>
  <c r="L245" i="2" a="1"/>
  <c r="L245" i="2" s="1"/>
  <c r="K245" i="2" a="1"/>
  <c r="K245" i="2" s="1"/>
  <c r="L244" i="2" a="1"/>
  <c r="L244" i="2" s="1"/>
  <c r="K244" i="2" a="1"/>
  <c r="K244" i="2" s="1"/>
  <c r="L243" i="2" a="1"/>
  <c r="L243" i="2" s="1"/>
  <c r="K243" i="2" a="1"/>
  <c r="K243" i="2" s="1"/>
  <c r="L242" i="2" a="1"/>
  <c r="L242" i="2" s="1"/>
  <c r="K242" i="2" a="1"/>
  <c r="K242" i="2" s="1"/>
  <c r="L241" i="2" a="1"/>
  <c r="L241" i="2" s="1"/>
  <c r="K241" i="2" a="1"/>
  <c r="K241" i="2" s="1"/>
  <c r="L240" i="2" a="1"/>
  <c r="L240" i="2" s="1"/>
  <c r="K240" i="2" a="1"/>
  <c r="K240" i="2" s="1"/>
  <c r="L239" i="2" a="1"/>
  <c r="L239" i="2" s="1"/>
  <c r="K239" i="2" a="1"/>
  <c r="K239" i="2" s="1"/>
  <c r="L238" i="2" a="1"/>
  <c r="L238" i="2" s="1"/>
  <c r="K238" i="2" a="1"/>
  <c r="K238" i="2" s="1"/>
  <c r="L237" i="2" a="1"/>
  <c r="L237" i="2" s="1"/>
  <c r="K237" i="2" a="1"/>
  <c r="K237" i="2" s="1"/>
  <c r="L236" i="2" a="1"/>
  <c r="L236" i="2" s="1"/>
  <c r="K236" i="2" a="1"/>
  <c r="K236" i="2" s="1"/>
  <c r="L235" i="2" a="1"/>
  <c r="L235" i="2" s="1"/>
  <c r="K235" i="2" a="1"/>
  <c r="K235" i="2" s="1"/>
  <c r="L234" i="2" a="1"/>
  <c r="L234" i="2" s="1"/>
  <c r="K234" i="2" a="1"/>
  <c r="K234" i="2" s="1"/>
  <c r="L233" i="2" a="1"/>
  <c r="L233" i="2" s="1"/>
  <c r="K233" i="2" a="1"/>
  <c r="K233" i="2" s="1"/>
  <c r="L232" i="2" a="1"/>
  <c r="L232" i="2" s="1"/>
  <c r="K232" i="2" a="1"/>
  <c r="K232" i="2" s="1"/>
  <c r="L231" i="2" a="1"/>
  <c r="L231" i="2" s="1"/>
  <c r="K231" i="2" a="1"/>
  <c r="K231" i="2" s="1"/>
  <c r="L230" i="2" a="1"/>
  <c r="L230" i="2" s="1"/>
  <c r="K230" i="2" a="1"/>
  <c r="K230" i="2" s="1"/>
  <c r="L229" i="2" a="1"/>
  <c r="L229" i="2" s="1"/>
  <c r="K229" i="2" a="1"/>
  <c r="K229" i="2" s="1"/>
  <c r="L228" i="2" a="1"/>
  <c r="L228" i="2" s="1"/>
  <c r="K228" i="2" a="1"/>
  <c r="K228" i="2" s="1"/>
  <c r="L227" i="2" a="1"/>
  <c r="L227" i="2" s="1"/>
  <c r="K227" i="2" a="1"/>
  <c r="K227" i="2" s="1"/>
  <c r="L226" i="2" a="1"/>
  <c r="L226" i="2" s="1"/>
  <c r="K226" i="2" a="1"/>
  <c r="K226" i="2" s="1"/>
  <c r="L225" i="2" a="1"/>
  <c r="L225" i="2" s="1"/>
  <c r="K225" i="2" a="1"/>
  <c r="K225" i="2" s="1"/>
  <c r="L224" i="2" a="1"/>
  <c r="L224" i="2" s="1"/>
  <c r="K224" i="2" a="1"/>
  <c r="K224" i="2" s="1"/>
  <c r="L223" i="2" a="1"/>
  <c r="L223" i="2" s="1"/>
  <c r="K223" i="2" a="1"/>
  <c r="K223" i="2" s="1"/>
  <c r="L222" i="2" a="1"/>
  <c r="L222" i="2" s="1"/>
  <c r="K222" i="2" a="1"/>
  <c r="K222" i="2" s="1"/>
  <c r="L221" i="2" a="1"/>
  <c r="L221" i="2" s="1"/>
  <c r="K221" i="2" a="1"/>
  <c r="K221" i="2" s="1"/>
  <c r="L220" i="2" a="1"/>
  <c r="L220" i="2" s="1"/>
  <c r="K220" i="2" a="1"/>
  <c r="K220" i="2" s="1"/>
  <c r="L219" i="2" a="1"/>
  <c r="L219" i="2" s="1"/>
  <c r="K219" i="2" a="1"/>
  <c r="K219" i="2" s="1"/>
  <c r="L218" i="2" a="1"/>
  <c r="L218" i="2" s="1"/>
  <c r="K218" i="2" a="1"/>
  <c r="K218" i="2" s="1"/>
  <c r="L217" i="2" a="1"/>
  <c r="L217" i="2" s="1"/>
  <c r="K217" i="2" a="1"/>
  <c r="K217" i="2" s="1"/>
  <c r="L216" i="2" a="1"/>
  <c r="L216" i="2" s="1"/>
  <c r="K216" i="2" a="1"/>
  <c r="K216" i="2" s="1"/>
  <c r="L215" i="2" a="1"/>
  <c r="L215" i="2" s="1"/>
  <c r="K215" i="2" a="1"/>
  <c r="K215" i="2" s="1"/>
  <c r="L214" i="2" a="1"/>
  <c r="L214" i="2" s="1"/>
  <c r="K214" i="2" a="1"/>
  <c r="K214" i="2" s="1"/>
  <c r="L213" i="2" a="1"/>
  <c r="L213" i="2" s="1"/>
  <c r="K213" i="2" a="1"/>
  <c r="K213" i="2" s="1"/>
  <c r="L212" i="2" a="1"/>
  <c r="L212" i="2" s="1"/>
  <c r="K212" i="2" a="1"/>
  <c r="K212" i="2" s="1"/>
  <c r="L211" i="2" a="1"/>
  <c r="L211" i="2" s="1"/>
  <c r="K211" i="2" a="1"/>
  <c r="K211" i="2" s="1"/>
  <c r="L210" i="2" a="1"/>
  <c r="L210" i="2" s="1"/>
  <c r="K210" i="2" a="1"/>
  <c r="K210" i="2" s="1"/>
  <c r="L209" i="2" a="1"/>
  <c r="L209" i="2" s="1"/>
  <c r="K209" i="2" a="1"/>
  <c r="K209" i="2" s="1"/>
  <c r="L208" i="2" a="1"/>
  <c r="L208" i="2" s="1"/>
  <c r="K208" i="2" a="1"/>
  <c r="K208" i="2" s="1"/>
  <c r="L207" i="2" a="1"/>
  <c r="L207" i="2" s="1"/>
  <c r="K207" i="2" a="1"/>
  <c r="K207" i="2" s="1"/>
  <c r="L206" i="2" a="1"/>
  <c r="L206" i="2" s="1"/>
  <c r="K206" i="2" a="1"/>
  <c r="K206" i="2" s="1"/>
  <c r="L205" i="2" a="1"/>
  <c r="L205" i="2" s="1"/>
  <c r="K205" i="2" a="1"/>
  <c r="K205" i="2" s="1"/>
  <c r="L204" i="2" a="1"/>
  <c r="L204" i="2" s="1"/>
  <c r="K204" i="2" a="1"/>
  <c r="K204" i="2" s="1"/>
  <c r="L203" i="2" a="1"/>
  <c r="L203" i="2" s="1"/>
  <c r="K203" i="2" a="1"/>
  <c r="K203" i="2" s="1"/>
  <c r="L202" i="2" a="1"/>
  <c r="L202" i="2" s="1"/>
  <c r="K202" i="2" a="1"/>
  <c r="K202" i="2" s="1"/>
  <c r="L201" i="2" a="1"/>
  <c r="L201" i="2" s="1"/>
  <c r="K201" i="2" a="1"/>
  <c r="K201" i="2" s="1"/>
  <c r="L200" i="2" a="1"/>
  <c r="L200" i="2" s="1"/>
  <c r="K200" i="2" a="1"/>
  <c r="K200" i="2" s="1"/>
  <c r="L199" i="2" a="1"/>
  <c r="L199" i="2" s="1"/>
  <c r="K199" i="2" a="1"/>
  <c r="K199" i="2" s="1"/>
  <c r="L198" i="2" a="1"/>
  <c r="L198" i="2" s="1"/>
  <c r="K198" i="2" a="1"/>
  <c r="K198" i="2" s="1"/>
  <c r="L197" i="2" a="1"/>
  <c r="L197" i="2" s="1"/>
  <c r="K197" i="2" a="1"/>
  <c r="K197" i="2" s="1"/>
  <c r="L196" i="2" a="1"/>
  <c r="L196" i="2" s="1"/>
  <c r="K196" i="2" a="1"/>
  <c r="K196" i="2" s="1"/>
  <c r="L195" i="2" a="1"/>
  <c r="L195" i="2" s="1"/>
  <c r="K195" i="2" a="1"/>
  <c r="K195" i="2" s="1"/>
  <c r="L194" i="2" a="1"/>
  <c r="L194" i="2" s="1"/>
  <c r="K194" i="2" a="1"/>
  <c r="K194" i="2" s="1"/>
  <c r="L193" i="2" a="1"/>
  <c r="L193" i="2" s="1"/>
  <c r="K193" i="2" a="1"/>
  <c r="K193" i="2" s="1"/>
  <c r="L192" i="2" a="1"/>
  <c r="L192" i="2" s="1"/>
  <c r="K192" i="2" a="1"/>
  <c r="K192" i="2" s="1"/>
  <c r="L191" i="2" a="1"/>
  <c r="L191" i="2" s="1"/>
  <c r="K191" i="2" a="1"/>
  <c r="K191" i="2" s="1"/>
  <c r="L190" i="2" a="1"/>
  <c r="L190" i="2" s="1"/>
  <c r="K190" i="2" a="1"/>
  <c r="K190" i="2" s="1"/>
  <c r="L189" i="2" a="1"/>
  <c r="L189" i="2" s="1"/>
  <c r="K189" i="2" a="1"/>
  <c r="K189" i="2" s="1"/>
  <c r="L188" i="2" a="1"/>
  <c r="L188" i="2" s="1"/>
  <c r="K188" i="2" a="1"/>
  <c r="K188" i="2" s="1"/>
  <c r="L187" i="2" a="1"/>
  <c r="L187" i="2" s="1"/>
  <c r="K187" i="2" a="1"/>
  <c r="K187" i="2" s="1"/>
  <c r="L186" i="2" a="1"/>
  <c r="L186" i="2" s="1"/>
  <c r="K186" i="2" a="1"/>
  <c r="K186" i="2" s="1"/>
  <c r="L185" i="2" a="1"/>
  <c r="L185" i="2" s="1"/>
  <c r="K185" i="2" a="1"/>
  <c r="K185" i="2" s="1"/>
  <c r="L184" i="2" a="1"/>
  <c r="L184" i="2" s="1"/>
  <c r="K184" i="2" a="1"/>
  <c r="K184" i="2" s="1"/>
  <c r="L183" i="2" a="1"/>
  <c r="L183" i="2" s="1"/>
  <c r="K183" i="2" a="1"/>
  <c r="K183" i="2" s="1"/>
  <c r="L182" i="2" a="1"/>
  <c r="L182" i="2" s="1"/>
  <c r="K182" i="2" a="1"/>
  <c r="K182" i="2" s="1"/>
  <c r="L181" i="2" a="1"/>
  <c r="L181" i="2" s="1"/>
  <c r="K181" i="2" a="1"/>
  <c r="K181" i="2" s="1"/>
  <c r="L180" i="2" a="1"/>
  <c r="L180" i="2" s="1"/>
  <c r="K180" i="2" a="1"/>
  <c r="K180" i="2" s="1"/>
  <c r="L179" i="2" a="1"/>
  <c r="L179" i="2" s="1"/>
  <c r="K179" i="2" a="1"/>
  <c r="K179" i="2" s="1"/>
  <c r="L178" i="2" a="1"/>
  <c r="L178" i="2" s="1"/>
  <c r="K178" i="2" a="1"/>
  <c r="K178" i="2" s="1"/>
  <c r="L177" i="2" a="1"/>
  <c r="L177" i="2" s="1"/>
  <c r="K177" i="2" a="1"/>
  <c r="K177" i="2" s="1"/>
  <c r="L176" i="2" a="1"/>
  <c r="L176" i="2" s="1"/>
  <c r="K176" i="2" a="1"/>
  <c r="K176" i="2" s="1"/>
  <c r="L175" i="2" a="1"/>
  <c r="L175" i="2" s="1"/>
  <c r="K175" i="2" a="1"/>
  <c r="K175" i="2" s="1"/>
  <c r="L174" i="2" a="1"/>
  <c r="L174" i="2" s="1"/>
  <c r="K174" i="2" a="1"/>
  <c r="K174" i="2" s="1"/>
  <c r="L173" i="2" a="1"/>
  <c r="L173" i="2" s="1"/>
  <c r="K173" i="2" a="1"/>
  <c r="K173" i="2" s="1"/>
  <c r="L172" i="2" a="1"/>
  <c r="L172" i="2" s="1"/>
  <c r="K172" i="2" a="1"/>
  <c r="K172" i="2" s="1"/>
  <c r="L171" i="2" a="1"/>
  <c r="L171" i="2" s="1"/>
  <c r="K171" i="2" a="1"/>
  <c r="K171" i="2" s="1"/>
  <c r="L170" i="2" a="1"/>
  <c r="L170" i="2" s="1"/>
  <c r="K170" i="2" a="1"/>
  <c r="K170" i="2" s="1"/>
  <c r="L169" i="2" a="1"/>
  <c r="L169" i="2" s="1"/>
  <c r="K169" i="2" a="1"/>
  <c r="K169" i="2" s="1"/>
  <c r="L168" i="2" a="1"/>
  <c r="L168" i="2" s="1"/>
  <c r="K168" i="2" a="1"/>
  <c r="K168" i="2" s="1"/>
  <c r="L167" i="2" a="1"/>
  <c r="L167" i="2" s="1"/>
  <c r="K167" i="2" a="1"/>
  <c r="K167" i="2" s="1"/>
  <c r="L166" i="2" a="1"/>
  <c r="L166" i="2" s="1"/>
  <c r="K166" i="2" a="1"/>
  <c r="K166" i="2" s="1"/>
  <c r="L165" i="2" a="1"/>
  <c r="L165" i="2" s="1"/>
  <c r="K165" i="2" a="1"/>
  <c r="K165" i="2" s="1"/>
  <c r="L164" i="2" a="1"/>
  <c r="L164" i="2" s="1"/>
  <c r="K164" i="2" a="1"/>
  <c r="K164" i="2" s="1"/>
  <c r="L163" i="2" a="1"/>
  <c r="L163" i="2" s="1"/>
  <c r="K163" i="2" a="1"/>
  <c r="K163" i="2" s="1"/>
  <c r="L162" i="2" a="1"/>
  <c r="L162" i="2" s="1"/>
  <c r="K162" i="2" a="1"/>
  <c r="K162" i="2" s="1"/>
  <c r="L161" i="2" a="1"/>
  <c r="L161" i="2" s="1"/>
  <c r="K161" i="2" a="1"/>
  <c r="K161" i="2" s="1"/>
  <c r="L160" i="2" a="1"/>
  <c r="L160" i="2" s="1"/>
  <c r="K160" i="2" a="1"/>
  <c r="K160" i="2" s="1"/>
  <c r="L159" i="2" a="1"/>
  <c r="L159" i="2" s="1"/>
  <c r="K159" i="2" a="1"/>
  <c r="K159" i="2" s="1"/>
  <c r="L158" i="2" a="1"/>
  <c r="L158" i="2" s="1"/>
  <c r="K158" i="2" a="1"/>
  <c r="K158" i="2" s="1"/>
  <c r="L157" i="2" a="1"/>
  <c r="L157" i="2" s="1"/>
  <c r="K157" i="2" a="1"/>
  <c r="K157" i="2" s="1"/>
  <c r="L156" i="2" a="1"/>
  <c r="L156" i="2" s="1"/>
  <c r="K156" i="2" a="1"/>
  <c r="K156" i="2" s="1"/>
  <c r="L155" i="2" a="1"/>
  <c r="L155" i="2" s="1"/>
  <c r="K155" i="2" a="1"/>
  <c r="K155" i="2" s="1"/>
  <c r="L154" i="2" a="1"/>
  <c r="L154" i="2" s="1"/>
  <c r="K154" i="2" a="1"/>
  <c r="K154" i="2" s="1"/>
  <c r="L153" i="2" a="1"/>
  <c r="L153" i="2" s="1"/>
  <c r="K153" i="2" a="1"/>
  <c r="K153" i="2" s="1"/>
  <c r="L152" i="2" a="1"/>
  <c r="L152" i="2" s="1"/>
  <c r="K152" i="2" a="1"/>
  <c r="K152" i="2" s="1"/>
  <c r="L151" i="2" a="1"/>
  <c r="L151" i="2" s="1"/>
  <c r="K151" i="2" a="1"/>
  <c r="K151" i="2" s="1"/>
  <c r="L150" i="2" a="1"/>
  <c r="L150" i="2" s="1"/>
  <c r="K150" i="2" a="1"/>
  <c r="K150" i="2" s="1"/>
  <c r="L149" i="2" a="1"/>
  <c r="L149" i="2" s="1"/>
  <c r="K149" i="2" a="1"/>
  <c r="K149" i="2" s="1"/>
  <c r="L148" i="2" a="1"/>
  <c r="L148" i="2" s="1"/>
  <c r="K148" i="2" a="1"/>
  <c r="K148" i="2" s="1"/>
  <c r="L147" i="2" a="1"/>
  <c r="L147" i="2" s="1"/>
  <c r="K147" i="2" a="1"/>
  <c r="K147" i="2" s="1"/>
  <c r="L146" i="2" a="1"/>
  <c r="L146" i="2" s="1"/>
  <c r="K146" i="2" a="1"/>
  <c r="K146" i="2" s="1"/>
  <c r="L145" i="2" a="1"/>
  <c r="L145" i="2" s="1"/>
  <c r="K145" i="2" a="1"/>
  <c r="K145" i="2" s="1"/>
  <c r="L144" i="2" a="1"/>
  <c r="L144" i="2" s="1"/>
  <c r="K144" i="2" a="1"/>
  <c r="K144" i="2" s="1"/>
  <c r="L143" i="2" a="1"/>
  <c r="L143" i="2" s="1"/>
  <c r="K143" i="2" a="1"/>
  <c r="K143" i="2" s="1"/>
  <c r="L142" i="2" a="1"/>
  <c r="L142" i="2" s="1"/>
  <c r="K142" i="2" a="1"/>
  <c r="K142" i="2" s="1"/>
  <c r="L141" i="2" a="1"/>
  <c r="L141" i="2" s="1"/>
  <c r="K141" i="2" a="1"/>
  <c r="K141" i="2" s="1"/>
  <c r="L140" i="2" a="1"/>
  <c r="L140" i="2" s="1"/>
  <c r="K140" i="2" a="1"/>
  <c r="K140" i="2" s="1"/>
  <c r="L139" i="2" a="1"/>
  <c r="L139" i="2" s="1"/>
  <c r="K139" i="2" a="1"/>
  <c r="K139" i="2" s="1"/>
  <c r="L138" i="2" a="1"/>
  <c r="L138" i="2" s="1"/>
  <c r="K138" i="2" a="1"/>
  <c r="K138" i="2" s="1"/>
  <c r="L137" i="2" a="1"/>
  <c r="L137" i="2" s="1"/>
  <c r="K137" i="2" a="1"/>
  <c r="K137" i="2" s="1"/>
  <c r="L136" i="2" a="1"/>
  <c r="L136" i="2" s="1"/>
  <c r="K136" i="2" a="1"/>
  <c r="K136" i="2" s="1"/>
  <c r="L135" i="2" a="1"/>
  <c r="L135" i="2" s="1"/>
  <c r="K135" i="2" a="1"/>
  <c r="K135" i="2" s="1"/>
  <c r="L134" i="2" a="1"/>
  <c r="L134" i="2" s="1"/>
  <c r="K134" i="2" a="1"/>
  <c r="K134" i="2" s="1"/>
  <c r="L133" i="2" a="1"/>
  <c r="L133" i="2" s="1"/>
  <c r="K133" i="2" a="1"/>
  <c r="K133" i="2" s="1"/>
  <c r="L132" i="2" a="1"/>
  <c r="L132" i="2" s="1"/>
  <c r="K132" i="2" a="1"/>
  <c r="K132" i="2" s="1"/>
  <c r="L131" i="2" a="1"/>
  <c r="L131" i="2" s="1"/>
  <c r="K131" i="2" a="1"/>
  <c r="K131" i="2" s="1"/>
  <c r="L130" i="2" a="1"/>
  <c r="L130" i="2" s="1"/>
  <c r="K130" i="2" a="1"/>
  <c r="K130" i="2" s="1"/>
  <c r="L129" i="2" a="1"/>
  <c r="L129" i="2" s="1"/>
  <c r="K129" i="2" a="1"/>
  <c r="K129" i="2" s="1"/>
  <c r="L128" i="2" a="1"/>
  <c r="L128" i="2" s="1"/>
  <c r="K128" i="2" a="1"/>
  <c r="K128" i="2" s="1"/>
  <c r="L127" i="2" a="1"/>
  <c r="L127" i="2" s="1"/>
  <c r="K127" i="2" a="1"/>
  <c r="K127" i="2" s="1"/>
  <c r="L126" i="2" a="1"/>
  <c r="L126" i="2" s="1"/>
  <c r="K126" i="2" a="1"/>
  <c r="K126" i="2" s="1"/>
  <c r="L125" i="2" a="1"/>
  <c r="L125" i="2" s="1"/>
  <c r="K125" i="2" a="1"/>
  <c r="K125" i="2" s="1"/>
  <c r="L124" i="2" a="1"/>
  <c r="L124" i="2" s="1"/>
  <c r="K124" i="2" a="1"/>
  <c r="K124" i="2" s="1"/>
  <c r="L123" i="2" a="1"/>
  <c r="L123" i="2" s="1"/>
  <c r="K123" i="2" a="1"/>
  <c r="K123" i="2" s="1"/>
  <c r="L122" i="2" a="1"/>
  <c r="L122" i="2" s="1"/>
  <c r="K122" i="2" a="1"/>
  <c r="K122" i="2" s="1"/>
  <c r="L121" i="2" a="1"/>
  <c r="L121" i="2" s="1"/>
  <c r="K121" i="2" a="1"/>
  <c r="K121" i="2" s="1"/>
  <c r="L120" i="2" a="1"/>
  <c r="L120" i="2" s="1"/>
  <c r="K120" i="2" a="1"/>
  <c r="K120" i="2" s="1"/>
  <c r="L119" i="2" a="1"/>
  <c r="L119" i="2" s="1"/>
  <c r="K119" i="2" a="1"/>
  <c r="K119" i="2" s="1"/>
  <c r="L118" i="2" a="1"/>
  <c r="L118" i="2" s="1"/>
  <c r="K118" i="2" a="1"/>
  <c r="K118" i="2" s="1"/>
  <c r="L117" i="2" a="1"/>
  <c r="L117" i="2" s="1"/>
  <c r="K117" i="2" a="1"/>
  <c r="K117" i="2" s="1"/>
  <c r="L116" i="2" a="1"/>
  <c r="L116" i="2" s="1"/>
  <c r="K116" i="2" a="1"/>
  <c r="K116" i="2" s="1"/>
  <c r="L115" i="2" a="1"/>
  <c r="L115" i="2" s="1"/>
  <c r="K115" i="2" a="1"/>
  <c r="K115" i="2" s="1"/>
  <c r="L114" i="2" a="1"/>
  <c r="L114" i="2" s="1"/>
  <c r="K114" i="2" a="1"/>
  <c r="K114" i="2" s="1"/>
  <c r="L113" i="2" a="1"/>
  <c r="L113" i="2" s="1"/>
  <c r="K113" i="2" a="1"/>
  <c r="K113" i="2" s="1"/>
  <c r="L112" i="2" a="1"/>
  <c r="L112" i="2" s="1"/>
  <c r="K112" i="2" a="1"/>
  <c r="K112" i="2" s="1"/>
  <c r="L111" i="2" a="1"/>
  <c r="L111" i="2" s="1"/>
  <c r="K111" i="2" a="1"/>
  <c r="K111" i="2" s="1"/>
  <c r="L110" i="2" a="1"/>
  <c r="L110" i="2" s="1"/>
  <c r="K110" i="2" a="1"/>
  <c r="K110" i="2" s="1"/>
  <c r="L109" i="2" a="1"/>
  <c r="L109" i="2" s="1"/>
  <c r="K109" i="2" a="1"/>
  <c r="K109" i="2" s="1"/>
  <c r="L108" i="2" a="1"/>
  <c r="L108" i="2" s="1"/>
  <c r="K108" i="2" a="1"/>
  <c r="K108" i="2" s="1"/>
  <c r="L107" i="2" a="1"/>
  <c r="L107" i="2" s="1"/>
  <c r="K107" i="2" a="1"/>
  <c r="K107" i="2" s="1"/>
  <c r="L106" i="2" a="1"/>
  <c r="L106" i="2" s="1"/>
  <c r="K106" i="2" a="1"/>
  <c r="K106" i="2" s="1"/>
  <c r="L105" i="2" a="1"/>
  <c r="L105" i="2" s="1"/>
  <c r="K105" i="2" a="1"/>
  <c r="K105" i="2" s="1"/>
  <c r="L104" i="2" a="1"/>
  <c r="L104" i="2" s="1"/>
  <c r="K104" i="2" a="1"/>
  <c r="K104" i="2" s="1"/>
  <c r="L103" i="2" a="1"/>
  <c r="L103" i="2" s="1"/>
  <c r="K103" i="2" a="1"/>
  <c r="K103" i="2" s="1"/>
  <c r="L102" i="2" a="1"/>
  <c r="L102" i="2" s="1"/>
  <c r="K102" i="2" a="1"/>
  <c r="K102" i="2" s="1"/>
  <c r="L101" i="2" a="1"/>
  <c r="L101" i="2" s="1"/>
  <c r="K101" i="2" a="1"/>
  <c r="K101" i="2" s="1"/>
  <c r="L100" i="2" a="1"/>
  <c r="L100" i="2" s="1"/>
  <c r="K100" i="2" a="1"/>
  <c r="K100" i="2" s="1"/>
  <c r="L99" i="2" a="1"/>
  <c r="L99" i="2" s="1"/>
  <c r="K99" i="2" a="1"/>
  <c r="K99" i="2" s="1"/>
  <c r="L98" i="2" a="1"/>
  <c r="L98" i="2" s="1"/>
  <c r="K98" i="2" a="1"/>
  <c r="K98" i="2" s="1"/>
  <c r="L97" i="2" a="1"/>
  <c r="L97" i="2" s="1"/>
  <c r="K97" i="2" a="1"/>
  <c r="K97" i="2" s="1"/>
  <c r="L96" i="2" a="1"/>
  <c r="L96" i="2" s="1"/>
  <c r="K96" i="2" a="1"/>
  <c r="K96" i="2" s="1"/>
  <c r="L95" i="2" a="1"/>
  <c r="L95" i="2" s="1"/>
  <c r="K95" i="2" a="1"/>
  <c r="K95" i="2" s="1"/>
  <c r="L94" i="2" a="1"/>
  <c r="L94" i="2" s="1"/>
  <c r="K94" i="2" a="1"/>
  <c r="K94" i="2" s="1"/>
  <c r="L93" i="2" a="1"/>
  <c r="L93" i="2" s="1"/>
  <c r="K93" i="2" a="1"/>
  <c r="K93" i="2" s="1"/>
  <c r="L92" i="2" a="1"/>
  <c r="L92" i="2" s="1"/>
  <c r="K92" i="2" a="1"/>
  <c r="K92" i="2" s="1"/>
  <c r="L91" i="2" a="1"/>
  <c r="L91" i="2" s="1"/>
  <c r="K91" i="2" a="1"/>
  <c r="K91" i="2" s="1"/>
  <c r="L90" i="2" a="1"/>
  <c r="L90" i="2" s="1"/>
  <c r="K90" i="2" a="1"/>
  <c r="K90" i="2" s="1"/>
  <c r="L89" i="2" a="1"/>
  <c r="L89" i="2" s="1"/>
  <c r="K89" i="2" a="1"/>
  <c r="K89" i="2" s="1"/>
  <c r="L88" i="2" a="1"/>
  <c r="L88" i="2" s="1"/>
  <c r="K88" i="2" a="1"/>
  <c r="K88" i="2" s="1"/>
  <c r="L87" i="2" a="1"/>
  <c r="L87" i="2" s="1"/>
  <c r="K87" i="2" a="1"/>
  <c r="K87" i="2" s="1"/>
  <c r="L86" i="2" a="1"/>
  <c r="L86" i="2" s="1"/>
  <c r="K86" i="2" a="1"/>
  <c r="K86" i="2" s="1"/>
  <c r="L85" i="2" a="1"/>
  <c r="L85" i="2" s="1"/>
  <c r="K85" i="2" a="1"/>
  <c r="K85" i="2" s="1"/>
  <c r="L84" i="2" a="1"/>
  <c r="L84" i="2" s="1"/>
  <c r="K84" i="2" a="1"/>
  <c r="K84" i="2" s="1"/>
  <c r="L83" i="2" a="1"/>
  <c r="L83" i="2" s="1"/>
  <c r="K83" i="2" a="1"/>
  <c r="K83" i="2" s="1"/>
  <c r="L82" i="2" a="1"/>
  <c r="L82" i="2" s="1"/>
  <c r="K82" i="2" a="1"/>
  <c r="K82" i="2" s="1"/>
  <c r="L81" i="2" a="1"/>
  <c r="L81" i="2" s="1"/>
  <c r="K81" i="2" a="1"/>
  <c r="K81" i="2" s="1"/>
  <c r="L80" i="2" a="1"/>
  <c r="L80" i="2" s="1"/>
  <c r="K80" i="2" a="1"/>
  <c r="K80" i="2" s="1"/>
  <c r="L79" i="2" a="1"/>
  <c r="L79" i="2" s="1"/>
  <c r="K79" i="2" a="1"/>
  <c r="K79" i="2" s="1"/>
  <c r="L78" i="2" a="1"/>
  <c r="L78" i="2" s="1"/>
  <c r="K78" i="2" a="1"/>
  <c r="K78" i="2" s="1"/>
  <c r="L77" i="2" a="1"/>
  <c r="L77" i="2" s="1"/>
  <c r="K77" i="2" a="1"/>
  <c r="K77" i="2" s="1"/>
  <c r="L76" i="2" a="1"/>
  <c r="L76" i="2" s="1"/>
  <c r="K76" i="2" a="1"/>
  <c r="K76" i="2" s="1"/>
  <c r="L75" i="2" a="1"/>
  <c r="L75" i="2" s="1"/>
  <c r="K75" i="2" a="1"/>
  <c r="K75" i="2" s="1"/>
  <c r="L74" i="2" a="1"/>
  <c r="L74" i="2" s="1"/>
  <c r="K74" i="2" a="1"/>
  <c r="K74" i="2" s="1"/>
  <c r="L73" i="2" a="1"/>
  <c r="L73" i="2" s="1"/>
  <c r="K73" i="2" a="1"/>
  <c r="K73" i="2" s="1"/>
  <c r="L72" i="2" a="1"/>
  <c r="L72" i="2" s="1"/>
  <c r="K72" i="2" a="1"/>
  <c r="K72" i="2" s="1"/>
  <c r="L71" i="2" a="1"/>
  <c r="L71" i="2" s="1"/>
  <c r="K71" i="2" a="1"/>
  <c r="K71" i="2" s="1"/>
  <c r="L70" i="2" a="1"/>
  <c r="L70" i="2" s="1"/>
  <c r="K70" i="2" a="1"/>
  <c r="K70" i="2" s="1"/>
  <c r="L69" i="2" a="1"/>
  <c r="L69" i="2" s="1"/>
  <c r="K69" i="2" a="1"/>
  <c r="K69" i="2" s="1"/>
  <c r="L68" i="2" a="1"/>
  <c r="L68" i="2" s="1"/>
  <c r="K68" i="2" a="1"/>
  <c r="K68" i="2" s="1"/>
  <c r="L67" i="2" a="1"/>
  <c r="L67" i="2" s="1"/>
  <c r="K67" i="2" a="1"/>
  <c r="K67" i="2" s="1"/>
  <c r="L66" i="2" a="1"/>
  <c r="L66" i="2" s="1"/>
  <c r="K66" i="2" a="1"/>
  <c r="K66" i="2" s="1"/>
  <c r="L65" i="2" a="1"/>
  <c r="L65" i="2" s="1"/>
  <c r="K65" i="2" a="1"/>
  <c r="K65" i="2" s="1"/>
  <c r="L64" i="2" a="1"/>
  <c r="L64" i="2" s="1"/>
  <c r="K64" i="2" a="1"/>
  <c r="K64" i="2" s="1"/>
  <c r="L63" i="2" a="1"/>
  <c r="L63" i="2" s="1"/>
  <c r="K63" i="2" a="1"/>
  <c r="K63" i="2" s="1"/>
  <c r="L62" i="2" a="1"/>
  <c r="L62" i="2" s="1"/>
  <c r="K62" i="2" a="1"/>
  <c r="K62" i="2" s="1"/>
  <c r="L61" i="2" a="1"/>
  <c r="L61" i="2" s="1"/>
  <c r="K61" i="2" a="1"/>
  <c r="K61" i="2" s="1"/>
  <c r="L60" i="2" a="1"/>
  <c r="L60" i="2" s="1"/>
  <c r="K60" i="2" a="1"/>
  <c r="K60" i="2" s="1"/>
  <c r="L59" i="2" a="1"/>
  <c r="L59" i="2" s="1"/>
  <c r="K59" i="2" a="1"/>
  <c r="K59" i="2" s="1"/>
  <c r="L58" i="2" a="1"/>
  <c r="L58" i="2" s="1"/>
  <c r="K58" i="2" a="1"/>
  <c r="K58" i="2" s="1"/>
  <c r="L57" i="2" a="1"/>
  <c r="L57" i="2" s="1"/>
  <c r="K57" i="2" a="1"/>
  <c r="K57" i="2" s="1"/>
  <c r="L56" i="2" a="1"/>
  <c r="L56" i="2" s="1"/>
  <c r="K56" i="2" a="1"/>
  <c r="K56" i="2" s="1"/>
  <c r="L55" i="2" a="1"/>
  <c r="L55" i="2" s="1"/>
  <c r="K55" i="2" a="1"/>
  <c r="K55" i="2" s="1"/>
  <c r="L54" i="2" a="1"/>
  <c r="L54" i="2" s="1"/>
  <c r="K54" i="2" a="1"/>
  <c r="K54" i="2" s="1"/>
  <c r="L53" i="2" a="1"/>
  <c r="L53" i="2" s="1"/>
  <c r="K53" i="2" a="1"/>
  <c r="K53" i="2" s="1"/>
  <c r="L52" i="2" a="1"/>
  <c r="L52" i="2" s="1"/>
  <c r="K52" i="2" a="1"/>
  <c r="K52" i="2" s="1"/>
  <c r="L51" i="2" a="1"/>
  <c r="L51" i="2" s="1"/>
  <c r="K51" i="2" a="1"/>
  <c r="K51" i="2" s="1"/>
  <c r="L50" i="2" a="1"/>
  <c r="L50" i="2" s="1"/>
  <c r="K50" i="2" a="1"/>
  <c r="K50" i="2" s="1"/>
  <c r="L49" i="2" a="1"/>
  <c r="L49" i="2" s="1"/>
  <c r="K49" i="2" a="1"/>
  <c r="K49" i="2" s="1"/>
  <c r="L48" i="2" a="1"/>
  <c r="L48" i="2" s="1"/>
  <c r="K48" i="2" a="1"/>
  <c r="K48" i="2" s="1"/>
  <c r="L47" i="2" a="1"/>
  <c r="L47" i="2" s="1"/>
  <c r="K47" i="2" a="1"/>
  <c r="K47" i="2" s="1"/>
  <c r="L46" i="2" a="1"/>
  <c r="L46" i="2" s="1"/>
  <c r="K46" i="2" a="1"/>
  <c r="K46" i="2" s="1"/>
  <c r="L45" i="2" a="1"/>
  <c r="L45" i="2" s="1"/>
  <c r="K45" i="2" a="1"/>
  <c r="K45" i="2" s="1"/>
  <c r="L44" i="2" a="1"/>
  <c r="L44" i="2" s="1"/>
  <c r="K44" i="2" a="1"/>
  <c r="K44" i="2" s="1"/>
  <c r="L43" i="2" a="1"/>
  <c r="L43" i="2" s="1"/>
  <c r="K43" i="2" a="1"/>
  <c r="K43" i="2" s="1"/>
  <c r="L42" i="2" a="1"/>
  <c r="L42" i="2" s="1"/>
  <c r="K42" i="2" a="1"/>
  <c r="K42" i="2" s="1"/>
  <c r="L41" i="2" a="1"/>
  <c r="L41" i="2" s="1"/>
  <c r="K41" i="2" a="1"/>
  <c r="K41" i="2" s="1"/>
  <c r="L40" i="2" a="1"/>
  <c r="L40" i="2" s="1"/>
  <c r="K40" i="2" a="1"/>
  <c r="K40" i="2" s="1"/>
  <c r="L39" i="2" a="1"/>
  <c r="L39" i="2" s="1"/>
  <c r="K39" i="2" a="1"/>
  <c r="K39" i="2" s="1"/>
  <c r="L38" i="2" a="1"/>
  <c r="L38" i="2" s="1"/>
  <c r="K38" i="2" a="1"/>
  <c r="K38" i="2" s="1"/>
  <c r="L37" i="2" a="1"/>
  <c r="L37" i="2" s="1"/>
  <c r="K37" i="2" a="1"/>
  <c r="K37" i="2" s="1"/>
  <c r="L36" i="2" a="1"/>
  <c r="L36" i="2" s="1"/>
  <c r="K36" i="2" a="1"/>
  <c r="K36" i="2" s="1"/>
  <c r="L35" i="2" a="1"/>
  <c r="L35" i="2" s="1"/>
  <c r="K35" i="2" a="1"/>
  <c r="K35" i="2" s="1"/>
  <c r="L34" i="2" a="1"/>
  <c r="L34" i="2" s="1"/>
  <c r="K34" i="2" a="1"/>
  <c r="K34" i="2" s="1"/>
  <c r="L33" i="2" a="1"/>
  <c r="L33" i="2" s="1"/>
  <c r="K33" i="2" a="1"/>
  <c r="K33" i="2" s="1"/>
  <c r="L32" i="2" a="1"/>
  <c r="L32" i="2" s="1"/>
  <c r="K32" i="2" a="1"/>
  <c r="K32" i="2" s="1"/>
  <c r="L31" i="2" a="1"/>
  <c r="L31" i="2" s="1"/>
  <c r="K31" i="2" a="1"/>
  <c r="K31" i="2" s="1"/>
  <c r="L30" i="2" a="1"/>
  <c r="L30" i="2" s="1"/>
  <c r="K30" i="2" a="1"/>
  <c r="K30" i="2" s="1"/>
  <c r="L29" i="2" a="1"/>
  <c r="L29" i="2" s="1"/>
  <c r="K29" i="2" a="1"/>
  <c r="K29" i="2" s="1"/>
  <c r="L28" i="2" a="1"/>
  <c r="L28" i="2" s="1"/>
  <c r="K28" i="2" a="1"/>
  <c r="K28" i="2" s="1"/>
  <c r="L27" i="2" a="1"/>
  <c r="L27" i="2" s="1"/>
  <c r="K27" i="2" a="1"/>
  <c r="K27" i="2" s="1"/>
  <c r="L26" i="2" a="1"/>
  <c r="L26" i="2" s="1"/>
  <c r="K26" i="2" a="1"/>
  <c r="K26" i="2" s="1"/>
  <c r="L25" i="2" a="1"/>
  <c r="L25" i="2" s="1"/>
  <c r="K25" i="2" a="1"/>
  <c r="K25" i="2" s="1"/>
  <c r="L24" i="2" a="1"/>
  <c r="L24" i="2" s="1"/>
  <c r="K24" i="2" a="1"/>
  <c r="K24" i="2" s="1"/>
  <c r="L23" i="2" a="1"/>
  <c r="L23" i="2" s="1"/>
  <c r="K23" i="2" a="1"/>
  <c r="K23" i="2" s="1"/>
  <c r="L22" i="2" a="1"/>
  <c r="L22" i="2" s="1"/>
  <c r="K22" i="2" a="1"/>
  <c r="K22" i="2" s="1"/>
  <c r="L21" i="2" a="1"/>
  <c r="L21" i="2" s="1"/>
  <c r="K21" i="2" a="1"/>
  <c r="K21" i="2" s="1"/>
  <c r="L20" i="2" a="1"/>
  <c r="L20" i="2" s="1"/>
  <c r="K20" i="2" a="1"/>
  <c r="K20" i="2" s="1"/>
  <c r="L19" i="2" a="1"/>
  <c r="L19" i="2" s="1"/>
  <c r="K19" i="2" a="1"/>
  <c r="K19" i="2" s="1"/>
  <c r="L18" i="2" a="1"/>
  <c r="L18" i="2" s="1"/>
  <c r="K18" i="2" a="1"/>
  <c r="K18" i="2" s="1"/>
  <c r="L17" i="2" a="1"/>
  <c r="L17" i="2" s="1"/>
  <c r="K17" i="2" a="1"/>
  <c r="K17" i="2" s="1"/>
  <c r="L16" i="2" a="1"/>
  <c r="L16" i="2" s="1"/>
  <c r="K16" i="2" a="1"/>
  <c r="K16" i="2" s="1"/>
  <c r="L15" i="2" a="1"/>
  <c r="L15" i="2" s="1"/>
  <c r="K15" i="2" a="1"/>
  <c r="K15" i="2" s="1"/>
  <c r="L14" i="2" a="1"/>
  <c r="L14" i="2" s="1"/>
  <c r="K14" i="2" a="1"/>
  <c r="K14" i="2" s="1"/>
  <c r="L13" i="2" a="1"/>
  <c r="L13" i="2" s="1"/>
  <c r="K13" i="2" a="1"/>
  <c r="K13" i="2" s="1"/>
  <c r="L12" i="2" a="1"/>
  <c r="L12" i="2" s="1"/>
  <c r="K12" i="2" a="1"/>
  <c r="K12" i="2" s="1"/>
  <c r="L11" i="2" a="1"/>
  <c r="L11" i="2" s="1"/>
  <c r="K11" i="2" a="1"/>
  <c r="K11" i="2" s="1"/>
  <c r="L10" i="2" a="1"/>
  <c r="L10" i="2" s="1"/>
  <c r="K10" i="2" a="1"/>
  <c r="K10" i="2" s="1"/>
  <c r="L9" i="2" a="1"/>
  <c r="L9" i="2" s="1"/>
  <c r="K9" i="2" a="1"/>
  <c r="K9" i="2" s="1"/>
  <c r="L8" i="2" a="1"/>
  <c r="L8" i="2" s="1"/>
  <c r="K8" i="2" a="1"/>
  <c r="K8" i="2" s="1"/>
  <c r="L7" i="2" a="1"/>
  <c r="L7" i="2" s="1"/>
  <c r="K7" i="2" a="1"/>
  <c r="K7" i="2" s="1"/>
  <c r="L6" i="2" a="1"/>
  <c r="L6" i="2" s="1"/>
  <c r="K6" i="2" a="1"/>
  <c r="K6" i="2" s="1"/>
  <c r="L5" i="2" a="1"/>
  <c r="L5" i="2" s="1"/>
  <c r="K5" i="2" a="1"/>
  <c r="K5" i="2" s="1"/>
  <c r="L4" i="2" a="1"/>
  <c r="L4" i="2" s="1"/>
  <c r="K4" i="2" a="1"/>
  <c r="K4" i="2" s="1"/>
  <c r="L3" i="2" a="1"/>
  <c r="L3" i="2" s="1"/>
  <c r="K3" i="2" a="1"/>
  <c r="K3" i="2" s="1"/>
  <c r="L2" i="2" a="1"/>
  <c r="L2" i="2"/>
  <c r="K2" i="2" a="1"/>
  <c r="K2" i="2"/>
  <c r="D65" i="7"/>
  <c r="E65" i="7" s="1"/>
  <c r="C65" i="7"/>
  <c r="B65" i="7"/>
  <c r="D64" i="7"/>
  <c r="E64" i="7" s="1"/>
  <c r="C64" i="7"/>
  <c r="B64" i="7"/>
  <c r="D63" i="7"/>
  <c r="E63" i="7" s="1"/>
  <c r="C63" i="7"/>
  <c r="B63" i="7"/>
  <c r="D62" i="7"/>
  <c r="C62" i="7"/>
  <c r="C66" i="7" s="1"/>
  <c r="B62" i="7"/>
  <c r="B66" i="7" s="1"/>
  <c r="D55" i="7"/>
  <c r="C55" i="7"/>
  <c r="B55" i="7"/>
  <c r="D50" i="7"/>
  <c r="C50" i="7"/>
  <c r="B50" i="7"/>
  <c r="D49" i="7"/>
  <c r="C49" i="7"/>
  <c r="B49" i="7"/>
  <c r="E55" i="7"/>
  <c r="D54" i="7"/>
  <c r="E54" i="7" s="1"/>
  <c r="C54" i="7"/>
  <c r="B54" i="7"/>
  <c r="D53" i="7"/>
  <c r="E53" i="7" s="1"/>
  <c r="C53" i="7"/>
  <c r="B53" i="7"/>
  <c r="D52" i="7"/>
  <c r="E52" i="7" s="1"/>
  <c r="C52" i="7"/>
  <c r="B52" i="7"/>
  <c r="D51" i="7"/>
  <c r="E51" i="7" s="1"/>
  <c r="C51" i="7"/>
  <c r="B51" i="7"/>
  <c r="E50" i="7"/>
  <c r="C56" i="7"/>
  <c r="B56" i="7"/>
  <c r="S15" i="7"/>
  <c r="S14" i="7"/>
  <c r="S13" i="7"/>
  <c r="S12" i="7"/>
  <c r="S11" i="7"/>
  <c r="S10" i="7"/>
  <c r="S9" i="7"/>
  <c r="S8" i="7"/>
  <c r="S7" i="7"/>
  <c r="S6" i="7"/>
  <c r="S5" i="7"/>
  <c r="G21" i="7"/>
  <c r="H21" i="7" s="1"/>
  <c r="F21" i="7"/>
  <c r="E21" i="7"/>
  <c r="G19" i="7"/>
  <c r="H19" i="7" s="1"/>
  <c r="F19" i="7"/>
  <c r="E19" i="7"/>
  <c r="G18" i="7"/>
  <c r="F18" i="7"/>
  <c r="E18" i="7"/>
  <c r="E20" i="7" s="1"/>
  <c r="G16" i="7"/>
  <c r="H16" i="7" s="1"/>
  <c r="F16" i="7"/>
  <c r="E16" i="7"/>
  <c r="G15" i="7"/>
  <c r="F15" i="7"/>
  <c r="E15" i="7"/>
  <c r="G13" i="7"/>
  <c r="H13" i="7" s="1"/>
  <c r="F13" i="7"/>
  <c r="E13" i="7"/>
  <c r="G12" i="7"/>
  <c r="F12" i="7"/>
  <c r="E12" i="7"/>
  <c r="G10" i="7"/>
  <c r="H10" i="7" s="1"/>
  <c r="F10" i="7"/>
  <c r="E10" i="7"/>
  <c r="G9" i="7"/>
  <c r="F9" i="7"/>
  <c r="E9" i="7"/>
  <c r="G7" i="7"/>
  <c r="H7" i="7" s="1"/>
  <c r="F7" i="7"/>
  <c r="E7" i="7"/>
  <c r="G6" i="7"/>
  <c r="F6" i="7"/>
  <c r="E6" i="7"/>
  <c r="S28" i="7"/>
  <c r="S27" i="7"/>
  <c r="S26" i="7"/>
  <c r="S25" i="7"/>
  <c r="S24" i="7"/>
  <c r="S23" i="7"/>
  <c r="S22" i="7"/>
  <c r="S21" i="7"/>
  <c r="S20" i="7"/>
  <c r="S19" i="7"/>
  <c r="G46" i="7" a="1"/>
  <c r="G46" i="7" s="1"/>
  <c r="H46" i="7" s="1"/>
  <c r="F46" i="7" a="1"/>
  <c r="F46" i="7" s="1"/>
  <c r="E46" i="7" a="1"/>
  <c r="E46" i="7" s="1"/>
  <c r="D46" i="7" a="1"/>
  <c r="D46" i="7" s="1"/>
  <c r="C46" i="7" a="1"/>
  <c r="C46" i="7" s="1"/>
  <c r="B46" i="7" a="1"/>
  <c r="B46" i="7" s="1"/>
  <c r="G45" i="7" a="1"/>
  <c r="G45" i="7" s="1"/>
  <c r="H45" i="7" s="1"/>
  <c r="F45" i="7" a="1"/>
  <c r="F45" i="7" s="1"/>
  <c r="E45" i="7" a="1"/>
  <c r="E45" i="7" s="1"/>
  <c r="D45" i="7" a="1"/>
  <c r="D45" i="7" s="1"/>
  <c r="C45" i="7" a="1"/>
  <c r="C45" i="7" s="1"/>
  <c r="B45" i="7" a="1"/>
  <c r="B45" i="7" s="1"/>
  <c r="G44" i="7" a="1"/>
  <c r="G44" i="7" s="1"/>
  <c r="H44" i="7" s="1"/>
  <c r="F44" i="7" a="1"/>
  <c r="F44" i="7" s="1"/>
  <c r="E44" i="7" a="1"/>
  <c r="E44" i="7" s="1"/>
  <c r="D44" i="7" a="1"/>
  <c r="D44" i="7" s="1"/>
  <c r="C44" i="7" a="1"/>
  <c r="C44" i="7" s="1"/>
  <c r="B44" i="7" a="1"/>
  <c r="B44" i="7" s="1"/>
  <c r="G43" i="7" a="1"/>
  <c r="G43" i="7" s="1"/>
  <c r="H43" i="7" s="1"/>
  <c r="F43" i="7" a="1"/>
  <c r="F43" i="7" s="1"/>
  <c r="E43" i="7" a="1"/>
  <c r="E43" i="7" s="1"/>
  <c r="D43" i="7" a="1"/>
  <c r="D43" i="7" s="1"/>
  <c r="C43" i="7" a="1"/>
  <c r="C43" i="7" s="1"/>
  <c r="B43" i="7" a="1"/>
  <c r="B43" i="7" s="1"/>
  <c r="G42" i="7" a="1"/>
  <c r="G42" i="7" s="1"/>
  <c r="H42" i="7" s="1"/>
  <c r="F42" i="7" a="1"/>
  <c r="F42" i="7" s="1"/>
  <c r="E42" i="7" a="1"/>
  <c r="E42" i="7" s="1"/>
  <c r="D42" i="7" a="1"/>
  <c r="D42" i="7" s="1"/>
  <c r="C42" i="7" a="1"/>
  <c r="C42" i="7" s="1"/>
  <c r="B42" i="7" a="1"/>
  <c r="B42" i="7" s="1"/>
  <c r="G41" i="7" a="1"/>
  <c r="G41" i="7" s="1"/>
  <c r="H41" i="7" s="1"/>
  <c r="F41" i="7" a="1"/>
  <c r="F41" i="7" s="1"/>
  <c r="E41" i="7" a="1"/>
  <c r="E41" i="7" s="1"/>
  <c r="D41" i="7" a="1"/>
  <c r="D41" i="7" s="1"/>
  <c r="C41" i="7" a="1"/>
  <c r="C41" i="7" s="1"/>
  <c r="B41" i="7" a="1"/>
  <c r="B41" i="7" s="1"/>
  <c r="G40" i="7" a="1"/>
  <c r="G40" i="7" s="1"/>
  <c r="H40" i="7" s="1"/>
  <c r="F40" i="7" a="1"/>
  <c r="F40" i="7" s="1"/>
  <c r="E40" i="7" a="1"/>
  <c r="E40" i="7" s="1"/>
  <c r="D40" i="7" a="1"/>
  <c r="D40" i="7" s="1"/>
  <c r="C40" i="7" a="1"/>
  <c r="C40" i="7" s="1"/>
  <c r="B40" i="7" a="1"/>
  <c r="B40" i="7" s="1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B12" i="7" a="1"/>
  <c r="B12" i="7" s="1"/>
  <c r="B10" i="7"/>
  <c r="B8" i="7"/>
  <c r="B9" i="7" s="1"/>
  <c r="B6" i="7"/>
  <c r="B7" i="7" s="1"/>
  <c r="B5" i="7"/>
  <c r="P790" i="3" l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974" i="3"/>
  <c r="P138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995" i="3"/>
  <c r="P271" i="3"/>
  <c r="P272" i="3"/>
  <c r="P273" i="3"/>
  <c r="P274" i="3"/>
  <c r="P275" i="3"/>
  <c r="P276" i="3"/>
  <c r="P277" i="3"/>
  <c r="P278" i="3"/>
  <c r="P279" i="3"/>
  <c r="P280" i="3"/>
  <c r="P281" i="3"/>
  <c r="P996" i="3"/>
  <c r="P282" i="3"/>
  <c r="P849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997" i="3"/>
  <c r="P998" i="3"/>
  <c r="P999" i="3"/>
  <c r="P1000" i="3"/>
  <c r="P1366" i="3"/>
  <c r="P136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826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D66" i="7"/>
  <c r="E62" i="7"/>
  <c r="E66" i="7" s="1"/>
  <c r="D56" i="7"/>
  <c r="E49" i="7"/>
  <c r="E56" i="7" s="1"/>
  <c r="E14" i="7"/>
  <c r="F14" i="7"/>
  <c r="E17" i="7"/>
  <c r="F34" i="7"/>
  <c r="F35" i="7" s="1"/>
  <c r="E8" i="7"/>
  <c r="E34" i="7"/>
  <c r="E35" i="7" s="1"/>
  <c r="F8" i="7"/>
  <c r="F20" i="7"/>
  <c r="F17" i="7"/>
  <c r="E11" i="7"/>
  <c r="F11" i="7"/>
  <c r="G8" i="7"/>
  <c r="H8" i="7" s="1"/>
  <c r="H6" i="7"/>
  <c r="G11" i="7"/>
  <c r="H11" i="7" s="1"/>
  <c r="H9" i="7"/>
  <c r="G14" i="7"/>
  <c r="H14" i="7" s="1"/>
  <c r="H12" i="7"/>
  <c r="G20" i="7"/>
  <c r="H20" i="7" s="1"/>
  <c r="H18" i="7"/>
  <c r="G17" i="7"/>
  <c r="H15" i="7"/>
  <c r="G34" i="7"/>
  <c r="T29" i="7" s="1"/>
  <c r="T19" i="7"/>
  <c r="H24" i="7"/>
  <c r="T20" i="7"/>
  <c r="H25" i="7"/>
  <c r="T21" i="7"/>
  <c r="H26" i="7"/>
  <c r="T22" i="7"/>
  <c r="H27" i="7"/>
  <c r="T23" i="7"/>
  <c r="H28" i="7"/>
  <c r="T24" i="7"/>
  <c r="H29" i="7"/>
  <c r="T25" i="7"/>
  <c r="H30" i="7"/>
  <c r="T26" i="7"/>
  <c r="H31" i="7"/>
  <c r="T27" i="7"/>
  <c r="H32" i="7"/>
  <c r="T28" i="7"/>
  <c r="H33" i="7"/>
  <c r="T16" i="7"/>
  <c r="B11" i="7" l="1"/>
  <c r="F22" i="7"/>
  <c r="E22" i="7"/>
  <c r="H34" i="7"/>
  <c r="H35" i="7" s="1"/>
  <c r="G35" i="7"/>
  <c r="G22" i="7"/>
  <c r="H22" i="7" s="1"/>
  <c r="H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Dodd</author>
  </authors>
  <commentList>
    <comment ref="S541" authorId="0" shapeId="0" xr:uid="{83E29032-A49B-4E60-A2A9-1BCA96956F5D}">
      <text>
        <t>Manually overridden from REVIEW. User confirmed thg-beauty Liveramp datasets are safe to delete despite recent activity.</t>
      </text>
    </comment>
    <comment ref="S1612" authorId="0" shapeId="0" xr:uid="{3CFF8AF9-6F40-4824-AD97-CC1149BEFE5D}">
      <text>
        <t>Manually overridden from REVIEW. User confirmed thg-beauty Liveramp datasets are safe to delete despite recent activity.</t>
      </text>
    </comment>
    <comment ref="S1683" authorId="0" shapeId="0" xr:uid="{F7AB3B81-DEC7-400C-BD76-94783D1C5BA3}">
      <text>
        <t>Manually overridden from REVIEW. User confirmed thg-beauty Liveramp datasets are safe to delete despite recent activity.</t>
      </text>
    </comment>
    <comment ref="S1794" authorId="0" shapeId="0" xr:uid="{AB2BDF92-8B20-4F1D-BEF7-7EE4CADCED60}">
      <text>
        <t>Manually overridden from REVIEW. User confirmed thg-beauty Liveramp datasets are safe to delete despite recent activity.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<sst xmlns="http://schemas.openxmlformats.org/spreadsheetml/2006/main" count="23936" uniqueCount="4957">
  <si>
    <t>Instruction</t>
  </si>
  <si>
    <t>Detail</t>
  </si>
  <si>
    <t>1. Defensible Deletion Proof</t>
  </si>
  <si>
    <t>Every target in this list has zero METADATA activity (writes/modifications) for at least 365 days.</t>
  </si>
  <si>
    <t>2. How to Validate Storage</t>
  </si>
  <si>
    <t>Run the SQL in the [Validation SQL (Storage)] column to verify the size and absolute last modified date.</t>
  </si>
  <si>
    <t>3. How to Validate Usage</t>
  </si>
  <si>
    <t>Run the SQL in the [Validation SQL (Read/Usage)] column. If it returns 0 rows, NO ONE has queried this dataset in 180 days.</t>
  </si>
  <si>
    <t>4. Safe Deletion Process</t>
  </si>
  <si>
    <t>Instead of DROP, consider setting a 7-day expiration (the "Scream Test"). If no one complains, the data auto-deletes.</t>
  </si>
  <si>
    <t>5. Access Issues</t>
  </si>
  <si>
    <t>Refer to the [AccessIssues] sheet for a list of projects where the audit service account lacks permissions.</t>
  </si>
  <si>
    <t>Category</t>
  </si>
  <si>
    <t>Definition</t>
  </si>
  <si>
    <t>Tranche 1</t>
  </si>
  <si>
    <t>Stale Test/Temp</t>
  </si>
  <si>
    <t>Datasets with "test/temp/tmp" in the name AND no access in 180 days. Immediate deletion candidates.</t>
  </si>
  <si>
    <t>Tranche 2</t>
  </si>
  <si>
    <t>High Saving Stale</t>
  </si>
  <si>
    <t>Production datasets &gt; 100GB with no access in 180 days. Primary target for cost reduction.</t>
  </si>
  <si>
    <t>Tranche 3</t>
  </si>
  <si>
    <t>Stale Production</t>
  </si>
  <si>
    <t>Small production datasets with no access in 180 days.</t>
  </si>
  <si>
    <t>Tranche 4</t>
  </si>
  <si>
    <t>Active Test/Temp</t>
  </si>
  <si>
    <t>Datasets with "test/temp/tmp" in name but HAVE access history. Review for housekeeping.</t>
  </si>
  <si>
    <t>Column: Description</t>
  </si>
  <si>
    <t>Dataset Metadata</t>
  </si>
  <si>
    <t>Pulled from BigQuery SCHEMATA_OPTIONS. Helps identify ownership/purpose.</t>
  </si>
  <si>
    <t>Column: Last 5 Access</t>
  </si>
  <si>
    <t>Audit Trail</t>
  </si>
  <si>
    <t>Shows the most recent 5 jobs (Read or Write) including the user email and time.</t>
  </si>
  <si>
    <t>Column: Monthly Cost</t>
  </si>
  <si>
    <t>Financial Impact</t>
  </si>
  <si>
    <t>Estimated based on $0.02 per GB per month (standard logical storage).</t>
  </si>
  <si>
    <t>thg-influencer</t>
  </si>
  <si>
    <t>Inividual Project</t>
  </si>
  <si>
    <t>Charlie Stringer to review</t>
  </si>
  <si>
    <t>thg-ingenuity</t>
  </si>
  <si>
    <t>thg-central-marketing</t>
  </si>
  <si>
    <t>thg-seoclarity </t>
  </si>
  <si>
    <t>BigQuery Data Estate Cleanup — Dashboard</t>
  </si>
  <si>
    <t>Source: BQ-added-Data sheet</t>
  </si>
  <si>
    <t>KEY METRICS</t>
  </si>
  <si>
    <t>BY TRANCHE</t>
  </si>
  <si>
    <t>Full Name</t>
  </si>
  <si>
    <t>Short Name</t>
  </si>
  <si>
    <t>Total Datasets</t>
  </si>
  <si>
    <t>Tranche</t>
  </si>
  <si>
    <t># Datasets</t>
  </si>
  <si>
    <t>Size (GB)</t>
  </si>
  <si>
    <t>Monthly Cost ($)</t>
  </si>
  <si>
    <t>Annual ($)</t>
  </si>
  <si>
    <t>T1</t>
  </si>
  <si>
    <t>Total Size (GB)</t>
  </si>
  <si>
    <t>Tranche 1: Abandoned Test/Temp (&gt;1yr)</t>
  </si>
  <si>
    <t>T1.1</t>
  </si>
  <si>
    <t>Total Size (TB)</t>
  </si>
  <si>
    <t xml:space="preserve">  Tranche 1.1: Abandoned Test/Temp (&gt;1yr)</t>
  </si>
  <si>
    <t>T2</t>
  </si>
  <si>
    <t>Tranche 1 Subtotal</t>
  </si>
  <si>
    <t>T2.1</t>
  </si>
  <si>
    <t>Annualised Cost ($)</t>
  </si>
  <si>
    <t>Tranche 2: Abandoned Large Prod (&gt;1yr)</t>
  </si>
  <si>
    <t>T3</t>
  </si>
  <si>
    <t>Critical Priority Datasets</t>
  </si>
  <si>
    <t xml:space="preserve">  Tranche 2.1: Abandoned Large Prod (&gt;1yr)</t>
  </si>
  <si>
    <t>T3.1</t>
  </si>
  <si>
    <t>Defensible Deletion Confirmed</t>
  </si>
  <si>
    <t>Tranche 2 Subtotal</t>
  </si>
  <si>
    <t>T4</t>
  </si>
  <si>
    <t>Distinct Projects</t>
  </si>
  <si>
    <t>Tranche 3: Abandoned Small Prod (&gt;1yr)</t>
  </si>
  <si>
    <t>T4.1</t>
  </si>
  <si>
    <t xml:space="preserve">  Tranche 3.1: Abandoned Small Prod (&gt;1yr)</t>
  </si>
  <si>
    <t>T5</t>
  </si>
  <si>
    <t>Tranche 3 Subtotal</t>
  </si>
  <si>
    <t>T5.1</t>
  </si>
  <si>
    <t>Tranche 4: Stale (No Access 180d, No Write &gt;6mo)</t>
  </si>
  <si>
    <t>Active</t>
  </si>
  <si>
    <t xml:space="preserve">  Tranche 4.1: Stale (No Access 180d, No Write &gt;6mo)</t>
  </si>
  <si>
    <t>Low</t>
  </si>
  <si>
    <t>Tranche 4 Subtotal</t>
  </si>
  <si>
    <t>Tranche 5: Active Test (Housekeeping)</t>
  </si>
  <si>
    <t>Project</t>
  </si>
  <si>
    <t>Monthly $</t>
  </si>
  <si>
    <t xml:space="preserve">  Tranche 5.1: Active Test (Housekeeping)</t>
  </si>
  <si>
    <t>Tranche 5 Subtotal</t>
  </si>
  <si>
    <t>TOTAL</t>
  </si>
  <si>
    <t>agile-bonbon-662</t>
  </si>
  <si>
    <t>the-hut-group</t>
  </si>
  <si>
    <t>vibrant-map-107910</t>
  </si>
  <si>
    <t>thg-beauty</t>
  </si>
  <si>
    <t>thg-ml-dev</t>
  </si>
  <si>
    <t>All Others</t>
  </si>
  <si>
    <t>thg-content</t>
  </si>
  <si>
    <t>thg-seoclarity</t>
  </si>
  <si>
    <t>TOP 20 CLEANUP CANDIDATES BY MONTHLY COST (excl. Active prod)</t>
  </si>
  <si>
    <t>Rank</t>
  </si>
  <si>
    <t>Dataset</t>
  </si>
  <si>
    <t>Priority</t>
  </si>
  <si>
    <t>Annual $</t>
  </si>
  <si>
    <t>BONBON PROJECT DECISIONS (agile-bonbon-662)</t>
  </si>
  <si>
    <t>Decision</t>
  </si>
  <si>
    <t>Notes</t>
  </si>
  <si>
    <t>DELETE — Tranche 1</t>
  </si>
  <si>
    <t>All Tranche 1 bonbon datasets — proceed to deletion</t>
  </si>
  <si>
    <t>REVIEW — UA raw logs (numeric IDs)</t>
  </si>
  <si>
    <t>Old UA raw site logs — confirm audit-retention requirement before deciding</t>
  </si>
  <si>
    <t>KEEP — Sessions_Level_1_All_Sites</t>
  </si>
  <si>
    <t>Downstream UA aggregation — keep if raw tables are removed</t>
  </si>
  <si>
    <t>KEEP — Emag_Reporting</t>
  </si>
  <si>
    <t>Legacy but likely to be needed</t>
  </si>
  <si>
    <t>KEEP — Nutrition_Data_Archived_Tables</t>
  </si>
  <si>
    <t>Worth keeping</t>
  </si>
  <si>
    <t>KEEP — EU_Data</t>
  </si>
  <si>
    <t>Static lookup tables — scripts still reference, would break smoke test</t>
  </si>
  <si>
    <t>REVIEW — other (T2/T3/T4/T5)</t>
  </si>
  <si>
    <t>Remaining bonbon datasets not yet triaged</t>
  </si>
  <si>
    <t>TOTAL (Bonbon)</t>
  </si>
  <si>
    <t>Open question: UA raw logs retention — do audits require us to keep numeric-account-ID datasets? Decision drives ~$4k/mo across Tranche 2.</t>
  </si>
  <si>
    <t>HOLD — PROJECTS PAUSED PENDING CHARLIE STRINGER REVIEW</t>
  </si>
  <si>
    <t>Status</t>
  </si>
  <si>
    <t>HOLD — review before deletion</t>
  </si>
  <si>
    <t>TOTAL (HOLD)</t>
  </si>
  <si>
    <t>Note: No deletion action on these four projects until Charlie returns and reviews. All other tranche/decision work continues.</t>
  </si>
  <si>
    <t>Organisation</t>
  </si>
  <si>
    <t>Deletion Reason</t>
  </si>
  <si>
    <t>Tables</t>
  </si>
  <si>
    <t>Total GB</t>
  </si>
  <si>
    <t>Monthly Saving ($)</t>
  </si>
  <si>
    <t>Action</t>
  </si>
  <si>
    <t>Validation SQL (Storage)</t>
  </si>
  <si>
    <t>Validation SQL (Read/Usage)</t>
  </si>
  <si>
    <t>Decision Notes</t>
  </si>
  <si>
    <t>thehutgroup.com</t>
  </si>
  <si>
    <t>bigquery_pipeline_manager</t>
  </si>
  <si>
    <t>Stale Production: Idle 460 days.</t>
  </si>
  <si>
    <t>DROP DATASET vibrant-map-107910.bigquery_pipeline_manager</t>
  </si>
  <si>
    <t>SELECT COUNT(*), SUM(total_logical_bytes)/1024/1024/1024 as gb, MAX(storage_last_modified_time) FROM `vibrant-map-107910.region-eu.INFORMATION_SCHEMA.TABLE_STORAGE` WHERE table_schema = 'bigquery_pipeline_manager'</t>
  </si>
  <si>
    <t>SELECT job_id, user_email FROM `vibrant-map-107910.region-eu.INFORMATION_SCHEMA.JOBS_BY_PROJECT` WHERE creation_time &gt; TIMESTAMP_SUB(CURRENT_TIMESTAMP(), INTERVAL 180 DAY) AND (destination_table.dataset_id = 'bigquery_pipeline_manager' OR EXISTS(SELECT 1 FROM UNNEST(referenced_tables) ref WHERE ref.dataset_id = 'bigquery_pipeline_manager')) LIMIT 1</t>
  </si>
  <si>
    <t>94144777</t>
  </si>
  <si>
    <t>Stale Production: Idle 721 days.</t>
  </si>
  <si>
    <t>DROP DATASET agile-bonbon-662.94144777</t>
  </si>
  <si>
    <t>SELECT COUNT(*), SUM(total_logical_bytes)/1024/1024/1024 as gb, MAX(storage_last_modified_time) FROM `agile-bonbon-662.region-eu.INFORMATION_SCHEMA.TABLE_STORAGE` WHERE table_schema = '94144777'</t>
  </si>
  <si>
    <t>SELECT job_id, user_email FROM `agile-bonbon-662.region-eu.INFORMATION_SCHEMA.JOBS_BY_PROJECT` WHERE creation_time &gt; TIMESTAMP_SUB(CURRENT_TIMESTAMP(), INTERVAL 180 DAY) AND (destination_table.dataset_id = '94144777' OR EXISTS(SELECT 1 FROM UNNEST(referenced_tables) ref WHERE ref.dataset_id = '94144777')) LIMIT 1</t>
  </si>
  <si>
    <t>abtest_results</t>
  </si>
  <si>
    <t>Expired Experiment: Idle 488 days.</t>
  </si>
  <si>
    <t>DROP DATASET the-hut-group.abtest_results</t>
  </si>
  <si>
    <t>SELECT COUNT(*), SUM(total_logical_bytes)/1024/1024/1024 as gb, MAX(storage_last_modified_time) FROM `the-hut-group.region-eu.INFORMATION_SCHEMA.TABLE_STORAGE` WHERE table_schema = 'abtest_results'</t>
  </si>
  <si>
    <t>SELECT job_id, user_email FROM `the-hut-group.region-eu.INFORMATION_SCHEMA.JOBS_BY_PROJECT` WHERE creation_time &gt; TIMESTAMP_SUB(CURRENT_TIMESTAMP(), INTERVAL 180 DAY) AND (destination_table.dataset_id = 'abtest_results' OR EXISTS(SELECT 1 FROM UNNEST(referenced_tables) ref WHERE ref.dataset_id = 'abtest_results')) LIMIT 1</t>
  </si>
  <si>
    <t>SessionsAllSites</t>
  </si>
  <si>
    <t>Stale Production: Idle 2516 days.</t>
  </si>
  <si>
    <t>DROP DATASET agile-bonbon-662.SessionsAllSites</t>
  </si>
  <si>
    <t>SELECT COUNT(*), SUM(total_logical_bytes)/1024/1024/1024 as gb, MAX(storage_last_modified_time) FROM `agile-bonbon-662.region-eu.INFORMATION_SCHEMA.TABLE_STORAGE` WHERE table_schema = 'SessionsAllSites'</t>
  </si>
  <si>
    <t>SELECT job_id, user_email FROM `agile-bonbon-662.region-eu.INFORMATION_SCHEMA.JOBS_BY_PROJECT` WHERE creation_time &gt; TIMESTAMP_SUB(CURRENT_TIMESTAMP(), INTERVAL 180 DAY) AND (destination_table.dataset_id = 'SessionsAllSites' OR EXISTS(SELECT 1 FROM UNNEST(referenced_tables) ref WHERE ref.dataset_id = 'SessionsAllSites')) LIMIT 1</t>
  </si>
  <si>
    <t>US_Data</t>
  </si>
  <si>
    <t>Stale Production: Idle 1964 days.</t>
  </si>
  <si>
    <t>DROP DATASET agile-bonbon-662.US_Data</t>
  </si>
  <si>
    <t>SELECT COUNT(*), SUM(total_logical_bytes)/1024/1024/1024 as gb, MAX(storage_last_modified_time) FROM `agile-bonbon-662.region-eu.INFORMATION_SCHEMA.TABLE_STORAGE` WHERE table_schema = 'US_Data'</t>
  </si>
  <si>
    <t>SELECT job_id, user_email FROM `agile-bonbon-662.region-eu.INFORMATION_SCHEMA.JOBS_BY_PROJECT` WHERE creation_time &gt; TIMESTAMP_SUB(CURRENT_TIMESTAMP(), INTERVAL 180 DAY) AND (destination_table.dataset_id = 'US_Data' OR EXISTS(SELECT 1 FROM UNNEST(referenced_tables) ref WHERE ref.dataset_id = 'US_Data')) LIMIT 1</t>
  </si>
  <si>
    <t>metrics</t>
  </si>
  <si>
    <t>Stale Production: Idle 1456 days.</t>
  </si>
  <si>
    <t>DROP DATASET the-hut-group.metrics</t>
  </si>
  <si>
    <t>SELECT COUNT(*), SUM(total_logical_bytes)/1024/1024/1024 as gb, MAX(storage_last_modified_time) FROM `the-hut-group.region-eu.INFORMATION_SCHEMA.TABLE_STORAGE` WHERE table_schema = 'metrics'</t>
  </si>
  <si>
    <t>SELECT job_id, user_email FROM `the-hut-group.region-eu.INFORMATION_SCHEMA.JOBS_BY_PROJECT` WHERE creation_time &gt; TIMESTAMP_SUB(CURRENT_TIMESTAMP(), INTERVAL 180 DAY) AND (destination_table.dataset_id = 'metrics' OR EXISTS(SELECT 1 FROM UNNEST(referenced_tables) ref WHERE ref.dataset_id = 'metrics')) LIMIT 1</t>
  </si>
  <si>
    <t>18809831</t>
  </si>
  <si>
    <t>DROP DATASET agile-bonbon-662.18809831</t>
  </si>
  <si>
    <t>SELECT COUNT(*), SUM(total_logical_bytes)/1024/1024/1024 as gb, MAX(storage_last_modified_time) FROM `agile-bonbon-662.region-eu.INFORMATION_SCHEMA.TABLE_STORAGE` WHERE table_schema = '18809831'</t>
  </si>
  <si>
    <t>SELECT job_id, user_email FROM `agile-bonbon-662.region-eu.INFORMATION_SCHEMA.JOBS_BY_PROJECT` WHERE creation_time &gt; TIMESTAMP_SUB(CURRENT_TIMESTAMP(), INTERVAL 180 DAY) AND (destination_table.dataset_id = '18809831' OR EXISTS(SELECT 1 FROM UNNEST(referenced_tables) ref WHERE ref.dataset_id = '18809831')) LIMIT 1</t>
  </si>
  <si>
    <t>88617117</t>
  </si>
  <si>
    <t>DROP DATASET agile-bonbon-662.88617117</t>
  </si>
  <si>
    <t>SELECT COUNT(*), SUM(total_logical_bytes)/1024/1024/1024 as gb, MAX(storage_last_modified_time) FROM `agile-bonbon-662.region-eu.INFORMATION_SCHEMA.TABLE_STORAGE` WHERE table_schema = '88617117'</t>
  </si>
  <si>
    <t>SELECT job_id, user_email FROM `agile-bonbon-662.region-eu.INFORMATION_SCHEMA.JOBS_BY_PROJECT` WHERE creation_time &gt; TIMESTAMP_SUB(CURRENT_TIMESTAMP(), INTERVAL 180 DAY) AND (destination_table.dataset_id = '88617117' OR EXISTS(SELECT 1 FROM UNNEST(referenced_tables) ref WHERE ref.dataset_id = '88617117')) LIMIT 1</t>
  </si>
  <si>
    <t>773825</t>
  </si>
  <si>
    <t>DROP DATASET agile-bonbon-662.773825</t>
  </si>
  <si>
    <t>SELECT COUNT(*), SUM(total_logical_bytes)/1024/1024/1024 as gb, MAX(storage_last_modified_time) FROM `agile-bonbon-662.region-eu.INFORMATION_SCHEMA.TABLE_STORAGE` WHERE table_schema = '773825'</t>
  </si>
  <si>
    <t>SELECT job_id, user_email FROM `agile-bonbon-662.region-eu.INFORMATION_SCHEMA.JOBS_BY_PROJECT` WHERE creation_time &gt; TIMESTAMP_SUB(CURRENT_TIMESTAMP(), INTERVAL 180 DAY) AND (destination_table.dataset_id = '773825' OR EXISTS(SELECT 1 FROM UNNEST(referenced_tables) ref WHERE ref.dataset_id = '773825')) LIMIT 1</t>
  </si>
  <si>
    <t>SA360_ML_Ad_Copy</t>
  </si>
  <si>
    <t>Stale Production: Idle 750 days.</t>
  </si>
  <si>
    <t>DROP DATASET agile-bonbon-662.SA360_ML_Ad_Copy</t>
  </si>
  <si>
    <t>SELECT COUNT(*), SUM(total_logical_bytes)/1024/1024/1024 as gb, MAX(storage_last_modified_time) FROM `agile-bonbon-662.region-eu.INFORMATION_SCHEMA.TABLE_STORAGE` WHERE table_schema = 'SA360_ML_Ad_Copy'</t>
  </si>
  <si>
    <t>SELECT job_id, user_email FROM `agile-bonbon-662.region-eu.INFORMATION_SCHEMA.JOBS_BY_PROJECT` WHERE creation_time &gt; TIMESTAMP_SUB(CURRENT_TIMESTAMP(), INTERVAL 180 DAY) AND (destination_table.dataset_id = 'SA360_ML_Ad_Copy' OR EXISTS(SELECT 1 FROM UNNEST(referenced_tables) ref WHERE ref.dataset_id = 'SA360_ML_Ad_Copy')) LIMIT 1</t>
  </si>
  <si>
    <t>archived_unity</t>
  </si>
  <si>
    <t>Abandoned Archive: Idle 1963 days.</t>
  </si>
  <si>
    <t>DROP DATASET the-hut-group.archived_unity</t>
  </si>
  <si>
    <t>SELECT COUNT(*), SUM(total_logical_bytes)/1024/1024/1024 as gb, MAX(storage_last_modified_time) FROM `the-hut-group.region-eu.INFORMATION_SCHEMA.TABLE_STORAGE` WHERE table_schema = 'archived_unity'</t>
  </si>
  <si>
    <t>SELECT job_id, user_email FROM `the-hut-group.region-eu.INFORMATION_SCHEMA.JOBS_BY_PROJECT` WHERE creation_time &gt; TIMESTAMP_SUB(CURRENT_TIMESTAMP(), INTERVAL 180 DAY) AND (destination_table.dataset_id = 'archived_unity' OR EXISTS(SELECT 1 FROM UNNEST(referenced_tables) ref WHERE ref.dataset_id = 'archived_unity')) LIMIT 1</t>
  </si>
  <si>
    <t>segmentation</t>
  </si>
  <si>
    <t>DROP DATASET the-hut-group.segmentation</t>
  </si>
  <si>
    <t>SELECT COUNT(*), SUM(total_logical_bytes)/1024/1024/1024 as gb, MAX(storage_last_modified_time) FROM `the-hut-group.region-eu.INFORMATION_SCHEMA.TABLE_STORAGE` WHERE table_schema = 'segmentation'</t>
  </si>
  <si>
    <t>SELECT job_id, user_email FROM `the-hut-group.region-eu.INFORMATION_SCHEMA.JOBS_BY_PROJECT` WHERE creation_time &gt; TIMESTAMP_SUB(CURRENT_TIMESTAMP(), INTERVAL 180 DAY) AND (destination_table.dataset_id = 'segmentation' OR EXISTS(SELECT 1 FROM UNNEST(referenced_tables) ref WHERE ref.dataset_id = 'segmentation')) LIMIT 1</t>
  </si>
  <si>
    <t>Sessions_Level_1_All_Sites</t>
  </si>
  <si>
    <t>Stale Production: Idle 716 days.</t>
  </si>
  <si>
    <t>DROP DATASET agile-bonbon-662.Sessions_Level_1_All_Sites</t>
  </si>
  <si>
    <t>SELECT COUNT(*), SUM(total_logical_bytes)/1024/1024/1024 as gb, MAX(storage_last_modified_time) FROM `agile-bonbon-662.region-eu.INFORMATION_SCHEMA.TABLE_STORAGE` WHERE table_schema = 'Sessions_Level_1_All_Sites'</t>
  </si>
  <si>
    <t>SELECT job_id, user_email FROM `agile-bonbon-662.region-eu.INFORMATION_SCHEMA.JOBS_BY_PROJECT` WHERE creation_time &gt; TIMESTAMP_SUB(CURRENT_TIMESTAMP(), INTERVAL 180 DAY) AND (destination_table.dataset_id = 'Sessions_Level_1_All_Sites' OR EXISTS(SELECT 1 FROM UNNEST(referenced_tables) ref WHERE ref.dataset_id = 'Sessions_Level_1_All_Sites')) LIMIT 1</t>
  </si>
  <si>
    <t>152869512</t>
  </si>
  <si>
    <t>Stale Production: Idle 1716 days.</t>
  </si>
  <si>
    <t>DROP DATASET agile-bonbon-662.152869512</t>
  </si>
  <si>
    <t>SELECT COUNT(*), SUM(total_logical_bytes)/1024/1024/1024 as gb, MAX(storage_last_modified_time) FROM `agile-bonbon-662.region-eu.INFORMATION_SCHEMA.TABLE_STORAGE` WHERE table_schema = '152869512'</t>
  </si>
  <si>
    <t>SELECT job_id, user_email FROM `agile-bonbon-662.region-eu.INFORMATION_SCHEMA.JOBS_BY_PROJECT` WHERE creation_time &gt; TIMESTAMP_SUB(CURRENT_TIMESTAMP(), INTERVAL 180 DAY) AND (destination_table.dataset_id = '152869512' OR EXISTS(SELECT 1 FROM UNNEST(referenced_tables) ref WHERE ref.dataset_id = '152869512')) LIMIT 1</t>
  </si>
  <si>
    <t>131945534</t>
  </si>
  <si>
    <t>DROP DATASET agile-bonbon-662.131945534</t>
  </si>
  <si>
    <t>SELECT COUNT(*), SUM(total_logical_bytes)/1024/1024/1024 as gb, MAX(storage_last_modified_time) FROM `agile-bonbon-662.region-eu.INFORMATION_SCHEMA.TABLE_STORAGE` WHERE table_schema = '131945534'</t>
  </si>
  <si>
    <t>SELECT job_id, user_email FROM `agile-bonbon-662.region-eu.INFORMATION_SCHEMA.JOBS_BY_PROJECT` WHERE creation_time &gt; TIMESTAMP_SUB(CURRENT_TIMESTAMP(), INTERVAL 180 DAY) AND (destination_table.dataset_id = '131945534' OR EXISTS(SELECT 1 FROM UNNEST(referenced_tables) ref WHERE ref.dataset_id = '131945534')) LIMIT 1</t>
  </si>
  <si>
    <t>ecrmEvents_backup</t>
  </si>
  <si>
    <t>Abandoned Archive: Idle 2155 days.</t>
  </si>
  <si>
    <t>DROP DATASET agile-bonbon-662.ecrmEvents_backup</t>
  </si>
  <si>
    <t>SELECT COUNT(*), SUM(total_logical_bytes)/1024/1024/1024 as gb, MAX(storage_last_modified_time) FROM `agile-bonbon-662.region-eu.INFORMATION_SCHEMA.TABLE_STORAGE` WHERE table_schema = 'ecrmEvents_backup'</t>
  </si>
  <si>
    <t>SELECT job_id, user_email FROM `agile-bonbon-662.region-eu.INFORMATION_SCHEMA.JOBS_BY_PROJECT` WHERE creation_time &gt; TIMESTAMP_SUB(CURRENT_TIMESTAMP(), INTERVAL 180 DAY) AND (destination_table.dataset_id = 'ecrmEvents_backup' OR EXISTS(SELECT 1 FROM UNNEST(referenced_tables) ref WHERE ref.dataset_id = 'ecrmEvents_backup')) LIMIT 1</t>
  </si>
  <si>
    <t>ecrmEvents_backfill</t>
  </si>
  <si>
    <t>Stale Production: Idle 1869 days.</t>
  </si>
  <si>
    <t>DROP DATASET vibrant-map-107910.ecrmEvents_backfill</t>
  </si>
  <si>
    <t>SELECT COUNT(*), SUM(total_logical_bytes)/1024/1024/1024 as gb, MAX(storage_last_modified_time) FROM `vibrant-map-107910.region-eu.INFORMATION_SCHEMA.TABLE_STORAGE` WHERE table_schema = 'ecrmEvents_backfill'</t>
  </si>
  <si>
    <t>SELECT job_id, user_email FROM `vibrant-map-107910.region-eu.INFORMATION_SCHEMA.JOBS_BY_PROJECT` WHERE creation_time &gt; TIMESTAMP_SUB(CURRENT_TIMESTAMP(), INTERVAL 180 DAY) AND (destination_table.dataset_id = 'ecrmEvents_backfill' OR EXISTS(SELECT 1 FROM UNNEST(referenced_tables) ref WHERE ref.dataset_id = 'ecrmEvents_backfill')) LIMIT 1</t>
  </si>
  <si>
    <t>SA360_LF_UK</t>
  </si>
  <si>
    <t>Stale Production: Idle 751 days.</t>
  </si>
  <si>
    <t>DROP DATASET agile-bonbon-662.SA360_LF_UK</t>
  </si>
  <si>
    <t>SELECT COUNT(*), SUM(total_logical_bytes)/1024/1024/1024 as gb, MAX(storage_last_modified_time) FROM `agile-bonbon-662.region-eu.INFORMATION_SCHEMA.TABLE_STORAGE` WHERE table_schema = 'SA360_LF_UK'</t>
  </si>
  <si>
    <t>SELECT job_id, user_email FROM `agile-bonbon-662.region-eu.INFORMATION_SCHEMA.JOBS_BY_PROJECT` WHERE creation_time &gt; TIMESTAMP_SUB(CURRENT_TIMESTAMP(), INTERVAL 180 DAY) AND (destination_table.dataset_id = 'SA360_LF_UK' OR EXISTS(SELECT 1 FROM UNNEST(referenced_tables) ref WHERE ref.dataset_id = 'SA360_LF_UK')) LIMIT 1</t>
  </si>
  <si>
    <t>79916</t>
  </si>
  <si>
    <t>DROP DATASET agile-bonbon-662.79916</t>
  </si>
  <si>
    <t>SELECT COUNT(*), SUM(total_logical_bytes)/1024/1024/1024 as gb, MAX(storage_last_modified_time) FROM `agile-bonbon-662.region-eu.INFORMATION_SCHEMA.TABLE_STORAGE` WHERE table_schema = '79916'</t>
  </si>
  <si>
    <t>SELECT job_id, user_email FROM `agile-bonbon-662.region-eu.INFORMATION_SCHEMA.JOBS_BY_PROJECT` WHERE creation_time &gt; TIMESTAMP_SUB(CURRENT_TIMESTAMP(), INTERVAL 180 DAY) AND (destination_table.dataset_id = '79916' OR EXISTS(SELECT 1 FROM UNNEST(referenced_tables) ref WHERE ref.dataset_id = '79916')) LIMIT 1</t>
  </si>
  <si>
    <t>206972047</t>
  </si>
  <si>
    <t>DROP DATASET agile-bonbon-662.206972047</t>
  </si>
  <si>
    <t>SELECT COUNT(*), SUM(total_logical_bytes)/1024/1024/1024 as gb, MAX(storage_last_modified_time) FROM `agile-bonbon-662.region-eu.INFORMATION_SCHEMA.TABLE_STORAGE` WHERE table_schema = '206972047'</t>
  </si>
  <si>
    <t>SELECT job_id, user_email FROM `agile-bonbon-662.region-eu.INFORMATION_SCHEMA.JOBS_BY_PROJECT` WHERE creation_time &gt; TIMESTAMP_SUB(CURRENT_TIMESTAMP(), INTERVAL 180 DAY) AND (destination_table.dataset_id = '206972047' OR EXISTS(SELECT 1 FROM UNNEST(referenced_tables) ref WHERE ref.dataset_id = '206972047')) LIMIT 1</t>
  </si>
  <si>
    <t>Archived_Sessions_Level_1_All_Sites</t>
  </si>
  <si>
    <t>Abandoned Archive: Idle 2189 days.</t>
  </si>
  <si>
    <t>DROP DATASET agile-bonbon-662.Archived_Sessions_Level_1_All_Sites</t>
  </si>
  <si>
    <t>SELECT COUNT(*), SUM(total_logical_bytes)/1024/1024/1024 as gb, MAX(storage_last_modified_time) FROM `agile-bonbon-662.region-eu.INFORMATION_SCHEMA.TABLE_STORAGE` WHERE table_schema = 'Archived_Sessions_Level_1_All_Sites'</t>
  </si>
  <si>
    <t>SELECT job_id, user_email FROM `agile-bonbon-662.region-eu.INFORMATION_SCHEMA.JOBS_BY_PROJECT` WHERE creation_time &gt; TIMESTAMP_SUB(CURRENT_TIMESTAMP(), INTERVAL 180 DAY) AND (destination_table.dataset_id = 'Archived_Sessions_Level_1_All_Sites' OR EXISTS(SELECT 1 FROM UNNEST(referenced_tables) ref WHERE ref.dataset_id = 'Archived_Sessions_Level_1_All_Sites')) LIMIT 1</t>
  </si>
  <si>
    <t>62761664</t>
  </si>
  <si>
    <t>DROP DATASET agile-bonbon-662.62761664</t>
  </si>
  <si>
    <t>SELECT COUNT(*), SUM(total_logical_bytes)/1024/1024/1024 as gb, MAX(storage_last_modified_time) FROM `agile-bonbon-662.region-eu.INFORMATION_SCHEMA.TABLE_STORAGE` WHERE table_schema = '62761664'</t>
  </si>
  <si>
    <t>SELECT job_id, user_email FROM `agile-bonbon-662.region-eu.INFORMATION_SCHEMA.JOBS_BY_PROJECT` WHERE creation_time &gt; TIMESTAMP_SUB(CURRENT_TIMESTAMP(), INTERVAL 180 DAY) AND (destination_table.dataset_id = '62761664' OR EXISTS(SELECT 1 FROM UNNEST(referenced_tables) ref WHERE ref.dataset_id = '62761664')) LIMIT 1</t>
  </si>
  <si>
    <t>38156032</t>
  </si>
  <si>
    <t>DROP DATASET agile-bonbon-662.38156032</t>
  </si>
  <si>
    <t>SELECT COUNT(*), SUM(total_logical_bytes)/1024/1024/1024 as gb, MAX(storage_last_modified_time) FROM `agile-bonbon-662.region-eu.INFORMATION_SCHEMA.TABLE_STORAGE` WHERE table_schema = '38156032'</t>
  </si>
  <si>
    <t>SELECT job_id, user_email FROM `agile-bonbon-662.region-eu.INFORMATION_SCHEMA.JOBS_BY_PROJECT` WHERE creation_time &gt; TIMESTAMP_SUB(CURRENT_TIMESTAMP(), INTERVAL 180 DAY) AND (destination_table.dataset_id = '38156032' OR EXISTS(SELECT 1 FROM UNNEST(referenced_tables) ref WHERE ref.dataset_id = '38156032')) LIMIT 1</t>
  </si>
  <si>
    <t>14014664</t>
  </si>
  <si>
    <t>DROP DATASET agile-bonbon-662.14014664</t>
  </si>
  <si>
    <t>SELECT COUNT(*), SUM(total_logical_bytes)/1024/1024/1024 as gb, MAX(storage_last_modified_time) FROM `agile-bonbon-662.region-eu.INFORMATION_SCHEMA.TABLE_STORAGE` WHERE table_schema = '14014664'</t>
  </si>
  <si>
    <t>SELECT job_id, user_email FROM `agile-bonbon-662.region-eu.INFORMATION_SCHEMA.JOBS_BY_PROJECT` WHERE creation_time &gt; TIMESTAMP_SUB(CURRENT_TIMESTAMP(), INTERVAL 180 DAY) AND (destination_table.dataset_id = '14014664' OR EXISTS(SELECT 1 FROM UNNEST(referenced_tables) ref WHERE ref.dataset_id = '14014664')) LIMIT 1</t>
  </si>
  <si>
    <t>3150449</t>
  </si>
  <si>
    <t>DROP DATASET agile-bonbon-662.3150449</t>
  </si>
  <si>
    <t>SELECT COUNT(*), SUM(total_logical_bytes)/1024/1024/1024 as gb, MAX(storage_last_modified_time) FROM `agile-bonbon-662.region-eu.INFORMATION_SCHEMA.TABLE_STORAGE` WHERE table_schema = '3150449'</t>
  </si>
  <si>
    <t>SELECT job_id, user_email FROM `agile-bonbon-662.region-eu.INFORMATION_SCHEMA.JOBS_BY_PROJECT` WHERE creation_time &gt; TIMESTAMP_SUB(CURRENT_TIMESTAMP(), INTERVAL 180 DAY) AND (destination_table.dataset_id = '3150449' OR EXISTS(SELECT 1 FROM UNNEST(referenced_tables) ref WHERE ref.dataset_id = '3150449')) LIMIT 1</t>
  </si>
  <si>
    <t>38155599</t>
  </si>
  <si>
    <t>DROP DATASET agile-bonbon-662.38155599</t>
  </si>
  <si>
    <t>SELECT COUNT(*), SUM(total_logical_bytes)/1024/1024/1024 as gb, MAX(storage_last_modified_time) FROM `agile-bonbon-662.region-eu.INFORMATION_SCHEMA.TABLE_STORAGE` WHERE table_schema = '38155599'</t>
  </si>
  <si>
    <t>SELECT job_id, user_email FROM `agile-bonbon-662.region-eu.INFORMATION_SCHEMA.JOBS_BY_PROJECT` WHERE creation_time &gt; TIMESTAMP_SUB(CURRENT_TIMESTAMP(), INTERVAL 180 DAY) AND (destination_table.dataset_id = '38155599' OR EXISTS(SELECT 1 FROM UNNEST(referenced_tables) ref WHERE ref.dataset_id = '38155599')) LIMIT 1</t>
  </si>
  <si>
    <t>38156948</t>
  </si>
  <si>
    <t>DROP DATASET agile-bonbon-662.38156948</t>
  </si>
  <si>
    <t>SELECT COUNT(*), SUM(total_logical_bytes)/1024/1024/1024 as gb, MAX(storage_last_modified_time) FROM `agile-bonbon-662.region-eu.INFORMATION_SCHEMA.TABLE_STORAGE` WHERE table_schema = '38156948'</t>
  </si>
  <si>
    <t>SELECT job_id, user_email FROM `agile-bonbon-662.region-eu.INFORMATION_SCHEMA.JOBS_BY_PROJECT` WHERE creation_time &gt; TIMESTAMP_SUB(CURRENT_TIMESTAMP(), INTERVAL 180 DAY) AND (destination_table.dataset_id = '38156948' OR EXISTS(SELECT 1 FROM UNNEST(referenced_tables) ref WHERE ref.dataset_id = '38156948')) LIMIT 1</t>
  </si>
  <si>
    <t>euea</t>
  </si>
  <si>
    <t>Stale Production: Idle 1967 days.</t>
  </si>
  <si>
    <t>DROP DATASET the-hut-group.euea</t>
  </si>
  <si>
    <t>SELECT COUNT(*), SUM(total_logical_bytes)/1024/1024/1024 as gb, MAX(storage_last_modified_time) FROM `the-hut-group.region-eu.INFORMATION_SCHEMA.TABLE_STORAGE` WHERE table_schema = 'euea'</t>
  </si>
  <si>
    <t>SELECT job_id, user_email FROM `the-hut-group.region-eu.INFORMATION_SCHEMA.JOBS_BY_PROJECT` WHERE creation_time &gt; TIMESTAMP_SUB(CURRENT_TIMESTAMP(), INTERVAL 180 DAY) AND (destination_table.dataset_id = 'euea' OR EXISTS(SELECT 1 FROM UNNEST(referenced_tables) ref WHERE ref.dataset_id = 'euea')) LIMIT 1</t>
  </si>
  <si>
    <t>38156922</t>
  </si>
  <si>
    <t>DROP DATASET agile-bonbon-662.38156922</t>
  </si>
  <si>
    <t>SELECT COUNT(*), SUM(total_logical_bytes)/1024/1024/1024 as gb, MAX(storage_last_modified_time) FROM `agile-bonbon-662.region-eu.INFORMATION_SCHEMA.TABLE_STORAGE` WHERE table_schema = '38156922'</t>
  </si>
  <si>
    <t>SELECT job_id, user_email FROM `agile-bonbon-662.region-eu.INFORMATION_SCHEMA.JOBS_BY_PROJECT` WHERE creation_time &gt; TIMESTAMP_SUB(CURRENT_TIMESTAMP(), INTERVAL 180 DAY) AND (destination_table.dataset_id = '38156922' OR EXISTS(SELECT 1 FROM UNNEST(referenced_tables) ref WHERE ref.dataset_id = '38156922')) LIMIT 1</t>
  </si>
  <si>
    <t>Sessions_Level_1_Testing</t>
  </si>
  <si>
    <t>Expired Experiment: Idle 1832 days.</t>
  </si>
  <si>
    <t>DROP DATASET vibrant-map-107910.Sessions_Level_1_Testing</t>
  </si>
  <si>
    <t>SELECT COUNT(*), SUM(total_logical_bytes)/1024/1024/1024 as gb, MAX(storage_last_modified_time) FROM `vibrant-map-107910.region-eu.INFORMATION_SCHEMA.TABLE_STORAGE` WHERE table_schema = 'Sessions_Level_1_Testing'</t>
  </si>
  <si>
    <t>SELECT job_id, user_email FROM `vibrant-map-107910.region-eu.INFORMATION_SCHEMA.JOBS_BY_PROJECT` WHERE creation_time &gt; TIMESTAMP_SUB(CURRENT_TIMESTAMP(), INTERVAL 180 DAY) AND (destination_table.dataset_id = 'Sessions_Level_1_Testing' OR EXISTS(SELECT 1 FROM UNNEST(referenced_tables) ref WHERE ref.dataset_id = 'Sessions_Level_1_Testing')) LIMIT 1</t>
  </si>
  <si>
    <t>207754212</t>
  </si>
  <si>
    <t>DROP DATASET agile-bonbon-662.207754212</t>
  </si>
  <si>
    <t>SELECT COUNT(*), SUM(total_logical_bytes)/1024/1024/1024 as gb, MAX(storage_last_modified_time) FROM `agile-bonbon-662.region-eu.INFORMATION_SCHEMA.TABLE_STORAGE` WHERE table_schema = '207754212'</t>
  </si>
  <si>
    <t>SELECT job_id, user_email FROM `agile-bonbon-662.region-eu.INFORMATION_SCHEMA.JOBS_BY_PROJECT` WHERE creation_time &gt; TIMESTAMP_SUB(CURRENT_TIMESTAMP(), INTERVAL 180 DAY) AND (destination_table.dataset_id = '207754212' OR EXISTS(SELECT 1 FROM UNNEST(referenced_tables) ref WHERE ref.dataset_id = '207754212')) LIMIT 1</t>
  </si>
  <si>
    <t>128609659</t>
  </si>
  <si>
    <t>DROP DATASET agile-bonbon-662.128609659</t>
  </si>
  <si>
    <t>SELECT COUNT(*), SUM(total_logical_bytes)/1024/1024/1024 as gb, MAX(storage_last_modified_time) FROM `agile-bonbon-662.region-eu.INFORMATION_SCHEMA.TABLE_STORAGE` WHERE table_schema = '128609659'</t>
  </si>
  <si>
    <t>SELECT job_id, user_email FROM `agile-bonbon-662.region-eu.INFORMATION_SCHEMA.JOBS_BY_PROJECT` WHERE creation_time &gt; TIMESTAMP_SUB(CURRENT_TIMESTAMP(), INTERVAL 180 DAY) AND (destination_table.dataset_id = '128609659' OR EXISTS(SELECT 1 FROM UNNEST(referenced_tables) ref WHERE ref.dataset_id = '128609659')) LIMIT 1</t>
  </si>
  <si>
    <t>ecrmEvents_Test</t>
  </si>
  <si>
    <t>Expired Experiment: Idle 838 days.</t>
  </si>
  <si>
    <t>DROP DATASET agile-bonbon-662.ecrmEvents_Test</t>
  </si>
  <si>
    <t>SELECT COUNT(*), SUM(total_logical_bytes)/1024/1024/1024 as gb, MAX(storage_last_modified_time) FROM `agile-bonbon-662.region-eu.INFORMATION_SCHEMA.TABLE_STORAGE` WHERE table_schema = 'ecrmEvents_Test'</t>
  </si>
  <si>
    <t>SELECT job_id, user_email FROM `agile-bonbon-662.region-eu.INFORMATION_SCHEMA.JOBS_BY_PROJECT` WHERE creation_time &gt; TIMESTAMP_SUB(CURRENT_TIMESTAMP(), INTERVAL 180 DAY) AND (destination_table.dataset_id = 'ecrmEvents_Test' OR EXISTS(SELECT 1 FROM UNNEST(referenced_tables) ref WHERE ref.dataset_id = 'ecrmEvents_Test')) LIMIT 1</t>
  </si>
  <si>
    <t>35805345</t>
  </si>
  <si>
    <t>DROP DATASET agile-bonbon-662.35805345</t>
  </si>
  <si>
    <t>SELECT COUNT(*), SUM(total_logical_bytes)/1024/1024/1024 as gb, MAX(storage_last_modified_time) FROM `agile-bonbon-662.region-eu.INFORMATION_SCHEMA.TABLE_STORAGE` WHERE table_schema = '35805345'</t>
  </si>
  <si>
    <t>SELECT job_id, user_email FROM `agile-bonbon-662.region-eu.INFORMATION_SCHEMA.JOBS_BY_PROJECT` WHERE creation_time &gt; TIMESTAMP_SUB(CURRENT_TIMESTAMP(), INTERVAL 180 DAY) AND (destination_table.dataset_id = '35805345' OR EXISTS(SELECT 1 FROM UNNEST(referenced_tables) ref WHERE ref.dataset_id = '35805345')) LIMIT 1</t>
  </si>
  <si>
    <t>128567894</t>
  </si>
  <si>
    <t>DROP DATASET agile-bonbon-662.128567894</t>
  </si>
  <si>
    <t>SELECT COUNT(*), SUM(total_logical_bytes)/1024/1024/1024 as gb, MAX(storage_last_modified_time) FROM `agile-bonbon-662.region-eu.INFORMATION_SCHEMA.TABLE_STORAGE` WHERE table_schema = '128567894'</t>
  </si>
  <si>
    <t>SELECT job_id, user_email FROM `agile-bonbon-662.region-eu.INFORMATION_SCHEMA.JOBS_BY_PROJECT` WHERE creation_time &gt; TIMESTAMP_SUB(CURRENT_TIMESTAMP(), INTERVAL 180 DAY) AND (destination_table.dataset_id = '128567894' OR EXISTS(SELECT 1 FROM UNNEST(referenced_tables) ref WHERE ref.dataset_id = '128567894')) LIMIT 1</t>
  </si>
  <si>
    <t>118751436</t>
  </si>
  <si>
    <t>DROP DATASET agile-bonbon-662.118751436</t>
  </si>
  <si>
    <t>SELECT COUNT(*), SUM(total_logical_bytes)/1024/1024/1024 as gb, MAX(storage_last_modified_time) FROM `agile-bonbon-662.region-eu.INFORMATION_SCHEMA.TABLE_STORAGE` WHERE table_schema = '118751436'</t>
  </si>
  <si>
    <t>SELECT job_id, user_email FROM `agile-bonbon-662.region-eu.INFORMATION_SCHEMA.JOBS_BY_PROJECT` WHERE creation_time &gt; TIMESTAMP_SUB(CURRENT_TIMESTAMP(), INTERVAL 180 DAY) AND (destination_table.dataset_id = '118751436' OR EXISTS(SELECT 1 FROM UNNEST(referenced_tables) ref WHERE ref.dataset_id = '118751436')) LIMIT 1</t>
  </si>
  <si>
    <t>77723895</t>
  </si>
  <si>
    <t>DROP DATASET agile-bonbon-662.77723895</t>
  </si>
  <si>
    <t>SELECT COUNT(*), SUM(total_logical_bytes)/1024/1024/1024 as gb, MAX(storage_last_modified_time) FROM `agile-bonbon-662.region-eu.INFORMATION_SCHEMA.TABLE_STORAGE` WHERE table_schema = '77723895'</t>
  </si>
  <si>
    <t>SELECT job_id, user_email FROM `agile-bonbon-662.region-eu.INFORMATION_SCHEMA.JOBS_BY_PROJECT` WHERE creation_time &gt; TIMESTAMP_SUB(CURRENT_TIMESTAMP(), INTERVAL 180 DAY) AND (destination_table.dataset_id = '77723895' OR EXISTS(SELECT 1 FROM UNNEST(referenced_tables) ref WHERE ref.dataset_id = '77723895')) LIMIT 1</t>
  </si>
  <si>
    <t>83667053</t>
  </si>
  <si>
    <t>DROP DATASET agile-bonbon-662.83667053</t>
  </si>
  <si>
    <t>SELECT COUNT(*), SUM(total_logical_bytes)/1024/1024/1024 as gb, MAX(storage_last_modified_time) FROM `agile-bonbon-662.region-eu.INFORMATION_SCHEMA.TABLE_STORAGE` WHERE table_schema = '83667053'</t>
  </si>
  <si>
    <t>SELECT job_id, user_email FROM `agile-bonbon-662.region-eu.INFORMATION_SCHEMA.JOBS_BY_PROJECT` WHERE creation_time &gt; TIMESTAMP_SUB(CURRENT_TIMESTAMP(), INTERVAL 180 DAY) AND (destination_table.dataset_id = '83667053' OR EXISTS(SELECT 1 FROM UNNEST(referenced_tables) ref WHERE ref.dataset_id = '83667053')) LIMIT 1</t>
  </si>
  <si>
    <t>84848976</t>
  </si>
  <si>
    <t>DROP DATASET agile-bonbon-662.84848976</t>
  </si>
  <si>
    <t>SELECT COUNT(*), SUM(total_logical_bytes)/1024/1024/1024 as gb, MAX(storage_last_modified_time) FROM `agile-bonbon-662.region-eu.INFORMATION_SCHEMA.TABLE_STORAGE` WHERE table_schema = '84848976'</t>
  </si>
  <si>
    <t>SELECT job_id, user_email FROM `agile-bonbon-662.region-eu.INFORMATION_SCHEMA.JOBS_BY_PROJECT` WHERE creation_time &gt; TIMESTAMP_SUB(CURRENT_TIMESTAMP(), INTERVAL 180 DAY) AND (destination_table.dataset_id = '84848976' OR EXISTS(SELECT 1 FROM UNNEST(referenced_tables) ref WHERE ref.dataset_id = '84848976')) LIMIT 1</t>
  </si>
  <si>
    <t>88683440</t>
  </si>
  <si>
    <t>DROP DATASET agile-bonbon-662.88683440</t>
  </si>
  <si>
    <t>SELECT COUNT(*), SUM(total_logical_bytes)/1024/1024/1024 as gb, MAX(storage_last_modified_time) FROM `agile-bonbon-662.region-eu.INFORMATION_SCHEMA.TABLE_STORAGE` WHERE table_schema = '88683440'</t>
  </si>
  <si>
    <t>SELECT job_id, user_email FROM `agile-bonbon-662.region-eu.INFORMATION_SCHEMA.JOBS_BY_PROJECT` WHERE creation_time &gt; TIMESTAMP_SUB(CURRENT_TIMESTAMP(), INTERVAL 180 DAY) AND (destination_table.dataset_id = '88683440' OR EXISTS(SELECT 1 FROM UNNEST(referenced_tables) ref WHERE ref.dataset_id = '88683440')) LIMIT 1</t>
  </si>
  <si>
    <t>450233</t>
  </si>
  <si>
    <t>DROP DATASET agile-bonbon-662.450233</t>
  </si>
  <si>
    <t>SELECT COUNT(*), SUM(total_logical_bytes)/1024/1024/1024 as gb, MAX(storage_last_modified_time) FROM `agile-bonbon-662.region-eu.INFORMATION_SCHEMA.TABLE_STORAGE` WHERE table_schema = '450233'</t>
  </si>
  <si>
    <t>SELECT job_id, user_email FROM `agile-bonbon-662.region-eu.INFORMATION_SCHEMA.JOBS_BY_PROJECT` WHERE creation_time &gt; TIMESTAMP_SUB(CURRENT_TIMESTAMP(), INTERVAL 180 DAY) AND (destination_table.dataset_id = '450233' OR EXISTS(SELECT 1 FROM UNNEST(referenced_tables) ref WHERE ref.dataset_id = '450233')) LIMIT 1</t>
  </si>
  <si>
    <t>88576863</t>
  </si>
  <si>
    <t>DROP DATASET agile-bonbon-662.88576863</t>
  </si>
  <si>
    <t>SELECT COUNT(*), SUM(total_logical_bytes)/1024/1024/1024 as gb, MAX(storage_last_modified_time) FROM `agile-bonbon-662.region-eu.INFORMATION_SCHEMA.TABLE_STORAGE` WHERE table_schema = '88576863'</t>
  </si>
  <si>
    <t>SELECT job_id, user_email FROM `agile-bonbon-662.region-eu.INFORMATION_SCHEMA.JOBS_BY_PROJECT` WHERE creation_time &gt; TIMESTAMP_SUB(CURRENT_TIMESTAMP(), INTERVAL 180 DAY) AND (destination_table.dataset_id = '88576863' OR EXISTS(SELECT 1 FROM UNNEST(referenced_tables) ref WHERE ref.dataset_id = '88576863')) LIMIT 1</t>
  </si>
  <si>
    <t>117948209</t>
  </si>
  <si>
    <t>DROP DATASET agile-bonbon-662.117948209</t>
  </si>
  <si>
    <t>SELECT COUNT(*), SUM(total_logical_bytes)/1024/1024/1024 as gb, MAX(storage_last_modified_time) FROM `agile-bonbon-662.region-eu.INFORMATION_SCHEMA.TABLE_STORAGE` WHERE table_schema = '117948209'</t>
  </si>
  <si>
    <t>SELECT job_id, user_email FROM `agile-bonbon-662.region-eu.INFORMATION_SCHEMA.JOBS_BY_PROJECT` WHERE creation_time &gt; TIMESTAMP_SUB(CURRENT_TIMESTAMP(), INTERVAL 180 DAY) AND (destination_table.dataset_id = '117948209' OR EXISTS(SELECT 1 FROM UNNEST(referenced_tables) ref WHERE ref.dataset_id = '117948209')) LIMIT 1</t>
  </si>
  <si>
    <t>1594317</t>
  </si>
  <si>
    <t>DROP DATASET agile-bonbon-662.1594317</t>
  </si>
  <si>
    <t>SELECT COUNT(*), SUM(total_logical_bytes)/1024/1024/1024 as gb, MAX(storage_last_modified_time) FROM `agile-bonbon-662.region-eu.INFORMATION_SCHEMA.TABLE_STORAGE` WHERE table_schema = '1594317'</t>
  </si>
  <si>
    <t>SELECT job_id, user_email FROM `agile-bonbon-662.region-eu.INFORMATION_SCHEMA.JOBS_BY_PROJECT` WHERE creation_time &gt; TIMESTAMP_SUB(CURRENT_TIMESTAMP(), INTERVAL 180 DAY) AND (destination_table.dataset_id = '1594317' OR EXISTS(SELECT 1 FROM UNNEST(referenced_tables) ref WHERE ref.dataset_id = '1594317')) LIMIT 1</t>
  </si>
  <si>
    <t>38156239</t>
  </si>
  <si>
    <t>DROP DATASET agile-bonbon-662.38156239</t>
  </si>
  <si>
    <t>SELECT COUNT(*), SUM(total_logical_bytes)/1024/1024/1024 as gb, MAX(storage_last_modified_time) FROM `agile-bonbon-662.region-eu.INFORMATION_SCHEMA.TABLE_STORAGE` WHERE table_schema = '38156239'</t>
  </si>
  <si>
    <t>SELECT job_id, user_email FROM `agile-bonbon-662.region-eu.INFORMATION_SCHEMA.JOBS_BY_PROJECT` WHERE creation_time &gt; TIMESTAMP_SUB(CURRENT_TIMESTAMP(), INTERVAL 180 DAY) AND (destination_table.dataset_id = '38156239' OR EXISTS(SELECT 1 FROM UNNEST(referenced_tables) ref WHERE ref.dataset_id = '38156239')) LIMIT 1</t>
  </si>
  <si>
    <t>171622474</t>
  </si>
  <si>
    <t>DROP DATASET agile-bonbon-662.171622474</t>
  </si>
  <si>
    <t>SELECT COUNT(*), SUM(total_logical_bytes)/1024/1024/1024 as gb, MAX(storage_last_modified_time) FROM `agile-bonbon-662.region-eu.INFORMATION_SCHEMA.TABLE_STORAGE` WHERE table_schema = '171622474'</t>
  </si>
  <si>
    <t>SELECT job_id, user_email FROM `agile-bonbon-662.region-eu.INFORMATION_SCHEMA.JOBS_BY_PROJECT` WHERE creation_time &gt; TIMESTAMP_SUB(CURRENT_TIMESTAMP(), INTERVAL 180 DAY) AND (destination_table.dataset_id = '171622474' OR EXISTS(SELECT 1 FROM UNNEST(referenced_tables) ref WHERE ref.dataset_id = '171622474')) LIMIT 1</t>
  </si>
  <si>
    <t>88691040</t>
  </si>
  <si>
    <t>DROP DATASET agile-bonbon-662.88691040</t>
  </si>
  <si>
    <t>SELECT COUNT(*), SUM(total_logical_bytes)/1024/1024/1024 as gb, MAX(storage_last_modified_time) FROM `agile-bonbon-662.region-eu.INFORMATION_SCHEMA.TABLE_STORAGE` WHERE table_schema = '88691040'</t>
  </si>
  <si>
    <t>SELECT job_id, user_email FROM `agile-bonbon-662.region-eu.INFORMATION_SCHEMA.JOBS_BY_PROJECT` WHERE creation_time &gt; TIMESTAMP_SUB(CURRENT_TIMESTAMP(), INTERVAL 180 DAY) AND (destination_table.dataset_id = '88691040' OR EXISTS(SELECT 1 FROM UNNEST(referenced_tables) ref WHERE ref.dataset_id = '88691040')) LIMIT 1</t>
  </si>
  <si>
    <t>88686879</t>
  </si>
  <si>
    <t>DROP DATASET agile-bonbon-662.88686879</t>
  </si>
  <si>
    <t>SELECT COUNT(*), SUM(total_logical_bytes)/1024/1024/1024 as gb, MAX(storage_last_modified_time) FROM `agile-bonbon-662.region-eu.INFORMATION_SCHEMA.TABLE_STORAGE` WHERE table_schema = '88686879'</t>
  </si>
  <si>
    <t>SELECT job_id, user_email FROM `agile-bonbon-662.region-eu.INFORMATION_SCHEMA.JOBS_BY_PROJECT` WHERE creation_time &gt; TIMESTAMP_SUB(CURRENT_TIMESTAMP(), INTERVAL 180 DAY) AND (destination_table.dataset_id = '88686879' OR EXISTS(SELECT 1 FROM UNNEST(referenced_tables) ref WHERE ref.dataset_id = '88686879')) LIMIT 1</t>
  </si>
  <si>
    <t>84545546</t>
  </si>
  <si>
    <t>DROP DATASET agile-bonbon-662.84545546</t>
  </si>
  <si>
    <t>SELECT COUNT(*), SUM(total_logical_bytes)/1024/1024/1024 as gb, MAX(storage_last_modified_time) FROM `agile-bonbon-662.region-eu.INFORMATION_SCHEMA.TABLE_STORAGE` WHERE table_schema = '84545546'</t>
  </si>
  <si>
    <t>SELECT job_id, user_email FROM `agile-bonbon-662.region-eu.INFORMATION_SCHEMA.JOBS_BY_PROJECT` WHERE creation_time &gt; TIMESTAMP_SUB(CURRENT_TIMESTAMP(), INTERVAL 180 DAY) AND (destination_table.dataset_id = '84545546' OR EXISTS(SELECT 1 FROM UNNEST(referenced_tables) ref WHERE ref.dataset_id = '84545546')) LIMIT 1</t>
  </si>
  <si>
    <t>88703166</t>
  </si>
  <si>
    <t>DROP DATASET agile-bonbon-662.88703166</t>
  </si>
  <si>
    <t>SELECT COUNT(*), SUM(total_logical_bytes)/1024/1024/1024 as gb, MAX(storage_last_modified_time) FROM `agile-bonbon-662.region-eu.INFORMATION_SCHEMA.TABLE_STORAGE` WHERE table_schema = '88703166'</t>
  </si>
  <si>
    <t>SELECT job_id, user_email FROM `agile-bonbon-662.region-eu.INFORMATION_SCHEMA.JOBS_BY_PROJECT` WHERE creation_time &gt; TIMESTAMP_SUB(CURRENT_TIMESTAMP(), INTERVAL 180 DAY) AND (destination_table.dataset_id = '88703166' OR EXISTS(SELECT 1 FROM UNNEST(referenced_tables) ref WHERE ref.dataset_id = '88703166')) LIMIT 1</t>
  </si>
  <si>
    <t>analytics_294923853</t>
  </si>
  <si>
    <t>Stale Production: Idle 384 days.</t>
  </si>
  <si>
    <t>DROP DATASET agile-bonbon-662.analytics_294923853</t>
  </si>
  <si>
    <t>SELECT COUNT(*), SUM(total_logical_bytes)/1024/1024/1024 as gb, MAX(storage_last_modified_time) FROM `agile-bonbon-662.region-eu.INFORMATION_SCHEMA.TABLE_STORAGE` WHERE table_schema = 'analytics_294923853'</t>
  </si>
  <si>
    <t>SELECT job_id, user_email FROM `agile-bonbon-662.region-eu.INFORMATION_SCHEMA.JOBS_BY_PROJECT` WHERE creation_time &gt; TIMESTAMP_SUB(CURRENT_TIMESTAMP(), INTERVAL 180 DAY) AND (destination_table.dataset_id = 'analytics_294923853' OR EXISTS(SELECT 1 FROM UNNEST(referenced_tables) ref WHERE ref.dataset_id = 'analytics_294923853')) LIMIT 1</t>
  </si>
  <si>
    <t>88684776</t>
  </si>
  <si>
    <t>DROP DATASET agile-bonbon-662.88684776</t>
  </si>
  <si>
    <t>SELECT COUNT(*), SUM(total_logical_bytes)/1024/1024/1024 as gb, MAX(storage_last_modified_time) FROM `agile-bonbon-662.region-eu.INFORMATION_SCHEMA.TABLE_STORAGE` WHERE table_schema = '88684776'</t>
  </si>
  <si>
    <t>SELECT job_id, user_email FROM `agile-bonbon-662.region-eu.INFORMATION_SCHEMA.JOBS_BY_PROJECT` WHERE creation_time &gt; TIMESTAMP_SUB(CURRENT_TIMESTAMP(), INTERVAL 180 DAY) AND (destination_table.dataset_id = '88684776' OR EXISTS(SELECT 1 FROM UNNEST(referenced_tables) ref WHERE ref.dataset_id = '88684776')) LIMIT 1</t>
  </si>
  <si>
    <t>121494948</t>
  </si>
  <si>
    <t>DROP DATASET agile-bonbon-662.121494948</t>
  </si>
  <si>
    <t>SELECT COUNT(*), SUM(total_logical_bytes)/1024/1024/1024 as gb, MAX(storage_last_modified_time) FROM `agile-bonbon-662.region-eu.INFORMATION_SCHEMA.TABLE_STORAGE` WHERE table_schema = '121494948'</t>
  </si>
  <si>
    <t>SELECT job_id, user_email FROM `agile-bonbon-662.region-eu.INFORMATION_SCHEMA.JOBS_BY_PROJECT` WHERE creation_time &gt; TIMESTAMP_SUB(CURRENT_TIMESTAMP(), INTERVAL 180 DAY) AND (destination_table.dataset_id = '121494948' OR EXISTS(SELECT 1 FROM UNNEST(referenced_tables) ref WHERE ref.dataset_id = '121494948')) LIMIT 1</t>
  </si>
  <si>
    <t>118765602</t>
  </si>
  <si>
    <t>DROP DATASET agile-bonbon-662.118765602</t>
  </si>
  <si>
    <t>SELECT COUNT(*), SUM(total_logical_bytes)/1024/1024/1024 as gb, MAX(storage_last_modified_time) FROM `agile-bonbon-662.region-eu.INFORMATION_SCHEMA.TABLE_STORAGE` WHERE table_schema = '118765602'</t>
  </si>
  <si>
    <t>SELECT job_id, user_email FROM `agile-bonbon-662.region-eu.INFORMATION_SCHEMA.JOBS_BY_PROJECT` WHERE creation_time &gt; TIMESTAMP_SUB(CURRENT_TIMESTAMP(), INTERVAL 180 DAY) AND (destination_table.dataset_id = '118765602' OR EXISTS(SELECT 1 FROM UNNEST(referenced_tables) ref WHERE ref.dataset_id = '118765602')) LIMIT 1</t>
  </si>
  <si>
    <t>experimentation_sessions_colour_swatch</t>
  </si>
  <si>
    <t>Stale Production: Idle 368 days.</t>
  </si>
  <si>
    <t>DROP DATASET the-hut-group.experimentation_sessions_colour_swatch</t>
  </si>
  <si>
    <t>SELECT COUNT(*), SUM(total_logical_bytes)/1024/1024/1024 as gb, MAX(storage_last_modified_time) FROM `the-hut-group.region-eu.INFORMATION_SCHEMA.TABLE_STORAGE` WHERE table_schema = 'experimentation_sessions_colour_swatch'</t>
  </si>
  <si>
    <t>SELECT job_id, user_email FROM `the-hut-group.region-eu.INFORMATION_SCHEMA.JOBS_BY_PROJECT` WHERE creation_time &gt; TIMESTAMP_SUB(CURRENT_TIMESTAMP(), INTERVAL 180 DAY) AND (destination_table.dataset_id = 'experimentation_sessions_colour_swatch' OR EXISTS(SELECT 1 FROM UNNEST(referenced_tables) ref WHERE ref.dataset_id = 'experimentation_sessions_colour_swatch')) LIMIT 1</t>
  </si>
  <si>
    <t>155027412</t>
  </si>
  <si>
    <t>DROP DATASET agile-bonbon-662.155027412</t>
  </si>
  <si>
    <t>SELECT COUNT(*), SUM(total_logical_bytes)/1024/1024/1024 as gb, MAX(storage_last_modified_time) FROM `agile-bonbon-662.region-eu.INFORMATION_SCHEMA.TABLE_STORAGE` WHERE table_schema = '155027412'</t>
  </si>
  <si>
    <t>SELECT job_id, user_email FROM `agile-bonbon-662.region-eu.INFORMATION_SCHEMA.JOBS_BY_PROJECT` WHERE creation_time &gt; TIMESTAMP_SUB(CURRENT_TIMESTAMP(), INTERVAL 180 DAY) AND (destination_table.dataset_id = '155027412' OR EXISTS(SELECT 1 FROM UNNEST(referenced_tables) ref WHERE ref.dataset_id = '155027412')) LIMIT 1</t>
  </si>
  <si>
    <t>110115580</t>
  </si>
  <si>
    <t>DROP DATASET agile-bonbon-662.110115580</t>
  </si>
  <si>
    <t>SELECT COUNT(*), SUM(total_logical_bytes)/1024/1024/1024 as gb, MAX(storage_last_modified_time) FROM `agile-bonbon-662.region-eu.INFORMATION_SCHEMA.TABLE_STORAGE` WHERE table_schema = '110115580'</t>
  </si>
  <si>
    <t>SELECT job_id, user_email FROM `agile-bonbon-662.region-eu.INFORMATION_SCHEMA.JOBS_BY_PROJECT` WHERE creation_time &gt; TIMESTAMP_SUB(CURRENT_TIMESTAMP(), INTERVAL 180 DAY) AND (destination_table.dataset_id = '110115580' OR EXISTS(SELECT 1 FROM UNNEST(referenced_tables) ref WHERE ref.dataset_id = '110115580')) LIMIT 1</t>
  </si>
  <si>
    <t>110537205</t>
  </si>
  <si>
    <t>DROP DATASET agile-bonbon-662.110537205</t>
  </si>
  <si>
    <t>SELECT COUNT(*), SUM(total_logical_bytes)/1024/1024/1024 as gb, MAX(storage_last_modified_time) FROM `agile-bonbon-662.region-eu.INFORMATION_SCHEMA.TABLE_STORAGE` WHERE table_schema = '110537205'</t>
  </si>
  <si>
    <t>SELECT job_id, user_email FROM `agile-bonbon-662.region-eu.INFORMATION_SCHEMA.JOBS_BY_PROJECT` WHERE creation_time &gt; TIMESTAMP_SUB(CURRENT_TIMESTAMP(), INTERVAL 180 DAY) AND (destination_table.dataset_id = '110537205' OR EXISTS(SELECT 1 FROM UNNEST(referenced_tables) ref WHERE ref.dataset_id = '110537205')) LIMIT 1</t>
  </si>
  <si>
    <t>234153903</t>
  </si>
  <si>
    <t>DROP DATASET agile-bonbon-662.234153903</t>
  </si>
  <si>
    <t>SELECT COUNT(*), SUM(total_logical_bytes)/1024/1024/1024 as gb, MAX(storage_last_modified_time) FROM `agile-bonbon-662.region-eu.INFORMATION_SCHEMA.TABLE_STORAGE` WHERE table_schema = '234153903'</t>
  </si>
  <si>
    <t>SELECT job_id, user_email FROM `agile-bonbon-662.region-eu.INFORMATION_SCHEMA.JOBS_BY_PROJECT` WHERE creation_time &gt; TIMESTAMP_SUB(CURRENT_TIMESTAMP(), INTERVAL 180 DAY) AND (destination_table.dataset_id = '234153903' OR EXISTS(SELECT 1 FROM UNNEST(referenced_tables) ref WHERE ref.dataset_id = '234153903')) LIMIT 1</t>
  </si>
  <si>
    <t>143351078</t>
  </si>
  <si>
    <t>DROP DATASET agile-bonbon-662.143351078</t>
  </si>
  <si>
    <t>SELECT COUNT(*), SUM(total_logical_bytes)/1024/1024/1024 as gb, MAX(storage_last_modified_time) FROM `agile-bonbon-662.region-eu.INFORMATION_SCHEMA.TABLE_STORAGE` WHERE table_schema = '143351078'</t>
  </si>
  <si>
    <t>SELECT job_id, user_email FROM `agile-bonbon-662.region-eu.INFORMATION_SCHEMA.JOBS_BY_PROJECT` WHERE creation_time &gt; TIMESTAMP_SUB(CURRENT_TIMESTAMP(), INTERVAL 180 DAY) AND (destination_table.dataset_id = '143351078' OR EXISTS(SELECT 1 FROM UNNEST(referenced_tables) ref WHERE ref.dataset_id = '143351078')) LIMIT 1</t>
  </si>
  <si>
    <t>99777943</t>
  </si>
  <si>
    <t>DROP DATASET agile-bonbon-662.99777943</t>
  </si>
  <si>
    <t>SELECT COUNT(*), SUM(total_logical_bytes)/1024/1024/1024 as gb, MAX(storage_last_modified_time) FROM `agile-bonbon-662.region-eu.INFORMATION_SCHEMA.TABLE_STORAGE` WHERE table_schema = '99777943'</t>
  </si>
  <si>
    <t>SELECT job_id, user_email FROM `agile-bonbon-662.region-eu.INFORMATION_SCHEMA.JOBS_BY_PROJECT` WHERE creation_time &gt; TIMESTAMP_SUB(CURRENT_TIMESTAMP(), INTERVAL 180 DAY) AND (destination_table.dataset_id = '99777943' OR EXISTS(SELECT 1 FROM UNNEST(referenced_tables) ref WHERE ref.dataset_id = '99777943')) LIMIT 1</t>
  </si>
  <si>
    <t>25946044</t>
  </si>
  <si>
    <t>DROP DATASET agile-bonbon-662.25946044</t>
  </si>
  <si>
    <t>SELECT COUNT(*), SUM(total_logical_bytes)/1024/1024/1024 as gb, MAX(storage_last_modified_time) FROM `agile-bonbon-662.region-eu.INFORMATION_SCHEMA.TABLE_STORAGE` WHERE table_schema = '25946044'</t>
  </si>
  <si>
    <t>SELECT job_id, user_email FROM `agile-bonbon-662.region-eu.INFORMATION_SCHEMA.JOBS_BY_PROJECT` WHERE creation_time &gt; TIMESTAMP_SUB(CURRENT_TIMESTAMP(), INTERVAL 180 DAY) AND (destination_table.dataset_id = '25946044' OR EXISTS(SELECT 1 FROM UNNEST(referenced_tables) ref WHERE ref.dataset_id = '25946044')) LIMIT 1</t>
  </si>
  <si>
    <t>96132751</t>
  </si>
  <si>
    <t>DROP DATASET agile-bonbon-662.96132751</t>
  </si>
  <si>
    <t>SELECT COUNT(*), SUM(total_logical_bytes)/1024/1024/1024 as gb, MAX(storage_last_modified_time) FROM `agile-bonbon-662.region-eu.INFORMATION_SCHEMA.TABLE_STORAGE` WHERE table_schema = '96132751'</t>
  </si>
  <si>
    <t>SELECT job_id, user_email FROM `agile-bonbon-662.region-eu.INFORMATION_SCHEMA.JOBS_BY_PROJECT` WHERE creation_time &gt; TIMESTAMP_SUB(CURRENT_TIMESTAMP(), INTERVAL 180 DAY) AND (destination_table.dataset_id = '96132751' OR EXISTS(SELECT 1 FROM UNNEST(referenced_tables) ref WHERE ref.dataset_id = '96132751')) LIMIT 1</t>
  </si>
  <si>
    <t>88476809</t>
  </si>
  <si>
    <t>DROP DATASET agile-bonbon-662.88476809</t>
  </si>
  <si>
    <t>SELECT COUNT(*), SUM(total_logical_bytes)/1024/1024/1024 as gb, MAX(storage_last_modified_time) FROM `agile-bonbon-662.region-eu.INFORMATION_SCHEMA.TABLE_STORAGE` WHERE table_schema = '88476809'</t>
  </si>
  <si>
    <t>SELECT job_id, user_email FROM `agile-bonbon-662.region-eu.INFORMATION_SCHEMA.JOBS_BY_PROJECT` WHERE creation_time &gt; TIMESTAMP_SUB(CURRENT_TIMESTAMP(), INTERVAL 180 DAY) AND (destination_table.dataset_id = '88476809' OR EXISTS(SELECT 1 FROM UNNEST(referenced_tables) ref WHERE ref.dataset_id = '88476809')) LIMIT 1</t>
  </si>
  <si>
    <t>88685846</t>
  </si>
  <si>
    <t>DROP DATASET agile-bonbon-662.88685846</t>
  </si>
  <si>
    <t>SELECT COUNT(*), SUM(total_logical_bytes)/1024/1024/1024 as gb, MAX(storage_last_modified_time) FROM `agile-bonbon-662.region-eu.INFORMATION_SCHEMA.TABLE_STORAGE` WHERE table_schema = '88685846'</t>
  </si>
  <si>
    <t>SELECT job_id, user_email FROM `agile-bonbon-662.region-eu.INFORMATION_SCHEMA.JOBS_BY_PROJECT` WHERE creation_time &gt; TIMESTAMP_SUB(CURRENT_TIMESTAMP(), INTERVAL 180 DAY) AND (destination_table.dataset_id = '88685846' OR EXISTS(SELECT 1 FROM UNNEST(referenced_tables) ref WHERE ref.dataset_id = '88685846')) LIMIT 1</t>
  </si>
  <si>
    <t>140151428</t>
  </si>
  <si>
    <t>DROP DATASET agile-bonbon-662.140151428</t>
  </si>
  <si>
    <t>SELECT COUNT(*), SUM(total_logical_bytes)/1024/1024/1024 as gb, MAX(storage_last_modified_time) FROM `agile-bonbon-662.region-eu.INFORMATION_SCHEMA.TABLE_STORAGE` WHERE table_schema = '140151428'</t>
  </si>
  <si>
    <t>SELECT job_id, user_email FROM `agile-bonbon-662.region-eu.INFORMATION_SCHEMA.JOBS_BY_PROJECT` WHERE creation_time &gt; TIMESTAMP_SUB(CURRENT_TIMESTAMP(), INTERVAL 180 DAY) AND (destination_table.dataset_id = '140151428' OR EXISTS(SELECT 1 FROM UNNEST(referenced_tables) ref WHERE ref.dataset_id = '140151428')) LIMIT 1</t>
  </si>
  <si>
    <t>123232613</t>
  </si>
  <si>
    <t>DROP DATASET agile-bonbon-662.123232613</t>
  </si>
  <si>
    <t>SELECT COUNT(*), SUM(total_logical_bytes)/1024/1024/1024 as gb, MAX(storage_last_modified_time) FROM `agile-bonbon-662.region-eu.INFORMATION_SCHEMA.TABLE_STORAGE` WHERE table_schema = '123232613'</t>
  </si>
  <si>
    <t>SELECT job_id, user_email FROM `agile-bonbon-662.region-eu.INFORMATION_SCHEMA.JOBS_BY_PROJECT` WHERE creation_time &gt; TIMESTAMP_SUB(CURRENT_TIMESTAMP(), INTERVAL 180 DAY) AND (destination_table.dataset_id = '123232613' OR EXISTS(SELECT 1 FROM UNNEST(referenced_tables) ref WHERE ref.dataset_id = '123232613')) LIMIT 1</t>
  </si>
  <si>
    <t>30994242</t>
  </si>
  <si>
    <t>DROP DATASET agile-bonbon-662.30994242</t>
  </si>
  <si>
    <t>SELECT COUNT(*), SUM(total_logical_bytes)/1024/1024/1024 as gb, MAX(storage_last_modified_time) FROM `agile-bonbon-662.region-eu.INFORMATION_SCHEMA.TABLE_STORAGE` WHERE table_schema = '30994242'</t>
  </si>
  <si>
    <t>SELECT job_id, user_email FROM `agile-bonbon-662.region-eu.INFORMATION_SCHEMA.JOBS_BY_PROJECT` WHERE creation_time &gt; TIMESTAMP_SUB(CURRENT_TIMESTAMP(), INTERVAL 180 DAY) AND (destination_table.dataset_id = '30994242' OR EXISTS(SELECT 1 FROM UNNEST(referenced_tables) ref WHERE ref.dataset_id = '30994242')) LIMIT 1</t>
  </si>
  <si>
    <t>106301766</t>
  </si>
  <si>
    <t>DROP DATASET agile-bonbon-662.106301766</t>
  </si>
  <si>
    <t>SELECT COUNT(*), SUM(total_logical_bytes)/1024/1024/1024 as gb, MAX(storage_last_modified_time) FROM `agile-bonbon-662.region-eu.INFORMATION_SCHEMA.TABLE_STORAGE` WHERE table_schema = '106301766'</t>
  </si>
  <si>
    <t>SELECT job_id, user_email FROM `agile-bonbon-662.region-eu.INFORMATION_SCHEMA.JOBS_BY_PROJECT` WHERE creation_time &gt; TIMESTAMP_SUB(CURRENT_TIMESTAMP(), INTERVAL 180 DAY) AND (destination_table.dataset_id = '106301766' OR EXISTS(SELECT 1 FROM UNNEST(referenced_tables) ref WHERE ref.dataset_id = '106301766')) LIMIT 1</t>
  </si>
  <si>
    <t>26462350</t>
  </si>
  <si>
    <t>DROP DATASET agile-bonbon-662.26462350</t>
  </si>
  <si>
    <t>SELECT COUNT(*), SUM(total_logical_bytes)/1024/1024/1024 as gb, MAX(storage_last_modified_time) FROM `agile-bonbon-662.region-eu.INFORMATION_SCHEMA.TABLE_STORAGE` WHERE table_schema = '26462350'</t>
  </si>
  <si>
    <t>SELECT job_id, user_email FROM `agile-bonbon-662.region-eu.INFORMATION_SCHEMA.JOBS_BY_PROJECT` WHERE creation_time &gt; TIMESTAMP_SUB(CURRENT_TIMESTAMP(), INTERVAL 180 DAY) AND (destination_table.dataset_id = '26462350' OR EXISTS(SELECT 1 FROM UNNEST(referenced_tables) ref WHERE ref.dataset_id = '26462350')) LIMIT 1</t>
  </si>
  <si>
    <t>Warehouse_Capability</t>
  </si>
  <si>
    <t>Stale Production: Idle 1683 days.</t>
  </si>
  <si>
    <t>DROP DATASET agile-bonbon-662.Warehouse_Capability</t>
  </si>
  <si>
    <t>SELECT COUNT(*), SUM(total_logical_bytes)/1024/1024/1024 as gb, MAX(storage_last_modified_time) FROM `agile-bonbon-662.region-eu.INFORMATION_SCHEMA.TABLE_STORAGE` WHERE table_schema = 'Warehouse_Capability'</t>
  </si>
  <si>
    <t>SELECT job_id, user_email FROM `agile-bonbon-662.region-eu.INFORMATION_SCHEMA.JOBS_BY_PROJECT` WHERE creation_time &gt; TIMESTAMP_SUB(CURRENT_TIMESTAMP(), INTERVAL 180 DAY) AND (destination_table.dataset_id = 'Warehouse_Capability' OR EXISTS(SELECT 1 FROM UNNEST(referenced_tables) ref WHERE ref.dataset_id = 'Warehouse_Capability')) LIMIT 1</t>
  </si>
  <si>
    <t>36856018</t>
  </si>
  <si>
    <t>DROP DATASET agile-bonbon-662.36856018</t>
  </si>
  <si>
    <t>SELECT COUNT(*), SUM(total_logical_bytes)/1024/1024/1024 as gb, MAX(storage_last_modified_time) FROM `agile-bonbon-662.region-eu.INFORMATION_SCHEMA.TABLE_STORAGE` WHERE table_schema = '36856018'</t>
  </si>
  <si>
    <t>SELECT job_id, user_email FROM `agile-bonbon-662.region-eu.INFORMATION_SCHEMA.JOBS_BY_PROJECT` WHERE creation_time &gt; TIMESTAMP_SUB(CURRENT_TIMESTAMP(), INTERVAL 180 DAY) AND (destination_table.dataset_id = '36856018' OR EXISTS(SELECT 1 FROM UNNEST(referenced_tables) ref WHERE ref.dataset_id = '36856018')) LIMIT 1</t>
  </si>
  <si>
    <t>82620656</t>
  </si>
  <si>
    <t>DROP DATASET agile-bonbon-662.82620656</t>
  </si>
  <si>
    <t>SELECT COUNT(*), SUM(total_logical_bytes)/1024/1024/1024 as gb, MAX(storage_last_modified_time) FROM `agile-bonbon-662.region-eu.INFORMATION_SCHEMA.TABLE_STORAGE` WHERE table_schema = '82620656'</t>
  </si>
  <si>
    <t>SELECT job_id, user_email FROM `agile-bonbon-662.region-eu.INFORMATION_SCHEMA.JOBS_BY_PROJECT` WHERE creation_time &gt; TIMESTAMP_SUB(CURRENT_TIMESTAMP(), INTERVAL 180 DAY) AND (destination_table.dataset_id = '82620656' OR EXISTS(SELECT 1 FROM UNNEST(referenced_tables) ref WHERE ref.dataset_id = '82620656')) LIMIT 1</t>
  </si>
  <si>
    <t>archived_0_Vlad</t>
  </si>
  <si>
    <t>Abandoned Archive: Idle 1964 days.</t>
  </si>
  <si>
    <t>DROP DATASET agile-bonbon-662.archived_0_Vlad</t>
  </si>
  <si>
    <t>SELECT COUNT(*), SUM(total_logical_bytes)/1024/1024/1024 as gb, MAX(storage_last_modified_time) FROM `agile-bonbon-662.region-eu.INFORMATION_SCHEMA.TABLE_STORAGE` WHERE table_schema = 'archived_0_Vlad'</t>
  </si>
  <si>
    <t>SELECT job_id, user_email FROM `agile-bonbon-662.region-eu.INFORMATION_SCHEMA.JOBS_BY_PROJECT` WHERE creation_time &gt; TIMESTAMP_SUB(CURRENT_TIMESTAMP(), INTERVAL 180 DAY) AND (destination_table.dataset_id = 'archived_0_Vlad' OR EXISTS(SELECT 1 FROM UNNEST(referenced_tables) ref WHERE ref.dataset_id = 'archived_0_Vlad')) LIMIT 1</t>
  </si>
  <si>
    <t>93828893</t>
  </si>
  <si>
    <t>Stale Production: Idle 768 days.</t>
  </si>
  <si>
    <t>DROP DATASET agile-bonbon-662.93828893</t>
  </si>
  <si>
    <t>SELECT COUNT(*), SUM(total_logical_bytes)/1024/1024/1024 as gb, MAX(storage_last_modified_time) FROM `agile-bonbon-662.region-eu.INFORMATION_SCHEMA.TABLE_STORAGE` WHERE table_schema = '93828893'</t>
  </si>
  <si>
    <t>SELECT job_id, user_email FROM `agile-bonbon-662.region-eu.INFORMATION_SCHEMA.JOBS_BY_PROJECT` WHERE creation_time &gt; TIMESTAMP_SUB(CURRENT_TIMESTAMP(), INTERVAL 180 DAY) AND (destination_table.dataset_id = '93828893' OR EXISTS(SELECT 1 FROM UNNEST(referenced_tables) ref WHERE ref.dataset_id = '93828893')) LIMIT 1</t>
  </si>
  <si>
    <t>0_Larry_EU</t>
  </si>
  <si>
    <t>Stale Production: Idle 859 days.</t>
  </si>
  <si>
    <t>DROP DATASET agile-bonbon-662.0_Larry_EU</t>
  </si>
  <si>
    <t>SELECT COUNT(*), SUM(total_logical_bytes)/1024/1024/1024 as gb, MAX(storage_last_modified_time) FROM `agile-bonbon-662.region-eu.INFORMATION_SCHEMA.TABLE_STORAGE` WHERE table_schema = '0_Larry_EU'</t>
  </si>
  <si>
    <t>SELECT job_id, user_email FROM `agile-bonbon-662.region-eu.INFORMATION_SCHEMA.JOBS_BY_PROJECT` WHERE creation_time &gt; TIMESTAMP_SUB(CURRENT_TIMESTAMP(), INTERVAL 180 DAY) AND (destination_table.dataset_id = '0_Larry_EU' OR EXISTS(SELECT 1 FROM UNNEST(referenced_tables) ref WHERE ref.dataset_id = '0_Larry_EU')) LIMIT 1</t>
  </si>
  <si>
    <t>122377544</t>
  </si>
  <si>
    <t>DROP DATASET agile-bonbon-662.122377544</t>
  </si>
  <si>
    <t>SELECT COUNT(*), SUM(total_logical_bytes)/1024/1024/1024 as gb, MAX(storage_last_modified_time) FROM `agile-bonbon-662.region-eu.INFORMATION_SCHEMA.TABLE_STORAGE` WHERE table_schema = '122377544'</t>
  </si>
  <si>
    <t>SELECT job_id, user_email FROM `agile-bonbon-662.region-eu.INFORMATION_SCHEMA.JOBS_BY_PROJECT` WHERE creation_time &gt; TIMESTAMP_SUB(CURRENT_TIMESTAMP(), INTERVAL 180 DAY) AND (destination_table.dataset_id = '122377544' OR EXISTS(SELECT 1 FROM UNNEST(referenced_tables) ref WHERE ref.dataset_id = '122377544')) LIMIT 1</t>
  </si>
  <si>
    <t>ditto_load_test</t>
  </si>
  <si>
    <t>Expired Experiment: Idle 2056 days.</t>
  </si>
  <si>
    <t>DROP DATASET the-hut-group.ditto_load_test</t>
  </si>
  <si>
    <t>SELECT COUNT(*), SUM(total_logical_bytes)/1024/1024/1024 as gb, MAX(storage_last_modified_time) FROM `the-hut-group.region-eu.INFORMATION_SCHEMA.TABLE_STORAGE` WHERE table_schema = 'ditto_load_test'</t>
  </si>
  <si>
    <t>SELECT job_id, user_email FROM `the-hut-group.region-eu.INFORMATION_SCHEMA.JOBS_BY_PROJECT` WHERE creation_time &gt; TIMESTAMP_SUB(CURRENT_TIMESTAMP(), INTERVAL 180 DAY) AND (destination_table.dataset_id = 'ditto_load_test' OR EXISTS(SELECT 1 FROM UNNEST(referenced_tables) ref WHERE ref.dataset_id = 'ditto_load_test')) LIMIT 1</t>
  </si>
  <si>
    <t>5964962</t>
  </si>
  <si>
    <t>DROP DATASET agile-bonbon-662.5964962</t>
  </si>
  <si>
    <t>SELECT COUNT(*), SUM(total_logical_bytes)/1024/1024/1024 as gb, MAX(storage_last_modified_time) FROM `agile-bonbon-662.region-eu.INFORMATION_SCHEMA.TABLE_STORAGE` WHERE table_schema = '5964962'</t>
  </si>
  <si>
    <t>SELECT job_id, user_email FROM `agile-bonbon-662.region-eu.INFORMATION_SCHEMA.JOBS_BY_PROJECT` WHERE creation_time &gt; TIMESTAMP_SUB(CURRENT_TIMESTAMP(), INTERVAL 180 DAY) AND (destination_table.dataset_id = '5964962' OR EXISTS(SELECT 1 FROM UNNEST(referenced_tables) ref WHERE ref.dataset_id = '5964962')) LIMIT 1</t>
  </si>
  <si>
    <t>135899200</t>
  </si>
  <si>
    <t>DROP DATASET agile-bonbon-662.135899200</t>
  </si>
  <si>
    <t>SELECT COUNT(*), SUM(total_logical_bytes)/1024/1024/1024 as gb, MAX(storage_last_modified_time) FROM `agile-bonbon-662.region-eu.INFORMATION_SCHEMA.TABLE_STORAGE` WHERE table_schema = '135899200'</t>
  </si>
  <si>
    <t>SELECT job_id, user_email FROM `agile-bonbon-662.region-eu.INFORMATION_SCHEMA.JOBS_BY_PROJECT` WHERE creation_time &gt; TIMESTAMP_SUB(CURRENT_TIMESTAMP(), INTERVAL 180 DAY) AND (destination_table.dataset_id = '135899200' OR EXISTS(SELECT 1 FROM UNNEST(referenced_tables) ref WHERE ref.dataset_id = '135899200')) LIMIT 1</t>
  </si>
  <si>
    <t>110549745</t>
  </si>
  <si>
    <t>DROP DATASET agile-bonbon-662.110549745</t>
  </si>
  <si>
    <t>SELECT COUNT(*), SUM(total_logical_bytes)/1024/1024/1024 as gb, MAX(storage_last_modified_time) FROM `agile-bonbon-662.region-eu.INFORMATION_SCHEMA.TABLE_STORAGE` WHERE table_schema = '110549745'</t>
  </si>
  <si>
    <t>SELECT job_id, user_email FROM `agile-bonbon-662.region-eu.INFORMATION_SCHEMA.JOBS_BY_PROJECT` WHERE creation_time &gt; TIMESTAMP_SUB(CURRENT_TIMESTAMP(), INTERVAL 180 DAY) AND (destination_table.dataset_id = '110549745' OR EXISTS(SELECT 1 FROM UNNEST(referenced_tables) ref WHERE ref.dataset_id = '110549745')) LIMIT 1</t>
  </si>
  <si>
    <t>121493656</t>
  </si>
  <si>
    <t>DROP DATASET agile-bonbon-662.121493656</t>
  </si>
  <si>
    <t>SELECT COUNT(*), SUM(total_logical_bytes)/1024/1024/1024 as gb, MAX(storage_last_modified_time) FROM `agile-bonbon-662.region-eu.INFORMATION_SCHEMA.TABLE_STORAGE` WHERE table_schema = '121493656'</t>
  </si>
  <si>
    <t>SELECT job_id, user_email FROM `agile-bonbon-662.region-eu.INFORMATION_SCHEMA.JOBS_BY_PROJECT` WHERE creation_time &gt; TIMESTAMP_SUB(CURRENT_TIMESTAMP(), INTERVAL 180 DAY) AND (destination_table.dataset_id = '121493656' OR EXISTS(SELECT 1 FROM UNNEST(referenced_tables) ref WHERE ref.dataset_id = '121493656')) LIMIT 1</t>
  </si>
  <si>
    <t>117586648</t>
  </si>
  <si>
    <t>DROP DATASET agile-bonbon-662.117586648</t>
  </si>
  <si>
    <t>SELECT COUNT(*), SUM(total_logical_bytes)/1024/1024/1024 as gb, MAX(storage_last_modified_time) FROM `agile-bonbon-662.region-eu.INFORMATION_SCHEMA.TABLE_STORAGE` WHERE table_schema = '117586648'</t>
  </si>
  <si>
    <t>SELECT job_id, user_email FROM `agile-bonbon-662.region-eu.INFORMATION_SCHEMA.JOBS_BY_PROJECT` WHERE creation_time &gt; TIMESTAMP_SUB(CURRENT_TIMESTAMP(), INTERVAL 180 DAY) AND (destination_table.dataset_id = '117586648' OR EXISTS(SELECT 1 FROM UNNEST(referenced_tables) ref WHERE ref.dataset_id = '117586648')) LIMIT 1</t>
  </si>
  <si>
    <t>93605385</t>
  </si>
  <si>
    <t>DROP DATASET agile-bonbon-662.93605385</t>
  </si>
  <si>
    <t>SELECT COUNT(*), SUM(total_logical_bytes)/1024/1024/1024 as gb, MAX(storage_last_modified_time) FROM `agile-bonbon-662.region-eu.INFORMATION_SCHEMA.TABLE_STORAGE` WHERE table_schema = '93605385'</t>
  </si>
  <si>
    <t>SELECT job_id, user_email FROM `agile-bonbon-662.region-eu.INFORMATION_SCHEMA.JOBS_BY_PROJECT` WHERE creation_time &gt; TIMESTAMP_SUB(CURRENT_TIMESTAMP(), INTERVAL 180 DAY) AND (destination_table.dataset_id = '93605385' OR EXISTS(SELECT 1 FROM UNNEST(referenced_tables) ref WHERE ref.dataset_id = '93605385')) LIMIT 1</t>
  </si>
  <si>
    <t>110796531</t>
  </si>
  <si>
    <t>DROP DATASET agile-bonbon-662.110796531</t>
  </si>
  <si>
    <t>SELECT COUNT(*), SUM(total_logical_bytes)/1024/1024/1024 as gb, MAX(storage_last_modified_time) FROM `agile-bonbon-662.region-eu.INFORMATION_SCHEMA.TABLE_STORAGE` WHERE table_schema = '110796531'</t>
  </si>
  <si>
    <t>SELECT job_id, user_email FROM `agile-bonbon-662.region-eu.INFORMATION_SCHEMA.JOBS_BY_PROJECT` WHERE creation_time &gt; TIMESTAMP_SUB(CURRENT_TIMESTAMP(), INTERVAL 180 DAY) AND (destination_table.dataset_id = '110796531' OR EXISTS(SELECT 1 FROM UNNEST(referenced_tables) ref WHERE ref.dataset_id = '110796531')) LIMIT 1</t>
  </si>
  <si>
    <t>142999450</t>
  </si>
  <si>
    <t>DROP DATASET agile-bonbon-662.142999450</t>
  </si>
  <si>
    <t>SELECT COUNT(*), SUM(total_logical_bytes)/1024/1024/1024 as gb, MAX(storage_last_modified_time) FROM `agile-bonbon-662.region-eu.INFORMATION_SCHEMA.TABLE_STORAGE` WHERE table_schema = '142999450'</t>
  </si>
  <si>
    <t>SELECT job_id, user_email FROM `agile-bonbon-662.region-eu.INFORMATION_SCHEMA.JOBS_BY_PROJECT` WHERE creation_time &gt; TIMESTAMP_SUB(CURRENT_TIMESTAMP(), INTERVAL 180 DAY) AND (destination_table.dataset_id = '142999450' OR EXISTS(SELECT 1 FROM UNNEST(referenced_tables) ref WHERE ref.dataset_id = '142999450')) LIMIT 1</t>
  </si>
  <si>
    <t>4929504</t>
  </si>
  <si>
    <t>DROP DATASET agile-bonbon-662.4929504</t>
  </si>
  <si>
    <t>SELECT COUNT(*), SUM(total_logical_bytes)/1024/1024/1024 as gb, MAX(storage_last_modified_time) FROM `agile-bonbon-662.region-eu.INFORMATION_SCHEMA.TABLE_STORAGE` WHERE table_schema = '4929504'</t>
  </si>
  <si>
    <t>SELECT job_id, user_email FROM `agile-bonbon-662.region-eu.INFORMATION_SCHEMA.JOBS_BY_PROJECT` WHERE creation_time &gt; TIMESTAMP_SUB(CURRENT_TIMESTAMP(), INTERVAL 180 DAY) AND (destination_table.dataset_id = '4929504' OR EXISTS(SELECT 1 FROM UNNEST(referenced_tables) ref WHERE ref.dataset_id = '4929504')) LIMIT 1</t>
  </si>
  <si>
    <t>108641018</t>
  </si>
  <si>
    <t>DROP DATASET agile-bonbon-662.108641018</t>
  </si>
  <si>
    <t>SELECT COUNT(*), SUM(total_logical_bytes)/1024/1024/1024 as gb, MAX(storage_last_modified_time) FROM `agile-bonbon-662.region-eu.INFORMATION_SCHEMA.TABLE_STORAGE` WHERE table_schema = '108641018'</t>
  </si>
  <si>
    <t>SELECT job_id, user_email FROM `agile-bonbon-662.region-eu.INFORMATION_SCHEMA.JOBS_BY_PROJECT` WHERE creation_time &gt; TIMESTAMP_SUB(CURRENT_TIMESTAMP(), INTERVAL 180 DAY) AND (destination_table.dataset_id = '108641018' OR EXISTS(SELECT 1 FROM UNNEST(referenced_tables) ref WHERE ref.dataset_id = '108641018')) LIMIT 1</t>
  </si>
  <si>
    <t>35925690</t>
  </si>
  <si>
    <t>DROP DATASET agile-bonbon-662.35925690</t>
  </si>
  <si>
    <t>SELECT COUNT(*), SUM(total_logical_bytes)/1024/1024/1024 as gb, MAX(storage_last_modified_time) FROM `agile-bonbon-662.region-eu.INFORMATION_SCHEMA.TABLE_STORAGE` WHERE table_schema = '35925690'</t>
  </si>
  <si>
    <t>SELECT job_id, user_email FROM `agile-bonbon-662.region-eu.INFORMATION_SCHEMA.JOBS_BY_PROJECT` WHERE creation_time &gt; TIMESTAMP_SUB(CURRENT_TIMESTAMP(), INTERVAL 180 DAY) AND (destination_table.dataset_id = '35925690' OR EXISTS(SELECT 1 FROM UNNEST(referenced_tables) ref WHERE ref.dataset_id = '35925690')) LIMIT 1</t>
  </si>
  <si>
    <t>110564121</t>
  </si>
  <si>
    <t>DROP DATASET agile-bonbon-662.110564121</t>
  </si>
  <si>
    <t>SELECT COUNT(*), SUM(total_logical_bytes)/1024/1024/1024 as gb, MAX(storage_last_modified_time) FROM `agile-bonbon-662.region-eu.INFORMATION_SCHEMA.TABLE_STORAGE` WHERE table_schema = '110564121'</t>
  </si>
  <si>
    <t>SELECT job_id, user_email FROM `agile-bonbon-662.region-eu.INFORMATION_SCHEMA.JOBS_BY_PROJECT` WHERE creation_time &gt; TIMESTAMP_SUB(CURRENT_TIMESTAMP(), INTERVAL 180 DAY) AND (destination_table.dataset_id = '110564121' OR EXISTS(SELECT 1 FROM UNNEST(referenced_tables) ref WHERE ref.dataset_id = '110564121')) LIMIT 1</t>
  </si>
  <si>
    <t>archived_metrics_backup</t>
  </si>
  <si>
    <t>DROP DATASET the-hut-group.archived_metrics_backup</t>
  </si>
  <si>
    <t>SELECT COUNT(*), SUM(total_logical_bytes)/1024/1024/1024 as gb, MAX(storage_last_modified_time) FROM `the-hut-group.region-eu.INFORMATION_SCHEMA.TABLE_STORAGE` WHERE table_schema = 'archived_metrics_backup'</t>
  </si>
  <si>
    <t>SELECT job_id, user_email FROM `the-hut-group.region-eu.INFORMATION_SCHEMA.JOBS_BY_PROJECT` WHERE creation_time &gt; TIMESTAMP_SUB(CURRENT_TIMESTAMP(), INTERVAL 180 DAY) AND (destination_table.dataset_id = 'archived_metrics_backup' OR EXISTS(SELECT 1 FROM UNNEST(referenced_tables) ref WHERE ref.dataset_id = 'archived_metrics_backup')) LIMIT 1</t>
  </si>
  <si>
    <t>57630908</t>
  </si>
  <si>
    <t>DROP DATASET agile-bonbon-662.57630908</t>
  </si>
  <si>
    <t>SELECT COUNT(*), SUM(total_logical_bytes)/1024/1024/1024 as gb, MAX(storage_last_modified_time) FROM `agile-bonbon-662.region-eu.INFORMATION_SCHEMA.TABLE_STORAGE` WHERE table_schema = '57630908'</t>
  </si>
  <si>
    <t>SELECT job_id, user_email FROM `agile-bonbon-662.region-eu.INFORMATION_SCHEMA.JOBS_BY_PROJECT` WHERE creation_time &gt; TIMESTAMP_SUB(CURRENT_TIMESTAMP(), INTERVAL 180 DAY) AND (destination_table.dataset_id = '57630908' OR EXISTS(SELECT 1 FROM UNNEST(referenced_tables) ref WHERE ref.dataset_id = '57630908')) LIMIT 1</t>
  </si>
  <si>
    <t>103100279</t>
  </si>
  <si>
    <t>Stale Production: Idle 1543 days.</t>
  </si>
  <si>
    <t>DROP DATASET agile-bonbon-662.103100279</t>
  </si>
  <si>
    <t>SELECT COUNT(*), SUM(total_logical_bytes)/1024/1024/1024 as gb, MAX(storage_last_modified_time) FROM `agile-bonbon-662.region-eu.INFORMATION_SCHEMA.TABLE_STORAGE` WHERE table_schema = '103100279'</t>
  </si>
  <si>
    <t>SELECT job_id, user_email FROM `agile-bonbon-662.region-eu.INFORMATION_SCHEMA.JOBS_BY_PROJECT` WHERE creation_time &gt; TIMESTAMP_SUB(CURRENT_TIMESTAMP(), INTERVAL 180 DAY) AND (destination_table.dataset_id = '103100279' OR EXISTS(SELECT 1 FROM UNNEST(referenced_tables) ref WHERE ref.dataset_id = '103100279')) LIMIT 1</t>
  </si>
  <si>
    <t>104681447</t>
  </si>
  <si>
    <t>DROP DATASET agile-bonbon-662.104681447</t>
  </si>
  <si>
    <t>SELECT COUNT(*), SUM(total_logical_bytes)/1024/1024/1024 as gb, MAX(storage_last_modified_time) FROM `agile-bonbon-662.region-eu.INFORMATION_SCHEMA.TABLE_STORAGE` WHERE table_schema = '104681447'</t>
  </si>
  <si>
    <t>SELECT job_id, user_email FROM `agile-bonbon-662.region-eu.INFORMATION_SCHEMA.JOBS_BY_PROJECT` WHERE creation_time &gt; TIMESTAMP_SUB(CURRENT_TIMESTAMP(), INTERVAL 180 DAY) AND (destination_table.dataset_id = '104681447' OR EXISTS(SELECT 1 FROM UNNEST(referenced_tables) ref WHERE ref.dataset_id = '104681447')) LIMIT 1</t>
  </si>
  <si>
    <t>118713396</t>
  </si>
  <si>
    <t>DROP DATASET agile-bonbon-662.118713396</t>
  </si>
  <si>
    <t>SELECT COUNT(*), SUM(total_logical_bytes)/1024/1024/1024 as gb, MAX(storage_last_modified_time) FROM `agile-bonbon-662.region-eu.INFORMATION_SCHEMA.TABLE_STORAGE` WHERE table_schema = '118713396'</t>
  </si>
  <si>
    <t>SELECT job_id, user_email FROM `agile-bonbon-662.region-eu.INFORMATION_SCHEMA.JOBS_BY_PROJECT` WHERE creation_time &gt; TIMESTAMP_SUB(CURRENT_TIMESTAMP(), INTERVAL 180 DAY) AND (destination_table.dataset_id = '118713396' OR EXISTS(SELECT 1 FROM UNNEST(referenced_tables) ref WHERE ref.dataset_id = '118713396')) LIMIT 1</t>
  </si>
  <si>
    <t>4929257</t>
  </si>
  <si>
    <t>DROP DATASET agile-bonbon-662.4929257</t>
  </si>
  <si>
    <t>SELECT COUNT(*), SUM(total_logical_bytes)/1024/1024/1024 as gb, MAX(storage_last_modified_time) FROM `agile-bonbon-662.region-eu.INFORMATION_SCHEMA.TABLE_STORAGE` WHERE table_schema = '4929257'</t>
  </si>
  <si>
    <t>SELECT job_id, user_email FROM `agile-bonbon-662.region-eu.INFORMATION_SCHEMA.JOBS_BY_PROJECT` WHERE creation_time &gt; TIMESTAMP_SUB(CURRENT_TIMESTAMP(), INTERVAL 180 DAY) AND (destination_table.dataset_id = '4929257' OR EXISTS(SELECT 1 FROM UNNEST(referenced_tables) ref WHERE ref.dataset_id = '4929257')) LIMIT 1</t>
  </si>
  <si>
    <t>118732691</t>
  </si>
  <si>
    <t>DROP DATASET agile-bonbon-662.118732691</t>
  </si>
  <si>
    <t>SELECT COUNT(*), SUM(total_logical_bytes)/1024/1024/1024 as gb, MAX(storage_last_modified_time) FROM `agile-bonbon-662.region-eu.INFORMATION_SCHEMA.TABLE_STORAGE` WHERE table_schema = '118732691'</t>
  </si>
  <si>
    <t>SELECT job_id, user_email FROM `agile-bonbon-662.region-eu.INFORMATION_SCHEMA.JOBS_BY_PROJECT` WHERE creation_time &gt; TIMESTAMP_SUB(CURRENT_TIMESTAMP(), INTERVAL 180 DAY) AND (destination_table.dataset_id = '118732691' OR EXISTS(SELECT 1 FROM UNNEST(referenced_tables) ref WHERE ref.dataset_id = '118732691')) LIMIT 1</t>
  </si>
  <si>
    <t>150555281</t>
  </si>
  <si>
    <t>DROP DATASET agile-bonbon-662.150555281</t>
  </si>
  <si>
    <t>SELECT COUNT(*), SUM(total_logical_bytes)/1024/1024/1024 as gb, MAX(storage_last_modified_time) FROM `agile-bonbon-662.region-eu.INFORMATION_SCHEMA.TABLE_STORAGE` WHERE table_schema = '150555281'</t>
  </si>
  <si>
    <t>SELECT job_id, user_email FROM `agile-bonbon-662.region-eu.INFORMATION_SCHEMA.JOBS_BY_PROJECT` WHERE creation_time &gt; TIMESTAMP_SUB(CURRENT_TIMESTAMP(), INTERVAL 180 DAY) AND (destination_table.dataset_id = '150555281' OR EXISTS(SELECT 1 FROM UNNEST(referenced_tables) ref WHERE ref.dataset_id = '150555281')) LIMIT 1</t>
  </si>
  <si>
    <t>analytics_295028935</t>
  </si>
  <si>
    <t>Stale Production: Idle 431 days.</t>
  </si>
  <si>
    <t>DROP DATASET agile-bonbon-662.analytics_295028935</t>
  </si>
  <si>
    <t>SELECT COUNT(*), SUM(total_logical_bytes)/1024/1024/1024 as gb, MAX(storage_last_modified_time) FROM `agile-bonbon-662.region-eu.INFORMATION_SCHEMA.TABLE_STORAGE` WHERE table_schema = 'analytics_295028935'</t>
  </si>
  <si>
    <t>SELECT job_id, user_email FROM `agile-bonbon-662.region-eu.INFORMATION_SCHEMA.JOBS_BY_PROJECT` WHERE creation_time &gt; TIMESTAMP_SUB(CURRENT_TIMESTAMP(), INTERVAL 180 DAY) AND (destination_table.dataset_id = 'analytics_295028935' OR EXISTS(SELECT 1 FROM UNNEST(referenced_tables) ref WHERE ref.dataset_id = 'analytics_295028935')) LIMIT 1</t>
  </si>
  <si>
    <t>128575388</t>
  </si>
  <si>
    <t>DROP DATASET agile-bonbon-662.128575388</t>
  </si>
  <si>
    <t>SELECT COUNT(*), SUM(total_logical_bytes)/1024/1024/1024 as gb, MAX(storage_last_modified_time) FROM `agile-bonbon-662.region-eu.INFORMATION_SCHEMA.TABLE_STORAGE` WHERE table_schema = '128575388'</t>
  </si>
  <si>
    <t>SELECT job_id, user_email FROM `agile-bonbon-662.region-eu.INFORMATION_SCHEMA.JOBS_BY_PROJECT` WHERE creation_time &gt; TIMESTAMP_SUB(CURRENT_TIMESTAMP(), INTERVAL 180 DAY) AND (destination_table.dataset_id = '128575388' OR EXISTS(SELECT 1 FROM UNNEST(referenced_tables) ref WHERE ref.dataset_id = '128575388')) LIMIT 1</t>
  </si>
  <si>
    <t>121513335</t>
  </si>
  <si>
    <t>DROP DATASET agile-bonbon-662.121513335</t>
  </si>
  <si>
    <t>SELECT COUNT(*), SUM(total_logical_bytes)/1024/1024/1024 as gb, MAX(storage_last_modified_time) FROM `agile-bonbon-662.region-eu.INFORMATION_SCHEMA.TABLE_STORAGE` WHERE table_schema = '121513335'</t>
  </si>
  <si>
    <t>SELECT job_id, user_email FROM `agile-bonbon-662.region-eu.INFORMATION_SCHEMA.JOBS_BY_PROJECT` WHERE creation_time &gt; TIMESTAMP_SUB(CURRENT_TIMESTAMP(), INTERVAL 180 DAY) AND (destination_table.dataset_id = '121513335' OR EXISTS(SELECT 1 FROM UNNEST(referenced_tables) ref WHERE ref.dataset_id = '121513335')) LIMIT 1</t>
  </si>
  <si>
    <t>127280680</t>
  </si>
  <si>
    <t>DROP DATASET agile-bonbon-662.127280680</t>
  </si>
  <si>
    <t>SELECT COUNT(*), SUM(total_logical_bytes)/1024/1024/1024 as gb, MAX(storage_last_modified_time) FROM `agile-bonbon-662.region-eu.INFORMATION_SCHEMA.TABLE_STORAGE` WHERE table_schema = '127280680'</t>
  </si>
  <si>
    <t>SELECT job_id, user_email FROM `agile-bonbon-662.region-eu.INFORMATION_SCHEMA.JOBS_BY_PROJECT` WHERE creation_time &gt; TIMESTAMP_SUB(CURRENT_TIMESTAMP(), INTERVAL 180 DAY) AND (destination_table.dataset_id = '127280680' OR EXISTS(SELECT 1 FROM UNNEST(referenced_tables) ref WHERE ref.dataset_id = '127280680')) LIMIT 1</t>
  </si>
  <si>
    <t>125022092</t>
  </si>
  <si>
    <t>DROP DATASET agile-bonbon-662.125022092</t>
  </si>
  <si>
    <t>SELECT COUNT(*), SUM(total_logical_bytes)/1024/1024/1024 as gb, MAX(storage_last_modified_time) FROM `agile-bonbon-662.region-eu.INFORMATION_SCHEMA.TABLE_STORAGE` WHERE table_schema = '125022092'</t>
  </si>
  <si>
    <t>SELECT job_id, user_email FROM `agile-bonbon-662.region-eu.INFORMATION_SCHEMA.JOBS_BY_PROJECT` WHERE creation_time &gt; TIMESTAMP_SUB(CURRENT_TIMESTAMP(), INTERVAL 180 DAY) AND (destination_table.dataset_id = '125022092' OR EXISTS(SELECT 1 FROM UNNEST(referenced_tables) ref WHERE ref.dataset_id = '125022092')) LIMIT 1</t>
  </si>
  <si>
    <t>110475440</t>
  </si>
  <si>
    <t>DROP DATASET agile-bonbon-662.110475440</t>
  </si>
  <si>
    <t>SELECT COUNT(*), SUM(total_logical_bytes)/1024/1024/1024 as gb, MAX(storage_last_modified_time) FROM `agile-bonbon-662.region-eu.INFORMATION_SCHEMA.TABLE_STORAGE` WHERE table_schema = '110475440'</t>
  </si>
  <si>
    <t>SELECT job_id, user_email FROM `agile-bonbon-662.region-eu.INFORMATION_SCHEMA.JOBS_BY_PROJECT` WHERE creation_time &gt; TIMESTAMP_SUB(CURRENT_TIMESTAMP(), INTERVAL 180 DAY) AND (destination_table.dataset_id = '110475440' OR EXISTS(SELECT 1 FROM UNNEST(referenced_tables) ref WHERE ref.dataset_id = '110475440')) LIMIT 1</t>
  </si>
  <si>
    <t>40940260</t>
  </si>
  <si>
    <t>DROP DATASET agile-bonbon-662.40940260</t>
  </si>
  <si>
    <t>SELECT COUNT(*), SUM(total_logical_bytes)/1024/1024/1024 as gb, MAX(storage_last_modified_time) FROM `agile-bonbon-662.region-eu.INFORMATION_SCHEMA.TABLE_STORAGE` WHERE table_schema = '40940260'</t>
  </si>
  <si>
    <t>SELECT job_id, user_email FROM `agile-bonbon-662.region-eu.INFORMATION_SCHEMA.JOBS_BY_PROJECT` WHERE creation_time &gt; TIMESTAMP_SUB(CURRENT_TIMESTAMP(), INTERVAL 180 DAY) AND (destination_table.dataset_id = '40940260' OR EXISTS(SELECT 1 FROM UNNEST(referenced_tables) ref WHERE ref.dataset_id = '40940260')) LIMIT 1</t>
  </si>
  <si>
    <t>115834167</t>
  </si>
  <si>
    <t>DROP DATASET agile-bonbon-662.115834167</t>
  </si>
  <si>
    <t>SELECT COUNT(*), SUM(total_logical_bytes)/1024/1024/1024 as gb, MAX(storage_last_modified_time) FROM `agile-bonbon-662.region-eu.INFORMATION_SCHEMA.TABLE_STORAGE` WHERE table_schema = '115834167'</t>
  </si>
  <si>
    <t>SELECT job_id, user_email FROM `agile-bonbon-662.region-eu.INFORMATION_SCHEMA.JOBS_BY_PROJECT` WHERE creation_time &gt; TIMESTAMP_SUB(CURRENT_TIMESTAMP(), INTERVAL 180 DAY) AND (destination_table.dataset_id = '115834167' OR EXISTS(SELECT 1 FROM UNNEST(referenced_tables) ref WHERE ref.dataset_id = '115834167')) LIMIT 1</t>
  </si>
  <si>
    <t>44117102</t>
  </si>
  <si>
    <t>DROP DATASET agile-bonbon-662.44117102</t>
  </si>
  <si>
    <t>SELECT COUNT(*), SUM(total_logical_bytes)/1024/1024/1024 as gb, MAX(storage_last_modified_time) FROM `agile-bonbon-662.region-eu.INFORMATION_SCHEMA.TABLE_STORAGE` WHERE table_schema = '44117102'</t>
  </si>
  <si>
    <t>SELECT job_id, user_email FROM `agile-bonbon-662.region-eu.INFORMATION_SCHEMA.JOBS_BY_PROJECT` WHERE creation_time &gt; TIMESTAMP_SUB(CURRENT_TIMESTAMP(), INTERVAL 180 DAY) AND (destination_table.dataset_id = '44117102' OR EXISTS(SELECT 1 FROM UNNEST(referenced_tables) ref WHERE ref.dataset_id = '44117102')) LIMIT 1</t>
  </si>
  <si>
    <t>88700735</t>
  </si>
  <si>
    <t>DROP DATASET agile-bonbon-662.88700735</t>
  </si>
  <si>
    <t>SELECT COUNT(*), SUM(total_logical_bytes)/1024/1024/1024 as gb, MAX(storage_last_modified_time) FROM `agile-bonbon-662.region-eu.INFORMATION_SCHEMA.TABLE_STORAGE` WHERE table_schema = '88700735'</t>
  </si>
  <si>
    <t>SELECT job_id, user_email FROM `agile-bonbon-662.region-eu.INFORMATION_SCHEMA.JOBS_BY_PROJECT` WHERE creation_time &gt; TIMESTAMP_SUB(CURRENT_TIMESTAMP(), INTERVAL 180 DAY) AND (destination_table.dataset_id = '88700735' OR EXISTS(SELECT 1 FROM UNNEST(referenced_tables) ref WHERE ref.dataset_id = '88700735')) LIMIT 1</t>
  </si>
  <si>
    <t>178834903</t>
  </si>
  <si>
    <t>DROP DATASET agile-bonbon-662.178834903</t>
  </si>
  <si>
    <t>SELECT COUNT(*), SUM(total_logical_bytes)/1024/1024/1024 as gb, MAX(storage_last_modified_time) FROM `agile-bonbon-662.region-eu.INFORMATION_SCHEMA.TABLE_STORAGE` WHERE table_schema = '178834903'</t>
  </si>
  <si>
    <t>SELECT job_id, user_email FROM `agile-bonbon-662.region-eu.INFORMATION_SCHEMA.JOBS_BY_PROJECT` WHERE creation_time &gt; TIMESTAMP_SUB(CURRENT_TIMESTAMP(), INTERVAL 180 DAY) AND (destination_table.dataset_id = '178834903' OR EXISTS(SELECT 1 FROM UNNEST(referenced_tables) ref WHERE ref.dataset_id = '178834903')) LIMIT 1</t>
  </si>
  <si>
    <t>44116717</t>
  </si>
  <si>
    <t>Stale Production: Idle 722 days.</t>
  </si>
  <si>
    <t>DROP DATASET agile-bonbon-662.44116717</t>
  </si>
  <si>
    <t>SELECT COUNT(*), SUM(total_logical_bytes)/1024/1024/1024 as gb, MAX(storage_last_modified_time) FROM `agile-bonbon-662.region-eu.INFORMATION_SCHEMA.TABLE_STORAGE` WHERE table_schema = '44116717'</t>
  </si>
  <si>
    <t>SELECT job_id, user_email FROM `agile-bonbon-662.region-eu.INFORMATION_SCHEMA.JOBS_BY_PROJECT` WHERE creation_time &gt; TIMESTAMP_SUB(CURRENT_TIMESTAMP(), INTERVAL 180 DAY) AND (destination_table.dataset_id = '44116717' OR EXISTS(SELECT 1 FROM UNNEST(referenced_tables) ref WHERE ref.dataset_id = '44116717')) LIMIT 1</t>
  </si>
  <si>
    <t>80869364</t>
  </si>
  <si>
    <t>DROP DATASET agile-bonbon-662.80869364</t>
  </si>
  <si>
    <t>SELECT COUNT(*), SUM(total_logical_bytes)/1024/1024/1024 as gb, MAX(storage_last_modified_time) FROM `agile-bonbon-662.region-eu.INFORMATION_SCHEMA.TABLE_STORAGE` WHERE table_schema = '80869364'</t>
  </si>
  <si>
    <t>SELECT job_id, user_email FROM `agile-bonbon-662.region-eu.INFORMATION_SCHEMA.JOBS_BY_PROJECT` WHERE creation_time &gt; TIMESTAMP_SUB(CURRENT_TIMESTAMP(), INTERVAL 180 DAY) AND (destination_table.dataset_id = '80869364' OR EXISTS(SELECT 1 FROM UNNEST(referenced_tables) ref WHERE ref.dataset_id = '80869364')) LIMIT 1</t>
  </si>
  <si>
    <t>116763440</t>
  </si>
  <si>
    <t>DROP DATASET agile-bonbon-662.116763440</t>
  </si>
  <si>
    <t>SELECT COUNT(*), SUM(total_logical_bytes)/1024/1024/1024 as gb, MAX(storage_last_modified_time) FROM `agile-bonbon-662.region-eu.INFORMATION_SCHEMA.TABLE_STORAGE` WHERE table_schema = '116763440'</t>
  </si>
  <si>
    <t>SELECT job_id, user_email FROM `agile-bonbon-662.region-eu.INFORMATION_SCHEMA.JOBS_BY_PROJECT` WHERE creation_time &gt; TIMESTAMP_SUB(CURRENT_TIMESTAMP(), INTERVAL 180 DAY) AND (destination_table.dataset_id = '116763440' OR EXISTS(SELECT 1 FROM UNNEST(referenced_tables) ref WHERE ref.dataset_id = '116763440')) LIMIT 1</t>
  </si>
  <si>
    <t>107681011</t>
  </si>
  <si>
    <t>Stale Production: Idle 724 days.</t>
  </si>
  <si>
    <t>DROP DATASET agile-bonbon-662.107681011</t>
  </si>
  <si>
    <t>SELECT COUNT(*), SUM(total_logical_bytes)/1024/1024/1024 as gb, MAX(storage_last_modified_time) FROM `agile-bonbon-662.region-eu.INFORMATION_SCHEMA.TABLE_STORAGE` WHERE table_schema = '107681011'</t>
  </si>
  <si>
    <t>SELECT job_id, user_email FROM `agile-bonbon-662.region-eu.INFORMATION_SCHEMA.JOBS_BY_PROJECT` WHERE creation_time &gt; TIMESTAMP_SUB(CURRENT_TIMESTAMP(), INTERVAL 180 DAY) AND (destination_table.dataset_id = '107681011' OR EXISTS(SELECT 1 FROM UNNEST(referenced_tables) ref WHERE ref.dataset_id = '107681011')) LIMIT 1</t>
  </si>
  <si>
    <t>115426915</t>
  </si>
  <si>
    <t>DROP DATASET agile-bonbon-662.115426915</t>
  </si>
  <si>
    <t>SELECT COUNT(*), SUM(total_logical_bytes)/1024/1024/1024 as gb, MAX(storage_last_modified_time) FROM `agile-bonbon-662.region-eu.INFORMATION_SCHEMA.TABLE_STORAGE` WHERE table_schema = '115426915'</t>
  </si>
  <si>
    <t>SELECT job_id, user_email FROM `agile-bonbon-662.region-eu.INFORMATION_SCHEMA.JOBS_BY_PROJECT` WHERE creation_time &gt; TIMESTAMP_SUB(CURRENT_TIMESTAMP(), INTERVAL 180 DAY) AND (destination_table.dataset_id = '115426915' OR EXISTS(SELECT 1 FROM UNNEST(referenced_tables) ref WHERE ref.dataset_id = '115426915')) LIMIT 1</t>
  </si>
  <si>
    <t>178828781</t>
  </si>
  <si>
    <t>DROP DATASET agile-bonbon-662.178828781</t>
  </si>
  <si>
    <t>SELECT COUNT(*), SUM(total_logical_bytes)/1024/1024/1024 as gb, MAX(storage_last_modified_time) FROM `agile-bonbon-662.region-eu.INFORMATION_SCHEMA.TABLE_STORAGE` WHERE table_schema = '178828781'</t>
  </si>
  <si>
    <t>SELECT job_id, user_email FROM `agile-bonbon-662.region-eu.INFORMATION_SCHEMA.JOBS_BY_PROJECT` WHERE creation_time &gt; TIMESTAMP_SUB(CURRENT_TIMESTAMP(), INTERVAL 180 DAY) AND (destination_table.dataset_id = '178828781' OR EXISTS(SELECT 1 FROM UNNEST(referenced_tables) ref WHERE ref.dataset_id = '178828781')) LIMIT 1</t>
  </si>
  <si>
    <t>analytics_294908941</t>
  </si>
  <si>
    <t>Stale Production: Idle 642 days.</t>
  </si>
  <si>
    <t>DROP DATASET agile-bonbon-662.analytics_294908941</t>
  </si>
  <si>
    <t>SELECT COUNT(*), SUM(total_logical_bytes)/1024/1024/1024 as gb, MAX(storage_last_modified_time) FROM `agile-bonbon-662.region-eu.INFORMATION_SCHEMA.TABLE_STORAGE` WHERE table_schema = 'analytics_294908941'</t>
  </si>
  <si>
    <t>SELECT job_id, user_email FROM `agile-bonbon-662.region-eu.INFORMATION_SCHEMA.JOBS_BY_PROJECT` WHERE creation_time &gt; TIMESTAMP_SUB(CURRENT_TIMESTAMP(), INTERVAL 180 DAY) AND (destination_table.dataset_id = 'analytics_294908941' OR EXISTS(SELECT 1 FROM UNNEST(referenced_tables) ref WHERE ref.dataset_id = 'analytics_294908941')) LIMIT 1</t>
  </si>
  <si>
    <t>analytics_294929243</t>
  </si>
  <si>
    <t>Stale Production: Idle 796 days.</t>
  </si>
  <si>
    <t>DROP DATASET agile-bonbon-662.analytics_294929243</t>
  </si>
  <si>
    <t>SELECT COUNT(*), SUM(total_logical_bytes)/1024/1024/1024 as gb, MAX(storage_last_modified_time) FROM `agile-bonbon-662.region-eu.INFORMATION_SCHEMA.TABLE_STORAGE` WHERE table_schema = 'analytics_294929243'</t>
  </si>
  <si>
    <t>SELECT job_id, user_email FROM `agile-bonbon-662.region-eu.INFORMATION_SCHEMA.JOBS_BY_PROJECT` WHERE creation_time &gt; TIMESTAMP_SUB(CURRENT_TIMESTAMP(), INTERVAL 180 DAY) AND (destination_table.dataset_id = 'analytics_294929243' OR EXISTS(SELECT 1 FROM UNNEST(referenced_tables) ref WHERE ref.dataset_id = 'analytics_294929243')) LIMIT 1</t>
  </si>
  <si>
    <t>159824567</t>
  </si>
  <si>
    <t>DROP DATASET agile-bonbon-662.159824567</t>
  </si>
  <si>
    <t>SELECT COUNT(*), SUM(total_logical_bytes)/1024/1024/1024 as gb, MAX(storage_last_modified_time) FROM `agile-bonbon-662.region-eu.INFORMATION_SCHEMA.TABLE_STORAGE` WHERE table_schema = '159824567'</t>
  </si>
  <si>
    <t>SELECT job_id, user_email FROM `agile-bonbon-662.region-eu.INFORMATION_SCHEMA.JOBS_BY_PROJECT` WHERE creation_time &gt; TIMESTAMP_SUB(CURRENT_TIMESTAMP(), INTERVAL 180 DAY) AND (destination_table.dataset_id = '159824567' OR EXISTS(SELECT 1 FROM UNNEST(referenced_tables) ref WHERE ref.dataset_id = '159824567')) LIMIT 1</t>
  </si>
  <si>
    <t>88686334</t>
  </si>
  <si>
    <t>DROP DATASET agile-bonbon-662.88686334</t>
  </si>
  <si>
    <t>SELECT COUNT(*), SUM(total_logical_bytes)/1024/1024/1024 as gb, MAX(storage_last_modified_time) FROM `agile-bonbon-662.region-eu.INFORMATION_SCHEMA.TABLE_STORAGE` WHERE table_schema = '88686334'</t>
  </si>
  <si>
    <t>SELECT job_id, user_email FROM `agile-bonbon-662.region-eu.INFORMATION_SCHEMA.JOBS_BY_PROJECT` WHERE creation_time &gt; TIMESTAMP_SUB(CURRENT_TIMESTAMP(), INTERVAL 180 DAY) AND (destination_table.dataset_id = '88686334' OR EXISTS(SELECT 1 FROM UNNEST(referenced_tables) ref WHERE ref.dataset_id = '88686334')) LIMIT 1</t>
  </si>
  <si>
    <t>7273606</t>
  </si>
  <si>
    <t>DROP DATASET agile-bonbon-662.7273606</t>
  </si>
  <si>
    <t>SELECT COUNT(*), SUM(total_logical_bytes)/1024/1024/1024 as gb, MAX(storage_last_modified_time) FROM `agile-bonbon-662.region-eu.INFORMATION_SCHEMA.TABLE_STORAGE` WHERE table_schema = '7273606'</t>
  </si>
  <si>
    <t>SELECT job_id, user_email FROM `agile-bonbon-662.region-eu.INFORMATION_SCHEMA.JOBS_BY_PROJECT` WHERE creation_time &gt; TIMESTAMP_SUB(CURRENT_TIMESTAMP(), INTERVAL 180 DAY) AND (destination_table.dataset_id = '7273606' OR EXISTS(SELECT 1 FROM UNNEST(referenced_tables) ref WHERE ref.dataset_id = '7273606')) LIMIT 1</t>
  </si>
  <si>
    <t>z_staging_us</t>
  </si>
  <si>
    <t>Stale Production: Idle 1713 days.</t>
  </si>
  <si>
    <t>DROP DATASET agile-bonbon-662.z_staging_us</t>
  </si>
  <si>
    <t>SELECT COUNT(*), SUM(total_logical_bytes)/1024/1024/1024 as gb, MAX(storage_last_modified_time) FROM `agile-bonbon-662.region-eu.INFORMATION_SCHEMA.TABLE_STORAGE` WHERE table_schema = 'z_staging_us'</t>
  </si>
  <si>
    <t>SELECT job_id, user_email FROM `agile-bonbon-662.region-eu.INFORMATION_SCHEMA.JOBS_BY_PROJECT` WHERE creation_time &gt; TIMESTAMP_SUB(CURRENT_TIMESTAMP(), INTERVAL 180 DAY) AND (destination_table.dataset_id = 'z_staging_us' OR EXISTS(SELECT 1 FROM UNNEST(referenced_tables) ref WHERE ref.dataset_id = 'z_staging_us')) LIMIT 1</t>
  </si>
  <si>
    <t>118613826</t>
  </si>
  <si>
    <t>DROP DATASET agile-bonbon-662.118613826</t>
  </si>
  <si>
    <t>SELECT COUNT(*), SUM(total_logical_bytes)/1024/1024/1024 as gb, MAX(storage_last_modified_time) FROM `agile-bonbon-662.region-eu.INFORMATION_SCHEMA.TABLE_STORAGE` WHERE table_schema = '118613826'</t>
  </si>
  <si>
    <t>SELECT job_id, user_email FROM `agile-bonbon-662.region-eu.INFORMATION_SCHEMA.JOBS_BY_PROJECT` WHERE creation_time &gt; TIMESTAMP_SUB(CURRENT_TIMESTAMP(), INTERVAL 180 DAY) AND (destination_table.dataset_id = '118613826' OR EXISTS(SELECT 1 FROM UNNEST(referenced_tables) ref WHERE ref.dataset_id = '118613826')) LIMIT 1</t>
  </si>
  <si>
    <t>168547075</t>
  </si>
  <si>
    <t>DROP DATASET agile-bonbon-662.168547075</t>
  </si>
  <si>
    <t>SELECT COUNT(*), SUM(total_logical_bytes)/1024/1024/1024 as gb, MAX(storage_last_modified_time) FROM `agile-bonbon-662.region-eu.INFORMATION_SCHEMA.TABLE_STORAGE` WHERE table_schema = '168547075'</t>
  </si>
  <si>
    <t>SELECT job_id, user_email FROM `agile-bonbon-662.region-eu.INFORMATION_SCHEMA.JOBS_BY_PROJECT` WHERE creation_time &gt; TIMESTAMP_SUB(CURRENT_TIMESTAMP(), INTERVAL 180 DAY) AND (destination_table.dataset_id = '168547075' OR EXISTS(SELECT 1 FROM UNNEST(referenced_tables) ref WHERE ref.dataset_id = '168547075')) LIMIT 1</t>
  </si>
  <si>
    <t>110803413</t>
  </si>
  <si>
    <t>DROP DATASET agile-bonbon-662.110803413</t>
  </si>
  <si>
    <t>SELECT COUNT(*), SUM(total_logical_bytes)/1024/1024/1024 as gb, MAX(storage_last_modified_time) FROM `agile-bonbon-662.region-eu.INFORMATION_SCHEMA.TABLE_STORAGE` WHERE table_schema = '110803413'</t>
  </si>
  <si>
    <t>SELECT job_id, user_email FROM `agile-bonbon-662.region-eu.INFORMATION_SCHEMA.JOBS_BY_PROJECT` WHERE creation_time &gt; TIMESTAMP_SUB(CURRENT_TIMESTAMP(), INTERVAL 180 DAY) AND (destination_table.dataset_id = '110803413' OR EXISTS(SELECT 1 FROM UNNEST(referenced_tables) ref WHERE ref.dataset_id = '110803413')) LIMIT 1</t>
  </si>
  <si>
    <t>89798030</t>
  </si>
  <si>
    <t>DROP DATASET agile-bonbon-662.89798030</t>
  </si>
  <si>
    <t>SELECT COUNT(*), SUM(total_logical_bytes)/1024/1024/1024 as gb, MAX(storage_last_modified_time) FROM `agile-bonbon-662.region-eu.INFORMATION_SCHEMA.TABLE_STORAGE` WHERE table_schema = '89798030'</t>
  </si>
  <si>
    <t>SELECT job_id, user_email FROM `agile-bonbon-662.region-eu.INFORMATION_SCHEMA.JOBS_BY_PROJECT` WHERE creation_time &gt; TIMESTAMP_SUB(CURRENT_TIMESTAMP(), INTERVAL 180 DAY) AND (destination_table.dataset_id = '89798030' OR EXISTS(SELECT 1 FROM UNNEST(referenced_tables) ref WHERE ref.dataset_id = '89798030')) LIMIT 1</t>
  </si>
  <si>
    <t>Ditto</t>
  </si>
  <si>
    <t>Stale Production: Idle 1945 days.</t>
  </si>
  <si>
    <t>DROP DATASET agile-bonbon-662.Ditto</t>
  </si>
  <si>
    <t>SELECT COUNT(*), SUM(total_logical_bytes)/1024/1024/1024 as gb, MAX(storage_last_modified_time) FROM `agile-bonbon-662.region-eu.INFORMATION_SCHEMA.TABLE_STORAGE` WHERE table_schema = 'Ditto'</t>
  </si>
  <si>
    <t>SELECT job_id, user_email FROM `agile-bonbon-662.region-eu.INFORMATION_SCHEMA.JOBS_BY_PROJECT` WHERE creation_time &gt; TIMESTAMP_SUB(CURRENT_TIMESTAMP(), INTERVAL 180 DAY) AND (destination_table.dataset_id = 'Ditto' OR EXISTS(SELECT 1 FROM UNNEST(referenced_tables) ref WHERE ref.dataset_id = 'Ditto')) LIMIT 1</t>
  </si>
  <si>
    <t>12066693</t>
  </si>
  <si>
    <t>DROP DATASET agile-bonbon-662.12066693</t>
  </si>
  <si>
    <t>SELECT COUNT(*), SUM(total_logical_bytes)/1024/1024/1024 as gb, MAX(storage_last_modified_time) FROM `agile-bonbon-662.region-eu.INFORMATION_SCHEMA.TABLE_STORAGE` WHERE table_schema = '12066693'</t>
  </si>
  <si>
    <t>SELECT job_id, user_email FROM `agile-bonbon-662.region-eu.INFORMATION_SCHEMA.JOBS_BY_PROJECT` WHERE creation_time &gt; TIMESTAMP_SUB(CURRENT_TIMESTAMP(), INTERVAL 180 DAY) AND (destination_table.dataset_id = '12066693' OR EXISTS(SELECT 1 FROM UNNEST(referenced_tables) ref WHERE ref.dataset_id = '12066693')) LIMIT 1</t>
  </si>
  <si>
    <t>108606273</t>
  </si>
  <si>
    <t>DROP DATASET agile-bonbon-662.108606273</t>
  </si>
  <si>
    <t>SELECT COUNT(*), SUM(total_logical_bytes)/1024/1024/1024 as gb, MAX(storage_last_modified_time) FROM `agile-bonbon-662.region-eu.INFORMATION_SCHEMA.TABLE_STORAGE` WHERE table_schema = '108606273'</t>
  </si>
  <si>
    <t>SELECT job_id, user_email FROM `agile-bonbon-662.region-eu.INFORMATION_SCHEMA.JOBS_BY_PROJECT` WHERE creation_time &gt; TIMESTAMP_SUB(CURRENT_TIMESTAMP(), INTERVAL 180 DAY) AND (destination_table.dataset_id = '108606273' OR EXISTS(SELECT 1 FROM UNNEST(referenced_tables) ref WHERE ref.dataset_id = '108606273')) LIMIT 1</t>
  </si>
  <si>
    <t>61282242</t>
  </si>
  <si>
    <t>Stale Production: Idle 2272 days.</t>
  </si>
  <si>
    <t>DROP DATASET agile-bonbon-662.61282242</t>
  </si>
  <si>
    <t>SELECT COUNT(*), SUM(total_logical_bytes)/1024/1024/1024 as gb, MAX(storage_last_modified_time) FROM `agile-bonbon-662.region-eu.INFORMATION_SCHEMA.TABLE_STORAGE` WHERE table_schema = '61282242'</t>
  </si>
  <si>
    <t>SELECT job_id, user_email FROM `agile-bonbon-662.region-eu.INFORMATION_SCHEMA.JOBS_BY_PROJECT` WHERE creation_time &gt; TIMESTAMP_SUB(CURRENT_TIMESTAMP(), INTERVAL 180 DAY) AND (destination_table.dataset_id = '61282242' OR EXISTS(SELECT 1 FROM UNNEST(referenced_tables) ref WHERE ref.dataset_id = '61282242')) LIMIT 1</t>
  </si>
  <si>
    <t>44115399</t>
  </si>
  <si>
    <t>DROP DATASET agile-bonbon-662.44115399</t>
  </si>
  <si>
    <t>SELECT COUNT(*), SUM(total_logical_bytes)/1024/1024/1024 as gb, MAX(storage_last_modified_time) FROM `agile-bonbon-662.region-eu.INFORMATION_SCHEMA.TABLE_STORAGE` WHERE table_schema = '44115399'</t>
  </si>
  <si>
    <t>SELECT job_id, user_email FROM `agile-bonbon-662.region-eu.INFORMATION_SCHEMA.JOBS_BY_PROJECT` WHERE creation_time &gt; TIMESTAMP_SUB(CURRENT_TIMESTAMP(), INTERVAL 180 DAY) AND (destination_table.dataset_id = '44115399' OR EXISTS(SELECT 1 FROM UNNEST(referenced_tables) ref WHERE ref.dataset_id = '44115399')) LIMIT 1</t>
  </si>
  <si>
    <t>132043746</t>
  </si>
  <si>
    <t>DROP DATASET agile-bonbon-662.132043746</t>
  </si>
  <si>
    <t>SELECT COUNT(*), SUM(total_logical_bytes)/1024/1024/1024 as gb, MAX(storage_last_modified_time) FROM `agile-bonbon-662.region-eu.INFORMATION_SCHEMA.TABLE_STORAGE` WHERE table_schema = '132043746'</t>
  </si>
  <si>
    <t>SELECT job_id, user_email FROM `agile-bonbon-662.region-eu.INFORMATION_SCHEMA.JOBS_BY_PROJECT` WHERE creation_time &gt; TIMESTAMP_SUB(CURRENT_TIMESTAMP(), INTERVAL 180 DAY) AND (destination_table.dataset_id = '132043746' OR EXISTS(SELECT 1 FROM UNNEST(referenced_tables) ref WHERE ref.dataset_id = '132043746')) LIMIT 1</t>
  </si>
  <si>
    <t>0_Zoe</t>
  </si>
  <si>
    <t>Stale Production: Idle 713 days.</t>
  </si>
  <si>
    <t>DROP DATASET agile-bonbon-662.0_Zoe</t>
  </si>
  <si>
    <t>SELECT COUNT(*), SUM(total_logical_bytes)/1024/1024/1024 as gb, MAX(storage_last_modified_time) FROM `agile-bonbon-662.region-eu.INFORMATION_SCHEMA.TABLE_STORAGE` WHERE table_schema = '0_Zoe'</t>
  </si>
  <si>
    <t>SELECT job_id, user_email FROM `agile-bonbon-662.region-eu.INFORMATION_SCHEMA.JOBS_BY_PROJECT` WHERE creation_time &gt; TIMESTAMP_SUB(CURRENT_TIMESTAMP(), INTERVAL 180 DAY) AND (destination_table.dataset_id = '0_Zoe' OR EXISTS(SELECT 1 FROM UNNEST(referenced_tables) ref WHERE ref.dataset_id = '0_Zoe')) LIMIT 1</t>
  </si>
  <si>
    <t>0_Taha_EU</t>
  </si>
  <si>
    <t>Stale Production: Idle 1180 days.</t>
  </si>
  <si>
    <t>DROP DATASET agile-bonbon-662.0_Taha_EU</t>
  </si>
  <si>
    <t>SELECT COUNT(*), SUM(total_logical_bytes)/1024/1024/1024 as gb, MAX(storage_last_modified_time) FROM `agile-bonbon-662.region-eu.INFORMATION_SCHEMA.TABLE_STORAGE` WHERE table_schema = '0_Taha_EU'</t>
  </si>
  <si>
    <t>SELECT job_id, user_email FROM `agile-bonbon-662.region-eu.INFORMATION_SCHEMA.JOBS_BY_PROJECT` WHERE creation_time &gt; TIMESTAMP_SUB(CURRENT_TIMESTAMP(), INTERVAL 180 DAY) AND (destination_table.dataset_id = '0_Taha_EU' OR EXISTS(SELECT 1 FROM UNNEST(referenced_tables) ref WHERE ref.dataset_id = '0_Taha_EU')) LIMIT 1</t>
  </si>
  <si>
    <t>199235754</t>
  </si>
  <si>
    <t>Stale Production: Idle 864 days.</t>
  </si>
  <si>
    <t>DROP DATASET agile-bonbon-662.199235754</t>
  </si>
  <si>
    <t>SELECT COUNT(*), SUM(total_logical_bytes)/1024/1024/1024 as gb, MAX(storage_last_modified_time) FROM `agile-bonbon-662.region-eu.INFORMATION_SCHEMA.TABLE_STORAGE` WHERE table_schema = '199235754'</t>
  </si>
  <si>
    <t>SELECT job_id, user_email FROM `agile-bonbon-662.region-eu.INFORMATION_SCHEMA.JOBS_BY_PROJECT` WHERE creation_time &gt; TIMESTAMP_SUB(CURRENT_TIMESTAMP(), INTERVAL 180 DAY) AND (destination_table.dataset_id = '199235754' OR EXISTS(SELECT 1 FROM UNNEST(referenced_tables) ref WHERE ref.dataset_id = '199235754')) LIMIT 1</t>
  </si>
  <si>
    <t>1367660</t>
  </si>
  <si>
    <t>DROP DATASET agile-bonbon-662.1367660</t>
  </si>
  <si>
    <t>SELECT COUNT(*), SUM(total_logical_bytes)/1024/1024/1024 as gb, MAX(storage_last_modified_time) FROM `agile-bonbon-662.region-eu.INFORMATION_SCHEMA.TABLE_STORAGE` WHERE table_schema = '1367660'</t>
  </si>
  <si>
    <t>SELECT job_id, user_email FROM `agile-bonbon-662.region-eu.INFORMATION_SCHEMA.JOBS_BY_PROJECT` WHERE creation_time &gt; TIMESTAMP_SUB(CURRENT_TIMESTAMP(), INTERVAL 180 DAY) AND (destination_table.dataset_id = '1367660' OR EXISTS(SELECT 1 FROM UNNEST(referenced_tables) ref WHERE ref.dataset_id = '1367660')) LIMIT 1</t>
  </si>
  <si>
    <t>analytics_294928755</t>
  </si>
  <si>
    <t>Stale Production: Idle 933 days.</t>
  </si>
  <si>
    <t>DROP DATASET agile-bonbon-662.analytics_294928755</t>
  </si>
  <si>
    <t>SELECT COUNT(*), SUM(total_logical_bytes)/1024/1024/1024 as gb, MAX(storage_last_modified_time) FROM `agile-bonbon-662.region-eu.INFORMATION_SCHEMA.TABLE_STORAGE` WHERE table_schema = 'analytics_294928755'</t>
  </si>
  <si>
    <t>SELECT job_id, user_email FROM `agile-bonbon-662.region-eu.INFORMATION_SCHEMA.JOBS_BY_PROJECT` WHERE creation_time &gt; TIMESTAMP_SUB(CURRENT_TIMESTAMP(), INTERVAL 180 DAY) AND (destination_table.dataset_id = 'analytics_294928755' OR EXISTS(SELECT 1 FROM UNNEST(referenced_tables) ref WHERE ref.dataset_id = 'analytics_294928755')) LIMIT 1</t>
  </si>
  <si>
    <t>products</t>
  </si>
  <si>
    <t>Stale Production: Idle 1545 days.</t>
  </si>
  <si>
    <t>DROP DATASET vibrant-map-107910.products</t>
  </si>
  <si>
    <t>SELECT COUNT(*), SUM(total_logical_bytes)/1024/1024/1024 as gb, MAX(storage_last_modified_time) FROM `vibrant-map-107910.region-eu.INFORMATION_SCHEMA.TABLE_STORAGE` WHERE table_schema = 'products'</t>
  </si>
  <si>
    <t>SELECT job_id, user_email FROM `vibrant-map-107910.region-eu.INFORMATION_SCHEMA.JOBS_BY_PROJECT` WHERE creation_time &gt; TIMESTAMP_SUB(CURRENT_TIMESTAMP(), INTERVAL 180 DAY) AND (destination_table.dataset_id = 'products' OR EXISTS(SELECT 1 FROM UNNEST(referenced_tables) ref WHERE ref.dataset_id = 'products')) LIMIT 1</t>
  </si>
  <si>
    <t>tmp_staging</t>
  </si>
  <si>
    <t>Expired Experiment: Idle 703 days.</t>
  </si>
  <si>
    <t>DROP DATASET agile-bonbon-662.tmp_staging</t>
  </si>
  <si>
    <t>SELECT COUNT(*), SUM(total_logical_bytes)/1024/1024/1024 as gb, MAX(storage_last_modified_time) FROM `agile-bonbon-662.region-eu.INFORMATION_SCHEMA.TABLE_STORAGE` WHERE table_schema = 'tmp_staging'</t>
  </si>
  <si>
    <t>SELECT job_id, user_email FROM `agile-bonbon-662.region-eu.INFORMATION_SCHEMA.JOBS_BY_PROJECT` WHERE creation_time &gt; TIMESTAMP_SUB(CURRENT_TIMESTAMP(), INTERVAL 180 DAY) AND (destination_table.dataset_id = 'tmp_staging' OR EXISTS(SELECT 1 FROM UNNEST(referenced_tables) ref WHERE ref.dataset_id = 'tmp_staging')) LIMIT 1</t>
  </si>
  <si>
    <t>88683469</t>
  </si>
  <si>
    <t>DROP DATASET agile-bonbon-662.88683469</t>
  </si>
  <si>
    <t>SELECT COUNT(*), SUM(total_logical_bytes)/1024/1024/1024 as gb, MAX(storage_last_modified_time) FROM `agile-bonbon-662.region-eu.INFORMATION_SCHEMA.TABLE_STORAGE` WHERE table_schema = '88683469'</t>
  </si>
  <si>
    <t>SELECT job_id, user_email FROM `agile-bonbon-662.region-eu.INFORMATION_SCHEMA.JOBS_BY_PROJECT` WHERE creation_time &gt; TIMESTAMP_SUB(CURRENT_TIMESTAMP(), INTERVAL 180 DAY) AND (destination_table.dataset_id = '88683469' OR EXISTS(SELECT 1 FROM UNNEST(referenced_tables) ref WHERE ref.dataset_id = '88683469')) LIMIT 1</t>
  </si>
  <si>
    <t>44115499</t>
  </si>
  <si>
    <t>DROP DATASET agile-bonbon-662.44115499</t>
  </si>
  <si>
    <t>SELECT COUNT(*), SUM(total_logical_bytes)/1024/1024/1024 as gb, MAX(storage_last_modified_time) FROM `agile-bonbon-662.region-eu.INFORMATION_SCHEMA.TABLE_STORAGE` WHERE table_schema = '44115499'</t>
  </si>
  <si>
    <t>SELECT job_id, user_email FROM `agile-bonbon-662.region-eu.INFORMATION_SCHEMA.JOBS_BY_PROJECT` WHERE creation_time &gt; TIMESTAMP_SUB(CURRENT_TIMESTAMP(), INTERVAL 180 DAY) AND (destination_table.dataset_id = '44115499' OR EXISTS(SELECT 1 FROM UNNEST(referenced_tables) ref WHERE ref.dataset_id = '44115499')) LIMIT 1</t>
  </si>
  <si>
    <t>260383569</t>
  </si>
  <si>
    <t>Stale Production: Idle 789 days.</t>
  </si>
  <si>
    <t>DROP DATASET agile-bonbon-662.260383569</t>
  </si>
  <si>
    <t>SELECT COUNT(*), SUM(total_logical_bytes)/1024/1024/1024 as gb, MAX(storage_last_modified_time) FROM `agile-bonbon-662.region-eu.INFORMATION_SCHEMA.TABLE_STORAGE` WHERE table_schema = '260383569'</t>
  </si>
  <si>
    <t>SELECT job_id, user_email FROM `agile-bonbon-662.region-eu.INFORMATION_SCHEMA.JOBS_BY_PROJECT` WHERE creation_time &gt; TIMESTAMP_SUB(CURRENT_TIMESTAMP(), INTERVAL 180 DAY) AND (destination_table.dataset_id = '260383569' OR EXISTS(SELECT 1 FROM UNNEST(referenced_tables) ref WHERE ref.dataset_id = '260383569')) LIMIT 1</t>
  </si>
  <si>
    <t>archived_Availability</t>
  </si>
  <si>
    <t>DROP DATASET agile-bonbon-662.archived_Availability</t>
  </si>
  <si>
    <t>SELECT COUNT(*), SUM(total_logical_bytes)/1024/1024/1024 as gb, MAX(storage_last_modified_time) FROM `agile-bonbon-662.region-eu.INFORMATION_SCHEMA.TABLE_STORAGE` WHERE table_schema = 'archived_Availability'</t>
  </si>
  <si>
    <t>SELECT job_id, user_email FROM `agile-bonbon-662.region-eu.INFORMATION_SCHEMA.JOBS_BY_PROJECT` WHERE creation_time &gt; TIMESTAMP_SUB(CURRENT_TIMESTAMP(), INTERVAL 180 DAY) AND (destination_table.dataset_id = 'archived_Availability' OR EXISTS(SELECT 1 FROM UNNEST(referenced_tables) ref WHERE ref.dataset_id = 'archived_Availability')) LIMIT 1</t>
  </si>
  <si>
    <t>analytics_294925509</t>
  </si>
  <si>
    <t>Stale Production: Idle 866 days.</t>
  </si>
  <si>
    <t>DROP DATASET agile-bonbon-662.analytics_294925509</t>
  </si>
  <si>
    <t>SELECT COUNT(*), SUM(total_logical_bytes)/1024/1024/1024 as gb, MAX(storage_last_modified_time) FROM `agile-bonbon-662.region-eu.INFORMATION_SCHEMA.TABLE_STORAGE` WHERE table_schema = 'analytics_294925509'</t>
  </si>
  <si>
    <t>SELECT job_id, user_email FROM `agile-bonbon-662.region-eu.INFORMATION_SCHEMA.JOBS_BY_PROJECT` WHERE creation_time &gt; TIMESTAMP_SUB(CURRENT_TIMESTAMP(), INTERVAL 180 DAY) AND (destination_table.dataset_id = 'analytics_294925509' OR EXISTS(SELECT 1 FROM UNNEST(referenced_tables) ref WHERE ref.dataset_id = 'analytics_294925509')) LIMIT 1</t>
  </si>
  <si>
    <t>110561943</t>
  </si>
  <si>
    <t>DROP DATASET agile-bonbon-662.110561943</t>
  </si>
  <si>
    <t>SELECT COUNT(*), SUM(total_logical_bytes)/1024/1024/1024 as gb, MAX(storage_last_modified_time) FROM `agile-bonbon-662.region-eu.INFORMATION_SCHEMA.TABLE_STORAGE` WHERE table_schema = '110561943'</t>
  </si>
  <si>
    <t>SELECT job_id, user_email FROM `agile-bonbon-662.region-eu.INFORMATION_SCHEMA.JOBS_BY_PROJECT` WHERE creation_time &gt; TIMESTAMP_SUB(CURRENT_TIMESTAMP(), INTERVAL 180 DAY) AND (destination_table.dataset_id = '110561943' OR EXISTS(SELECT 1 FROM UNNEST(referenced_tables) ref WHERE ref.dataset_id = '110561943')) LIMIT 1</t>
  </si>
  <si>
    <t>thgingenuity.com</t>
  </si>
  <si>
    <t>Data_Monetisation</t>
  </si>
  <si>
    <t>Stale Production: Idle 626 days.</t>
  </si>
  <si>
    <t>DROP DATASET thg-central-marketing.Data_Monetisation</t>
  </si>
  <si>
    <t>SELECT COUNT(*), SUM(total_logical_bytes)/1024/1024/1024 as gb, MAX(storage_last_modified_time) FROM `thg-central-marketing.region-eu.INFORMATION_SCHEMA.TABLE_STORAGE` WHERE table_schema = 'Data_Monetisation'</t>
  </si>
  <si>
    <t>SELECT job_id, user_email FROM `thg-central-marketing.region-eu.INFORMATION_SCHEMA.JOBS_BY_PROJECT` WHERE creation_time &gt; TIMESTAMP_SUB(CURRENT_TIMESTAMP(), INTERVAL 180 DAY) AND (destination_table.dataset_id = 'Data_Monetisation' OR EXISTS(SELECT 1 FROM UNNEST(referenced_tables) ref WHERE ref.dataset_id = 'Data_Monetisation')) LIMIT 1</t>
  </si>
  <si>
    <t>168285478</t>
  </si>
  <si>
    <t>DROP DATASET agile-bonbon-662.168285478</t>
  </si>
  <si>
    <t>SELECT COUNT(*), SUM(total_logical_bytes)/1024/1024/1024 as gb, MAX(storage_last_modified_time) FROM `agile-bonbon-662.region-eu.INFORMATION_SCHEMA.TABLE_STORAGE` WHERE table_schema = '168285478'</t>
  </si>
  <si>
    <t>SELECT job_id, user_email FROM `agile-bonbon-662.region-eu.INFORMATION_SCHEMA.JOBS_BY_PROJECT` WHERE creation_time &gt; TIMESTAMP_SUB(CURRENT_TIMESTAMP(), INTERVAL 180 DAY) AND (destination_table.dataset_id = '168285478' OR EXISTS(SELECT 1 FROM UNNEST(referenced_tables) ref WHERE ref.dataset_id = '168285478')) LIMIT 1</t>
  </si>
  <si>
    <t>118629503</t>
  </si>
  <si>
    <t>DROP DATASET agile-bonbon-662.118629503</t>
  </si>
  <si>
    <t>SELECT COUNT(*), SUM(total_logical_bytes)/1024/1024/1024 as gb, MAX(storage_last_modified_time) FROM `agile-bonbon-662.region-eu.INFORMATION_SCHEMA.TABLE_STORAGE` WHERE table_schema = '118629503'</t>
  </si>
  <si>
    <t>SELECT job_id, user_email FROM `agile-bonbon-662.region-eu.INFORMATION_SCHEMA.JOBS_BY_PROJECT` WHERE creation_time &gt; TIMESTAMP_SUB(CURRENT_TIMESTAMP(), INTERVAL 180 DAY) AND (destination_table.dataset_id = '118629503' OR EXISTS(SELECT 1 FROM UNNEST(referenced_tables) ref WHERE ref.dataset_id = '118629503')) LIMIT 1</t>
  </si>
  <si>
    <t>analytics_294908754</t>
  </si>
  <si>
    <t>Stale Production: Idle 837 days.</t>
  </si>
  <si>
    <t>DROP DATASET agile-bonbon-662.analytics_294908754</t>
  </si>
  <si>
    <t>SELECT COUNT(*), SUM(total_logical_bytes)/1024/1024/1024 as gb, MAX(storage_last_modified_time) FROM `agile-bonbon-662.region-eu.INFORMATION_SCHEMA.TABLE_STORAGE` WHERE table_schema = 'analytics_294908754'</t>
  </si>
  <si>
    <t>SELECT job_id, user_email FROM `agile-bonbon-662.region-eu.INFORMATION_SCHEMA.JOBS_BY_PROJECT` WHERE creation_time &gt; TIMESTAMP_SUB(CURRENT_TIMESTAMP(), INTERVAL 180 DAY) AND (destination_table.dataset_id = 'analytics_294908754' OR EXISTS(SELECT 1 FROM UNNEST(referenced_tables) ref WHERE ref.dataset_id = 'analytics_294908754')) LIMIT 1</t>
  </si>
  <si>
    <t>Stale Production: Idle 2077 days.</t>
  </si>
  <si>
    <t>DROP DATASET vibrant-map-107910.segmentation</t>
  </si>
  <si>
    <t>SELECT COUNT(*), SUM(total_logical_bytes)/1024/1024/1024 as gb, MAX(storage_last_modified_time) FROM `vibrant-map-107910.region-eu.INFORMATION_SCHEMA.TABLE_STORAGE` WHERE table_schema = 'segmentation'</t>
  </si>
  <si>
    <t>SELECT job_id, user_email FROM `vibrant-map-107910.region-eu.INFORMATION_SCHEMA.JOBS_BY_PROJECT` WHERE creation_time &gt; TIMESTAMP_SUB(CURRENT_TIMESTAMP(), INTERVAL 180 DAY) AND (destination_table.dataset_id = 'segmentation' OR EXISTS(SELECT 1 FROM UNNEST(referenced_tables) ref WHERE ref.dataset_id = 'segmentation')) LIMIT 1</t>
  </si>
  <si>
    <t>165675153</t>
  </si>
  <si>
    <t>DROP DATASET agile-bonbon-662.165675153</t>
  </si>
  <si>
    <t>SELECT COUNT(*), SUM(total_logical_bytes)/1024/1024/1024 as gb, MAX(storage_last_modified_time) FROM `agile-bonbon-662.region-eu.INFORMATION_SCHEMA.TABLE_STORAGE` WHERE table_schema = '165675153'</t>
  </si>
  <si>
    <t>SELECT job_id, user_email FROM `agile-bonbon-662.region-eu.INFORMATION_SCHEMA.JOBS_BY_PROJECT` WHERE creation_time &gt; TIMESTAMP_SUB(CURRENT_TIMESTAMP(), INTERVAL 180 DAY) AND (destination_table.dataset_id = '165675153' OR EXISTS(SELECT 1 FROM UNNEST(referenced_tables) ref WHERE ref.dataset_id = '165675153')) LIMIT 1</t>
  </si>
  <si>
    <t>nexus_segmentation</t>
  </si>
  <si>
    <t>Stale Production: Idle 1827 days.</t>
  </si>
  <si>
    <t>DROP DATASET the-hut-group.nexus_segmentation</t>
  </si>
  <si>
    <t>SELECT COUNT(*), SUM(total_logical_bytes)/1024/1024/1024 as gb, MAX(storage_last_modified_time) FROM `the-hut-group.region-eu.INFORMATION_SCHEMA.TABLE_STORAGE` WHERE table_schema = 'nexus_segmentation'</t>
  </si>
  <si>
    <t>SELECT job_id, user_email FROM `the-hut-group.region-eu.INFORMATION_SCHEMA.JOBS_BY_PROJECT` WHERE creation_time &gt; TIMESTAMP_SUB(CURRENT_TIMESTAMP(), INTERVAL 180 DAY) AND (destination_table.dataset_id = 'nexus_segmentation' OR EXISTS(SELECT 1 FROM UNNEST(referenced_tables) ref WHERE ref.dataset_id = 'nexus_segmentation')) LIMIT 1</t>
  </si>
  <si>
    <t>116835837</t>
  </si>
  <si>
    <t>DROP DATASET agile-bonbon-662.116835837</t>
  </si>
  <si>
    <t>SELECT COUNT(*), SUM(total_logical_bytes)/1024/1024/1024 as gb, MAX(storage_last_modified_time) FROM `agile-bonbon-662.region-eu.INFORMATION_SCHEMA.TABLE_STORAGE` WHERE table_schema = '116835837'</t>
  </si>
  <si>
    <t>SELECT job_id, user_email FROM `agile-bonbon-662.region-eu.INFORMATION_SCHEMA.JOBS_BY_PROJECT` WHERE creation_time &gt; TIMESTAMP_SUB(CURRENT_TIMESTAMP(), INTERVAL 180 DAY) AND (destination_table.dataset_id = '116835837' OR EXISTS(SELECT 1 FROM UNNEST(referenced_tables) ref WHERE ref.dataset_id = '116835837')) LIMIT 1</t>
  </si>
  <si>
    <t>SEO_Reporting_GSC</t>
  </si>
  <si>
    <t>Stale Production: Idle 1692 days.</t>
  </si>
  <si>
    <t>DROP DATASET agile-bonbon-662.SEO_Reporting_GSC</t>
  </si>
  <si>
    <t>SELECT COUNT(*), SUM(total_logical_bytes)/1024/1024/1024 as gb, MAX(storage_last_modified_time) FROM `agile-bonbon-662.region-eu.INFORMATION_SCHEMA.TABLE_STORAGE` WHERE table_schema = 'SEO_Reporting_GSC'</t>
  </si>
  <si>
    <t>SELECT job_id, user_email FROM `agile-bonbon-662.region-eu.INFORMATION_SCHEMA.JOBS_BY_PROJECT` WHERE creation_time &gt; TIMESTAMP_SUB(CURRENT_TIMESTAMP(), INTERVAL 180 DAY) AND (destination_table.dataset_id = 'SEO_Reporting_GSC' OR EXISTS(SELECT 1 FROM UNNEST(referenced_tables) ref WHERE ref.dataset_id = 'SEO_Reporting_GSC')) LIMIT 1</t>
  </si>
  <si>
    <t>BlogTracking</t>
  </si>
  <si>
    <t>Stale Production: Idle 1224 days.</t>
  </si>
  <si>
    <t>DROP DATASET agile-bonbon-662.BlogTracking</t>
  </si>
  <si>
    <t>SELECT COUNT(*), SUM(total_logical_bytes)/1024/1024/1024 as gb, MAX(storage_last_modified_time) FROM `agile-bonbon-662.region-eu.INFORMATION_SCHEMA.TABLE_STORAGE` WHERE table_schema = 'BlogTracking'</t>
  </si>
  <si>
    <t>SELECT job_id, user_email FROM `agile-bonbon-662.region-eu.INFORMATION_SCHEMA.JOBS_BY_PROJECT` WHERE creation_time &gt; TIMESTAMP_SUB(CURRENT_TIMESTAMP(), INTERVAL 180 DAY) AND (destination_table.dataset_id = 'BlogTracking' OR EXISTS(SELECT 1 FROM UNNEST(referenced_tables) ref WHERE ref.dataset_id = 'BlogTracking')) LIMIT 1</t>
  </si>
  <si>
    <t>analytics_301123453</t>
  </si>
  <si>
    <t>Stale Production: Idle 386 days.</t>
  </si>
  <si>
    <t>DROP DATASET agile-bonbon-662.analytics_301123453</t>
  </si>
  <si>
    <t>SELECT COUNT(*), SUM(total_logical_bytes)/1024/1024/1024 as gb, MAX(storage_last_modified_time) FROM `agile-bonbon-662.region-eu.INFORMATION_SCHEMA.TABLE_STORAGE` WHERE table_schema = 'analytics_301123453'</t>
  </si>
  <si>
    <t>SELECT job_id, user_email FROM `agile-bonbon-662.region-eu.INFORMATION_SCHEMA.JOBS_BY_PROJECT` WHERE creation_time &gt; TIMESTAMP_SUB(CURRENT_TIMESTAMP(), INTERVAL 180 DAY) AND (destination_table.dataset_id = 'analytics_301123453' OR EXISTS(SELECT 1 FROM UNNEST(referenced_tables) ref WHERE ref.dataset_id = 'analytics_301123453')) LIMIT 1</t>
  </si>
  <si>
    <t>analytics_294917042</t>
  </si>
  <si>
    <t>Stale Production: Idle 775 days.</t>
  </si>
  <si>
    <t>DROP DATASET agile-bonbon-662.analytics_294917042</t>
  </si>
  <si>
    <t>SELECT COUNT(*), SUM(total_logical_bytes)/1024/1024/1024 as gb, MAX(storage_last_modified_time) FROM `agile-bonbon-662.region-eu.INFORMATION_SCHEMA.TABLE_STORAGE` WHERE table_schema = 'analytics_294917042'</t>
  </si>
  <si>
    <t>SELECT job_id, user_email FROM `agile-bonbon-662.region-eu.INFORMATION_SCHEMA.JOBS_BY_PROJECT` WHERE creation_time &gt; TIMESTAMP_SUB(CURRENT_TIMESTAMP(), INTERVAL 180 DAY) AND (destination_table.dataset_id = 'analytics_294917042' OR EXISTS(SELECT 1 FROM UNNEST(referenced_tables) ref WHERE ref.dataset_id = 'analytics_294917042')) LIMIT 1</t>
  </si>
  <si>
    <t>beta_coggles</t>
  </si>
  <si>
    <t>Expired Experiment: Idle 1435 days.</t>
  </si>
  <si>
    <t>DROP DATASET the-hut-group.beta_coggles</t>
  </si>
  <si>
    <t>SELECT COUNT(*), SUM(total_logical_bytes)/1024/1024/1024 as gb, MAX(storage_last_modified_time) FROM `the-hut-group.region-eu.INFORMATION_SCHEMA.TABLE_STORAGE` WHERE table_schema = 'beta_coggles'</t>
  </si>
  <si>
    <t>SELECT job_id, user_email FROM `the-hut-group.region-eu.INFORMATION_SCHEMA.JOBS_BY_PROJECT` WHERE creation_time &gt; TIMESTAMP_SUB(CURRENT_TIMESTAMP(), INTERVAL 180 DAY) AND (destination_table.dataset_id = 'beta_coggles' OR EXISTS(SELECT 1 FROM UNNEST(referenced_tables) ref WHERE ref.dataset_id = 'beta_coggles')) LIMIT 1</t>
  </si>
  <si>
    <t>70581973</t>
  </si>
  <si>
    <t>Stale Production: Idle 733 days.</t>
  </si>
  <si>
    <t>DROP DATASET agile-bonbon-662.70581973</t>
  </si>
  <si>
    <t>SELECT COUNT(*), SUM(total_logical_bytes)/1024/1024/1024 as gb, MAX(storage_last_modified_time) FROM `agile-bonbon-662.region-eu.INFORMATION_SCHEMA.TABLE_STORAGE` WHERE table_schema = '70581973'</t>
  </si>
  <si>
    <t>SELECT job_id, user_email FROM `agile-bonbon-662.region-eu.INFORMATION_SCHEMA.JOBS_BY_PROJECT` WHERE creation_time &gt; TIMESTAMP_SUB(CURRENT_TIMESTAMP(), INTERVAL 180 DAY) AND (destination_table.dataset_id = '70581973' OR EXISTS(SELECT 1 FROM UNNEST(referenced_tables) ref WHERE ref.dataset_id = '70581973')) LIMIT 1</t>
  </si>
  <si>
    <t>Beauty_Pricing</t>
  </si>
  <si>
    <t>Stale Production: Idle 1295 days.</t>
  </si>
  <si>
    <t>DROP DATASET agile-bonbon-662.Beauty_Pricing</t>
  </si>
  <si>
    <t>SELECT COUNT(*), SUM(total_logical_bytes)/1024/1024/1024 as gb, MAX(storage_last_modified_time) FROM `agile-bonbon-662.region-eu.INFORMATION_SCHEMA.TABLE_STORAGE` WHERE table_schema = 'Beauty_Pricing'</t>
  </si>
  <si>
    <t>SELECT job_id, user_email FROM `agile-bonbon-662.region-eu.INFORMATION_SCHEMA.JOBS_BY_PROJECT` WHERE creation_time &gt; TIMESTAMP_SUB(CURRENT_TIMESTAMP(), INTERVAL 180 DAY) AND (destination_table.dataset_id = 'Beauty_Pricing' OR EXISTS(SELECT 1 FROM UNNEST(referenced_tables) ref WHERE ref.dataset_id = 'Beauty_Pricing')) LIMIT 1</t>
  </si>
  <si>
    <t>metrics_recent</t>
  </si>
  <si>
    <t>Stale Production: Idle 2666 days.</t>
  </si>
  <si>
    <t>DROP DATASET the-hut-group.metrics_recent</t>
  </si>
  <si>
    <t>SELECT COUNT(*), SUM(total_logical_bytes)/1024/1024/1024 as gb, MAX(storage_last_modified_time) FROM `the-hut-group.region-eu.INFORMATION_SCHEMA.TABLE_STORAGE` WHERE table_schema = 'metrics_recent'</t>
  </si>
  <si>
    <t>SELECT job_id, user_email FROM `the-hut-group.region-eu.INFORMATION_SCHEMA.JOBS_BY_PROJECT` WHERE creation_time &gt; TIMESTAMP_SUB(CURRENT_TIMESTAMP(), INTERVAL 180 DAY) AND (destination_table.dataset_id = 'metrics_recent' OR EXISTS(SELECT 1 FROM UNNEST(referenced_tables) ref WHERE ref.dataset_id = 'metrics_recent')) LIMIT 1</t>
  </si>
  <si>
    <t>118176744</t>
  </si>
  <si>
    <t>DROP DATASET agile-bonbon-662.118176744</t>
  </si>
  <si>
    <t>SELECT COUNT(*), SUM(total_logical_bytes)/1024/1024/1024 as gb, MAX(storage_last_modified_time) FROM `agile-bonbon-662.region-eu.INFORMATION_SCHEMA.TABLE_STORAGE` WHERE table_schema = '118176744'</t>
  </si>
  <si>
    <t>SELECT job_id, user_email FROM `agile-bonbon-662.region-eu.INFORMATION_SCHEMA.JOBS_BY_PROJECT` WHERE creation_time &gt; TIMESTAMP_SUB(CURRENT_TIMESTAMP(), INTERVAL 180 DAY) AND (destination_table.dataset_id = '118176744' OR EXISTS(SELECT 1 FROM UNNEST(referenced_tables) ref WHERE ref.dataset_id = '118176744')) LIMIT 1</t>
  </si>
  <si>
    <t>123113407</t>
  </si>
  <si>
    <t>DROP DATASET agile-bonbon-662.123113407</t>
  </si>
  <si>
    <t>SELECT COUNT(*), SUM(total_logical_bytes)/1024/1024/1024 as gb, MAX(storage_last_modified_time) FROM `agile-bonbon-662.region-eu.INFORMATION_SCHEMA.TABLE_STORAGE` WHERE table_schema = '123113407'</t>
  </si>
  <si>
    <t>SELECT job_id, user_email FROM `agile-bonbon-662.region-eu.INFORMATION_SCHEMA.JOBS_BY_PROJECT` WHERE creation_time &gt; TIMESTAMP_SUB(CURRENT_TIMESTAMP(), INTERVAL 180 DAY) AND (destination_table.dataset_id = '123113407' OR EXISTS(SELECT 1 FROM UNNEST(referenced_tables) ref WHERE ref.dataset_id = '123113407')) LIMIT 1</t>
  </si>
  <si>
    <t>DROP DATASET vibrant-map-107910.nexus_segmentation</t>
  </si>
  <si>
    <t>SELECT COUNT(*), SUM(total_logical_bytes)/1024/1024/1024 as gb, MAX(storage_last_modified_time) FROM `vibrant-map-107910.region-eu.INFORMATION_SCHEMA.TABLE_STORAGE` WHERE table_schema = 'nexus_segmentation'</t>
  </si>
  <si>
    <t>SELECT job_id, user_email FROM `vibrant-map-107910.region-eu.INFORMATION_SCHEMA.JOBS_BY_PROJECT` WHERE creation_time &gt; TIMESTAMP_SUB(CURRENT_TIMESTAMP(), INTERVAL 180 DAY) AND (destination_table.dataset_id = 'nexus_segmentation' OR EXISTS(SELECT 1 FROM UNNEST(referenced_tables) ref WHERE ref.dataset_id = 'nexus_segmentation')) LIMIT 1</t>
  </si>
  <si>
    <t>6646214</t>
  </si>
  <si>
    <t>DROP DATASET agile-bonbon-662.6646214</t>
  </si>
  <si>
    <t>SELECT COUNT(*), SUM(total_logical_bytes)/1024/1024/1024 as gb, MAX(storage_last_modified_time) FROM `agile-bonbon-662.region-eu.INFORMATION_SCHEMA.TABLE_STORAGE` WHERE table_schema = '6646214'</t>
  </si>
  <si>
    <t>SELECT job_id, user_email FROM `agile-bonbon-662.region-eu.INFORMATION_SCHEMA.JOBS_BY_PROJECT` WHERE creation_time &gt; TIMESTAMP_SUB(CURRENT_TIMESTAMP(), INTERVAL 180 DAY) AND (destination_table.dataset_id = '6646214' OR EXISTS(SELECT 1 FROM UNNEST(referenced_tables) ref WHERE ref.dataset_id = '6646214')) LIMIT 1</t>
  </si>
  <si>
    <t>analytics_294900924</t>
  </si>
  <si>
    <t>Stale Production: Idle 793 days.</t>
  </si>
  <si>
    <t>DROP DATASET agile-bonbon-662.analytics_294900924</t>
  </si>
  <si>
    <t>SELECT COUNT(*), SUM(total_logical_bytes)/1024/1024/1024 as gb, MAX(storage_last_modified_time) FROM `agile-bonbon-662.region-eu.INFORMATION_SCHEMA.TABLE_STORAGE` WHERE table_schema = 'analytics_294900924'</t>
  </si>
  <si>
    <t>SELECT job_id, user_email FROM `agile-bonbon-662.region-eu.INFORMATION_SCHEMA.JOBS_BY_PROJECT` WHERE creation_time &gt; TIMESTAMP_SUB(CURRENT_TIMESTAMP(), INTERVAL 180 DAY) AND (destination_table.dataset_id = 'analytics_294900924' OR EXISTS(SELECT 1 FROM UNNEST(referenced_tables) ref WHERE ref.dataset_id = 'analytics_294900924')) LIMIT 1</t>
  </si>
  <si>
    <t>EU_Data</t>
  </si>
  <si>
    <t>Stale Production: Idle 1706 days.</t>
  </si>
  <si>
    <t>DROP DATASET agile-bonbon-662.EU_Data</t>
  </si>
  <si>
    <t>SELECT COUNT(*), SUM(total_logical_bytes)/1024/1024/1024 as gb, MAX(storage_last_modified_time) FROM `agile-bonbon-662.region-eu.INFORMATION_SCHEMA.TABLE_STORAGE` WHERE table_schema = 'EU_Data'</t>
  </si>
  <si>
    <t>SELECT job_id, user_email FROM `agile-bonbon-662.region-eu.INFORMATION_SCHEMA.JOBS_BY_PROJECT` WHERE creation_time &gt; TIMESTAMP_SUB(CURRENT_TIMESTAMP(), INTERVAL 180 DAY) AND (destination_table.dataset_id = 'EU_Data' OR EXISTS(SELECT 1 FROM UNNEST(referenced_tables) ref WHERE ref.dataset_id = 'EU_Data')) LIMIT 1</t>
  </si>
  <si>
    <t>205051859</t>
  </si>
  <si>
    <t>DROP DATASET agile-bonbon-662.205051859</t>
  </si>
  <si>
    <t>SELECT COUNT(*), SUM(total_logical_bytes)/1024/1024/1024 as gb, MAX(storage_last_modified_time) FROM `agile-bonbon-662.region-eu.INFORMATION_SCHEMA.TABLE_STORAGE` WHERE table_schema = '205051859'</t>
  </si>
  <si>
    <t>SELECT job_id, user_email FROM `agile-bonbon-662.region-eu.INFORMATION_SCHEMA.JOBS_BY_PROJECT` WHERE creation_time &gt; TIMESTAMP_SUB(CURRENT_TIMESTAMP(), INTERVAL 180 DAY) AND (destination_table.dataset_id = '205051859' OR EXISTS(SELECT 1 FROM UNNEST(referenced_tables) ref WHERE ref.dataset_id = '205051859')) LIMIT 1</t>
  </si>
  <si>
    <t>analytics_301527800</t>
  </si>
  <si>
    <t>Stale Production: Idle 590 days.</t>
  </si>
  <si>
    <t>DROP DATASET agile-bonbon-662.analytics_301527800</t>
  </si>
  <si>
    <t>SELECT COUNT(*), SUM(total_logical_bytes)/1024/1024/1024 as gb, MAX(storage_last_modified_time) FROM `agile-bonbon-662.region-eu.INFORMATION_SCHEMA.TABLE_STORAGE` WHERE table_schema = 'analytics_301527800'</t>
  </si>
  <si>
    <t>SELECT job_id, user_email FROM `agile-bonbon-662.region-eu.INFORMATION_SCHEMA.JOBS_BY_PROJECT` WHERE creation_time &gt; TIMESTAMP_SUB(CURRENT_TIMESTAMP(), INTERVAL 180 DAY) AND (destination_table.dataset_id = 'analytics_301527800' OR EXISTS(SELECT 1 FROM UNNEST(referenced_tables) ref WHERE ref.dataset_id = 'analytics_301527800')) LIMIT 1</t>
  </si>
  <si>
    <t>darrenj_temp</t>
  </si>
  <si>
    <t>Expired Experiment: Idle 641 days.</t>
  </si>
  <si>
    <t>DROP DATASET agile-bonbon-662.darrenj_temp</t>
  </si>
  <si>
    <t>SELECT COUNT(*), SUM(total_logical_bytes)/1024/1024/1024 as gb, MAX(storage_last_modified_time) FROM `agile-bonbon-662.region-eu.INFORMATION_SCHEMA.TABLE_STORAGE` WHERE table_schema = 'darrenj_temp'</t>
  </si>
  <si>
    <t>SELECT job_id, user_email FROM `agile-bonbon-662.region-eu.INFORMATION_SCHEMA.JOBS_BY_PROJECT` WHERE creation_time &gt; TIMESTAMP_SUB(CURRENT_TIMESTAMP(), INTERVAL 180 DAY) AND (destination_table.dataset_id = 'darrenj_temp' OR EXISTS(SELECT 1 FROM UNNEST(referenced_tables) ref WHERE ref.dataset_id = 'darrenj_temp')) LIMIT 1</t>
  </si>
  <si>
    <t>188480308</t>
  </si>
  <si>
    <t>DROP DATASET agile-bonbon-662.188480308</t>
  </si>
  <si>
    <t>SELECT COUNT(*), SUM(total_logical_bytes)/1024/1024/1024 as gb, MAX(storage_last_modified_time) FROM `agile-bonbon-662.region-eu.INFORMATION_SCHEMA.TABLE_STORAGE` WHERE table_schema = '188480308'</t>
  </si>
  <si>
    <t>SELECT job_id, user_email FROM `agile-bonbon-662.region-eu.INFORMATION_SCHEMA.JOBS_BY_PROJECT` WHERE creation_time &gt; TIMESTAMP_SUB(CURRENT_TIMESTAMP(), INTERVAL 180 DAY) AND (destination_table.dataset_id = '188480308' OR EXISTS(SELECT 1 FROM UNNEST(referenced_tables) ref WHERE ref.dataset_id = '188480308')) LIMIT 1</t>
  </si>
  <si>
    <t>Sessions_Level_1</t>
  </si>
  <si>
    <t>Stale Production: Idle 1453 days.</t>
  </si>
  <si>
    <t>DROP DATASET vibrant-map-107910.Sessions_Level_1</t>
  </si>
  <si>
    <t>SELECT COUNT(*), SUM(total_logical_bytes)/1024/1024/1024 as gb, MAX(storage_last_modified_time) FROM `vibrant-map-107910.region-eu.INFORMATION_SCHEMA.TABLE_STORAGE` WHERE table_schema = 'Sessions_Level_1'</t>
  </si>
  <si>
    <t>SELECT job_id, user_email FROM `vibrant-map-107910.region-eu.INFORMATION_SCHEMA.JOBS_BY_PROJECT` WHERE creation_time &gt; TIMESTAMP_SUB(CURRENT_TIMESTAMP(), INTERVAL 180 DAY) AND (destination_table.dataset_id = 'Sessions_Level_1' OR EXISTS(SELECT 1 FROM UNNEST(referenced_tables) ref WHERE ref.dataset_id = 'Sessions_Level_1')) LIMIT 1</t>
  </si>
  <si>
    <t>analytics_294922227</t>
  </si>
  <si>
    <t>Stale Production: Idle 762 days.</t>
  </si>
  <si>
    <t>DROP DATASET agile-bonbon-662.analytics_294922227</t>
  </si>
  <si>
    <t>SELECT COUNT(*), SUM(total_logical_bytes)/1024/1024/1024 as gb, MAX(storage_last_modified_time) FROM `agile-bonbon-662.region-eu.INFORMATION_SCHEMA.TABLE_STORAGE` WHERE table_schema = 'analytics_294922227'</t>
  </si>
  <si>
    <t>SELECT job_id, user_email FROM `agile-bonbon-662.region-eu.INFORMATION_SCHEMA.JOBS_BY_PROJECT` WHERE creation_time &gt; TIMESTAMP_SUB(CURRENT_TIMESTAMP(), INTERVAL 180 DAY) AND (destination_table.dataset_id = 'analytics_294922227' OR EXISTS(SELECT 1 FROM UNNEST(referenced_tables) ref WHERE ref.dataset_id = 'analytics_294922227')) LIMIT 1</t>
  </si>
  <si>
    <t>analytics_294885178</t>
  </si>
  <si>
    <t>Stale Production: Idle 843 days.</t>
  </si>
  <si>
    <t>DROP DATASET agile-bonbon-662.analytics_294885178</t>
  </si>
  <si>
    <t>SELECT COUNT(*), SUM(total_logical_bytes)/1024/1024/1024 as gb, MAX(storage_last_modified_time) FROM `agile-bonbon-662.region-eu.INFORMATION_SCHEMA.TABLE_STORAGE` WHERE table_schema = 'analytics_294885178'</t>
  </si>
  <si>
    <t>SELECT job_id, user_email FROM `agile-bonbon-662.region-eu.INFORMATION_SCHEMA.JOBS_BY_PROJECT` WHERE creation_time &gt; TIMESTAMP_SUB(CURRENT_TIMESTAMP(), INTERVAL 180 DAY) AND (destination_table.dataset_id = 'analytics_294885178' OR EXISTS(SELECT 1 FROM UNNEST(referenced_tables) ref WHERE ref.dataset_id = 'analytics_294885178')) LIMIT 1</t>
  </si>
  <si>
    <t>0_mjama_EU</t>
  </si>
  <si>
    <t>Stale Production: Idle 1689 days.</t>
  </si>
  <si>
    <t>DROP DATASET agile-bonbon-662.0_mjama_EU</t>
  </si>
  <si>
    <t>SELECT COUNT(*), SUM(total_logical_bytes)/1024/1024/1024 as gb, MAX(storage_last_modified_time) FROM `agile-bonbon-662.region-eu.INFORMATION_SCHEMA.TABLE_STORAGE` WHERE table_schema = '0_mjama_EU'</t>
  </si>
  <si>
    <t>SELECT job_id, user_email FROM `agile-bonbon-662.region-eu.INFORMATION_SCHEMA.JOBS_BY_PROJECT` WHERE creation_time &gt; TIMESTAMP_SUB(CURRENT_TIMESTAMP(), INTERVAL 180 DAY) AND (destination_table.dataset_id = '0_mjama_EU' OR EXISTS(SELECT 1 FROM UNNEST(referenced_tables) ref WHERE ref.dataset_id = '0_mjama_EU')) LIMIT 1</t>
  </si>
  <si>
    <t>4805034</t>
  </si>
  <si>
    <t>DROP DATASET agile-bonbon-662.4805034</t>
  </si>
  <si>
    <t>SELECT COUNT(*), SUM(total_logical_bytes)/1024/1024/1024 as gb, MAX(storage_last_modified_time) FROM `agile-bonbon-662.region-eu.INFORMATION_SCHEMA.TABLE_STORAGE` WHERE table_schema = '4805034'</t>
  </si>
  <si>
    <t>SELECT job_id, user_email FROM `agile-bonbon-662.region-eu.INFORMATION_SCHEMA.JOBS_BY_PROJECT` WHERE creation_time &gt; TIMESTAMP_SUB(CURRENT_TIMESTAMP(), INTERVAL 180 DAY) AND (destination_table.dataset_id = '4805034' OR EXISTS(SELECT 1 FROM UNNEST(referenced_tables) ref WHERE ref.dataset_id = '4805034')) LIMIT 1</t>
  </si>
  <si>
    <t>dynamic_widgets_model_E2E</t>
  </si>
  <si>
    <t>Stale Production: Idle 1784 days.</t>
  </si>
  <si>
    <t>DROP DATASET the-hut-group.dynamic_widgets_model_E2E</t>
  </si>
  <si>
    <t>SELECT COUNT(*), SUM(total_logical_bytes)/1024/1024/1024 as gb, MAX(storage_last_modified_time) FROM `the-hut-group.region-eu.INFORMATION_SCHEMA.TABLE_STORAGE` WHERE table_schema = 'dynamic_widgets_model_E2E'</t>
  </si>
  <si>
    <t>SELECT job_id, user_email FROM `the-hut-group.region-eu.INFORMATION_SCHEMA.JOBS_BY_PROJECT` WHERE creation_time &gt; TIMESTAMP_SUB(CURRENT_TIMESTAMP(), INTERVAL 180 DAY) AND (destination_table.dataset_id = 'dynamic_widgets_model_E2E' OR EXISTS(SELECT 1 FROM UNNEST(referenced_tables) ref WHERE ref.dataset_id = 'dynamic_widgets_model_E2E')) LIMIT 1</t>
  </si>
  <si>
    <t>analytics_294916211</t>
  </si>
  <si>
    <t>Stale Production: Idle 739 days.</t>
  </si>
  <si>
    <t>DROP DATASET agile-bonbon-662.analytics_294916211</t>
  </si>
  <si>
    <t>SELECT COUNT(*), SUM(total_logical_bytes)/1024/1024/1024 as gb, MAX(storage_last_modified_time) FROM `agile-bonbon-662.region-eu.INFORMATION_SCHEMA.TABLE_STORAGE` WHERE table_schema = 'analytics_294916211'</t>
  </si>
  <si>
    <t>SELECT job_id, user_email FROM `agile-bonbon-662.region-eu.INFORMATION_SCHEMA.JOBS_BY_PROJECT` WHERE creation_time &gt; TIMESTAMP_SUB(CURRENT_TIMESTAMP(), INTERVAL 180 DAY) AND (destination_table.dataset_id = 'analytics_294916211' OR EXISTS(SELECT 1 FROM UNNEST(referenced_tables) ref WHERE ref.dataset_id = 'analytics_294916211')) LIMIT 1</t>
  </si>
  <si>
    <t>analytics_294908832</t>
  </si>
  <si>
    <t>Stale Production: Idle 788 days.</t>
  </si>
  <si>
    <t>DROP DATASET agile-bonbon-662.analytics_294908832</t>
  </si>
  <si>
    <t>SELECT COUNT(*), SUM(total_logical_bytes)/1024/1024/1024 as gb, MAX(storage_last_modified_time) FROM `agile-bonbon-662.region-eu.INFORMATION_SCHEMA.TABLE_STORAGE` WHERE table_schema = 'analytics_294908832'</t>
  </si>
  <si>
    <t>SELECT job_id, user_email FROM `agile-bonbon-662.region-eu.INFORMATION_SCHEMA.JOBS_BY_PROJECT` WHERE creation_time &gt; TIMESTAMP_SUB(CURRENT_TIMESTAMP(), INTERVAL 180 DAY) AND (destination_table.dataset_id = 'analytics_294908832' OR EXISTS(SELECT 1 FROM UNNEST(referenced_tables) ref WHERE ref.dataset_id = 'analytics_294908832')) LIMIT 1</t>
  </si>
  <si>
    <t>0_Roy_EU</t>
  </si>
  <si>
    <t>Stale Production: Idle 410 days.</t>
  </si>
  <si>
    <t>DROP DATASET agile-bonbon-662.0_Roy_EU</t>
  </si>
  <si>
    <t>SELECT COUNT(*), SUM(total_logical_bytes)/1024/1024/1024 as gb, MAX(storage_last_modified_time) FROM `agile-bonbon-662.region-eu.INFORMATION_SCHEMA.TABLE_STORAGE` WHERE table_schema = '0_Roy_EU'</t>
  </si>
  <si>
    <t>SELECT job_id, user_email FROM `agile-bonbon-662.region-eu.INFORMATION_SCHEMA.JOBS_BY_PROJECT` WHERE creation_time &gt; TIMESTAMP_SUB(CURRENT_TIMESTAMP(), INTERVAL 180 DAY) AND (destination_table.dataset_id = '0_Roy_EU' OR EXISTS(SELECT 1 FROM UNNEST(referenced_tables) ref WHERE ref.dataset_id = '0_Roy_EU')) LIMIT 1</t>
  </si>
  <si>
    <t>archived_NetCosReport</t>
  </si>
  <si>
    <t>DROP DATASET agile-bonbon-662.archived_NetCosReport</t>
  </si>
  <si>
    <t>SELECT COUNT(*), SUM(total_logical_bytes)/1024/1024/1024 as gb, MAX(storage_last_modified_time) FROM `agile-bonbon-662.region-eu.INFORMATION_SCHEMA.TABLE_STORAGE` WHERE table_schema = 'archived_NetCosReport'</t>
  </si>
  <si>
    <t>SELECT job_id, user_email FROM `agile-bonbon-662.region-eu.INFORMATION_SCHEMA.JOBS_BY_PROJECT` WHERE creation_time &gt; TIMESTAMP_SUB(CURRENT_TIMESTAMP(), INTERVAL 180 DAY) AND (destination_table.dataset_id = 'archived_NetCosReport' OR EXISTS(SELECT 1 FROM UNNEST(referenced_tables) ref WHERE ref.dataset_id = 'archived_NetCosReport')) LIMIT 1</t>
  </si>
  <si>
    <t>118113326</t>
  </si>
  <si>
    <t>DROP DATASET agile-bonbon-662.118113326</t>
  </si>
  <si>
    <t>SELECT COUNT(*), SUM(total_logical_bytes)/1024/1024/1024 as gb, MAX(storage_last_modified_time) FROM `agile-bonbon-662.region-eu.INFORMATION_SCHEMA.TABLE_STORAGE` WHERE table_schema = '118113326'</t>
  </si>
  <si>
    <t>SELECT job_id, user_email FROM `agile-bonbon-662.region-eu.INFORMATION_SCHEMA.JOBS_BY_PROJECT` WHERE creation_time &gt; TIMESTAMP_SUB(CURRENT_TIMESTAMP(), INTERVAL 180 DAY) AND (destination_table.dataset_id = '118113326' OR EXISTS(SELECT 1 FROM UNNEST(referenced_tables) ref WHERE ref.dataset_id = '118113326')) LIMIT 1</t>
  </si>
  <si>
    <t>analytics_294924619</t>
  </si>
  <si>
    <t>Stale Production: Idle 875 days.</t>
  </si>
  <si>
    <t>DROP DATASET agile-bonbon-662.analytics_294924619</t>
  </si>
  <si>
    <t>SELECT COUNT(*), SUM(total_logical_bytes)/1024/1024/1024 as gb, MAX(storage_last_modified_time) FROM `agile-bonbon-662.region-eu.INFORMATION_SCHEMA.TABLE_STORAGE` WHERE table_schema = 'analytics_294924619'</t>
  </si>
  <si>
    <t>SELECT job_id, user_email FROM `agile-bonbon-662.region-eu.INFORMATION_SCHEMA.JOBS_BY_PROJECT` WHERE creation_time &gt; TIMESTAMP_SUB(CURRENT_TIMESTAMP(), INTERVAL 180 DAY) AND (destination_table.dataset_id = 'analytics_294924619' OR EXISTS(SELECT 1 FROM UNNEST(referenced_tables) ref WHERE ref.dataset_id = 'analytics_294924619')) LIMIT 1</t>
  </si>
  <si>
    <t>0_JGW</t>
  </si>
  <si>
    <t>Stale Production: Idle 1420 days.</t>
  </si>
  <si>
    <t>DROP DATASET agile-bonbon-662.0_JGW</t>
  </si>
  <si>
    <t>SELECT COUNT(*), SUM(total_logical_bytes)/1024/1024/1024 as gb, MAX(storage_last_modified_time) FROM `agile-bonbon-662.region-eu.INFORMATION_SCHEMA.TABLE_STORAGE` WHERE table_schema = '0_JGW'</t>
  </si>
  <si>
    <t>SELECT job_id, user_email FROM `agile-bonbon-662.region-eu.INFORMATION_SCHEMA.JOBS_BY_PROJECT` WHERE creation_time &gt; TIMESTAMP_SUB(CURRENT_TIMESTAMP(), INTERVAL 180 DAY) AND (destination_table.dataset_id = '0_JGW' OR EXISTS(SELECT 1 FROM UNNEST(referenced_tables) ref WHERE ref.dataset_id = '0_JGW')) LIMIT 1</t>
  </si>
  <si>
    <t>attack_detection</t>
  </si>
  <si>
    <t>Stale Production: Idle 2210 days.</t>
  </si>
  <si>
    <t>DROP DATASET the-hut-group.attack_detection</t>
  </si>
  <si>
    <t>SELECT COUNT(*), SUM(total_logical_bytes)/1024/1024/1024 as gb, MAX(storage_last_modified_time) FROM `the-hut-group.region-eu.INFORMATION_SCHEMA.TABLE_STORAGE` WHERE table_schema = 'attack_detection'</t>
  </si>
  <si>
    <t>SELECT job_id, user_email FROM `the-hut-group.region-eu.INFORMATION_SCHEMA.JOBS_BY_PROJECT` WHERE creation_time &gt; TIMESTAMP_SUB(CURRENT_TIMESTAMP(), INTERVAL 180 DAY) AND (destination_table.dataset_id = 'attack_detection' OR EXISTS(SELECT 1 FROM UNNEST(referenced_tables) ref WHERE ref.dataset_id = 'attack_detection')) LIMIT 1</t>
  </si>
  <si>
    <t>143374124</t>
  </si>
  <si>
    <t>DROP DATASET agile-bonbon-662.143374124</t>
  </si>
  <si>
    <t>SELECT COUNT(*), SUM(total_logical_bytes)/1024/1024/1024 as gb, MAX(storage_last_modified_time) FROM `agile-bonbon-662.region-eu.INFORMATION_SCHEMA.TABLE_STORAGE` WHERE table_schema = '143374124'</t>
  </si>
  <si>
    <t>SELECT job_id, user_email FROM `agile-bonbon-662.region-eu.INFORMATION_SCHEMA.JOBS_BY_PROJECT` WHERE creation_time &gt; TIMESTAMP_SUB(CURRENT_TIMESTAMP(), INTERVAL 180 DAY) AND (destination_table.dataset_id = '143374124' OR EXISTS(SELECT 1 FROM UNNEST(referenced_tables) ref WHERE ref.dataset_id = '143374124')) LIMIT 1</t>
  </si>
  <si>
    <t>239531811</t>
  </si>
  <si>
    <t>DROP DATASET agile-bonbon-662.239531811</t>
  </si>
  <si>
    <t>SELECT COUNT(*), SUM(total_logical_bytes)/1024/1024/1024 as gb, MAX(storage_last_modified_time) FROM `agile-bonbon-662.region-eu.INFORMATION_SCHEMA.TABLE_STORAGE` WHERE table_schema = '239531811'</t>
  </si>
  <si>
    <t>SELECT job_id, user_email FROM `agile-bonbon-662.region-eu.INFORMATION_SCHEMA.JOBS_BY_PROJECT` WHERE creation_time &gt; TIMESTAMP_SUB(CURRENT_TIMESTAMP(), INTERVAL 180 DAY) AND (destination_table.dataset_id = '239531811' OR EXISTS(SELECT 1 FROM UNNEST(referenced_tables) ref WHERE ref.dataset_id = '239531811')) LIMIT 1</t>
  </si>
  <si>
    <t>analytics_294997277</t>
  </si>
  <si>
    <t>Stale Production: Idle 1068 days.</t>
  </si>
  <si>
    <t>DROP DATASET agile-bonbon-662.analytics_294997277</t>
  </si>
  <si>
    <t>SELECT COUNT(*), SUM(total_logical_bytes)/1024/1024/1024 as gb, MAX(storage_last_modified_time) FROM `agile-bonbon-662.region-eu.INFORMATION_SCHEMA.TABLE_STORAGE` WHERE table_schema = 'analytics_294997277'</t>
  </si>
  <si>
    <t>SELECT job_id, user_email FROM `agile-bonbon-662.region-eu.INFORMATION_SCHEMA.JOBS_BY_PROJECT` WHERE creation_time &gt; TIMESTAMP_SUB(CURRENT_TIMESTAMP(), INTERVAL 180 DAY) AND (destination_table.dataset_id = 'analytics_294997277' OR EXISTS(SELECT 1 FROM UNNEST(referenced_tables) ref WHERE ref.dataset_id = 'analytics_294997277')) LIMIT 1</t>
  </si>
  <si>
    <t>analytics_294997182</t>
  </si>
  <si>
    <t>Stale Production: Idle 957 days.</t>
  </si>
  <si>
    <t>DROP DATASET agile-bonbon-662.analytics_294997182</t>
  </si>
  <si>
    <t>SELECT COUNT(*), SUM(total_logical_bytes)/1024/1024/1024 as gb, MAX(storage_last_modified_time) FROM `agile-bonbon-662.region-eu.INFORMATION_SCHEMA.TABLE_STORAGE` WHERE table_schema = 'analytics_294997182'</t>
  </si>
  <si>
    <t>SELECT job_id, user_email FROM `agile-bonbon-662.region-eu.INFORMATION_SCHEMA.JOBS_BY_PROJECT` WHERE creation_time &gt; TIMESTAMP_SUB(CURRENT_TIMESTAMP(), INTERVAL 180 DAY) AND (destination_table.dataset_id = 'analytics_294997182' OR EXISTS(SELECT 1 FROM UNNEST(referenced_tables) ref WHERE ref.dataset_id = 'analytics_294997182')) LIMIT 1</t>
  </si>
  <si>
    <t>dynamic_widgets</t>
  </si>
  <si>
    <t>Stale Production: Idle 1785 days.</t>
  </si>
  <si>
    <t>DROP DATASET the-hut-group.dynamic_widgets</t>
  </si>
  <si>
    <t>SELECT COUNT(*), SUM(total_logical_bytes)/1024/1024/1024 as gb, MAX(storage_last_modified_time) FROM `the-hut-group.region-eu.INFORMATION_SCHEMA.TABLE_STORAGE` WHERE table_schema = 'dynamic_widgets'</t>
  </si>
  <si>
    <t>SELECT job_id, user_email FROM `the-hut-group.region-eu.INFORMATION_SCHEMA.JOBS_BY_PROJECT` WHERE creation_time &gt; TIMESTAMP_SUB(CURRENT_TIMESTAMP(), INTERVAL 180 DAY) AND (destination_table.dataset_id = 'dynamic_widgets' OR EXISTS(SELECT 1 FROM UNNEST(referenced_tables) ref WHERE ref.dataset_id = 'dynamic_widgets')) LIMIT 1</t>
  </si>
  <si>
    <t>136449440</t>
  </si>
  <si>
    <t>Stale Production: Idle 828 days.</t>
  </si>
  <si>
    <t>DROP DATASET agile-bonbon-662.136449440</t>
  </si>
  <si>
    <t>SELECT COUNT(*), SUM(total_logical_bytes)/1024/1024/1024 as gb, MAX(storage_last_modified_time) FROM `agile-bonbon-662.region-eu.INFORMATION_SCHEMA.TABLE_STORAGE` WHERE table_schema = '136449440'</t>
  </si>
  <si>
    <t>SELECT job_id, user_email FROM `agile-bonbon-662.region-eu.INFORMATION_SCHEMA.JOBS_BY_PROJECT` WHERE creation_time &gt; TIMESTAMP_SUB(CURRENT_TIMESTAMP(), INTERVAL 180 DAY) AND (destination_table.dataset_id = '136449440' OR EXISTS(SELECT 1 FROM UNNEST(referenced_tables) ref WHERE ref.dataset_id = '136449440')) LIMIT 1</t>
  </si>
  <si>
    <t>01_Alex_T</t>
  </si>
  <si>
    <t>Stale Production: Idle 614 days.</t>
  </si>
  <si>
    <t>DROP DATASET agile-bonbon-662.01_Alex_T</t>
  </si>
  <si>
    <t>SELECT COUNT(*), SUM(total_logical_bytes)/1024/1024/1024 as gb, MAX(storage_last_modified_time) FROM `agile-bonbon-662.region-eu.INFORMATION_SCHEMA.TABLE_STORAGE` WHERE table_schema = '01_Alex_T'</t>
  </si>
  <si>
    <t>SELECT job_id, user_email FROM `agile-bonbon-662.region-eu.INFORMATION_SCHEMA.JOBS_BY_PROJECT` WHERE creation_time &gt; TIMESTAMP_SUB(CURRENT_TIMESTAMP(), INTERVAL 180 DAY) AND (destination_table.dataset_id = '01_Alex_T' OR EXISTS(SELECT 1 FROM UNNEST(referenced_tables) ref WHERE ref.dataset_id = '01_Alex_T')) LIMIT 1</t>
  </si>
  <si>
    <t>108636446</t>
  </si>
  <si>
    <t>DROP DATASET agile-bonbon-662.108636446</t>
  </si>
  <si>
    <t>SELECT COUNT(*), SUM(total_logical_bytes)/1024/1024/1024 as gb, MAX(storage_last_modified_time) FROM `agile-bonbon-662.region-eu.INFORMATION_SCHEMA.TABLE_STORAGE` WHERE table_schema = '108636446'</t>
  </si>
  <si>
    <t>SELECT job_id, user_email FROM `agile-bonbon-662.region-eu.INFORMATION_SCHEMA.JOBS_BY_PROJECT` WHERE creation_time &gt; TIMESTAMP_SUB(CURRENT_TIMESTAMP(), INTERVAL 180 DAY) AND (destination_table.dataset_id = '108636446' OR EXISTS(SELECT 1 FROM UNNEST(referenced_tables) ref WHERE ref.dataset_id = '108636446')) LIMIT 1</t>
  </si>
  <si>
    <t>Spyder</t>
  </si>
  <si>
    <t>Stale Production: Idle 1628 days.</t>
  </si>
  <si>
    <t>DROP DATASET agile-bonbon-662.Spyder</t>
  </si>
  <si>
    <t>SELECT COUNT(*), SUM(total_logical_bytes)/1024/1024/1024 as gb, MAX(storage_last_modified_time) FROM `agile-bonbon-662.region-eu.INFORMATION_SCHEMA.TABLE_STORAGE` WHERE table_schema = 'Spyder'</t>
  </si>
  <si>
    <t>SELECT job_id, user_email FROM `agile-bonbon-662.region-eu.INFORMATION_SCHEMA.JOBS_BY_PROJECT` WHERE creation_time &gt; TIMESTAMP_SUB(CURRENT_TIMESTAMP(), INTERVAL 180 DAY) AND (destination_table.dataset_id = 'Spyder' OR EXISTS(SELECT 1 FROM UNNEST(referenced_tables) ref WHERE ref.dataset_id = 'Spyder')) LIMIT 1</t>
  </si>
  <si>
    <t>124967356</t>
  </si>
  <si>
    <t>DROP DATASET agile-bonbon-662.124967356</t>
  </si>
  <si>
    <t>SELECT COUNT(*), SUM(total_logical_bytes)/1024/1024/1024 as gb, MAX(storage_last_modified_time) FROM `agile-bonbon-662.region-eu.INFORMATION_SCHEMA.TABLE_STORAGE` WHERE table_schema = '124967356'</t>
  </si>
  <si>
    <t>SELECT job_id, user_email FROM `agile-bonbon-662.region-eu.INFORMATION_SCHEMA.JOBS_BY_PROJECT` WHERE creation_time &gt; TIMESTAMP_SUB(CURRENT_TIMESTAMP(), INTERVAL 180 DAY) AND (destination_table.dataset_id = '124967356' OR EXISTS(SELECT 1 FROM UNNEST(referenced_tables) ref WHERE ref.dataset_id = '124967356')) LIMIT 1</t>
  </si>
  <si>
    <t>0_amcel_EU</t>
  </si>
  <si>
    <t>Stale Production: Idle 1495 days.</t>
  </si>
  <si>
    <t>DROP DATASET agile-bonbon-662.0_amcel_EU</t>
  </si>
  <si>
    <t>SELECT COUNT(*), SUM(total_logical_bytes)/1024/1024/1024 as gb, MAX(storage_last_modified_time) FROM `agile-bonbon-662.region-eu.INFORMATION_SCHEMA.TABLE_STORAGE` WHERE table_schema = '0_amcel_EU'</t>
  </si>
  <si>
    <t>SELECT job_id, user_email FROM `agile-bonbon-662.region-eu.INFORMATION_SCHEMA.JOBS_BY_PROJECT` WHERE creation_time &gt; TIMESTAMP_SUB(CURRENT_TIMESTAMP(), INTERVAL 180 DAY) AND (destination_table.dataset_id = '0_amcel_EU' OR EXISTS(SELECT 1 FROM UNNEST(referenced_tables) ref WHERE ref.dataset_id = '0_amcel_EU')) LIMIT 1</t>
  </si>
  <si>
    <t>analytics_301162626</t>
  </si>
  <si>
    <t>Stale Production: Idle 592 days.</t>
  </si>
  <si>
    <t>DROP DATASET agile-bonbon-662.analytics_301162626</t>
  </si>
  <si>
    <t>SELECT COUNT(*), SUM(total_logical_bytes)/1024/1024/1024 as gb, MAX(storage_last_modified_time) FROM `agile-bonbon-662.region-eu.INFORMATION_SCHEMA.TABLE_STORAGE` WHERE table_schema = 'analytics_301162626'</t>
  </si>
  <si>
    <t>SELECT job_id, user_email FROM `agile-bonbon-662.region-eu.INFORMATION_SCHEMA.JOBS_BY_PROJECT` WHERE creation_time &gt; TIMESTAMP_SUB(CURRENT_TIMESTAMP(), INTERVAL 180 DAY) AND (destination_table.dataset_id = 'analytics_301162626' OR EXISTS(SELECT 1 FROM UNNEST(referenced_tables) ref WHERE ref.dataset_id = 'analytics_301162626')) LIMIT 1</t>
  </si>
  <si>
    <t>128598176</t>
  </si>
  <si>
    <t>DROP DATASET agile-bonbon-662.128598176</t>
  </si>
  <si>
    <t>SELECT COUNT(*), SUM(total_logical_bytes)/1024/1024/1024 as gb, MAX(storage_last_modified_time) FROM `agile-bonbon-662.region-eu.INFORMATION_SCHEMA.TABLE_STORAGE` WHERE table_schema = '128598176'</t>
  </si>
  <si>
    <t>SELECT job_id, user_email FROM `agile-bonbon-662.region-eu.INFORMATION_SCHEMA.JOBS_BY_PROJECT` WHERE creation_time &gt; TIMESTAMP_SUB(CURRENT_TIMESTAMP(), INTERVAL 180 DAY) AND (destination_table.dataset_id = '128598176' OR EXISTS(SELECT 1 FROM UNNEST(referenced_tables) ref WHERE ref.dataset_id = '128598176')) LIMIT 1</t>
  </si>
  <si>
    <t>123485489</t>
  </si>
  <si>
    <t>DROP DATASET agile-bonbon-662.123485489</t>
  </si>
  <si>
    <t>SELECT COUNT(*), SUM(total_logical_bytes)/1024/1024/1024 as gb, MAX(storage_last_modified_time) FROM `agile-bonbon-662.region-eu.INFORMATION_SCHEMA.TABLE_STORAGE` WHERE table_schema = '123485489'</t>
  </si>
  <si>
    <t>SELECT job_id, user_email FROM `agile-bonbon-662.region-eu.INFORMATION_SCHEMA.JOBS_BY_PROJECT` WHERE creation_time &gt; TIMESTAMP_SUB(CURRENT_TIMESTAMP(), INTERVAL 180 DAY) AND (destination_table.dataset_id = '123485489' OR EXISTS(SELECT 1 FROM UNNEST(referenced_tables) ref WHERE ref.dataset_id = '123485489')) LIMIT 1</t>
  </si>
  <si>
    <t>102762818</t>
  </si>
  <si>
    <t>DROP DATASET agile-bonbon-662.102762818</t>
  </si>
  <si>
    <t>SELECT COUNT(*), SUM(total_logical_bytes)/1024/1024/1024 as gb, MAX(storage_last_modified_time) FROM `agile-bonbon-662.region-eu.INFORMATION_SCHEMA.TABLE_STORAGE` WHERE table_schema = '102762818'</t>
  </si>
  <si>
    <t>SELECT job_id, user_email FROM `agile-bonbon-662.region-eu.INFORMATION_SCHEMA.JOBS_BY_PROJECT` WHERE creation_time &gt; TIMESTAMP_SUB(CURRENT_TIMESTAMP(), INTERVAL 180 DAY) AND (destination_table.dataset_id = '102762818' OR EXISTS(SELECT 1 FROM UNNEST(referenced_tables) ref WHERE ref.dataset_id = '102762818')) LIMIT 1</t>
  </si>
  <si>
    <t>118747347</t>
  </si>
  <si>
    <t>DROP DATASET agile-bonbon-662.118747347</t>
  </si>
  <si>
    <t>SELECT COUNT(*), SUM(total_logical_bytes)/1024/1024/1024 as gb, MAX(storage_last_modified_time) FROM `agile-bonbon-662.region-eu.INFORMATION_SCHEMA.TABLE_STORAGE` WHERE table_schema = '118747347'</t>
  </si>
  <si>
    <t>SELECT job_id, user_email FROM `agile-bonbon-662.region-eu.INFORMATION_SCHEMA.JOBS_BY_PROJECT` WHERE creation_time &gt; TIMESTAMP_SUB(CURRENT_TIMESTAMP(), INTERVAL 180 DAY) AND (destination_table.dataset_id = '118747347' OR EXISTS(SELECT 1 FROM UNNEST(referenced_tables) ref WHERE ref.dataset_id = '118747347')) LIMIT 1</t>
  </si>
  <si>
    <t>81358085</t>
  </si>
  <si>
    <t>DROP DATASET agile-bonbon-662.81358085</t>
  </si>
  <si>
    <t>SELECT COUNT(*), SUM(total_logical_bytes)/1024/1024/1024 as gb, MAX(storage_last_modified_time) FROM `agile-bonbon-662.region-eu.INFORMATION_SCHEMA.TABLE_STORAGE` WHERE table_schema = '81358085'</t>
  </si>
  <si>
    <t>SELECT job_id, user_email FROM `agile-bonbon-662.region-eu.INFORMATION_SCHEMA.JOBS_BY_PROJECT` WHERE creation_time &gt; TIMESTAMP_SUB(CURRENT_TIMESTAMP(), INTERVAL 180 DAY) AND (destination_table.dataset_id = '81358085' OR EXISTS(SELECT 1 FROM UNNEST(referenced_tables) ref WHERE ref.dataset_id = '81358085')) LIMIT 1</t>
  </si>
  <si>
    <t>118712679</t>
  </si>
  <si>
    <t>DROP DATASET agile-bonbon-662.118712679</t>
  </si>
  <si>
    <t>SELECT COUNT(*), SUM(total_logical_bytes)/1024/1024/1024 as gb, MAX(storage_last_modified_time) FROM `agile-bonbon-662.region-eu.INFORMATION_SCHEMA.TABLE_STORAGE` WHERE table_schema = '118712679'</t>
  </si>
  <si>
    <t>SELECT job_id, user_email FROM `agile-bonbon-662.region-eu.INFORMATION_SCHEMA.JOBS_BY_PROJECT` WHERE creation_time &gt; TIMESTAMP_SUB(CURRENT_TIMESTAMP(), INTERVAL 180 DAY) AND (destination_table.dataset_id = '118712679' OR EXISTS(SELECT 1 FROM UNNEST(referenced_tables) ref WHERE ref.dataset_id = '118712679')) LIMIT 1</t>
  </si>
  <si>
    <t>205044252</t>
  </si>
  <si>
    <t>DROP DATASET agile-bonbon-662.205044252</t>
  </si>
  <si>
    <t>SELECT COUNT(*), SUM(total_logical_bytes)/1024/1024/1024 as gb, MAX(storage_last_modified_time) FROM `agile-bonbon-662.region-eu.INFORMATION_SCHEMA.TABLE_STORAGE` WHERE table_schema = '205044252'</t>
  </si>
  <si>
    <t>SELECT job_id, user_email FROM `agile-bonbon-662.region-eu.INFORMATION_SCHEMA.JOBS_BY_PROJECT` WHERE creation_time &gt; TIMESTAMP_SUB(CURRENT_TIMESTAMP(), INTERVAL 180 DAY) AND (destination_table.dataset_id = '205044252' OR EXISTS(SELECT 1 FROM UNNEST(referenced_tables) ref WHERE ref.dataset_id = '205044252')) LIMIT 1</t>
  </si>
  <si>
    <t>228484198</t>
  </si>
  <si>
    <t>DROP DATASET agile-bonbon-662.228484198</t>
  </si>
  <si>
    <t>SELECT COUNT(*), SUM(total_logical_bytes)/1024/1024/1024 as gb, MAX(storage_last_modified_time) FROM `agile-bonbon-662.region-eu.INFORMATION_SCHEMA.TABLE_STORAGE` WHERE table_schema = '228484198'</t>
  </si>
  <si>
    <t>SELECT job_id, user_email FROM `agile-bonbon-662.region-eu.INFORMATION_SCHEMA.JOBS_BY_PROJECT` WHERE creation_time &gt; TIMESTAMP_SUB(CURRENT_TIMESTAMP(), INTERVAL 180 DAY) AND (destination_table.dataset_id = '228484198' OR EXISTS(SELECT 1 FROM UNNEST(referenced_tables) ref WHERE ref.dataset_id = '228484198')) LIMIT 1</t>
  </si>
  <si>
    <t>118751441</t>
  </si>
  <si>
    <t>DROP DATASET agile-bonbon-662.118751441</t>
  </si>
  <si>
    <t>SELECT COUNT(*), SUM(total_logical_bytes)/1024/1024/1024 as gb, MAX(storage_last_modified_time) FROM `agile-bonbon-662.region-eu.INFORMATION_SCHEMA.TABLE_STORAGE` WHERE table_schema = '118751441'</t>
  </si>
  <si>
    <t>SELECT job_id, user_email FROM `agile-bonbon-662.region-eu.INFORMATION_SCHEMA.JOBS_BY_PROJECT` WHERE creation_time &gt; TIMESTAMP_SUB(CURRENT_TIMESTAMP(), INTERVAL 180 DAY) AND (destination_table.dataset_id = '118751441' OR EXISTS(SELECT 1 FROM UNNEST(referenced_tables) ref WHERE ref.dataset_id = '118751441')) LIMIT 1</t>
  </si>
  <si>
    <t>0_Taha</t>
  </si>
  <si>
    <t>DROP DATASET agile-bonbon-662.0_Taha</t>
  </si>
  <si>
    <t>SELECT COUNT(*), SUM(total_logical_bytes)/1024/1024/1024 as gb, MAX(storage_last_modified_time) FROM `agile-bonbon-662.region-europe-west2.INFORMATION_SCHEMA.TABLE_STORAGE` WHERE table_schema = '0_Taha'</t>
  </si>
  <si>
    <t>SELECT job_id, user_email FROM `agile-bonbon-662.region-europe-west2.INFORMATION_SCHEMA.JOBS_BY_PROJECT` WHERE creation_time &gt; TIMESTAMP_SUB(CURRENT_TIMESTAMP(), INTERVAL 180 DAY) AND (destination_table.dataset_id = '0_Taha' OR EXISTS(SELECT 1 FROM UNNEST(referenced_tables) ref WHERE ref.dataset_id = '0_Taha')) LIMIT 1</t>
  </si>
  <si>
    <t>analytics_294925577</t>
  </si>
  <si>
    <t>Stale Production: Idle 390 days.</t>
  </si>
  <si>
    <t>DROP DATASET agile-bonbon-662.analytics_294925577</t>
  </si>
  <si>
    <t>SELECT COUNT(*), SUM(total_logical_bytes)/1024/1024/1024 as gb, MAX(storage_last_modified_time) FROM `agile-bonbon-662.region-eu.INFORMATION_SCHEMA.TABLE_STORAGE` WHERE table_schema = 'analytics_294925577'</t>
  </si>
  <si>
    <t>SELECT job_id, user_email FROM `agile-bonbon-662.region-eu.INFORMATION_SCHEMA.JOBS_BY_PROJECT` WHERE creation_time &gt; TIMESTAMP_SUB(CURRENT_TIMESTAMP(), INTERVAL 180 DAY) AND (destination_table.dataset_id = 'analytics_294925577' OR EXISTS(SELECT 1 FROM UNNEST(referenced_tables) ref WHERE ref.dataset_id = 'analytics_294925577')) LIMIT 1</t>
  </si>
  <si>
    <t>analytics_294894700</t>
  </si>
  <si>
    <t>DROP DATASET agile-bonbon-662.analytics_294894700</t>
  </si>
  <si>
    <t>SELECT COUNT(*), SUM(total_logical_bytes)/1024/1024/1024 as gb, MAX(storage_last_modified_time) FROM `agile-bonbon-662.region-eu.INFORMATION_SCHEMA.TABLE_STORAGE` WHERE table_schema = 'analytics_294894700'</t>
  </si>
  <si>
    <t>SELECT job_id, user_email FROM `agile-bonbon-662.region-eu.INFORMATION_SCHEMA.JOBS_BY_PROJECT` WHERE creation_time &gt; TIMESTAMP_SUB(CURRENT_TIMESTAMP(), INTERVAL 180 DAY) AND (destination_table.dataset_id = 'analytics_294894700' OR EXISTS(SELECT 1 FROM UNNEST(referenced_tables) ref WHERE ref.dataset_id = 'analytics_294894700')) LIMIT 1</t>
  </si>
  <si>
    <t>analytics_295041671</t>
  </si>
  <si>
    <t>Stale Production: Idle 1003 days.</t>
  </si>
  <si>
    <t>DROP DATASET agile-bonbon-662.analytics_295041671</t>
  </si>
  <si>
    <t>SELECT COUNT(*), SUM(total_logical_bytes)/1024/1024/1024 as gb, MAX(storage_last_modified_time) FROM `agile-bonbon-662.region-eu.INFORMATION_SCHEMA.TABLE_STORAGE` WHERE table_schema = 'analytics_295041671'</t>
  </si>
  <si>
    <t>SELECT job_id, user_email FROM `agile-bonbon-662.region-eu.INFORMATION_SCHEMA.JOBS_BY_PROJECT` WHERE creation_time &gt; TIMESTAMP_SUB(CURRENT_TIMESTAMP(), INTERVAL 180 DAY) AND (destination_table.dataset_id = 'analytics_295041671' OR EXISTS(SELECT 1 FROM UNNEST(referenced_tables) ref WHERE ref.dataset_id = 'analytics_295041671')) LIMIT 1</t>
  </si>
  <si>
    <t>orders</t>
  </si>
  <si>
    <t>Stale Production: Idle 600 days.</t>
  </si>
  <si>
    <t>DROP DATASET agile-bonbon-662.orders</t>
  </si>
  <si>
    <t>SELECT COUNT(*), SUM(total_logical_bytes)/1024/1024/1024 as gb, MAX(storage_last_modified_time) FROM `agile-bonbon-662.region-eu.INFORMATION_SCHEMA.TABLE_STORAGE` WHERE table_schema = 'orders'</t>
  </si>
  <si>
    <t>SELECT job_id, user_email FROM `agile-bonbon-662.region-eu.INFORMATION_SCHEMA.JOBS_BY_PROJECT` WHERE creation_time &gt; TIMESTAMP_SUB(CURRENT_TIMESTAMP(), INTERVAL 180 DAY) AND (destination_table.dataset_id = 'orders' OR EXISTS(SELECT 1 FROM UNNEST(referenced_tables) ref WHERE ref.dataset_id = 'orders')) LIMIT 1</t>
  </si>
  <si>
    <t>PPC_Hourly_Report</t>
  </si>
  <si>
    <t>Stale Production: Idle 2474 days.</t>
  </si>
  <si>
    <t>DROP DATASET agile-bonbon-662.PPC_Hourly_Report</t>
  </si>
  <si>
    <t>SELECT COUNT(*), SUM(total_logical_bytes)/1024/1024/1024 as gb, MAX(storage_last_modified_time) FROM `agile-bonbon-662.region-eu.INFORMATION_SCHEMA.TABLE_STORAGE` WHERE table_schema = 'PPC_Hourly_Report'</t>
  </si>
  <si>
    <t>SELECT job_id, user_email FROM `agile-bonbon-662.region-eu.INFORMATION_SCHEMA.JOBS_BY_PROJECT` WHERE creation_time &gt; TIMESTAMP_SUB(CURRENT_TIMESTAMP(), INTERVAL 180 DAY) AND (destination_table.dataset_id = 'PPC_Hourly_Report' OR EXISTS(SELECT 1 FROM UNNEST(referenced_tables) ref WHERE ref.dataset_id = 'PPC_Hourly_Report')) LIMIT 1</t>
  </si>
  <si>
    <t>analytics_295033084</t>
  </si>
  <si>
    <t>Stale Production: Idle 1056 days.</t>
  </si>
  <si>
    <t>DROP DATASET agile-bonbon-662.analytics_295033084</t>
  </si>
  <si>
    <t>SELECT COUNT(*), SUM(total_logical_bytes)/1024/1024/1024 as gb, MAX(storage_last_modified_time) FROM `agile-bonbon-662.region-eu.INFORMATION_SCHEMA.TABLE_STORAGE` WHERE table_schema = 'analytics_295033084'</t>
  </si>
  <si>
    <t>SELECT job_id, user_email FROM `agile-bonbon-662.region-eu.INFORMATION_SCHEMA.JOBS_BY_PROJECT` WHERE creation_time &gt; TIMESTAMP_SUB(CURRENT_TIMESTAMP(), INTERVAL 180 DAY) AND (destination_table.dataset_id = 'analytics_295033084' OR EXISTS(SELECT 1 FROM UNNEST(referenced_tables) ref WHERE ref.dataset_id = 'analytics_295033084')) LIMIT 1</t>
  </si>
  <si>
    <t>77784789</t>
  </si>
  <si>
    <t>DROP DATASET agile-bonbon-662.77784789</t>
  </si>
  <si>
    <t>SELECT COUNT(*), SUM(total_logical_bytes)/1024/1024/1024 as gb, MAX(storage_last_modified_time) FROM `agile-bonbon-662.region-eu.INFORMATION_SCHEMA.TABLE_STORAGE` WHERE table_schema = '77784789'</t>
  </si>
  <si>
    <t>SELECT job_id, user_email FROM `agile-bonbon-662.region-eu.INFORMATION_SCHEMA.JOBS_BY_PROJECT` WHERE creation_time &gt; TIMESTAMP_SUB(CURRENT_TIMESTAMP(), INTERVAL 180 DAY) AND (destination_table.dataset_id = '77784789' OR EXISTS(SELECT 1 FROM UNNEST(referenced_tables) ref WHERE ref.dataset_id = '77784789')) LIMIT 1</t>
  </si>
  <si>
    <t>76446098</t>
  </si>
  <si>
    <t>Stale Production: Idle 2687 days.</t>
  </si>
  <si>
    <t>DROP DATASET agile-bonbon-662.76446098</t>
  </si>
  <si>
    <t>SELECT COUNT(*), SUM(total_logical_bytes)/1024/1024/1024 as gb, MAX(storage_last_modified_time) FROM `agile-bonbon-662.region-eu.INFORMATION_SCHEMA.TABLE_STORAGE` WHERE table_schema = '76446098'</t>
  </si>
  <si>
    <t>SELECT job_id, user_email FROM `agile-bonbon-662.region-eu.INFORMATION_SCHEMA.JOBS_BY_PROJECT` WHERE creation_time &gt; TIMESTAMP_SUB(CURRENT_TIMESTAMP(), INTERVAL 180 DAY) AND (destination_table.dataset_id = '76446098' OR EXISTS(SELECT 1 FROM UNNEST(referenced_tables) ref WHERE ref.dataset_id = '76446098')) LIMIT 1</t>
  </si>
  <si>
    <t>86841193</t>
  </si>
  <si>
    <t>DROP DATASET agile-bonbon-662.86841193</t>
  </si>
  <si>
    <t>SELECT COUNT(*), SUM(total_logical_bytes)/1024/1024/1024 as gb, MAX(storage_last_modified_time) FROM `agile-bonbon-662.region-eu.INFORMATION_SCHEMA.TABLE_STORAGE` WHERE table_schema = '86841193'</t>
  </si>
  <si>
    <t>SELECT job_id, user_email FROM `agile-bonbon-662.region-eu.INFORMATION_SCHEMA.JOBS_BY_PROJECT` WHERE creation_time &gt; TIMESTAMP_SUB(CURRENT_TIMESTAMP(), INTERVAL 180 DAY) AND (destination_table.dataset_id = '86841193' OR EXISTS(SELECT 1 FROM UNNEST(referenced_tables) ref WHERE ref.dataset_id = '86841193')) LIMIT 1</t>
  </si>
  <si>
    <t>134702607</t>
  </si>
  <si>
    <t>DROP DATASET agile-bonbon-662.134702607</t>
  </si>
  <si>
    <t>SELECT COUNT(*), SUM(total_logical_bytes)/1024/1024/1024 as gb, MAX(storage_last_modified_time) FROM `agile-bonbon-662.region-eu.INFORMATION_SCHEMA.TABLE_STORAGE` WHERE table_schema = '134702607'</t>
  </si>
  <si>
    <t>SELECT job_id, user_email FROM `agile-bonbon-662.region-eu.INFORMATION_SCHEMA.JOBS_BY_PROJECT` WHERE creation_time &gt; TIMESTAMP_SUB(CURRENT_TIMESTAMP(), INTERVAL 180 DAY) AND (destination_table.dataset_id = '134702607' OR EXISTS(SELECT 1 FROM UNNEST(referenced_tables) ref WHERE ref.dataset_id = '134702607')) LIMIT 1</t>
  </si>
  <si>
    <t>247999241</t>
  </si>
  <si>
    <t>DROP DATASET agile-bonbon-662.247999241</t>
  </si>
  <si>
    <t>SELECT COUNT(*), SUM(total_logical_bytes)/1024/1024/1024 as gb, MAX(storage_last_modified_time) FROM `agile-bonbon-662.region-eu.INFORMATION_SCHEMA.TABLE_STORAGE` WHERE table_schema = '247999241'</t>
  </si>
  <si>
    <t>SELECT job_id, user_email FROM `agile-bonbon-662.region-eu.INFORMATION_SCHEMA.JOBS_BY_PROJECT` WHERE creation_time &gt; TIMESTAMP_SUB(CURRENT_TIMESTAMP(), INTERVAL 180 DAY) AND (destination_table.dataset_id = '247999241' OR EXISTS(SELECT 1 FROM UNNEST(referenced_tables) ref WHERE ref.dataset_id = '247999241')) LIMIT 1</t>
  </si>
  <si>
    <t>tmp_staging_v2</t>
  </si>
  <si>
    <t>Expired Experiment: Idle 699 days.</t>
  </si>
  <si>
    <t>DROP DATASET agile-bonbon-662.tmp_staging_v2</t>
  </si>
  <si>
    <t>SELECT COUNT(*), SUM(total_logical_bytes)/1024/1024/1024 as gb, MAX(storage_last_modified_time) FROM `agile-bonbon-662.region-eu.INFORMATION_SCHEMA.TABLE_STORAGE` WHERE table_schema = 'tmp_staging_v2'</t>
  </si>
  <si>
    <t>SELECT job_id, user_email FROM `agile-bonbon-662.region-eu.INFORMATION_SCHEMA.JOBS_BY_PROJECT` WHERE creation_time &gt; TIMESTAMP_SUB(CURRENT_TIMESTAMP(), INTERVAL 180 DAY) AND (destination_table.dataset_id = 'tmp_staging_v2' OR EXISTS(SELECT 1 FROM UNNEST(referenced_tables) ref WHERE ref.dataset_id = 'tmp_staging_v2')) LIMIT 1</t>
  </si>
  <si>
    <t>analytics_294906863</t>
  </si>
  <si>
    <t>Stale Production: Idle 908 days.</t>
  </si>
  <si>
    <t>DROP DATASET agile-bonbon-662.analytics_294906863</t>
  </si>
  <si>
    <t>SELECT COUNT(*), SUM(total_logical_bytes)/1024/1024/1024 as gb, MAX(storage_last_modified_time) FROM `agile-bonbon-662.region-eu.INFORMATION_SCHEMA.TABLE_STORAGE` WHERE table_schema = 'analytics_294906863'</t>
  </si>
  <si>
    <t>SELECT job_id, user_email FROM `agile-bonbon-662.region-eu.INFORMATION_SCHEMA.JOBS_BY_PROJECT` WHERE creation_time &gt; TIMESTAMP_SUB(CURRENT_TIMESTAMP(), INTERVAL 180 DAY) AND (destination_table.dataset_id = 'analytics_294906863' OR EXISTS(SELECT 1 FROM UNNEST(referenced_tables) ref WHERE ref.dataset_id = 'analytics_294906863')) LIMIT 1</t>
  </si>
  <si>
    <t>232478900</t>
  </si>
  <si>
    <t>DROP DATASET agile-bonbon-662.232478900</t>
  </si>
  <si>
    <t>SELECT COUNT(*), SUM(total_logical_bytes)/1024/1024/1024 as gb, MAX(storage_last_modified_time) FROM `agile-bonbon-662.region-eu.INFORMATION_SCHEMA.TABLE_STORAGE` WHERE table_schema = '232478900'</t>
  </si>
  <si>
    <t>SELECT job_id, user_email FROM `agile-bonbon-662.region-eu.INFORMATION_SCHEMA.JOBS_BY_PROJECT` WHERE creation_time &gt; TIMESTAMP_SUB(CURRENT_TIMESTAMP(), INTERVAL 180 DAY) AND (destination_table.dataset_id = '232478900' OR EXISTS(SELECT 1 FROM UNNEST(referenced_tables) ref WHERE ref.dataset_id = '232478900')) LIMIT 1</t>
  </si>
  <si>
    <t>analytics_294917049</t>
  </si>
  <si>
    <t>DROP DATASET agile-bonbon-662.analytics_294917049</t>
  </si>
  <si>
    <t>SELECT COUNT(*), SUM(total_logical_bytes)/1024/1024/1024 as gb, MAX(storage_last_modified_time) FROM `agile-bonbon-662.region-eu.INFORMATION_SCHEMA.TABLE_STORAGE` WHERE table_schema = 'analytics_294917049'</t>
  </si>
  <si>
    <t>SELECT job_id, user_email FROM `agile-bonbon-662.region-eu.INFORMATION_SCHEMA.JOBS_BY_PROJECT` WHERE creation_time &gt; TIMESTAMP_SUB(CURRENT_TIMESTAMP(), INTERVAL 180 DAY) AND (destination_table.dataset_id = 'analytics_294917049' OR EXISTS(SELECT 1 FROM UNNEST(referenced_tables) ref WHERE ref.dataset_id = 'analytics_294917049')) LIMIT 1</t>
  </si>
  <si>
    <t>analytics_294902367</t>
  </si>
  <si>
    <t>Stale Production: Idle 450 days.</t>
  </si>
  <si>
    <t>DROP DATASET agile-bonbon-662.analytics_294902367</t>
  </si>
  <si>
    <t>SELECT COUNT(*), SUM(total_logical_bytes)/1024/1024/1024 as gb, MAX(storage_last_modified_time) FROM `agile-bonbon-662.region-eu.INFORMATION_SCHEMA.TABLE_STORAGE` WHERE table_schema = 'analytics_294902367'</t>
  </si>
  <si>
    <t>SELECT job_id, user_email FROM `agile-bonbon-662.region-eu.INFORMATION_SCHEMA.JOBS_BY_PROJECT` WHERE creation_time &gt; TIMESTAMP_SUB(CURRENT_TIMESTAMP(), INTERVAL 180 DAY) AND (destination_table.dataset_id = 'analytics_294902367' OR EXISTS(SELECT 1 FROM UNNEST(referenced_tables) ref WHERE ref.dataset_id = 'analytics_294902367')) LIMIT 1</t>
  </si>
  <si>
    <t>117252709</t>
  </si>
  <si>
    <t>DROP DATASET agile-bonbon-662.117252709</t>
  </si>
  <si>
    <t>SELECT COUNT(*), SUM(total_logical_bytes)/1024/1024/1024 as gb, MAX(storage_last_modified_time) FROM `agile-bonbon-662.region-eu.INFORMATION_SCHEMA.TABLE_STORAGE` WHERE table_schema = '117252709'</t>
  </si>
  <si>
    <t>SELECT job_id, user_email FROM `agile-bonbon-662.region-eu.INFORMATION_SCHEMA.JOBS_BY_PROJECT` WHERE creation_time &gt; TIMESTAMP_SUB(CURRENT_TIMESTAMP(), INTERVAL 180 DAY) AND (destination_table.dataset_id = '117252709' OR EXISTS(SELECT 1 FROM UNNEST(referenced_tables) ref WHERE ref.dataset_id = '117252709')) LIMIT 1</t>
  </si>
  <si>
    <t>analytics_301101406</t>
  </si>
  <si>
    <t>DROP DATASET agile-bonbon-662.analytics_301101406</t>
  </si>
  <si>
    <t>SELECT COUNT(*), SUM(total_logical_bytes)/1024/1024/1024 as gb, MAX(storage_last_modified_time) FROM `agile-bonbon-662.region-eu.INFORMATION_SCHEMA.TABLE_STORAGE` WHERE table_schema = 'analytics_301101406'</t>
  </si>
  <si>
    <t>SELECT job_id, user_email FROM `agile-bonbon-662.region-eu.INFORMATION_SCHEMA.JOBS_BY_PROJECT` WHERE creation_time &gt; TIMESTAMP_SUB(CURRENT_TIMESTAMP(), INTERVAL 180 DAY) AND (destination_table.dataset_id = 'analytics_301101406' OR EXISTS(SELECT 1 FROM UNNEST(referenced_tables) ref WHERE ref.dataset_id = 'analytics_301101406')) LIMIT 1</t>
  </si>
  <si>
    <t>analytics_295026208</t>
  </si>
  <si>
    <t>Stale Production: Idle 1187 days.</t>
  </si>
  <si>
    <t>DROP DATASET agile-bonbon-662.analytics_295026208</t>
  </si>
  <si>
    <t>SELECT COUNT(*), SUM(total_logical_bytes)/1024/1024/1024 as gb, MAX(storage_last_modified_time) FROM `agile-bonbon-662.region-eu.INFORMATION_SCHEMA.TABLE_STORAGE` WHERE table_schema = 'analytics_295026208'</t>
  </si>
  <si>
    <t>SELECT job_id, user_email FROM `agile-bonbon-662.region-eu.INFORMATION_SCHEMA.JOBS_BY_PROJECT` WHERE creation_time &gt; TIMESTAMP_SUB(CURRENT_TIMESTAMP(), INTERVAL 180 DAY) AND (destination_table.dataset_id = 'analytics_295026208' OR EXISTS(SELECT 1 FROM UNNEST(referenced_tables) ref WHERE ref.dataset_id = 'analytics_295026208')) LIMIT 1</t>
  </si>
  <si>
    <t>analytics_294935176</t>
  </si>
  <si>
    <t>Stale Production: Idle 718 days.</t>
  </si>
  <si>
    <t>DROP DATASET agile-bonbon-662.analytics_294935176</t>
  </si>
  <si>
    <t>SELECT COUNT(*), SUM(total_logical_bytes)/1024/1024/1024 as gb, MAX(storage_last_modified_time) FROM `agile-bonbon-662.region-eu.INFORMATION_SCHEMA.TABLE_STORAGE` WHERE table_schema = 'analytics_294935176'</t>
  </si>
  <si>
    <t>SELECT job_id, user_email FROM `agile-bonbon-662.region-eu.INFORMATION_SCHEMA.JOBS_BY_PROJECT` WHERE creation_time &gt; TIMESTAMP_SUB(CURRENT_TIMESTAMP(), INTERVAL 180 DAY) AND (destination_table.dataset_id = 'analytics_294935176' OR EXISTS(SELECT 1 FROM UNNEST(referenced_tables) ref WHERE ref.dataset_id = 'analytics_294935176')) LIMIT 1</t>
  </si>
  <si>
    <t>44116342</t>
  </si>
  <si>
    <t>Stale Production: Idle 729 days.</t>
  </si>
  <si>
    <t>DROP DATASET agile-bonbon-662.44116342</t>
  </si>
  <si>
    <t>SELECT COUNT(*), SUM(total_logical_bytes)/1024/1024/1024 as gb, MAX(storage_last_modified_time) FROM `agile-bonbon-662.region-eu.INFORMATION_SCHEMA.TABLE_STORAGE` WHERE table_schema = '44116342'</t>
  </si>
  <si>
    <t>SELECT job_id, user_email FROM `agile-bonbon-662.region-eu.INFORMATION_SCHEMA.JOBS_BY_PROJECT` WHERE creation_time &gt; TIMESTAMP_SUB(CURRENT_TIMESTAMP(), INTERVAL 180 DAY) AND (destination_table.dataset_id = '44116342' OR EXISTS(SELECT 1 FROM UNNEST(referenced_tables) ref WHERE ref.dataset_id = '44116342')) LIMIT 1</t>
  </si>
  <si>
    <t>208611496</t>
  </si>
  <si>
    <t>DROP DATASET agile-bonbon-662.208611496</t>
  </si>
  <si>
    <t>SELECT COUNT(*), SUM(total_logical_bytes)/1024/1024/1024 as gb, MAX(storage_last_modified_time) FROM `agile-bonbon-662.region-eu.INFORMATION_SCHEMA.TABLE_STORAGE` WHERE table_schema = '208611496'</t>
  </si>
  <si>
    <t>SELECT job_id, user_email FROM `agile-bonbon-662.region-eu.INFORMATION_SCHEMA.JOBS_BY_PROJECT` WHERE creation_time &gt; TIMESTAMP_SUB(CURRENT_TIMESTAMP(), INTERVAL 180 DAY) AND (destination_table.dataset_id = '208611496' OR EXISTS(SELECT 1 FROM UNNEST(referenced_tables) ref WHERE ref.dataset_id = '208611496')) LIMIT 1</t>
  </si>
  <si>
    <t>115897646</t>
  </si>
  <si>
    <t>DROP DATASET agile-bonbon-662.115897646</t>
  </si>
  <si>
    <t>SELECT COUNT(*), SUM(total_logical_bytes)/1024/1024/1024 as gb, MAX(storage_last_modified_time) FROM `agile-bonbon-662.region-eu.INFORMATION_SCHEMA.TABLE_STORAGE` WHERE table_schema = '115897646'</t>
  </si>
  <si>
    <t>SELECT job_id, user_email FROM `agile-bonbon-662.region-eu.INFORMATION_SCHEMA.JOBS_BY_PROJECT` WHERE creation_time &gt; TIMESTAMP_SUB(CURRENT_TIMESTAMP(), INTERVAL 180 DAY) AND (destination_table.dataset_id = '115897646' OR EXISTS(SELECT 1 FROM UNNEST(referenced_tables) ref WHERE ref.dataset_id = '115897646')) LIMIT 1</t>
  </si>
  <si>
    <t>analytics_294893630</t>
  </si>
  <si>
    <t>Stale Production: Idle 847 days.</t>
  </si>
  <si>
    <t>DROP DATASET agile-bonbon-662.analytics_294893630</t>
  </si>
  <si>
    <t>SELECT COUNT(*), SUM(total_logical_bytes)/1024/1024/1024 as gb, MAX(storage_last_modified_time) FROM `agile-bonbon-662.region-eu.INFORMATION_SCHEMA.TABLE_STORAGE` WHERE table_schema = 'analytics_294893630'</t>
  </si>
  <si>
    <t>SELECT job_id, user_email FROM `agile-bonbon-662.region-eu.INFORMATION_SCHEMA.JOBS_BY_PROJECT` WHERE creation_time &gt; TIMESTAMP_SUB(CURRENT_TIMESTAMP(), INTERVAL 180 DAY) AND (destination_table.dataset_id = 'analytics_294893630' OR EXISTS(SELECT 1 FROM UNNEST(referenced_tables) ref WHERE ref.dataset_id = 'analytics_294893630')) LIMIT 1</t>
  </si>
  <si>
    <t>SEO_Reporting_Linkdex</t>
  </si>
  <si>
    <t>Stale Production: Idle 1886 days.</t>
  </si>
  <si>
    <t>DROP DATASET agile-bonbon-662.SEO_Reporting_Linkdex</t>
  </si>
  <si>
    <t>SELECT COUNT(*), SUM(total_logical_bytes)/1024/1024/1024 as gb, MAX(storage_last_modified_time) FROM `agile-bonbon-662.region-eu.INFORMATION_SCHEMA.TABLE_STORAGE` WHERE table_schema = 'SEO_Reporting_Linkdex'</t>
  </si>
  <si>
    <t>SELECT job_id, user_email FROM `agile-bonbon-662.region-eu.INFORMATION_SCHEMA.JOBS_BY_PROJECT` WHERE creation_time &gt; TIMESTAMP_SUB(CURRENT_TIMESTAMP(), INTERVAL 180 DAY) AND (destination_table.dataset_id = 'SEO_Reporting_Linkdex' OR EXISTS(SELECT 1 FROM UNNEST(referenced_tables) ref WHERE ref.dataset_id = 'SEO_Reporting_Linkdex')) LIMIT 1</t>
  </si>
  <si>
    <t>analytics_301085970</t>
  </si>
  <si>
    <t>Stale Production: Idle 405 days.</t>
  </si>
  <si>
    <t>DROP DATASET agile-bonbon-662.analytics_301085970</t>
  </si>
  <si>
    <t>SELECT COUNT(*), SUM(total_logical_bytes)/1024/1024/1024 as gb, MAX(storage_last_modified_time) FROM `agile-bonbon-662.region-eu.INFORMATION_SCHEMA.TABLE_STORAGE` WHERE table_schema = 'analytics_301085970'</t>
  </si>
  <si>
    <t>SELECT job_id, user_email FROM `agile-bonbon-662.region-eu.INFORMATION_SCHEMA.JOBS_BY_PROJECT` WHERE creation_time &gt; TIMESTAMP_SUB(CURRENT_TIMESTAMP(), INTERVAL 180 DAY) AND (destination_table.dataset_id = 'analytics_301085970' OR EXISTS(SELECT 1 FROM UNNEST(referenced_tables) ref WHERE ref.dataset_id = 'analytics_301085970')) LIMIT 1</t>
  </si>
  <si>
    <t>archived_Finance</t>
  </si>
  <si>
    <t>DROP DATASET agile-bonbon-662.archived_Finance</t>
  </si>
  <si>
    <t>SELECT COUNT(*), SUM(total_logical_bytes)/1024/1024/1024 as gb, MAX(storage_last_modified_time) FROM `agile-bonbon-662.region-eu.INFORMATION_SCHEMA.TABLE_STORAGE` WHERE table_schema = 'archived_Finance'</t>
  </si>
  <si>
    <t>SELECT job_id, user_email FROM `agile-bonbon-662.region-eu.INFORMATION_SCHEMA.JOBS_BY_PROJECT` WHERE creation_time &gt; TIMESTAMP_SUB(CURRENT_TIMESTAMP(), INTERVAL 180 DAY) AND (destination_table.dataset_id = 'archived_Finance' OR EXISTS(SELECT 1 FROM UNNEST(referenced_tables) ref WHERE ref.dataset_id = 'archived_Finance')) LIMIT 1</t>
  </si>
  <si>
    <t>0_brand_packs</t>
  </si>
  <si>
    <t>Stale Production: Idle 885 days.</t>
  </si>
  <si>
    <t>DROP DATASET agile-bonbon-662.0_brand_packs</t>
  </si>
  <si>
    <t>SELECT COUNT(*), SUM(total_logical_bytes)/1024/1024/1024 as gb, MAX(storage_last_modified_time) FROM `agile-bonbon-662.region-eu.INFORMATION_SCHEMA.TABLE_STORAGE` WHERE table_schema = '0_brand_packs'</t>
  </si>
  <si>
    <t>SELECT job_id, user_email FROM `agile-bonbon-662.region-eu.INFORMATION_SCHEMA.JOBS_BY_PROJECT` WHERE creation_time &gt; TIMESTAMP_SUB(CURRENT_TIMESTAMP(), INTERVAL 180 DAY) AND (destination_table.dataset_id = '0_brand_packs' OR EXISTS(SELECT 1 FROM UNNEST(referenced_tables) ref WHERE ref.dataset_id = '0_brand_packs')) LIMIT 1</t>
  </si>
  <si>
    <t>archived_Email_Segmentation</t>
  </si>
  <si>
    <t>DROP DATASET agile-bonbon-662.archived_Email_Segmentation</t>
  </si>
  <si>
    <t>SELECT COUNT(*), SUM(total_logical_bytes)/1024/1024/1024 as gb, MAX(storage_last_modified_time) FROM `agile-bonbon-662.region-eu.INFORMATION_SCHEMA.TABLE_STORAGE` WHERE table_schema = 'archived_Email_Segmentation'</t>
  </si>
  <si>
    <t>SELECT job_id, user_email FROM `agile-bonbon-662.region-eu.INFORMATION_SCHEMA.JOBS_BY_PROJECT` WHERE creation_time &gt; TIMESTAMP_SUB(CURRENT_TIMESTAMP(), INTERVAL 180 DAY) AND (destination_table.dataset_id = 'archived_Email_Segmentation' OR EXISTS(SELECT 1 FROM UNNEST(referenced_tables) ref WHERE ref.dataset_id = 'archived_Email_Segmentation')) LIMIT 1</t>
  </si>
  <si>
    <t>analytics_294917475</t>
  </si>
  <si>
    <t>Stale Production: Idle 918 days.</t>
  </si>
  <si>
    <t>DROP DATASET agile-bonbon-662.analytics_294917475</t>
  </si>
  <si>
    <t>SELECT COUNT(*), SUM(total_logical_bytes)/1024/1024/1024 as gb, MAX(storage_last_modified_time) FROM `agile-bonbon-662.region-eu.INFORMATION_SCHEMA.TABLE_STORAGE` WHERE table_schema = 'analytics_294917475'</t>
  </si>
  <si>
    <t>SELECT job_id, user_email FROM `agile-bonbon-662.region-eu.INFORMATION_SCHEMA.JOBS_BY_PROJECT` WHERE creation_time &gt; TIMESTAMP_SUB(CURRENT_TIMESTAMP(), INTERVAL 180 DAY) AND (destination_table.dataset_id = 'analytics_294917475' OR EXISTS(SELECT 1 FROM UNNEST(referenced_tables) ref WHERE ref.dataset_id = 'analytics_294917475')) LIMIT 1</t>
  </si>
  <si>
    <t>analytics_294929479</t>
  </si>
  <si>
    <t>Stale Production: Idle 937 days.</t>
  </si>
  <si>
    <t>DROP DATASET agile-bonbon-662.analytics_294929479</t>
  </si>
  <si>
    <t>SELECT COUNT(*), SUM(total_logical_bytes)/1024/1024/1024 as gb, MAX(storage_last_modified_time) FROM `agile-bonbon-662.region-eu.INFORMATION_SCHEMA.TABLE_STORAGE` WHERE table_schema = 'analytics_294929479'</t>
  </si>
  <si>
    <t>SELECT job_id, user_email FROM `agile-bonbon-662.region-eu.INFORMATION_SCHEMA.JOBS_BY_PROJECT` WHERE creation_time &gt; TIMESTAMP_SUB(CURRENT_TIMESTAMP(), INTERVAL 180 DAY) AND (destination_table.dataset_id = 'analytics_294929479' OR EXISTS(SELECT 1 FROM UNNEST(referenced_tables) ref WHERE ref.dataset_id = 'analytics_294929479')) LIMIT 1</t>
  </si>
  <si>
    <t>analytics_301516099</t>
  </si>
  <si>
    <t>Stale Production: Idle 926 days.</t>
  </si>
  <si>
    <t>DROP DATASET agile-bonbon-662.analytics_301516099</t>
  </si>
  <si>
    <t>SELECT COUNT(*), SUM(total_logical_bytes)/1024/1024/1024 as gb, MAX(storage_last_modified_time) FROM `agile-bonbon-662.region-eu.INFORMATION_SCHEMA.TABLE_STORAGE` WHERE table_schema = 'analytics_301516099'</t>
  </si>
  <si>
    <t>SELECT job_id, user_email FROM `agile-bonbon-662.region-eu.INFORMATION_SCHEMA.JOBS_BY_PROJECT` WHERE creation_time &gt; TIMESTAMP_SUB(CURRENT_TIMESTAMP(), INTERVAL 180 DAY) AND (destination_table.dataset_id = 'analytics_301516099' OR EXISTS(SELECT 1 FROM UNNEST(referenced_tables) ref WHERE ref.dataset_id = 'analytics_301516099')) LIMIT 1</t>
  </si>
  <si>
    <t>Social_Reporting</t>
  </si>
  <si>
    <t>Stale Production: Idle 1190 days.</t>
  </si>
  <si>
    <t>DROP DATASET agile-bonbon-662.Social_Reporting</t>
  </si>
  <si>
    <t>SELECT COUNT(*), SUM(total_logical_bytes)/1024/1024/1024 as gb, MAX(storage_last_modified_time) FROM `agile-bonbon-662.region-eu.INFORMATION_SCHEMA.TABLE_STORAGE` WHERE table_schema = 'Social_Reporting'</t>
  </si>
  <si>
    <t>SELECT job_id, user_email FROM `agile-bonbon-662.region-eu.INFORMATION_SCHEMA.JOBS_BY_PROJECT` WHERE creation_time &gt; TIMESTAMP_SUB(CURRENT_TIMESTAMP(), INTERVAL 180 DAY) AND (destination_table.dataset_id = 'Social_Reporting' OR EXISTS(SELECT 1 FROM UNNEST(referenced_tables) ref WHERE ref.dataset_id = 'Social_Reporting')) LIMIT 1</t>
  </si>
  <si>
    <t>allsole</t>
  </si>
  <si>
    <t>Stale Production: Idle 900 days.</t>
  </si>
  <si>
    <t>DROP DATASET the-hut-group.allsole</t>
  </si>
  <si>
    <t>SELECT COUNT(*), SUM(total_logical_bytes)/1024/1024/1024 as gb, MAX(storage_last_modified_time) FROM `the-hut-group.region-eu.INFORMATION_SCHEMA.TABLE_STORAGE` WHERE table_schema = 'allsole'</t>
  </si>
  <si>
    <t>SELECT job_id, user_email FROM `the-hut-group.region-eu.INFORMATION_SCHEMA.JOBS_BY_PROJECT` WHERE creation_time &gt; TIMESTAMP_SUB(CURRENT_TIMESTAMP(), INTERVAL 180 DAY) AND (destination_table.dataset_id = 'allsole' OR EXISTS(SELECT 1 FROM UNNEST(referenced_tables) ref WHERE ref.dataset_id = 'allsole')) LIMIT 1</t>
  </si>
  <si>
    <t>Beauty_Google_Trends</t>
  </si>
  <si>
    <t>Stale Production: Idle 1183 days.</t>
  </si>
  <si>
    <t>DROP DATASET agile-bonbon-662.Beauty_Google_Trends</t>
  </si>
  <si>
    <t>SELECT COUNT(*), SUM(total_logical_bytes)/1024/1024/1024 as gb, MAX(storage_last_modified_time) FROM `agile-bonbon-662.region-eu.INFORMATION_SCHEMA.TABLE_STORAGE` WHERE table_schema = 'Beauty_Google_Trends'</t>
  </si>
  <si>
    <t>SELECT job_id, user_email FROM `agile-bonbon-662.region-eu.INFORMATION_SCHEMA.JOBS_BY_PROJECT` WHERE creation_time &gt; TIMESTAMP_SUB(CURRENT_TIMESTAMP(), INTERVAL 180 DAY) AND (destination_table.dataset_id = 'Beauty_Google_Trends' OR EXISTS(SELECT 1 FROM UNNEST(referenced_tables) ref WHERE ref.dataset_id = 'Beauty_Google_Trends')) LIMIT 1</t>
  </si>
  <si>
    <t>199375936</t>
  </si>
  <si>
    <t>DROP DATASET agile-bonbon-662.199375936</t>
  </si>
  <si>
    <t>SELECT COUNT(*), SUM(total_logical_bytes)/1024/1024/1024 as gb, MAX(storage_last_modified_time) FROM `agile-bonbon-662.region-eu.INFORMATION_SCHEMA.TABLE_STORAGE` WHERE table_schema = '199375936'</t>
  </si>
  <si>
    <t>SELECT job_id, user_email FROM `agile-bonbon-662.region-eu.INFORMATION_SCHEMA.JOBS_BY_PROJECT` WHERE creation_time &gt; TIMESTAMP_SUB(CURRENT_TIMESTAMP(), INTERVAL 180 DAY) AND (destination_table.dataset_id = '199375936' OR EXISTS(SELECT 1 FROM UNNEST(referenced_tables) ref WHERE ref.dataset_id = '199375936')) LIMIT 1</t>
  </si>
  <si>
    <t>235942415</t>
  </si>
  <si>
    <t>DROP DATASET agile-bonbon-662.235942415</t>
  </si>
  <si>
    <t>SELECT COUNT(*), SUM(total_logical_bytes)/1024/1024/1024 as gb, MAX(storage_last_modified_time) FROM `agile-bonbon-662.region-eu.INFORMATION_SCHEMA.TABLE_STORAGE` WHERE table_schema = '235942415'</t>
  </si>
  <si>
    <t>SELECT job_id, user_email FROM `agile-bonbon-662.region-eu.INFORMATION_SCHEMA.JOBS_BY_PROJECT` WHERE creation_time &gt; TIMESTAMP_SUB(CURRENT_TIMESTAMP(), INTERVAL 180 DAY) AND (destination_table.dataset_id = '235942415' OR EXISTS(SELECT 1 FROM UNNEST(referenced_tables) ref WHERE ref.dataset_id = '235942415')) LIMIT 1</t>
  </si>
  <si>
    <t>analytics_301492474</t>
  </si>
  <si>
    <t>Stale Production: Idle 415 days.</t>
  </si>
  <si>
    <t>DROP DATASET agile-bonbon-662.analytics_301492474</t>
  </si>
  <si>
    <t>SELECT COUNT(*), SUM(total_logical_bytes)/1024/1024/1024 as gb, MAX(storage_last_modified_time) FROM `agile-bonbon-662.region-eu.INFORMATION_SCHEMA.TABLE_STORAGE` WHERE table_schema = 'analytics_301492474'</t>
  </si>
  <si>
    <t>SELECT job_id, user_email FROM `agile-bonbon-662.region-eu.INFORMATION_SCHEMA.JOBS_BY_PROJECT` WHERE creation_time &gt; TIMESTAMP_SUB(CURRENT_TIMESTAMP(), INTERVAL 180 DAY) AND (destination_table.dataset_id = 'analytics_301492474' OR EXISTS(SELECT 1 FROM UNNEST(referenced_tables) ref WHERE ref.dataset_id = 'analytics_301492474')) LIMIT 1</t>
  </si>
  <si>
    <t>SEO_Reporting</t>
  </si>
  <si>
    <t>DROP DATASET agile-bonbon-662.SEO_Reporting</t>
  </si>
  <si>
    <t>SELECT COUNT(*), SUM(total_logical_bytes)/1024/1024/1024 as gb, MAX(storage_last_modified_time) FROM `agile-bonbon-662.region-eu.INFORMATION_SCHEMA.TABLE_STORAGE` WHERE table_schema = 'SEO_Reporting'</t>
  </si>
  <si>
    <t>SELECT job_id, user_email FROM `agile-bonbon-662.region-eu.INFORMATION_SCHEMA.JOBS_BY_PROJECT` WHERE creation_time &gt; TIMESTAMP_SUB(CURRENT_TIMESTAMP(), INTERVAL 180 DAY) AND (destination_table.dataset_id = 'SEO_Reporting' OR EXISTS(SELECT 1 FROM UNNEST(referenced_tables) ref WHERE ref.dataset_id = 'SEO_Reporting')) LIMIT 1</t>
  </si>
  <si>
    <t>79789677</t>
  </si>
  <si>
    <t>DROP DATASET agile-bonbon-662.79789677</t>
  </si>
  <si>
    <t>SELECT COUNT(*), SUM(total_logical_bytes)/1024/1024/1024 as gb, MAX(storage_last_modified_time) FROM `agile-bonbon-662.region-eu.INFORMATION_SCHEMA.TABLE_STORAGE` WHERE table_schema = '79789677'</t>
  </si>
  <si>
    <t>SELECT job_id, user_email FROM `agile-bonbon-662.region-eu.INFORMATION_SCHEMA.JOBS_BY_PROJECT` WHERE creation_time &gt; TIMESTAMP_SUB(CURRENT_TIMESTAMP(), INTERVAL 180 DAY) AND (destination_table.dataset_id = '79789677' OR EXISTS(SELECT 1 FROM UNNEST(referenced_tables) ref WHERE ref.dataset_id = '79789677')) LIMIT 1</t>
  </si>
  <si>
    <t>233714017</t>
  </si>
  <si>
    <t>DROP DATASET agile-bonbon-662.233714017</t>
  </si>
  <si>
    <t>SELECT COUNT(*), SUM(total_logical_bytes)/1024/1024/1024 as gb, MAX(storage_last_modified_time) FROM `agile-bonbon-662.region-eu.INFORMATION_SCHEMA.TABLE_STORAGE` WHERE table_schema = '233714017'</t>
  </si>
  <si>
    <t>SELECT job_id, user_email FROM `agile-bonbon-662.region-eu.INFORMATION_SCHEMA.JOBS_BY_PROJECT` WHERE creation_time &gt; TIMESTAMP_SUB(CURRENT_TIMESTAMP(), INTERVAL 180 DAY) AND (destination_table.dataset_id = '233714017' OR EXISTS(SELECT 1 FROM UNNEST(referenced_tables) ref WHERE ref.dataset_id = '233714017')) LIMIT 1</t>
  </si>
  <si>
    <t>Central_SEO</t>
  </si>
  <si>
    <t>Stale Production: Idle 998 days.</t>
  </si>
  <si>
    <t>DROP DATASET agile-bonbon-662.Central_SEO</t>
  </si>
  <si>
    <t>SELECT COUNT(*), SUM(total_logical_bytes)/1024/1024/1024 as gb, MAX(storage_last_modified_time) FROM `agile-bonbon-662.region-eu.INFORMATION_SCHEMA.TABLE_STORAGE` WHERE table_schema = 'Central_SEO'</t>
  </si>
  <si>
    <t>SELECT job_id, user_email FROM `agile-bonbon-662.region-eu.INFORMATION_SCHEMA.JOBS_BY_PROJECT` WHERE creation_time &gt; TIMESTAMP_SUB(CURRENT_TIMESTAMP(), INTERVAL 180 DAY) AND (destination_table.dataset_id = 'Central_SEO' OR EXISTS(SELECT 1 FROM UNNEST(referenced_tables) ref WHERE ref.dataset_id = 'Central_SEO')) LIMIT 1</t>
  </si>
  <si>
    <t>analytics_277262054</t>
  </si>
  <si>
    <t>Stale Production: Idle 447 days.</t>
  </si>
  <si>
    <t>DROP DATASET agile-bonbon-662.analytics_277262054</t>
  </si>
  <si>
    <t>SELECT COUNT(*), SUM(total_logical_bytes)/1024/1024/1024 as gb, MAX(storage_last_modified_time) FROM `agile-bonbon-662.region-eu.INFORMATION_SCHEMA.TABLE_STORAGE` WHERE table_schema = 'analytics_277262054'</t>
  </si>
  <si>
    <t>SELECT job_id, user_email FROM `agile-bonbon-662.region-eu.INFORMATION_SCHEMA.JOBS_BY_PROJECT` WHERE creation_time &gt; TIMESTAMP_SUB(CURRENT_TIMESTAMP(), INTERVAL 180 DAY) AND (destination_table.dataset_id = 'analytics_277262054' OR EXISTS(SELECT 1 FROM UNNEST(referenced_tables) ref WHERE ref.dataset_id = 'analytics_277262054')) LIMIT 1</t>
  </si>
  <si>
    <t>131176618</t>
  </si>
  <si>
    <t>DROP DATASET agile-bonbon-662.131176618</t>
  </si>
  <si>
    <t>SELECT COUNT(*), SUM(total_logical_bytes)/1024/1024/1024 as gb, MAX(storage_last_modified_time) FROM `agile-bonbon-662.region-eu.INFORMATION_SCHEMA.TABLE_STORAGE` WHERE table_schema = '131176618'</t>
  </si>
  <si>
    <t>SELECT job_id, user_email FROM `agile-bonbon-662.region-eu.INFORMATION_SCHEMA.JOBS_BY_PROJECT` WHERE creation_time &gt; TIMESTAMP_SUB(CURRENT_TIMESTAMP(), INTERVAL 180 DAY) AND (destination_table.dataset_id = '131176618' OR EXISTS(SELECT 1 FROM UNNEST(referenced_tables) ref WHERE ref.dataset_id = '131176618')) LIMIT 1</t>
  </si>
  <si>
    <t>analytics_301540518</t>
  </si>
  <si>
    <t>Stale Production: Idle 929 days.</t>
  </si>
  <si>
    <t>DROP DATASET agile-bonbon-662.analytics_301540518</t>
  </si>
  <si>
    <t>SELECT COUNT(*), SUM(total_logical_bytes)/1024/1024/1024 as gb, MAX(storage_last_modified_time) FROM `agile-bonbon-662.region-eu.INFORMATION_SCHEMA.TABLE_STORAGE` WHERE table_schema = 'analytics_301540518'</t>
  </si>
  <si>
    <t>SELECT job_id, user_email FROM `agile-bonbon-662.region-eu.INFORMATION_SCHEMA.JOBS_BY_PROJECT` WHERE creation_time &gt; TIMESTAMP_SUB(CURRENT_TIMESTAMP(), INTERVAL 180 DAY) AND (destination_table.dataset_id = 'analytics_301540518' OR EXISTS(SELECT 1 FROM UNNEST(referenced_tables) ref WHERE ref.dataset_id = 'analytics_301540518')) LIMIT 1</t>
  </si>
  <si>
    <t>archived_cubed_ecrm</t>
  </si>
  <si>
    <t>DROP DATASET agile-bonbon-662.archived_cubed_ecrm</t>
  </si>
  <si>
    <t>SELECT COUNT(*), SUM(total_logical_bytes)/1024/1024/1024 as gb, MAX(storage_last_modified_time) FROM `agile-bonbon-662.region-eu.INFORMATION_SCHEMA.TABLE_STORAGE` WHERE table_schema = 'archived_cubed_ecrm'</t>
  </si>
  <si>
    <t>SELECT job_id, user_email FROM `agile-bonbon-662.region-eu.INFORMATION_SCHEMA.JOBS_BY_PROJECT` WHERE creation_time &gt; TIMESTAMP_SUB(CURRENT_TIMESTAMP(), INTERVAL 180 DAY) AND (destination_table.dataset_id = 'archived_cubed_ecrm' OR EXISTS(SELECT 1 FROM UNNEST(referenced_tables) ref WHERE ref.dataset_id = 'archived_cubed_ecrm')) LIMIT 1</t>
  </si>
  <si>
    <t>159939204</t>
  </si>
  <si>
    <t>DROP DATASET agile-bonbon-662.159939204</t>
  </si>
  <si>
    <t>SELECT COUNT(*), SUM(total_logical_bytes)/1024/1024/1024 as gb, MAX(storage_last_modified_time) FROM `agile-bonbon-662.region-eu.INFORMATION_SCHEMA.TABLE_STORAGE` WHERE table_schema = '159939204'</t>
  </si>
  <si>
    <t>SELECT job_id, user_email FROM `agile-bonbon-662.region-eu.INFORMATION_SCHEMA.JOBS_BY_PROJECT` WHERE creation_time &gt; TIMESTAMP_SUB(CURRENT_TIMESTAMP(), INTERVAL 180 DAY) AND (destination_table.dataset_id = '159939204' OR EXISTS(SELECT 1 FROM UNNEST(referenced_tables) ref WHERE ref.dataset_id = '159939204')) LIMIT 1</t>
  </si>
  <si>
    <t>11543646</t>
  </si>
  <si>
    <t>DROP DATASET agile-bonbon-662.11543646</t>
  </si>
  <si>
    <t>SELECT COUNT(*), SUM(total_logical_bytes)/1024/1024/1024 as gb, MAX(storage_last_modified_time) FROM `agile-bonbon-662.region-eu.INFORMATION_SCHEMA.TABLE_STORAGE` WHERE table_schema = '11543646'</t>
  </si>
  <si>
    <t>SELECT job_id, user_email FROM `agile-bonbon-662.region-eu.INFORMATION_SCHEMA.JOBS_BY_PROJECT` WHERE creation_time &gt; TIMESTAMP_SUB(CURRENT_TIMESTAMP(), INTERVAL 180 DAY) AND (destination_table.dataset_id = '11543646' OR EXISTS(SELECT 1 FROM UNNEST(referenced_tables) ref WHERE ref.dataset_id = '11543646')) LIMIT 1</t>
  </si>
  <si>
    <t>118721894</t>
  </si>
  <si>
    <t>DROP DATASET agile-bonbon-662.118721894</t>
  </si>
  <si>
    <t>SELECT COUNT(*), SUM(total_logical_bytes)/1024/1024/1024 as gb, MAX(storage_last_modified_time) FROM `agile-bonbon-662.region-eu.INFORMATION_SCHEMA.TABLE_STORAGE` WHERE table_schema = '118721894'</t>
  </si>
  <si>
    <t>SELECT job_id, user_email FROM `agile-bonbon-662.region-eu.INFORMATION_SCHEMA.JOBS_BY_PROJECT` WHERE creation_time &gt; TIMESTAMP_SUB(CURRENT_TIMESTAMP(), INTERVAL 180 DAY) AND (destination_table.dataset_id = '118721894' OR EXISTS(SELECT 1 FROM UNNEST(referenced_tables) ref WHERE ref.dataset_id = '118721894')) LIMIT 1</t>
  </si>
  <si>
    <t>analytics_295034994</t>
  </si>
  <si>
    <t>Stale Production: Idle 981 days.</t>
  </si>
  <si>
    <t>DROP DATASET agile-bonbon-662.analytics_295034994</t>
  </si>
  <si>
    <t>SELECT COUNT(*), SUM(total_logical_bytes)/1024/1024/1024 as gb, MAX(storage_last_modified_time) FROM `agile-bonbon-662.region-eu.INFORMATION_SCHEMA.TABLE_STORAGE` WHERE table_schema = 'analytics_295034994'</t>
  </si>
  <si>
    <t>SELECT job_id, user_email FROM `agile-bonbon-662.region-eu.INFORMATION_SCHEMA.JOBS_BY_PROJECT` WHERE creation_time &gt; TIMESTAMP_SUB(CURRENT_TIMESTAMP(), INTERVAL 180 DAY) AND (destination_table.dataset_id = 'analytics_295034994' OR EXISTS(SELECT 1 FROM UNNEST(referenced_tables) ref WHERE ref.dataset_id = 'analytics_295034994')) LIMIT 1</t>
  </si>
  <si>
    <t>Perricone_US_Copy_EU</t>
  </si>
  <si>
    <t>Stale Production: Idle 1859 days.</t>
  </si>
  <si>
    <t>DROP DATASET agile-bonbon-662.Perricone_US_Copy_EU</t>
  </si>
  <si>
    <t>SELECT COUNT(*), SUM(total_logical_bytes)/1024/1024/1024 as gb, MAX(storage_last_modified_time) FROM `agile-bonbon-662.region-eu.INFORMATION_SCHEMA.TABLE_STORAGE` WHERE table_schema = 'Perricone_US_Copy_EU'</t>
  </si>
  <si>
    <t>SELECT job_id, user_email FROM `agile-bonbon-662.region-eu.INFORMATION_SCHEMA.JOBS_BY_PROJECT` WHERE creation_time &gt; TIMESTAMP_SUB(CURRENT_TIMESTAMP(), INTERVAL 180 DAY) AND (destination_table.dataset_id = 'Perricone_US_Copy_EU' OR EXISTS(SELECT 1 FROM UNNEST(referenced_tables) ref WHERE ref.dataset_id = 'Perricone_US_Copy_EU')) LIMIT 1</t>
  </si>
  <si>
    <t>Stale Production: Idle 3247 days.</t>
  </si>
  <si>
    <t>DROP DATASET vibrant-map-107910.metrics</t>
  </si>
  <si>
    <t>SELECT COUNT(*), SUM(total_logical_bytes)/1024/1024/1024 as gb, MAX(storage_last_modified_time) FROM `vibrant-map-107910.region-eu.INFORMATION_SCHEMA.TABLE_STORAGE` WHERE table_schema = 'metrics'</t>
  </si>
  <si>
    <t>SELECT job_id, user_email FROM `vibrant-map-107910.region-eu.INFORMATION_SCHEMA.JOBS_BY_PROJECT` WHERE creation_time &gt; TIMESTAMP_SUB(CURRENT_TIMESTAMP(), INTERVAL 180 DAY) AND (destination_table.dataset_id = 'metrics' OR EXISTS(SELECT 1 FROM UNNEST(referenced_tables) ref WHERE ref.dataset_id = 'metrics')) LIMIT 1</t>
  </si>
  <si>
    <t>82655271</t>
  </si>
  <si>
    <t>DROP DATASET agile-bonbon-662.82655271</t>
  </si>
  <si>
    <t>SELECT COUNT(*), SUM(total_logical_bytes)/1024/1024/1024 as gb, MAX(storage_last_modified_time) FROM `agile-bonbon-662.region-eu.INFORMATION_SCHEMA.TABLE_STORAGE` WHERE table_schema = '82655271'</t>
  </si>
  <si>
    <t>SELECT job_id, user_email FROM `agile-bonbon-662.region-eu.INFORMATION_SCHEMA.JOBS_BY_PROJECT` WHERE creation_time &gt; TIMESTAMP_SUB(CURRENT_TIMESTAMP(), INTERVAL 180 DAY) AND (destination_table.dataset_id = '82655271' OR EXISTS(SELECT 1 FROM UNNEST(referenced_tables) ref WHERE ref.dataset_id = '82655271')) LIMIT 1</t>
  </si>
  <si>
    <t>analytics_294931004</t>
  </si>
  <si>
    <t>DROP DATASET agile-bonbon-662.analytics_294931004</t>
  </si>
  <si>
    <t>SELECT COUNT(*), SUM(total_logical_bytes)/1024/1024/1024 as gb, MAX(storage_last_modified_time) FROM `agile-bonbon-662.region-eu.INFORMATION_SCHEMA.TABLE_STORAGE` WHERE table_schema = 'analytics_294931004'</t>
  </si>
  <si>
    <t>SELECT job_id, user_email FROM `agile-bonbon-662.region-eu.INFORMATION_SCHEMA.JOBS_BY_PROJECT` WHERE creation_time &gt; TIMESTAMP_SUB(CURRENT_TIMESTAMP(), INTERVAL 180 DAY) AND (destination_table.dataset_id = 'analytics_294931004' OR EXISTS(SELECT 1 FROM UNNEST(referenced_tables) ref WHERE ref.dataset_id = 'analytics_294931004')) LIMIT 1</t>
  </si>
  <si>
    <t>85525813</t>
  </si>
  <si>
    <t>DROP DATASET agile-bonbon-662.85525813</t>
  </si>
  <si>
    <t>SELECT COUNT(*), SUM(total_logical_bytes)/1024/1024/1024 as gb, MAX(storage_last_modified_time) FROM `agile-bonbon-662.region-eu.INFORMATION_SCHEMA.TABLE_STORAGE` WHERE table_schema = '85525813'</t>
  </si>
  <si>
    <t>SELECT job_id, user_email FROM `agile-bonbon-662.region-eu.INFORMATION_SCHEMA.JOBS_BY_PROJECT` WHERE creation_time &gt; TIMESTAMP_SUB(CURRENT_TIMESTAMP(), INTERVAL 180 DAY) AND (destination_table.dataset_id = '85525813' OR EXISTS(SELECT 1 FROM UNNEST(referenced_tables) ref WHERE ref.dataset_id = '85525813')) LIMIT 1</t>
  </si>
  <si>
    <t>241656089</t>
  </si>
  <si>
    <t>Stale Production: Idle 863 days.</t>
  </si>
  <si>
    <t>DROP DATASET agile-bonbon-662.241656089</t>
  </si>
  <si>
    <t>SELECT COUNT(*), SUM(total_logical_bytes)/1024/1024/1024 as gb, MAX(storage_last_modified_time) FROM `agile-bonbon-662.region-eu.INFORMATION_SCHEMA.TABLE_STORAGE` WHERE table_schema = '241656089'</t>
  </si>
  <si>
    <t>SELECT job_id, user_email FROM `agile-bonbon-662.region-eu.INFORMATION_SCHEMA.JOBS_BY_PROJECT` WHERE creation_time &gt; TIMESTAMP_SUB(CURRENT_TIMESTAMP(), INTERVAL 180 DAY) AND (destination_table.dataset_id = '241656089' OR EXISTS(SELECT 1 FROM UNNEST(referenced_tables) ref WHERE ref.dataset_id = '241656089')) LIMIT 1</t>
  </si>
  <si>
    <t>244078872</t>
  </si>
  <si>
    <t>DROP DATASET agile-bonbon-662.244078872</t>
  </si>
  <si>
    <t>SELECT COUNT(*), SUM(total_logical_bytes)/1024/1024/1024 as gb, MAX(storage_last_modified_time) FROM `agile-bonbon-662.region-eu.INFORMATION_SCHEMA.TABLE_STORAGE` WHERE table_schema = '244078872'</t>
  </si>
  <si>
    <t>SELECT job_id, user_email FROM `agile-bonbon-662.region-eu.INFORMATION_SCHEMA.JOBS_BY_PROJECT` WHERE creation_time &gt; TIMESTAMP_SUB(CURRENT_TIMESTAMP(), INTERVAL 180 DAY) AND (destination_table.dataset_id = '244078872' OR EXISTS(SELECT 1 FROM UNNEST(referenced_tables) ref WHERE ref.dataset_id = '244078872')) LIMIT 1</t>
  </si>
  <si>
    <t>125405767</t>
  </si>
  <si>
    <t>DROP DATASET agile-bonbon-662.125405767</t>
  </si>
  <si>
    <t>SELECT COUNT(*), SUM(total_logical_bytes)/1024/1024/1024 as gb, MAX(storage_last_modified_time) FROM `agile-bonbon-662.region-eu.INFORMATION_SCHEMA.TABLE_STORAGE` WHERE table_schema = '125405767'</t>
  </si>
  <si>
    <t>SELECT job_id, user_email FROM `agile-bonbon-662.region-eu.INFORMATION_SCHEMA.JOBS_BY_PROJECT` WHERE creation_time &gt; TIMESTAMP_SUB(CURRENT_TIMESTAMP(), INTERVAL 180 DAY) AND (destination_table.dataset_id = '125405767' OR EXISTS(SELECT 1 FROM UNNEST(referenced_tables) ref WHERE ref.dataset_id = '125405767')) LIMIT 1</t>
  </si>
  <si>
    <t>Group_Marketing_Summary</t>
  </si>
  <si>
    <t>DROP DATASET agile-bonbon-662.Group_Marketing_Summary</t>
  </si>
  <si>
    <t>SELECT COUNT(*), SUM(total_logical_bytes)/1024/1024/1024 as gb, MAX(storage_last_modified_time) FROM `agile-bonbon-662.region-eu.INFORMATION_SCHEMA.TABLE_STORAGE` WHERE table_schema = 'Group_Marketing_Summary'</t>
  </si>
  <si>
    <t>SELECT job_id, user_email FROM `agile-bonbon-662.region-eu.INFORMATION_SCHEMA.JOBS_BY_PROJECT` WHERE creation_time &gt; TIMESTAMP_SUB(CURRENT_TIMESTAMP(), INTERVAL 180 DAY) AND (destination_table.dataset_id = 'Group_Marketing_Summary' OR EXISTS(SELECT 1 FROM UNNEST(referenced_tables) ref WHERE ref.dataset_id = 'Group_Marketing_Summary')) LIMIT 1</t>
  </si>
  <si>
    <t>tmp</t>
  </si>
  <si>
    <t>Expired Experiment: Idle 2413 days.</t>
  </si>
  <si>
    <t>DROP DATASET the-hut-group.tmp</t>
  </si>
  <si>
    <t>SELECT COUNT(*), SUM(total_logical_bytes)/1024/1024/1024 as gb, MAX(storage_last_modified_time) FROM `the-hut-group.region-eu.INFORMATION_SCHEMA.TABLE_STORAGE` WHERE table_schema = 'tmp'</t>
  </si>
  <si>
    <t>SELECT job_id, user_email FROM `the-hut-group.region-eu.INFORMATION_SCHEMA.JOBS_BY_PROJECT` WHERE creation_time &gt; TIMESTAMP_SUB(CURRENT_TIMESTAMP(), INTERVAL 180 DAY) AND (destination_table.dataset_id = 'tmp' OR EXISTS(SELECT 1 FROM UNNEST(referenced_tables) ref WHERE ref.dataset_id = 'tmp')) LIMIT 1</t>
  </si>
  <si>
    <t>85522031</t>
  </si>
  <si>
    <t>Stale Production: Idle 758 days.</t>
  </si>
  <si>
    <t>DROP DATASET agile-bonbon-662.85522031</t>
  </si>
  <si>
    <t>SELECT COUNT(*), SUM(total_logical_bytes)/1024/1024/1024 as gb, MAX(storage_last_modified_time) FROM `agile-bonbon-662.region-eu.INFORMATION_SCHEMA.TABLE_STORAGE` WHERE table_schema = '85522031'</t>
  </si>
  <si>
    <t>SELECT job_id, user_email FROM `agile-bonbon-662.region-eu.INFORMATION_SCHEMA.JOBS_BY_PROJECT` WHERE creation_time &gt; TIMESTAMP_SUB(CURRENT_TIMESTAMP(), INTERVAL 180 DAY) AND (destination_table.dataset_id = '85522031' OR EXISTS(SELECT 1 FROM UNNEST(referenced_tables) ref WHERE ref.dataset_id = '85522031')) LIMIT 1</t>
  </si>
  <si>
    <t>veryneko_uk_backup</t>
  </si>
  <si>
    <t>Abandoned Archive: Idle 1872 days.</t>
  </si>
  <si>
    <t>DROP DATASET agile-bonbon-662.veryneko_uk_backup</t>
  </si>
  <si>
    <t>SELECT COUNT(*), SUM(total_logical_bytes)/1024/1024/1024 as gb, MAX(storage_last_modified_time) FROM `agile-bonbon-662.region-eu.INFORMATION_SCHEMA.TABLE_STORAGE` WHERE table_schema = 'veryneko_uk_backup'</t>
  </si>
  <si>
    <t>SELECT job_id, user_email FROM `agile-bonbon-662.region-eu.INFORMATION_SCHEMA.JOBS_BY_PROJECT` WHERE creation_time &gt; TIMESTAMP_SUB(CURRENT_TIMESTAMP(), INTERVAL 180 DAY) AND (destination_table.dataset_id = 'veryneko_uk_backup' OR EXISTS(SELECT 1 FROM UNNEST(referenced_tables) ref WHERE ref.dataset_id = 'veryneko_uk_backup')) LIMIT 1</t>
  </si>
  <si>
    <t>veryneko_uk</t>
  </si>
  <si>
    <t>Stale Production: Idle 1872 days.</t>
  </si>
  <si>
    <t>DROP DATASET agile-bonbon-662.veryneko_uk</t>
  </si>
  <si>
    <t>SELECT COUNT(*), SUM(total_logical_bytes)/1024/1024/1024 as gb, MAX(storage_last_modified_time) FROM `agile-bonbon-662.region-eu.INFORMATION_SCHEMA.TABLE_STORAGE` WHERE table_schema = 'veryneko_uk'</t>
  </si>
  <si>
    <t>SELECT job_id, user_email FROM `agile-bonbon-662.region-eu.INFORMATION_SCHEMA.JOBS_BY_PROJECT` WHERE creation_time &gt; TIMESTAMP_SUB(CURRENT_TIMESTAMP(), INTERVAL 180 DAY) AND (destination_table.dataset_id = 'veryneko_uk' OR EXISTS(SELECT 1 FROM UNNEST(referenced_tables) ref WHERE ref.dataset_id = 'veryneko_uk')) LIMIT 1</t>
  </si>
  <si>
    <t>169514491</t>
  </si>
  <si>
    <t>DROP DATASET agile-bonbon-662.169514491</t>
  </si>
  <si>
    <t>SELECT COUNT(*), SUM(total_logical_bytes)/1024/1024/1024 as gb, MAX(storage_last_modified_time) FROM `agile-bonbon-662.region-eu.INFORMATION_SCHEMA.TABLE_STORAGE` WHERE table_schema = '169514491'</t>
  </si>
  <si>
    <t>SELECT job_id, user_email FROM `agile-bonbon-662.region-eu.INFORMATION_SCHEMA.JOBS_BY_PROJECT` WHERE creation_time &gt; TIMESTAMP_SUB(CURRENT_TIMESTAMP(), INTERVAL 180 DAY) AND (destination_table.dataset_id = '169514491' OR EXISTS(SELECT 1 FROM UNNEST(referenced_tables) ref WHERE ref.dataset_id = '169514491')) LIMIT 1</t>
  </si>
  <si>
    <t>196494338</t>
  </si>
  <si>
    <t>DROP DATASET agile-bonbon-662.196494338</t>
  </si>
  <si>
    <t>SELECT COUNT(*), SUM(total_logical_bytes)/1024/1024/1024 as gb, MAX(storage_last_modified_time) FROM `agile-bonbon-662.region-eu.INFORMATION_SCHEMA.TABLE_STORAGE` WHERE table_schema = '196494338'</t>
  </si>
  <si>
    <t>SELECT job_id, user_email FROM `agile-bonbon-662.region-eu.INFORMATION_SCHEMA.JOBS_BY_PROJECT` WHERE creation_time &gt; TIMESTAMP_SUB(CURRENT_TIMESTAMP(), INTERVAL 180 DAY) AND (destination_table.dataset_id = '196494338' OR EXISTS(SELECT 1 FROM UNNEST(referenced_tables) ref WHERE ref.dataset_id = '196494338')) LIMIT 1</t>
  </si>
  <si>
    <t>106581529</t>
  </si>
  <si>
    <t>DROP DATASET agile-bonbon-662.106581529</t>
  </si>
  <si>
    <t>SELECT COUNT(*), SUM(total_logical_bytes)/1024/1024/1024 as gb, MAX(storage_last_modified_time) FROM `agile-bonbon-662.region-eu.INFORMATION_SCHEMA.TABLE_STORAGE` WHERE table_schema = '106581529'</t>
  </si>
  <si>
    <t>SELECT job_id, user_email FROM `agile-bonbon-662.region-eu.INFORMATION_SCHEMA.JOBS_BY_PROJECT` WHERE creation_time &gt; TIMESTAMP_SUB(CURRENT_TIMESTAMP(), INTERVAL 180 DAY) AND (destination_table.dataset_id = '106581529' OR EXISTS(SELECT 1 FROM UNNEST(referenced_tables) ref WHERE ref.dataset_id = '106581529')) LIMIT 1</t>
  </si>
  <si>
    <t>AffiliateCosts</t>
  </si>
  <si>
    <t>Stale Production: Idle 1704 days.</t>
  </si>
  <si>
    <t>DROP DATASET agile-bonbon-662.AffiliateCosts</t>
  </si>
  <si>
    <t>SELECT COUNT(*), SUM(total_logical_bytes)/1024/1024/1024 as gb, MAX(storage_last_modified_time) FROM `agile-bonbon-662.region-eu.INFORMATION_SCHEMA.TABLE_STORAGE` WHERE table_schema = 'AffiliateCosts'</t>
  </si>
  <si>
    <t>SELECT job_id, user_email FROM `agile-bonbon-662.region-eu.INFORMATION_SCHEMA.JOBS_BY_PROJECT` WHERE creation_time &gt; TIMESTAMP_SUB(CURRENT_TIMESTAMP(), INTERVAL 180 DAY) AND (destination_table.dataset_id = 'AffiliateCosts' OR EXISTS(SELECT 1 FROM UNNEST(referenced_tables) ref WHERE ref.dataset_id = 'AffiliateCosts')) LIMIT 1</t>
  </si>
  <si>
    <t>124921482</t>
  </si>
  <si>
    <t>DROP DATASET agile-bonbon-662.124921482</t>
  </si>
  <si>
    <t>SELECT COUNT(*), SUM(total_logical_bytes)/1024/1024/1024 as gb, MAX(storage_last_modified_time) FROM `agile-bonbon-662.region-eu.INFORMATION_SCHEMA.TABLE_STORAGE` WHERE table_schema = '124921482'</t>
  </si>
  <si>
    <t>SELECT job_id, user_email FROM `agile-bonbon-662.region-eu.INFORMATION_SCHEMA.JOBS_BY_PROJECT` WHERE creation_time &gt; TIMESTAMP_SUB(CURRENT_TIMESTAMP(), INTERVAL 180 DAY) AND (destination_table.dataset_id = '124921482' OR EXISTS(SELECT 1 FROM UNNEST(referenced_tables) ref WHERE ref.dataset_id = '124921482')) LIMIT 1</t>
  </si>
  <si>
    <t>196529799</t>
  </si>
  <si>
    <t>DROP DATASET agile-bonbon-662.196529799</t>
  </si>
  <si>
    <t>SELECT COUNT(*), SUM(total_logical_bytes)/1024/1024/1024 as gb, MAX(storage_last_modified_time) FROM `agile-bonbon-662.region-eu.INFORMATION_SCHEMA.TABLE_STORAGE` WHERE table_schema = '196529799'</t>
  </si>
  <si>
    <t>SELECT job_id, user_email FROM `agile-bonbon-662.region-eu.INFORMATION_SCHEMA.JOBS_BY_PROJECT` WHERE creation_time &gt; TIMESTAMP_SUB(CURRENT_TIMESTAMP(), INTERVAL 180 DAY) AND (destination_table.dataset_id = '196529799' OR EXISTS(SELECT 1 FROM UNNEST(referenced_tables) ref WHERE ref.dataset_id = '196529799')) LIMIT 1</t>
  </si>
  <si>
    <t>metrics_historical_models</t>
  </si>
  <si>
    <t>Abandoned Archive: Idle 3178 days.</t>
  </si>
  <si>
    <t>DROP DATASET the-hut-group.metrics_historical_models</t>
  </si>
  <si>
    <t>SELECT COUNT(*), SUM(total_logical_bytes)/1024/1024/1024 as gb, MAX(storage_last_modified_time) FROM `the-hut-group.region-eu.INFORMATION_SCHEMA.TABLE_STORAGE` WHERE table_schema = 'metrics_historical_models'</t>
  </si>
  <si>
    <t>SELECT job_id, user_email FROM `the-hut-group.region-eu.INFORMATION_SCHEMA.JOBS_BY_PROJECT` WHERE creation_time &gt; TIMESTAMP_SUB(CURRENT_TIMESTAMP(), INTERVAL 180 DAY) AND (destination_table.dataset_id = 'metrics_historical_models' OR EXISTS(SELECT 1 FROM UNNEST(referenced_tables) ref WHERE ref.dataset_id = 'metrics_historical_models')) LIMIT 1</t>
  </si>
  <si>
    <t>analytics_294910176</t>
  </si>
  <si>
    <t>Stale Production: Idle 862 days.</t>
  </si>
  <si>
    <t>DROP DATASET agile-bonbon-662.analytics_294910176</t>
  </si>
  <si>
    <t>SELECT COUNT(*), SUM(total_logical_bytes)/1024/1024/1024 as gb, MAX(storage_last_modified_time) FROM `agile-bonbon-662.region-eu.INFORMATION_SCHEMA.TABLE_STORAGE` WHERE table_schema = 'analytics_294910176'</t>
  </si>
  <si>
    <t>SELECT job_id, user_email FROM `agile-bonbon-662.region-eu.INFORMATION_SCHEMA.JOBS_BY_PROJECT` WHERE creation_time &gt; TIMESTAMP_SUB(CURRENT_TIMESTAMP(), INTERVAL 180 DAY) AND (destination_table.dataset_id = 'analytics_294910176' OR EXISTS(SELECT 1 FROM UNNEST(referenced_tables) ref WHERE ref.dataset_id = 'analytics_294910176')) LIMIT 1</t>
  </si>
  <si>
    <t>fbt_recs</t>
  </si>
  <si>
    <t>Stale Production: Idle 2315 days.</t>
  </si>
  <si>
    <t>DROP DATASET the-hut-group.fbt_recs</t>
  </si>
  <si>
    <t>SELECT COUNT(*), SUM(total_logical_bytes)/1024/1024/1024 as gb, MAX(storage_last_modified_time) FROM `the-hut-group.region-eu.INFORMATION_SCHEMA.TABLE_STORAGE` WHERE table_schema = 'fbt_recs'</t>
  </si>
  <si>
    <t>SELECT job_id, user_email FROM `the-hut-group.region-eu.INFORMATION_SCHEMA.JOBS_BY_PROJECT` WHERE creation_time &gt; TIMESTAMP_SUB(CURRENT_TIMESTAMP(), INTERVAL 180 DAY) AND (destination_table.dataset_id = 'fbt_recs' OR EXISTS(SELECT 1 FROM UNNEST(referenced_tables) ref WHERE ref.dataset_id = 'fbt_recs')) LIMIT 1</t>
  </si>
  <si>
    <t>analytics_295030079</t>
  </si>
  <si>
    <t>DROP DATASET agile-bonbon-662.analytics_295030079</t>
  </si>
  <si>
    <t>SELECT COUNT(*), SUM(total_logical_bytes)/1024/1024/1024 as gb, MAX(storage_last_modified_time) FROM `agile-bonbon-662.region-eu.INFORMATION_SCHEMA.TABLE_STORAGE` WHERE table_schema = 'analytics_295030079'</t>
  </si>
  <si>
    <t>SELECT job_id, user_email FROM `agile-bonbon-662.region-eu.INFORMATION_SCHEMA.JOBS_BY_PROJECT` WHERE creation_time &gt; TIMESTAMP_SUB(CURRENT_TIMESTAMP(), INTERVAL 180 DAY) AND (destination_table.dataset_id = 'analytics_295030079' OR EXISTS(SELECT 1 FROM UNNEST(referenced_tables) ref WHERE ref.dataset_id = 'analytics_295030079')) LIMIT 1</t>
  </si>
  <si>
    <t>232985001</t>
  </si>
  <si>
    <t>DROP DATASET agile-bonbon-662.232985001</t>
  </si>
  <si>
    <t>SELECT COUNT(*), SUM(total_logical_bytes)/1024/1024/1024 as gb, MAX(storage_last_modified_time) FROM `agile-bonbon-662.region-eu.INFORMATION_SCHEMA.TABLE_STORAGE` WHERE table_schema = '232985001'</t>
  </si>
  <si>
    <t>SELECT job_id, user_email FROM `agile-bonbon-662.region-eu.INFORMATION_SCHEMA.JOBS_BY_PROJECT` WHERE creation_time &gt; TIMESTAMP_SUB(CURRENT_TIMESTAMP(), INTERVAL 180 DAY) AND (destination_table.dataset_id = '232985001' OR EXISTS(SELECT 1 FROM UNNEST(referenced_tables) ref WHERE ref.dataset_id = '232985001')) LIMIT 1</t>
  </si>
  <si>
    <t>analytics_295025405</t>
  </si>
  <si>
    <t>Stale Production: Idle 1055 days.</t>
  </si>
  <si>
    <t>DROP DATASET agile-bonbon-662.analytics_295025405</t>
  </si>
  <si>
    <t>SELECT COUNT(*), SUM(total_logical_bytes)/1024/1024/1024 as gb, MAX(storage_last_modified_time) FROM `agile-bonbon-662.region-eu.INFORMATION_SCHEMA.TABLE_STORAGE` WHERE table_schema = 'analytics_295025405'</t>
  </si>
  <si>
    <t>SELECT job_id, user_email FROM `agile-bonbon-662.region-eu.INFORMATION_SCHEMA.JOBS_BY_PROJECT` WHERE creation_time &gt; TIMESTAMP_SUB(CURRENT_TIMESTAMP(), INTERVAL 180 DAY) AND (destination_table.dataset_id = 'analytics_295025405' OR EXISTS(SELECT 1 FROM UNNEST(referenced_tables) ref WHERE ref.dataset_id = 'analytics_295025405')) LIMIT 1</t>
  </si>
  <si>
    <t>118704652</t>
  </si>
  <si>
    <t>DROP DATASET agile-bonbon-662.118704652</t>
  </si>
  <si>
    <t>SELECT COUNT(*), SUM(total_logical_bytes)/1024/1024/1024 as gb, MAX(storage_last_modified_time) FROM `agile-bonbon-662.region-eu.INFORMATION_SCHEMA.TABLE_STORAGE` WHERE table_schema = '118704652'</t>
  </si>
  <si>
    <t>SELECT job_id, user_email FROM `agile-bonbon-662.region-eu.INFORMATION_SCHEMA.JOBS_BY_PROJECT` WHERE creation_time &gt; TIMESTAMP_SUB(CURRENT_TIMESTAMP(), INTERVAL 180 DAY) AND (destination_table.dataset_id = '118704652' OR EXISTS(SELECT 1 FROM UNNEST(referenced_tables) ref WHERE ref.dataset_id = '118704652')) LIMIT 1</t>
  </si>
  <si>
    <t>2013311</t>
  </si>
  <si>
    <t>DROP DATASET agile-bonbon-662.2013311</t>
  </si>
  <si>
    <t>SELECT COUNT(*), SUM(total_logical_bytes)/1024/1024/1024 as gb, MAX(storage_last_modified_time) FROM `agile-bonbon-662.region-eu.INFORMATION_SCHEMA.TABLE_STORAGE` WHERE table_schema = '2013311'</t>
  </si>
  <si>
    <t>SELECT job_id, user_email FROM `agile-bonbon-662.region-eu.INFORMATION_SCHEMA.JOBS_BY_PROJECT` WHERE creation_time &gt; TIMESTAMP_SUB(CURRENT_TIMESTAMP(), INTERVAL 180 DAY) AND (destination_table.dataset_id = '2013311' OR EXISTS(SELECT 1 FROM UNNEST(referenced_tables) ref WHERE ref.dataset_id = '2013311')) LIMIT 1</t>
  </si>
  <si>
    <t>123973660</t>
  </si>
  <si>
    <t>DROP DATASET agile-bonbon-662.123973660</t>
  </si>
  <si>
    <t>SELECT COUNT(*), SUM(total_logical_bytes)/1024/1024/1024 as gb, MAX(storage_last_modified_time) FROM `agile-bonbon-662.region-eu.INFORMATION_SCHEMA.TABLE_STORAGE` WHERE table_schema = '123973660'</t>
  </si>
  <si>
    <t>SELECT job_id, user_email FROM `agile-bonbon-662.region-eu.INFORMATION_SCHEMA.JOBS_BY_PROJECT` WHERE creation_time &gt; TIMESTAMP_SUB(CURRENT_TIMESTAMP(), INTERVAL 180 DAY) AND (destination_table.dataset_id = '123973660' OR EXISTS(SELECT 1 FROM UNNEST(referenced_tables) ref WHERE ref.dataset_id = '123973660')) LIMIT 1</t>
  </si>
  <si>
    <t>analytics_294826702</t>
  </si>
  <si>
    <t>Stale Production: Idle 902 days.</t>
  </si>
  <si>
    <t>DROP DATASET agile-bonbon-662.analytics_294826702</t>
  </si>
  <si>
    <t>SELECT COUNT(*), SUM(total_logical_bytes)/1024/1024/1024 as gb, MAX(storage_last_modified_time) FROM `agile-bonbon-662.region-eu.INFORMATION_SCHEMA.TABLE_STORAGE` WHERE table_schema = 'analytics_294826702'</t>
  </si>
  <si>
    <t>SELECT job_id, user_email FROM `agile-bonbon-662.region-eu.INFORMATION_SCHEMA.JOBS_BY_PROJECT` WHERE creation_time &gt; TIMESTAMP_SUB(CURRENT_TIMESTAMP(), INTERVAL 180 DAY) AND (destination_table.dataset_id = 'analytics_294826702' OR EXISTS(SELECT 1 FROM UNNEST(referenced_tables) ref WHERE ref.dataset_id = 'analytics_294826702')) LIMIT 1</t>
  </si>
  <si>
    <t>analytics_294930870</t>
  </si>
  <si>
    <t>Stale Production: Idle 801 days.</t>
  </si>
  <si>
    <t>DROP DATASET agile-bonbon-662.analytics_294930870</t>
  </si>
  <si>
    <t>SELECT COUNT(*), SUM(total_logical_bytes)/1024/1024/1024 as gb, MAX(storage_last_modified_time) FROM `agile-bonbon-662.region-eu.INFORMATION_SCHEMA.TABLE_STORAGE` WHERE table_schema = 'analytics_294930870'</t>
  </si>
  <si>
    <t>SELECT job_id, user_email FROM `agile-bonbon-662.region-eu.INFORMATION_SCHEMA.JOBS_BY_PROJECT` WHERE creation_time &gt; TIMESTAMP_SUB(CURRENT_TIMESTAMP(), INTERVAL 180 DAY) AND (destination_table.dataset_id = 'analytics_294930870' OR EXISTS(SELECT 1 FROM UNNEST(referenced_tables) ref WHERE ref.dataset_id = 'analytics_294930870')) LIMIT 1</t>
  </si>
  <si>
    <t>analytics_301477908</t>
  </si>
  <si>
    <t>Stale Production: Idle 1016 days.</t>
  </si>
  <si>
    <t>DROP DATASET agile-bonbon-662.analytics_301477908</t>
  </si>
  <si>
    <t>SELECT COUNT(*), SUM(total_logical_bytes)/1024/1024/1024 as gb, MAX(storage_last_modified_time) FROM `agile-bonbon-662.region-eu.INFORMATION_SCHEMA.TABLE_STORAGE` WHERE table_schema = 'analytics_301477908'</t>
  </si>
  <si>
    <t>SELECT job_id, user_email FROM `agile-bonbon-662.region-eu.INFORMATION_SCHEMA.JOBS_BY_PROJECT` WHERE creation_time &gt; TIMESTAMP_SUB(CURRENT_TIMESTAMP(), INTERVAL 180 DAY) AND (destination_table.dataset_id = 'analytics_301477908' OR EXISTS(SELECT 1 FROM UNNEST(referenced_tables) ref WHERE ref.dataset_id = 'analytics_301477908')) LIMIT 1</t>
  </si>
  <si>
    <t>archived_Myp_Repurchasing</t>
  </si>
  <si>
    <t>DROP DATASET agile-bonbon-662.archived_Myp_Repurchasing</t>
  </si>
  <si>
    <t>SELECT COUNT(*), SUM(total_logical_bytes)/1024/1024/1024 as gb, MAX(storage_last_modified_time) FROM `agile-bonbon-662.region-eu.INFORMATION_SCHEMA.TABLE_STORAGE` WHERE table_schema = 'archived_Myp_Repurchasing'</t>
  </si>
  <si>
    <t>SELECT job_id, user_email FROM `agile-bonbon-662.region-eu.INFORMATION_SCHEMA.JOBS_BY_PROJECT` WHERE creation_time &gt; TIMESTAMP_SUB(CURRENT_TIMESTAMP(), INTERVAL 180 DAY) AND (destination_table.dataset_id = 'archived_Myp_Repurchasing' OR EXISTS(SELECT 1 FROM UNNEST(referenced_tables) ref WHERE ref.dataset_id = 'archived_Myp_Repurchasing')) LIMIT 1</t>
  </si>
  <si>
    <t>213765150</t>
  </si>
  <si>
    <t>DROP DATASET agile-bonbon-662.213765150</t>
  </si>
  <si>
    <t>SELECT COUNT(*), SUM(total_logical_bytes)/1024/1024/1024 as gb, MAX(storage_last_modified_time) FROM `agile-bonbon-662.region-eu.INFORMATION_SCHEMA.TABLE_STORAGE` WHERE table_schema = '213765150'</t>
  </si>
  <si>
    <t>SELECT job_id, user_email FROM `agile-bonbon-662.region-eu.INFORMATION_SCHEMA.JOBS_BY_PROJECT` WHERE creation_time &gt; TIMESTAMP_SUB(CURRENT_TIMESTAMP(), INTERVAL 180 DAY) AND (destination_table.dataset_id = '213765150' OR EXISTS(SELECT 1 FROM UNNEST(referenced_tables) ref WHERE ref.dataset_id = '213765150')) LIMIT 1</t>
  </si>
  <si>
    <t>mssql_extracts</t>
  </si>
  <si>
    <t>DROP DATASET the-hut-group.mssql_extracts</t>
  </si>
  <si>
    <t>SELECT COUNT(*), SUM(total_logical_bytes)/1024/1024/1024 as gb, MAX(storage_last_modified_time) FROM `the-hut-group.region-eu.INFORMATION_SCHEMA.TABLE_STORAGE` WHERE table_schema = 'mssql_extracts'</t>
  </si>
  <si>
    <t>SELECT job_id, user_email FROM `the-hut-group.region-eu.INFORMATION_SCHEMA.JOBS_BY_PROJECT` WHERE creation_time &gt; TIMESTAMP_SUB(CURRENT_TIMESTAMP(), INTERVAL 180 DAY) AND (destination_table.dataset_id = 'mssql_extracts' OR EXISTS(SELECT 1 FROM UNNEST(referenced_tables) ref WHERE ref.dataset_id = 'mssql_extracts')) LIMIT 1</t>
  </si>
  <si>
    <t>180647116</t>
  </si>
  <si>
    <t>DROP DATASET agile-bonbon-662.180647116</t>
  </si>
  <si>
    <t>SELECT COUNT(*), SUM(total_logical_bytes)/1024/1024/1024 as gb, MAX(storage_last_modified_time) FROM `agile-bonbon-662.region-eu.INFORMATION_SCHEMA.TABLE_STORAGE` WHERE table_schema = '180647116'</t>
  </si>
  <si>
    <t>SELECT job_id, user_email FROM `agile-bonbon-662.region-eu.INFORMATION_SCHEMA.JOBS_BY_PROJECT` WHERE creation_time &gt; TIMESTAMP_SUB(CURRENT_TIMESTAMP(), INTERVAL 180 DAY) AND (destination_table.dataset_id = '180647116' OR EXISTS(SELECT 1 FROM UNNEST(referenced_tables) ref WHERE ref.dataset_id = '180647116')) LIMIT 1</t>
  </si>
  <si>
    <t>175229243</t>
  </si>
  <si>
    <t>DROP DATASET agile-bonbon-662.175229243</t>
  </si>
  <si>
    <t>SELECT COUNT(*), SUM(total_logical_bytes)/1024/1024/1024 as gb, MAX(storage_last_modified_time) FROM `agile-bonbon-662.region-eu.INFORMATION_SCHEMA.TABLE_STORAGE` WHERE table_schema = '175229243'</t>
  </si>
  <si>
    <t>SELECT job_id, user_email FROM `agile-bonbon-662.region-eu.INFORMATION_SCHEMA.JOBS_BY_PROJECT` WHERE creation_time &gt; TIMESTAMP_SUB(CURRENT_TIMESTAMP(), INTERVAL 180 DAY) AND (destination_table.dataset_id = '175229243' OR EXISTS(SELECT 1 FROM UNNEST(referenced_tables) ref WHERE ref.dataset_id = '175229243')) LIMIT 1</t>
  </si>
  <si>
    <t>159825467</t>
  </si>
  <si>
    <t>DROP DATASET agile-bonbon-662.159825467</t>
  </si>
  <si>
    <t>SELECT COUNT(*), SUM(total_logical_bytes)/1024/1024/1024 as gb, MAX(storage_last_modified_time) FROM `agile-bonbon-662.region-eu.INFORMATION_SCHEMA.TABLE_STORAGE` WHERE table_schema = '159825467'</t>
  </si>
  <si>
    <t>SELECT job_id, user_email FROM `agile-bonbon-662.region-eu.INFORMATION_SCHEMA.JOBS_BY_PROJECT` WHERE creation_time &gt; TIMESTAMP_SUB(CURRENT_TIMESTAMP(), INTERVAL 180 DAY) AND (destination_table.dataset_id = '159825467' OR EXISTS(SELECT 1 FROM UNNEST(referenced_tables) ref WHERE ref.dataset_id = '159825467')) LIMIT 1</t>
  </si>
  <si>
    <t>archived_warehouse</t>
  </si>
  <si>
    <t>DROP DATASET the-hut-group.archived_warehouse</t>
  </si>
  <si>
    <t>SELECT COUNT(*), SUM(total_logical_bytes)/1024/1024/1024 as gb, MAX(storage_last_modified_time) FROM `the-hut-group.region-eu.INFORMATION_SCHEMA.TABLE_STORAGE` WHERE table_schema = 'archived_warehouse'</t>
  </si>
  <si>
    <t>SELECT job_id, user_email FROM `the-hut-group.region-eu.INFORMATION_SCHEMA.JOBS_BY_PROJECT` WHERE creation_time &gt; TIMESTAMP_SUB(CURRENT_TIMESTAMP(), INTERVAL 180 DAY) AND (destination_table.dataset_id = 'archived_warehouse' OR EXISTS(SELECT 1 FROM UNNEST(referenced_tables) ref WHERE ref.dataset_id = 'archived_warehouse')) LIMIT 1</t>
  </si>
  <si>
    <t>129849541</t>
  </si>
  <si>
    <t>DROP DATASET agile-bonbon-662.129849541</t>
  </si>
  <si>
    <t>SELECT COUNT(*), SUM(total_logical_bytes)/1024/1024/1024 as gb, MAX(storage_last_modified_time) FROM `agile-bonbon-662.region-eu.INFORMATION_SCHEMA.TABLE_STORAGE` WHERE table_schema = '129849541'</t>
  </si>
  <si>
    <t>SELECT job_id, user_email FROM `agile-bonbon-662.region-eu.INFORMATION_SCHEMA.JOBS_BY_PROJECT` WHERE creation_time &gt; TIMESTAMP_SUB(CURRENT_TIMESTAMP(), INTERVAL 180 DAY) AND (destination_table.dataset_id = '129849541' OR EXISTS(SELECT 1 FROM UNNEST(referenced_tables) ref WHERE ref.dataset_id = '129849541')) LIMIT 1</t>
  </si>
  <si>
    <t>analytics_294924135</t>
  </si>
  <si>
    <t>Stale Production: Idle 988 days.</t>
  </si>
  <si>
    <t>DROP DATASET agile-bonbon-662.analytics_294924135</t>
  </si>
  <si>
    <t>SELECT COUNT(*), SUM(total_logical_bytes)/1024/1024/1024 as gb, MAX(storage_last_modified_time) FROM `agile-bonbon-662.region-eu.INFORMATION_SCHEMA.TABLE_STORAGE` WHERE table_schema = 'analytics_294924135'</t>
  </si>
  <si>
    <t>SELECT job_id, user_email FROM `agile-bonbon-662.region-eu.INFORMATION_SCHEMA.JOBS_BY_PROJECT` WHERE creation_time &gt; TIMESTAMP_SUB(CURRENT_TIMESTAMP(), INTERVAL 180 DAY) AND (destination_table.dataset_id = 'analytics_294924135' OR EXISTS(SELECT 1 FROM UNNEST(referenced_tables) ref WHERE ref.dataset_id = 'analytics_294924135')) LIMIT 1</t>
  </si>
  <si>
    <t>analytics_294902290</t>
  </si>
  <si>
    <t>Stale Production: Idle 943 days.</t>
  </si>
  <si>
    <t>DROP DATASET agile-bonbon-662.analytics_294902290</t>
  </si>
  <si>
    <t>SELECT COUNT(*), SUM(total_logical_bytes)/1024/1024/1024 as gb, MAX(storage_last_modified_time) FROM `agile-bonbon-662.region-eu.INFORMATION_SCHEMA.TABLE_STORAGE` WHERE table_schema = 'analytics_294902290'</t>
  </si>
  <si>
    <t>SELECT job_id, user_email FROM `agile-bonbon-662.region-eu.INFORMATION_SCHEMA.JOBS_BY_PROJECT` WHERE creation_time &gt; TIMESTAMP_SUB(CURRENT_TIMESTAMP(), INTERVAL 180 DAY) AND (destination_table.dataset_id = 'analytics_294902290' OR EXISTS(SELECT 1 FROM UNNEST(referenced_tables) ref WHERE ref.dataset_id = 'analytics_294902290')) LIMIT 1</t>
  </si>
  <si>
    <t>211960225</t>
  </si>
  <si>
    <t>DROP DATASET agile-bonbon-662.211960225</t>
  </si>
  <si>
    <t>SELECT COUNT(*), SUM(total_logical_bytes)/1024/1024/1024 as gb, MAX(storage_last_modified_time) FROM `agile-bonbon-662.region-eu.INFORMATION_SCHEMA.TABLE_STORAGE` WHERE table_schema = '211960225'</t>
  </si>
  <si>
    <t>SELECT job_id, user_email FROM `agile-bonbon-662.region-eu.INFORMATION_SCHEMA.JOBS_BY_PROJECT` WHERE creation_time &gt; TIMESTAMP_SUB(CURRENT_TIMESTAMP(), INTERVAL 180 DAY) AND (destination_table.dataset_id = '211960225' OR EXISTS(SELECT 1 FROM UNNEST(referenced_tables) ref WHERE ref.dataset_id = '211960225')) LIMIT 1</t>
  </si>
  <si>
    <t>127379478</t>
  </si>
  <si>
    <t>DROP DATASET agile-bonbon-662.127379478</t>
  </si>
  <si>
    <t>SELECT COUNT(*), SUM(total_logical_bytes)/1024/1024/1024 as gb, MAX(storage_last_modified_time) FROM `agile-bonbon-662.region-eu.INFORMATION_SCHEMA.TABLE_STORAGE` WHERE table_schema = '127379478'</t>
  </si>
  <si>
    <t>SELECT job_id, user_email FROM `agile-bonbon-662.region-eu.INFORMATION_SCHEMA.JOBS_BY_PROJECT` WHERE creation_time &gt; TIMESTAMP_SUB(CURRENT_TIMESTAMP(), INTERVAL 180 DAY) AND (destination_table.dataset_id = '127379478' OR EXISTS(SELECT 1 FROM UNNEST(referenced_tables) ref WHERE ref.dataset_id = '127379478')) LIMIT 1</t>
  </si>
  <si>
    <t>Stale Production: Idle 2090 days.</t>
  </si>
  <si>
    <t>DROP DATASET vibrant-map-107910.euea</t>
  </si>
  <si>
    <t>SELECT COUNT(*), SUM(total_logical_bytes)/1024/1024/1024 as gb, MAX(storage_last_modified_time) FROM `vibrant-map-107910.region-eu.INFORMATION_SCHEMA.TABLE_STORAGE` WHERE table_schema = 'euea'</t>
  </si>
  <si>
    <t>SELECT job_id, user_email FROM `vibrant-map-107910.region-eu.INFORMATION_SCHEMA.JOBS_BY_PROJECT` WHERE creation_time &gt; TIMESTAMP_SUB(CURRENT_TIMESTAMP(), INTERVAL 180 DAY) AND (destination_table.dataset_id = 'euea' OR EXISTS(SELECT 1 FROM UNNEST(referenced_tables) ref WHERE ref.dataset_id = 'euea')) LIMIT 1</t>
  </si>
  <si>
    <t>118724154</t>
  </si>
  <si>
    <t>DROP DATASET agile-bonbon-662.118724154</t>
  </si>
  <si>
    <t>SELECT COUNT(*), SUM(total_logical_bytes)/1024/1024/1024 as gb, MAX(storage_last_modified_time) FROM `agile-bonbon-662.region-eu.INFORMATION_SCHEMA.TABLE_STORAGE` WHERE table_schema = '118724154'</t>
  </si>
  <si>
    <t>SELECT job_id, user_email FROM `agile-bonbon-662.region-eu.INFORMATION_SCHEMA.JOBS_BY_PROJECT` WHERE creation_time &gt; TIMESTAMP_SUB(CURRENT_TIMESTAMP(), INTERVAL 180 DAY) AND (destination_table.dataset_id = '118724154' OR EXISTS(SELECT 1 FROM UNNEST(referenced_tables) ref WHERE ref.dataset_id = '118724154')) LIMIT 1</t>
  </si>
  <si>
    <t>236519160</t>
  </si>
  <si>
    <t>DROP DATASET agile-bonbon-662.236519160</t>
  </si>
  <si>
    <t>SELECT COUNT(*), SUM(total_logical_bytes)/1024/1024/1024 as gb, MAX(storage_last_modified_time) FROM `agile-bonbon-662.region-eu.INFORMATION_SCHEMA.TABLE_STORAGE` WHERE table_schema = '236519160'</t>
  </si>
  <si>
    <t>SELECT job_id, user_email FROM `agile-bonbon-662.region-eu.INFORMATION_SCHEMA.JOBS_BY_PROJECT` WHERE creation_time &gt; TIMESTAMP_SUB(CURRENT_TIMESTAMP(), INTERVAL 180 DAY) AND (destination_table.dataset_id = '236519160' OR EXISTS(SELECT 1 FROM UNNEST(referenced_tables) ref WHERE ref.dataset_id = '236519160')) LIMIT 1</t>
  </si>
  <si>
    <t>0_Razim</t>
  </si>
  <si>
    <t>Stale Production: Idle 1516 days.</t>
  </si>
  <si>
    <t>DROP DATASET agile-bonbon-662.0_Razim</t>
  </si>
  <si>
    <t>SELECT COUNT(*), SUM(total_logical_bytes)/1024/1024/1024 as gb, MAX(storage_last_modified_time) FROM `agile-bonbon-662.region-eu.INFORMATION_SCHEMA.TABLE_STORAGE` WHERE table_schema = '0_Razim'</t>
  </si>
  <si>
    <t>SELECT job_id, user_email FROM `agile-bonbon-662.region-eu.INFORMATION_SCHEMA.JOBS_BY_PROJECT` WHERE creation_time &gt; TIMESTAMP_SUB(CURRENT_TIMESTAMP(), INTERVAL 180 DAY) AND (destination_table.dataset_id = '0_Razim' OR EXISTS(SELECT 1 FROM UNNEST(referenced_tables) ref WHERE ref.dataset_id = '0_Razim')) LIMIT 1</t>
  </si>
  <si>
    <t>18863670</t>
  </si>
  <si>
    <t>DROP DATASET agile-bonbon-662.18863670</t>
  </si>
  <si>
    <t>SELECT COUNT(*), SUM(total_logical_bytes)/1024/1024/1024 as gb, MAX(storage_last_modified_time) FROM `agile-bonbon-662.region-eu.INFORMATION_SCHEMA.TABLE_STORAGE` WHERE table_schema = '18863670'</t>
  </si>
  <si>
    <t>SELECT job_id, user_email FROM `agile-bonbon-662.region-eu.INFORMATION_SCHEMA.JOBS_BY_PROJECT` WHERE creation_time &gt; TIMESTAMP_SUB(CURRENT_TIMESTAMP(), INTERVAL 180 DAY) AND (destination_table.dataset_id = '18863670' OR EXISTS(SELECT 1 FROM UNNEST(referenced_tables) ref WHERE ref.dataset_id = '18863670')) LIMIT 1</t>
  </si>
  <si>
    <t>thg-data-personify</t>
  </si>
  <si>
    <t>Marketing_Preference_Service</t>
  </si>
  <si>
    <t>Stale Production: Idle 455 days.</t>
  </si>
  <si>
    <t>DROP DATASET thg-data-personify.Marketing_Preference_Service</t>
  </si>
  <si>
    <t>SELECT COUNT(*), SUM(total_logical_bytes)/1024/1024/1024 as gb, MAX(storage_last_modified_time) FROM `thg-data-personify.region-eu.INFORMATION_SCHEMA.TABLE_STORAGE` WHERE table_schema = 'Marketing_Preference_Service'</t>
  </si>
  <si>
    <t>SELECT job_id, user_email FROM `thg-data-personify.region-eu.INFORMATION_SCHEMA.JOBS_BY_PROJECT` WHERE creation_time &gt; TIMESTAMP_SUB(CURRENT_TIMESTAMP(), INTERVAL 180 DAY) AND (destination_table.dataset_id = 'Marketing_Preference_Service' OR EXISTS(SELECT 1 FROM UNNEST(referenced_tables) ref WHERE ref.dataset_id = 'Marketing_Preference_Service')) LIMIT 1</t>
  </si>
  <si>
    <t>analytics_294913769</t>
  </si>
  <si>
    <t>Stale Production: Idle 983 days.</t>
  </si>
  <si>
    <t>DROP DATASET agile-bonbon-662.analytics_294913769</t>
  </si>
  <si>
    <t>SELECT COUNT(*), SUM(total_logical_bytes)/1024/1024/1024 as gb, MAX(storage_last_modified_time) FROM `agile-bonbon-662.region-eu.INFORMATION_SCHEMA.TABLE_STORAGE` WHERE table_schema = 'analytics_294913769'</t>
  </si>
  <si>
    <t>SELECT job_id, user_email FROM `agile-bonbon-662.region-eu.INFORMATION_SCHEMA.JOBS_BY_PROJECT` WHERE creation_time &gt; TIMESTAMP_SUB(CURRENT_TIMESTAMP(), INTERVAL 180 DAY) AND (destination_table.dataset_id = 'analytics_294913769' OR EXISTS(SELECT 1 FROM UNNEST(referenced_tables) ref WHERE ref.dataset_id = 'analytics_294913769')) LIMIT 1</t>
  </si>
  <si>
    <t>229546318</t>
  </si>
  <si>
    <t>DROP DATASET agile-bonbon-662.229546318</t>
  </si>
  <si>
    <t>SELECT COUNT(*), SUM(total_logical_bytes)/1024/1024/1024 as gb, MAX(storage_last_modified_time) FROM `agile-bonbon-662.region-eu.INFORMATION_SCHEMA.TABLE_STORAGE` WHERE table_schema = '229546318'</t>
  </si>
  <si>
    <t>SELECT job_id, user_email FROM `agile-bonbon-662.region-eu.INFORMATION_SCHEMA.JOBS_BY_PROJECT` WHERE creation_time &gt; TIMESTAMP_SUB(CURRENT_TIMESTAMP(), INTERVAL 180 DAY) AND (destination_table.dataset_id = '229546318' OR EXISTS(SELECT 1 FROM UNNEST(referenced_tables) ref WHERE ref.dataset_id = '229546318')) LIMIT 1</t>
  </si>
  <si>
    <t>118364312</t>
  </si>
  <si>
    <t>DROP DATASET agile-bonbon-662.118364312</t>
  </si>
  <si>
    <t>SELECT COUNT(*), SUM(total_logical_bytes)/1024/1024/1024 as gb, MAX(storage_last_modified_time) FROM `agile-bonbon-662.region-eu.INFORMATION_SCHEMA.TABLE_STORAGE` WHERE table_schema = '118364312'</t>
  </si>
  <si>
    <t>SELECT job_id, user_email FROM `agile-bonbon-662.region-eu.INFORMATION_SCHEMA.JOBS_BY_PROJECT` WHERE creation_time &gt; TIMESTAMP_SUB(CURRENT_TIMESTAMP(), INTERVAL 180 DAY) AND (destination_table.dataset_id = '118364312' OR EXISTS(SELECT 1 FROM UNNEST(referenced_tables) ref WHERE ref.dataset_id = '118364312')) LIMIT 1</t>
  </si>
  <si>
    <t>analytics_295047731</t>
  </si>
  <si>
    <t>Stale Production: Idle 1061 days.</t>
  </si>
  <si>
    <t>DROP DATASET agile-bonbon-662.analytics_295047731</t>
  </si>
  <si>
    <t>SELECT COUNT(*), SUM(total_logical_bytes)/1024/1024/1024 as gb, MAX(storage_last_modified_time) FROM `agile-bonbon-662.region-eu.INFORMATION_SCHEMA.TABLE_STORAGE` WHERE table_schema = 'analytics_295047731'</t>
  </si>
  <si>
    <t>SELECT job_id, user_email FROM `agile-bonbon-662.region-eu.INFORMATION_SCHEMA.JOBS_BY_PROJECT` WHERE creation_time &gt; TIMESTAMP_SUB(CURRENT_TIMESTAMP(), INTERVAL 180 DAY) AND (destination_table.dataset_id = 'analytics_295047731' OR EXISTS(SELECT 1 FROM UNNEST(referenced_tables) ref WHERE ref.dataset_id = 'analytics_295047731')) LIMIT 1</t>
  </si>
  <si>
    <t>20912555</t>
  </si>
  <si>
    <t>DROP DATASET agile-bonbon-662.20912555</t>
  </si>
  <si>
    <t>SELECT COUNT(*), SUM(total_logical_bytes)/1024/1024/1024 as gb, MAX(storage_last_modified_time) FROM `agile-bonbon-662.region-eu.INFORMATION_SCHEMA.TABLE_STORAGE` WHERE table_schema = '20912555'</t>
  </si>
  <si>
    <t>SELECT job_id, user_email FROM `agile-bonbon-662.region-eu.INFORMATION_SCHEMA.JOBS_BY_PROJECT` WHERE creation_time &gt; TIMESTAMP_SUB(CURRENT_TIMESTAMP(), INTERVAL 180 DAY) AND (destination_table.dataset_id = '20912555' OR EXISTS(SELECT 1 FROM UNNEST(referenced_tables) ref WHERE ref.dataset_id = '20912555')) LIMIT 1</t>
  </si>
  <si>
    <t>analytics_301517509</t>
  </si>
  <si>
    <t>Stale Production: Idle 873 days.</t>
  </si>
  <si>
    <t>DROP DATASET agile-bonbon-662.analytics_301517509</t>
  </si>
  <si>
    <t>SELECT COUNT(*), SUM(total_logical_bytes)/1024/1024/1024 as gb, MAX(storage_last_modified_time) FROM `agile-bonbon-662.region-eu.INFORMATION_SCHEMA.TABLE_STORAGE` WHERE table_schema = 'analytics_301517509'</t>
  </si>
  <si>
    <t>SELECT job_id, user_email FROM `agile-bonbon-662.region-eu.INFORMATION_SCHEMA.JOBS_BY_PROJECT` WHERE creation_time &gt; TIMESTAMP_SUB(CURRENT_TIMESTAMP(), INTERVAL 180 DAY) AND (destination_table.dataset_id = 'analytics_301517509' OR EXISTS(SELECT 1 FROM UNNEST(referenced_tables) ref WHERE ref.dataset_id = 'analytics_301517509')) LIMIT 1</t>
  </si>
  <si>
    <t>archived_reports</t>
  </si>
  <si>
    <t>Abandoned Archive: Idle 1959 days.</t>
  </si>
  <si>
    <t>DROP DATASET the-hut-group.archived_reports</t>
  </si>
  <si>
    <t>SELECT COUNT(*), SUM(total_logical_bytes)/1024/1024/1024 as gb, MAX(storage_last_modified_time) FROM `the-hut-group.region-eu.INFORMATION_SCHEMA.TABLE_STORAGE` WHERE table_schema = 'archived_reports'</t>
  </si>
  <si>
    <t>SELECT job_id, user_email FROM `the-hut-group.region-eu.INFORMATION_SCHEMA.JOBS_BY_PROJECT` WHERE creation_time &gt; TIMESTAMP_SUB(CURRENT_TIMESTAMP(), INTERVAL 180 DAY) AND (destination_table.dataset_id = 'archived_reports' OR EXISTS(SELECT 1 FROM UNNEST(referenced_tables) ref WHERE ref.dataset_id = 'archived_reports')) LIMIT 1</t>
  </si>
  <si>
    <t>lighthouse_reporting</t>
  </si>
  <si>
    <t>Stale Production: Idle 1188 days.</t>
  </si>
  <si>
    <t>DROP DATASET the-hut-group.lighthouse_reporting</t>
  </si>
  <si>
    <t>SELECT COUNT(*), SUM(total_logical_bytes)/1024/1024/1024 as gb, MAX(storage_last_modified_time) FROM `the-hut-group.region-eu.INFORMATION_SCHEMA.TABLE_STORAGE` WHERE table_schema = 'lighthouse_reporting'</t>
  </si>
  <si>
    <t>SELECT job_id, user_email FROM `the-hut-group.region-eu.INFORMATION_SCHEMA.JOBS_BY_PROJECT` WHERE creation_time &gt; TIMESTAMP_SUB(CURRENT_TIMESTAMP(), INTERVAL 180 DAY) AND (destination_table.dataset_id = 'lighthouse_reporting' OR EXISTS(SELECT 1 FROM UNNEST(referenced_tables) ref WHERE ref.dataset_id = 'lighthouse_reporting')) LIMIT 1</t>
  </si>
  <si>
    <t>analytics_295006546</t>
  </si>
  <si>
    <t>Stale Production: Idle 1153 days.</t>
  </si>
  <si>
    <t>DROP DATASET agile-bonbon-662.analytics_295006546</t>
  </si>
  <si>
    <t>SELECT COUNT(*), SUM(total_logical_bytes)/1024/1024/1024 as gb, MAX(storage_last_modified_time) FROM `agile-bonbon-662.region-eu.INFORMATION_SCHEMA.TABLE_STORAGE` WHERE table_schema = 'analytics_295006546'</t>
  </si>
  <si>
    <t>SELECT job_id, user_email FROM `agile-bonbon-662.region-eu.INFORMATION_SCHEMA.JOBS_BY_PROJECT` WHERE creation_time &gt; TIMESTAMP_SUB(CURRENT_TIMESTAMP(), INTERVAL 180 DAY) AND (destination_table.dataset_id = 'analytics_295006546' OR EXISTS(SELECT 1 FROM UNNEST(referenced_tables) ref WHERE ref.dataset_id = 'analytics_295006546')) LIMIT 1</t>
  </si>
  <si>
    <t>analytics_295004485</t>
  </si>
  <si>
    <t>Stale Production: Idle 1103 days.</t>
  </si>
  <si>
    <t>DROP DATASET agile-bonbon-662.analytics_295004485</t>
  </si>
  <si>
    <t>SELECT COUNT(*), SUM(total_logical_bytes)/1024/1024/1024 as gb, MAX(storage_last_modified_time) FROM `agile-bonbon-662.region-eu.INFORMATION_SCHEMA.TABLE_STORAGE` WHERE table_schema = 'analytics_295004485'</t>
  </si>
  <si>
    <t>SELECT job_id, user_email FROM `agile-bonbon-662.region-eu.INFORMATION_SCHEMA.JOBS_BY_PROJECT` WHERE creation_time &gt; TIMESTAMP_SUB(CURRENT_TIMESTAMP(), INTERVAL 180 DAY) AND (destination_table.dataset_id = 'analytics_295004485' OR EXISTS(SELECT 1 FROM UNNEST(referenced_tables) ref WHERE ref.dataset_id = 'analytics_295004485')) LIMIT 1</t>
  </si>
  <si>
    <t>0_Content_Report</t>
  </si>
  <si>
    <t>DROP DATASET agile-bonbon-662.0_Content_Report</t>
  </si>
  <si>
    <t>SELECT COUNT(*), SUM(total_logical_bytes)/1024/1024/1024 as gb, MAX(storage_last_modified_time) FROM `agile-bonbon-662.region-eu.INFORMATION_SCHEMA.TABLE_STORAGE` WHERE table_schema = '0_Content_Report'</t>
  </si>
  <si>
    <t>SELECT job_id, user_email FROM `agile-bonbon-662.region-eu.INFORMATION_SCHEMA.JOBS_BY_PROJECT` WHERE creation_time &gt; TIMESTAMP_SUB(CURRENT_TIMESTAMP(), INTERVAL 180 DAY) AND (destination_table.dataset_id = '0_Content_Report' OR EXISTS(SELECT 1 FROM UNNEST(referenced_tables) ref WHERE ref.dataset_id = '0_Content_Report')) LIMIT 1</t>
  </si>
  <si>
    <t>analytics_295030366</t>
  </si>
  <si>
    <t>Stale Production: Idle 802 days.</t>
  </si>
  <si>
    <t>DROP DATASET agile-bonbon-662.analytics_295030366</t>
  </si>
  <si>
    <t>SELECT COUNT(*), SUM(total_logical_bytes)/1024/1024/1024 as gb, MAX(storage_last_modified_time) FROM `agile-bonbon-662.region-eu.INFORMATION_SCHEMA.TABLE_STORAGE` WHERE table_schema = 'analytics_295030366'</t>
  </si>
  <si>
    <t>SELECT job_id, user_email FROM `agile-bonbon-662.region-eu.INFORMATION_SCHEMA.JOBS_BY_PROJECT` WHERE creation_time &gt; TIMESTAMP_SUB(CURRENT_TIMESTAMP(), INTERVAL 180 DAY) AND (destination_table.dataset_id = 'analytics_295030366' OR EXISTS(SELECT 1 FROM UNNEST(referenced_tables) ref WHERE ref.dataset_id = 'analytics_295030366')) LIMIT 1</t>
  </si>
  <si>
    <t>analytics_301157219</t>
  </si>
  <si>
    <t>Stale Production: Idle 1175 days.</t>
  </si>
  <si>
    <t>DROP DATASET agile-bonbon-662.analytics_301157219</t>
  </si>
  <si>
    <t>SELECT COUNT(*), SUM(total_logical_bytes)/1024/1024/1024 as gb, MAX(storage_last_modified_time) FROM `agile-bonbon-662.region-eu.INFORMATION_SCHEMA.TABLE_STORAGE` WHERE table_schema = 'analytics_301157219'</t>
  </si>
  <si>
    <t>SELECT job_id, user_email FROM `agile-bonbon-662.region-eu.INFORMATION_SCHEMA.JOBS_BY_PROJECT` WHERE creation_time &gt; TIMESTAMP_SUB(CURRENT_TIMESTAMP(), INTERVAL 180 DAY) AND (destination_table.dataset_id = 'analytics_301157219' OR EXISTS(SELECT 1 FROM UNNEST(referenced_tables) ref WHERE ref.dataset_id = 'analytics_301157219')) LIMIT 1</t>
  </si>
  <si>
    <t>224605558</t>
  </si>
  <si>
    <t>Stale Production: Idle 1736 days.</t>
  </si>
  <si>
    <t>DROP DATASET agile-bonbon-662.224605558</t>
  </si>
  <si>
    <t>SELECT COUNT(*), SUM(total_logical_bytes)/1024/1024/1024 as gb, MAX(storage_last_modified_time) FROM `agile-bonbon-662.region-eu.INFORMATION_SCHEMA.TABLE_STORAGE` WHERE table_schema = '224605558'</t>
  </si>
  <si>
    <t>SELECT job_id, user_email FROM `agile-bonbon-662.region-eu.INFORMATION_SCHEMA.JOBS_BY_PROJECT` WHERE creation_time &gt; TIMESTAMP_SUB(CURRENT_TIMESTAMP(), INTERVAL 180 DAY) AND (destination_table.dataset_id = '224605558' OR EXISTS(SELECT 1 FROM UNNEST(referenced_tables) ref WHERE ref.dataset_id = '224605558')) LIMIT 1</t>
  </si>
  <si>
    <t>239187472</t>
  </si>
  <si>
    <t>DROP DATASET agile-bonbon-662.239187472</t>
  </si>
  <si>
    <t>SELECT COUNT(*), SUM(total_logical_bytes)/1024/1024/1024 as gb, MAX(storage_last_modified_time) FROM `agile-bonbon-662.region-eu.INFORMATION_SCHEMA.TABLE_STORAGE` WHERE table_schema = '239187472'</t>
  </si>
  <si>
    <t>SELECT job_id, user_email FROM `agile-bonbon-662.region-eu.INFORMATION_SCHEMA.JOBS_BY_PROJECT` WHERE creation_time &gt; TIMESTAMP_SUB(CURRENT_TIMESTAMP(), INTERVAL 180 DAY) AND (destination_table.dataset_id = '239187472' OR EXISTS(SELECT 1 FROM UNNEST(referenced_tables) ref WHERE ref.dataset_id = '239187472')) LIMIT 1</t>
  </si>
  <si>
    <t>analytics_294902136</t>
  </si>
  <si>
    <t>Stale Production: Idle 966 days.</t>
  </si>
  <si>
    <t>DROP DATASET agile-bonbon-662.analytics_294902136</t>
  </si>
  <si>
    <t>SELECT COUNT(*), SUM(total_logical_bytes)/1024/1024/1024 as gb, MAX(storage_last_modified_time) FROM `agile-bonbon-662.region-eu.INFORMATION_SCHEMA.TABLE_STORAGE` WHERE table_schema = 'analytics_294902136'</t>
  </si>
  <si>
    <t>SELECT job_id, user_email FROM `agile-bonbon-662.region-eu.INFORMATION_SCHEMA.JOBS_BY_PROJECT` WHERE creation_time &gt; TIMESTAMP_SUB(CURRENT_TIMESTAMP(), INTERVAL 180 DAY) AND (destination_table.dataset_id = 'analytics_294902136' OR EXISTS(SELECT 1 FROM UNNEST(referenced_tables) ref WHERE ref.dataset_id = 'analytics_294902136')) LIMIT 1</t>
  </si>
  <si>
    <t>0_Gdlf</t>
  </si>
  <si>
    <t>Stale Production: Idle 1883 days.</t>
  </si>
  <si>
    <t>DROP DATASET agile-bonbon-662.0_Gdlf</t>
  </si>
  <si>
    <t>SELECT COUNT(*), SUM(total_logical_bytes)/1024/1024/1024 as gb, MAX(storage_last_modified_time) FROM `agile-bonbon-662.region-eu.INFORMATION_SCHEMA.TABLE_STORAGE` WHERE table_schema = '0_Gdlf'</t>
  </si>
  <si>
    <t>SELECT job_id, user_email FROM `agile-bonbon-662.region-eu.INFORMATION_SCHEMA.JOBS_BY_PROJECT` WHERE creation_time &gt; TIMESTAMP_SUB(CURRENT_TIMESTAMP(), INTERVAL 180 DAY) AND (destination_table.dataset_id = '0_Gdlf' OR EXISTS(SELECT 1 FROM UNNEST(referenced_tables) ref WHERE ref.dataset_id = '0_Gdlf')) LIMIT 1</t>
  </si>
  <si>
    <t>53536710</t>
  </si>
  <si>
    <t>DROP DATASET agile-bonbon-662.53536710</t>
  </si>
  <si>
    <t>SELECT COUNT(*), SUM(total_logical_bytes)/1024/1024/1024 as gb, MAX(storage_last_modified_time) FROM `agile-bonbon-662.region-eu.INFORMATION_SCHEMA.TABLE_STORAGE` WHERE table_schema = '53536710'</t>
  </si>
  <si>
    <t>SELECT job_id, user_email FROM `agile-bonbon-662.region-eu.INFORMATION_SCHEMA.JOBS_BY_PROJECT` WHERE creation_time &gt; TIMESTAMP_SUB(CURRENT_TIMESTAMP(), INTERVAL 180 DAY) AND (destination_table.dataset_id = '53536710' OR EXISTS(SELECT 1 FROM UNNEST(referenced_tables) ref WHERE ref.dataset_id = '53536710')) LIMIT 1</t>
  </si>
  <si>
    <t>236482533</t>
  </si>
  <si>
    <t>DROP DATASET agile-bonbon-662.236482533</t>
  </si>
  <si>
    <t>SELECT COUNT(*), SUM(total_logical_bytes)/1024/1024/1024 as gb, MAX(storage_last_modified_time) FROM `agile-bonbon-662.region-eu.INFORMATION_SCHEMA.TABLE_STORAGE` WHERE table_schema = '236482533'</t>
  </si>
  <si>
    <t>SELECT job_id, user_email FROM `agile-bonbon-662.region-eu.INFORMATION_SCHEMA.JOBS_BY_PROJECT` WHERE creation_time &gt; TIMESTAMP_SUB(CURRENT_TIMESTAMP(), INTERVAL 180 DAY) AND (destination_table.dataset_id = '236482533' OR EXISTS(SELECT 1 FROM UNNEST(referenced_tables) ref WHERE ref.dataset_id = '236482533')) LIMIT 1</t>
  </si>
  <si>
    <t>79793219</t>
  </si>
  <si>
    <t>DROP DATASET agile-bonbon-662.79793219</t>
  </si>
  <si>
    <t>SELECT COUNT(*), SUM(total_logical_bytes)/1024/1024/1024 as gb, MAX(storage_last_modified_time) FROM `agile-bonbon-662.region-eu.INFORMATION_SCHEMA.TABLE_STORAGE` WHERE table_schema = '79793219'</t>
  </si>
  <si>
    <t>SELECT job_id, user_email FROM `agile-bonbon-662.region-eu.INFORMATION_SCHEMA.JOBS_BY_PROJECT` WHERE creation_time &gt; TIMESTAMP_SUB(CURRENT_TIMESTAMP(), INTERVAL 180 DAY) AND (destination_table.dataset_id = '79793219' OR EXISTS(SELECT 1 FROM UNNEST(referenced_tables) ref WHERE ref.dataset_id = '79793219')) LIMIT 1</t>
  </si>
  <si>
    <t>239197677</t>
  </si>
  <si>
    <t>DROP DATASET agile-bonbon-662.239197677</t>
  </si>
  <si>
    <t>SELECT COUNT(*), SUM(total_logical_bytes)/1024/1024/1024 as gb, MAX(storage_last_modified_time) FROM `agile-bonbon-662.region-eu.INFORMATION_SCHEMA.TABLE_STORAGE` WHERE table_schema = '239197677'</t>
  </si>
  <si>
    <t>SELECT job_id, user_email FROM `agile-bonbon-662.region-eu.INFORMATION_SCHEMA.JOBS_BY_PROJECT` WHERE creation_time &gt; TIMESTAMP_SUB(CURRENT_TIMESTAMP(), INTERVAL 180 DAY) AND (destination_table.dataset_id = '239197677' OR EXISTS(SELECT 1 FROM UNNEST(referenced_tables) ref WHERE ref.dataset_id = '239197677')) LIMIT 1</t>
  </si>
  <si>
    <t>analytics_295042171</t>
  </si>
  <si>
    <t>Stale Production: Idle 963 days.</t>
  </si>
  <si>
    <t>DROP DATASET agile-bonbon-662.analytics_295042171</t>
  </si>
  <si>
    <t>SELECT COUNT(*), SUM(total_logical_bytes)/1024/1024/1024 as gb, MAX(storage_last_modified_time) FROM `agile-bonbon-662.region-eu.INFORMATION_SCHEMA.TABLE_STORAGE` WHERE table_schema = 'analytics_295042171'</t>
  </si>
  <si>
    <t>SELECT job_id, user_email FROM `agile-bonbon-662.region-eu.INFORMATION_SCHEMA.JOBS_BY_PROJECT` WHERE creation_time &gt; TIMESTAMP_SUB(CURRENT_TIMESTAMP(), INTERVAL 180 DAY) AND (destination_table.dataset_id = 'analytics_295042171' OR EXISTS(SELECT 1 FROM UNNEST(referenced_tables) ref WHERE ref.dataset_id = 'analytics_295042171')) LIMIT 1</t>
  </si>
  <si>
    <t>analytics_254470305</t>
  </si>
  <si>
    <t>Stale Production: Idle 574 days.</t>
  </si>
  <si>
    <t>DROP DATASET agile-bonbon-662.analytics_254470305</t>
  </si>
  <si>
    <t>SELECT COUNT(*), SUM(total_logical_bytes)/1024/1024/1024 as gb, MAX(storage_last_modified_time) FROM `agile-bonbon-662.region-eu.INFORMATION_SCHEMA.TABLE_STORAGE` WHERE table_schema = 'analytics_254470305'</t>
  </si>
  <si>
    <t>SELECT job_id, user_email FROM `agile-bonbon-662.region-eu.INFORMATION_SCHEMA.JOBS_BY_PROJECT` WHERE creation_time &gt; TIMESTAMP_SUB(CURRENT_TIMESTAMP(), INTERVAL 180 DAY) AND (destination_table.dataset_id = 'analytics_254470305' OR EXISTS(SELECT 1 FROM UNNEST(referenced_tables) ref WHERE ref.dataset_id = 'analytics_254470305')) LIMIT 1</t>
  </si>
  <si>
    <t>Central_Revenue_Forecasting</t>
  </si>
  <si>
    <t>Stale Production: Idle 1286 days.</t>
  </si>
  <si>
    <t>DROP DATASET agile-bonbon-662.Central_Revenue_Forecasting</t>
  </si>
  <si>
    <t>SELECT COUNT(*), SUM(total_logical_bytes)/1024/1024/1024 as gb, MAX(storage_last_modified_time) FROM `agile-bonbon-662.region-eu.INFORMATION_SCHEMA.TABLE_STORAGE` WHERE table_schema = 'Central_Revenue_Forecasting'</t>
  </si>
  <si>
    <t>SELECT job_id, user_email FROM `agile-bonbon-662.region-eu.INFORMATION_SCHEMA.JOBS_BY_PROJECT` WHERE creation_time &gt; TIMESTAMP_SUB(CURRENT_TIMESTAMP(), INTERVAL 180 DAY) AND (destination_table.dataset_id = 'Central_Revenue_Forecasting' OR EXISTS(SELECT 1 FROM UNNEST(referenced_tables) ref WHERE ref.dataset_id = 'Central_Revenue_Forecasting')) LIMIT 1</t>
  </si>
  <si>
    <t>analytics_294925506</t>
  </si>
  <si>
    <t>Stale Production: Idle 1008 days.</t>
  </si>
  <si>
    <t>DROP DATASET agile-bonbon-662.analytics_294925506</t>
  </si>
  <si>
    <t>SELECT COUNT(*), SUM(total_logical_bytes)/1024/1024/1024 as gb, MAX(storage_last_modified_time) FROM `agile-bonbon-662.region-eu.INFORMATION_SCHEMA.TABLE_STORAGE` WHERE table_schema = 'analytics_294925506'</t>
  </si>
  <si>
    <t>SELECT job_id, user_email FROM `agile-bonbon-662.region-eu.INFORMATION_SCHEMA.JOBS_BY_PROJECT` WHERE creation_time &gt; TIMESTAMP_SUB(CURRENT_TIMESTAMP(), INTERVAL 180 DAY) AND (destination_table.dataset_id = 'analytics_294925506' OR EXISTS(SELECT 1 FROM UNNEST(referenced_tables) ref WHERE ref.dataset_id = 'analytics_294925506')) LIMIT 1</t>
  </si>
  <si>
    <t>analytics_259063138</t>
  </si>
  <si>
    <t>Stale Production: Idle 530 days.</t>
  </si>
  <si>
    <t>DROP DATASET agile-bonbon-662.analytics_259063138</t>
  </si>
  <si>
    <t>SELECT COUNT(*), SUM(total_logical_bytes)/1024/1024/1024 as gb, MAX(storage_last_modified_time) FROM `agile-bonbon-662.region-eu.INFORMATION_SCHEMA.TABLE_STORAGE` WHERE table_schema = 'analytics_259063138'</t>
  </si>
  <si>
    <t>SELECT job_id, user_email FROM `agile-bonbon-662.region-eu.INFORMATION_SCHEMA.JOBS_BY_PROJECT` WHERE creation_time &gt; TIMESTAMP_SUB(CURRENT_TIMESTAMP(), INTERVAL 180 DAY) AND (destination_table.dataset_id = 'analytics_259063138' OR EXISTS(SELECT 1 FROM UNNEST(referenced_tables) ref WHERE ref.dataset_id = 'analytics_259063138')) LIMIT 1</t>
  </si>
  <si>
    <t>196546709</t>
  </si>
  <si>
    <t>DROP DATASET agile-bonbon-662.196546709</t>
  </si>
  <si>
    <t>SELECT COUNT(*), SUM(total_logical_bytes)/1024/1024/1024 as gb, MAX(storage_last_modified_time) FROM `agile-bonbon-662.region-eu.INFORMATION_SCHEMA.TABLE_STORAGE` WHERE table_schema = '196546709'</t>
  </si>
  <si>
    <t>SELECT job_id, user_email FROM `agile-bonbon-662.region-eu.INFORMATION_SCHEMA.JOBS_BY_PROJECT` WHERE creation_time &gt; TIMESTAMP_SUB(CURRENT_TIMESTAMP(), INTERVAL 180 DAY) AND (destination_table.dataset_id = '196546709' OR EXISTS(SELECT 1 FROM UNNEST(referenced_tables) ref WHERE ref.dataset_id = '196546709')) LIMIT 1</t>
  </si>
  <si>
    <t>analytics_294922532</t>
  </si>
  <si>
    <t>Stale Production: Idle 815 days.</t>
  </si>
  <si>
    <t>DROP DATASET agile-bonbon-662.analytics_294922532</t>
  </si>
  <si>
    <t>SELECT COUNT(*), SUM(total_logical_bytes)/1024/1024/1024 as gb, MAX(storage_last_modified_time) FROM `agile-bonbon-662.region-eu.INFORMATION_SCHEMA.TABLE_STORAGE` WHERE table_schema = 'analytics_294922532'</t>
  </si>
  <si>
    <t>SELECT job_id, user_email FROM `agile-bonbon-662.region-eu.INFORMATION_SCHEMA.JOBS_BY_PROJECT` WHERE creation_time &gt; TIMESTAMP_SUB(CURRENT_TIMESTAMP(), INTERVAL 180 DAY) AND (destination_table.dataset_id = 'analytics_294922532' OR EXISTS(SELECT 1 FROM UNNEST(referenced_tables) ref WHERE ref.dataset_id = 'analytics_294922532')) LIMIT 1</t>
  </si>
  <si>
    <t>Region</t>
  </si>
  <si>
    <t>Description</t>
  </si>
  <si>
    <t>Cleanup Priority</t>
  </si>
  <si>
    <t>Days Since Last Activity</t>
  </si>
  <si>
    <t>Days Since Last Modified</t>
  </si>
  <si>
    <t>Last Read Time</t>
  </si>
  <si>
    <t>Last Write Time</t>
  </si>
  <si>
    <t>Last 5 Reads (Who/When)</t>
  </si>
  <si>
    <t>Last 5 Writes (Who/When)</t>
  </si>
  <si>
    <t>Last Storage Update</t>
  </si>
  <si>
    <t>Defensible Deletion Status</t>
  </si>
  <si>
    <t>Original Defensible Deletion Status</t>
  </si>
  <si>
    <t>eu</t>
  </si>
  <si>
    <t>Commercial_Marketing</t>
  </si>
  <si>
    <t>No Description</t>
  </si>
  <si>
    <t>2026-06-24 10:04 (beauty-data@agile-bonbon-662.iam.gserviceaccount.com)
2026-06-24 10:04 (beauty-data@agile-bonbon-662.iam.gserviceaccount.com)
2026-06-24 10:04 (beauty-data@agile-bonbon-662.iam.gserviceaccount.com)
2026-06-24 10:01 (beauty-data@agile-bonbon-662.iam.gserviceaccount.com)
2026-06-24 07:06 (beauty-data@agile-bonbon-662.iam.gserviceaccount.com)</t>
  </si>
  <si>
    <t>2026-06-24 05:47 (beauty-data@agile-bonbon-662.iam.gserviceaccount.com)
2026-06-24 05:46 (beauty-data@agile-bonbon-662.iam.gserviceaccount.com)
2026-06-24 05:46 (beauty-data@agile-bonbon-662.iam.gserviceaccount.com)
2026-06-24 05:46 (beauty-data@agile-bonbon-662.iam.gserviceaccount.com)
2026-06-24 05:16 (sa-bpswcbdsql01@thg-beauty.iam.gserviceaccount.com)</t>
  </si>
  <si>
    <t>CONFIRMED: NO MODS &gt; 1YR</t>
  </si>
  <si>
    <t>Site_Reporting</t>
  </si>
  <si>
    <t>2026-06-24 10:42 (vy.nguyen12@thehutgroup.com)
2026-06-24 10:41 (vy.nguyen12@thehutgroup.com)
2026-06-24 10:37 (vy.nguyen12@thehutgroup.com)
2026-06-24 10:36 (vy.nguyen12@thehutgroup.com)
2026-06-24 10:36 (vy.nguyen12@thehutgroup.com)</t>
  </si>
  <si>
    <t>2026-06-24 10:28 (sa-bpswcbdsql01@thg-beauty.iam.gserviceaccount.com)
2026-06-24 10:28 (sa-bpswcbdsql01@thg-beauty.iam.gserviceaccount.com)
2026-06-24 10:28 (sa-bpswcbdsql01@thg-beauty.iam.gserviceaccount.com)
2026-06-24 10:27 (sa-bpswcbdsql01@thg-beauty.iam.gserviceaccount.com)
2026-06-24 10:27 (sa-bpswcbdsql01@thg-beauty.iam.gserviceaccount.com)</t>
  </si>
  <si>
    <t>beauty_email</t>
  </si>
  <si>
    <t>2026-06-24 09:40 (amalu.thevalakara21@thg.com)
2026-06-24 09:33 (shilpa.veedu03@thg.com)
2026-06-24 09:33 (shilpa.veedu03@thg.com)
2026-06-24 09:33 (shilpa.veedu03@thg.com)
2026-06-24 09:33 (shilpa.veedu03@thg.com)</t>
  </si>
  <si>
    <t>2026-06-24 06:30 (amalu.thevalakara21@thg.com)
2026-06-24 02:39 (sa-bpswcbdsql01@thg-beauty.iam.gserviceaccount.com)
2026-06-24 02:39 (sa-bpswcbdsql01@thg-beauty.iam.gserviceaccount.com)
2026-06-24 02:39 (sa-bpswcbdsql01@thg-beauty.iam.gserviceaccount.com)
2026-06-24 02:39 (sa-bpswcbdsql01@thg-beauty.iam.gserviceaccount.com)</t>
  </si>
  <si>
    <t>REVIEW</t>
  </si>
  <si>
    <t>Merch</t>
  </si>
  <si>
    <t>2026-06-24 08:25 (beauty-data@agile-bonbon-662.iam.gserviceaccount.com)
2026-06-24 08:14 (beauty-data@agile-bonbon-662.iam.gserviceaccount.com)
2026-06-24 08:14 (beauty-data@agile-bonbon-662.iam.gserviceaccount.com)
2026-06-24 08:09 (haleema.anbreen45@thg.com)
2026-06-24 08:04 (beauty-data@agile-bonbon-662.iam.gserviceaccount.com)</t>
  </si>
  <si>
    <t>2026-06-24 07:49 (beauty-data@agile-bonbon-662.iam.gserviceaccount.com)
2026-06-24 07:48 (beauty-data@agile-bonbon-662.iam.gserviceaccount.com)
2026-06-24 07:48 (beauty-data@agile-bonbon-662.iam.gserviceaccount.com)
2026-06-24 07:48 (beauty-data@agile-bonbon-662.iam.gserviceaccount.com)
2026-06-24 07:45 (beauty-data@agile-bonbon-662.iam.gserviceaccount.com)</t>
  </si>
  <si>
    <t>Workspace_Sandbox</t>
  </si>
  <si>
    <t>2026-06-24 10:49 (vy.nguyen12@thehutgroup.com)
2026-06-24 10:42 (vy.nguyen12@thehutgroup.com)
2026-06-24 10:41 (vy.nguyen12@thehutgroup.com)
2026-06-24 10:37 (vy.nguyen12@thehutgroup.com)
2026-06-24 10:36 (vy.nguyen12@thehutgroup.com)</t>
  </si>
  <si>
    <t>2026-06-24 09:22 (aakash.kalantre61@thehutgroup.com)
2026-06-24 09:22 (aakash.kalantre61@thehutgroup.com)
2026-06-24 06:16 (amalu.thevalakara21@thg.com)
2026-06-24 06:10 (amalu.thevalakara21@thg.com)
2026-06-24 06:01 (aakash.kalantre61@thehutgroup.com)</t>
  </si>
  <si>
    <t>Merch_WSSI</t>
  </si>
  <si>
    <t>2026-06-24 08:04 (beauty-data@agile-bonbon-662.iam.gserviceaccount.com)
2026-06-24 07:31 (beauty-data@agile-bonbon-662.iam.gserviceaccount.com)
2026-06-24 07:31 (beauty-data@agile-bonbon-662.iam.gserviceaccount.com)
2026-06-24 07:27 (beauty-data@agile-bonbon-662.iam.gserviceaccount.com)
2026-06-24 07:27 (beauty-data@agile-bonbon-662.iam.gserviceaccount.com)</t>
  </si>
  <si>
    <t>2026-06-24 07:06 (beauty-data@agile-bonbon-662.iam.gserviceaccount.com)
2026-06-24 06:52 (haleema.anbreen45@thg.com)
2026-06-24 06:47 (haleema.anbreen45@thg.com)
2026-06-24 05:11 (sa-bpswcbdsql01@thg-beauty.iam.gserviceaccount.com)
2026-06-24 05:00 (sa-bpswcbdsql01@thg-beauty.iam.gserviceaccount.com)</t>
  </si>
  <si>
    <t>SUBS</t>
  </si>
  <si>
    <t>2026-06-24 10:25 (sa-bpswcbdsql01@thg-beauty.iam.gserviceaccount.com)
2026-06-24 09:43 (aakash.kalantre61@thehutgroup.com)
2026-06-24 09:41 (aakash.kalantre61@thehutgroup.com)
2026-06-24 09:41 (aakash.kalantre61@thehutgroup.com)
2026-06-24 09:40 (aakash.kalantre61@thehutgroup.com)</t>
  </si>
  <si>
    <t>2026-06-24 05:02 (sa-bpswcbdsql01@thg-beauty.iam.gserviceaccount.com)
2026-06-24 05:02 (sa-bpswcbdsql01@thg-beauty.iam.gserviceaccount.com)
2026-06-24 05:02 (sa-bpswcbdsql01@thg-beauty.iam.gserviceaccount.com)
2026-06-24 05:02 (sa-bpswcbdsql01@thg-beauty.iam.gserviceaccount.com)
2026-06-24 05:02 (sa-bpswcbdsql01@thg-beauty.iam.gserviceaccount.com)</t>
  </si>
  <si>
    <t>Dataform_Sandbox</t>
  </si>
  <si>
    <t>2026-06-24 04:12 (Liam.Lim79@thg.com)
2026-06-24 02:50 (sa-bpswcbdsql01@thg-beauty.iam.gserviceaccount.com)
2026-06-24 02:50 (sa-bpswcbdsql01@thg-beauty.iam.gserviceaccount.com)
2026-06-24 02:36 (sa-bpswcbdsql01@thg-beauty.iam.gserviceaccount.com)
2026-06-24 02:36 (sa-bpswcbdsql01@thg-beauty.iam.gserviceaccount.com)</t>
  </si>
  <si>
    <t>2026-06-24 02:36 (sa-bpswcbdsql01@thg-beauty.iam.gserviceaccount.com)
2026-06-24 02:35 (sa-bpswcbdsql01@thg-beauty.iam.gserviceaccount.com)
2026-06-24 02:28 (sa-bpswcbdsql01@thg-beauty.iam.gserviceaccount.com)
2026-06-24 02:28 (sa-bpswcbdsql01@thg-beauty.iam.gserviceaccount.com)
2026-06-24 02:28 (sa-bpswcbdsql01@thg-beauty.iam.gserviceaccount.com)</t>
  </si>
  <si>
    <t>Traffic_Data</t>
  </si>
  <si>
    <t>2026-06-24 02:23 (sa-bpswcbdsql01@thg-beauty.iam.gserviceaccount.com)
2026-06-24 02:23 (sa-bpswcbdsql01@thg-beauty.iam.gserviceaccount.com)
2026-06-24 02:23 (sa-bpswcbdsql01@thg-beauty.iam.gserviceaccount.com)
2026-06-24 02:23 (sa-bpswcbdsql01@thg-beauty.iam.gserviceaccount.com)
2026-06-24 02:23 (sa-bpswcbdsql01@thg-beauty.iam.gserviceaccount.com)</t>
  </si>
  <si>
    <t>Retention</t>
  </si>
  <si>
    <t>2026-06-24 10:09 (beauty-data@agile-bonbon-662.iam.gserviceaccount.com)
2026-06-24 10:05 (beauty-data@agile-bonbon-662.iam.gserviceaccount.com)
2026-06-24 10:05 (beauty-data@agile-bonbon-662.iam.gserviceaccount.com)
2026-06-24 10:05 (beauty-data@agile-bonbon-662.iam.gserviceaccount.com)
2026-06-24 10:05 (beauty-data@agile-bonbon-662.iam.gserviceaccount.com)</t>
  </si>
  <si>
    <t>2026-06-24 07:30 (Liam.Lim79@thg.com)
2026-06-24 06:15 (amalu.thevalakara21@thg.com)
2026-06-24 06:15 (amalu.thevalakara21@thg.com)
2026-06-24 06:10 (amalu.thevalakara21@thg.com)
2026-06-24 05:12 (sa-bpswcbdsql01@thg-beauty.iam.gserviceaccount.com)</t>
  </si>
  <si>
    <t>Foundation_Finder</t>
  </si>
  <si>
    <t>2026-06-24 08:03 (beauty-data@agile-bonbon-662.iam.gserviceaccount.com)
2026-06-24 08:03 (beauty-data@agile-bonbon-662.iam.gserviceaccount.com)
2026-06-24 08:03 (beauty-data@agile-bonbon-662.iam.gserviceaccount.com)
2026-06-24 08:03 (beauty-data@agile-bonbon-662.iam.gserviceaccount.com)
2026-06-24 08:02 (beauty-data@agile-bonbon-662.iam.gserviceaccount.com)</t>
  </si>
  <si>
    <t>2026-06-24 02:34 (sa-bpswcbdsql01@thg-beauty.iam.gserviceaccount.com)
2026-06-24 02:34 (sa-bpswcbdsql01@thg-beauty.iam.gserviceaccount.com)
2026-06-24 02:34 (sa-bpswcbdsql01@thg-beauty.iam.gserviceaccount.com)
2026-06-24 02:34 (sa-bpswcbdsql01@thg-beauty.iam.gserviceaccount.com)
2026-06-24 02:34 (sa-bpswcbdsql01@thg-beauty.iam.gserviceaccount.com)</t>
  </si>
  <si>
    <t>Category_KPI</t>
  </si>
  <si>
    <t>2026-06-24 09:03 (jasmin.cengeloglu96@thehutgroup.com)
2026-06-24 07:03 (beauty-data@agile-bonbon-662.iam.gserviceaccount.com)
2026-06-24 07:03 (beauty-data@agile-bonbon-662.iam.gserviceaccount.com)
2026-06-24 06:19 (beauty-data@agile-bonbon-662.iam.gserviceaccount.com)
2026-06-24 06:03 (beauty-data@agile-bonbon-662.iam.gserviceaccount.com)</t>
  </si>
  <si>
    <t>2026-06-24 02:54 (sa-bpswcbdsql01@thg-beauty.iam.gserviceaccount.com)
2026-06-24 02:54 (sa-bpswcbdsql01@thg-beauty.iam.gserviceaccount.com)
2026-06-24 02:51 (sa-bpswcbdsql01@thg-beauty.iam.gserviceaccount.com)
2026-06-24 02:51 (sa-bpswcbdsql01@thg-beauty.iam.gserviceaccount.com)
2026-06-24 02:51 (sa-bpswcbdsql01@thg-beauty.iam.gserviceaccount.com)</t>
  </si>
  <si>
    <t>Beauty_Loyalty</t>
  </si>
  <si>
    <t>2026-06-24 10:25 (sa-bpswcbdsql01@thg-beauty.iam.gserviceaccount.com)
2026-06-24 10:25 (sa-bpswcbdsql01@thg-beauty.iam.gserviceaccount.com)
2026-06-24 09:25 (sa-bpswcbdsql01@thg-beauty.iam.gserviceaccount.com)
2026-06-24 09:25 (sa-bpswcbdsql01@thg-beauty.iam.gserviceaccount.com)
2026-06-24 08:25 (sa-bpswcbdsql01@thg-beauty.iam.gserviceaccount.com)</t>
  </si>
  <si>
    <t>2026-06-24 02:30 (sa-bpswcbdsql01@thg-beauty.iam.gserviceaccount.com)
2026-06-24 02:28 (sa-bpswcbdsql01@thg-beauty.iam.gserviceaccount.com)
2026-06-24 02:28 (sa-bpswcbdsql01@thg-beauty.iam.gserviceaccount.com)
2026-06-24 02:28 (sa-bpswcbdsql01@thg-beauty.iam.gserviceaccount.com)
2026-06-24 02:28 (sa-bpswcbdsql01@thg-beauty.iam.gserviceaccount.com)</t>
  </si>
  <si>
    <t>Beauty_Data</t>
  </si>
  <si>
    <t>2026-06-24 07:05 (beauty-data@agile-bonbon-662.iam.gserviceaccount.com)
2026-06-24 07:05 (beauty-data@agile-bonbon-662.iam.gserviceaccount.com)
2026-06-24 07:05 (beauty-data@agile-bonbon-662.iam.gserviceaccount.com)
2026-06-24 07:05 (beauty-data@agile-bonbon-662.iam.gserviceaccount.com)
2026-06-24 07:01 (vy.nguyen12@thehutgroup.com)</t>
  </si>
  <si>
    <t>Customer_Segmentations</t>
  </si>
  <si>
    <t>2026-06-24 09:33 (shilpa.veedu03@thg.com)
2026-06-24 09:33 (shilpa.veedu03@thg.com)
2026-06-24 09:33 (shilpa.veedu03@thg.com)
2026-06-24 09:33 (shilpa.veedu03@thg.com)
2026-06-24 09:33 (shilpa.veedu03@thg.com)</t>
  </si>
  <si>
    <t>2026-06-24 08:03 (aakash.kalantre61@thehutgroup.com)
2026-06-24 08:03 (aakash.kalantre61@thehutgroup.com)
2026-06-24 08:03 (aakash.kalantre61@thehutgroup.com)
2026-06-24 08:02 (aakash.kalantre61@thehutgroup.com)
2026-06-24 08:02 (aakash.kalantre61@thehutgroup.com)</t>
  </si>
  <si>
    <t>category_cross_sell</t>
  </si>
  <si>
    <t>2026-06-24 03:07 (beauty-data@agile-bonbon-662.iam.gserviceaccount.com)
2026-06-24 03:07 (beauty-data@agile-bonbon-662.iam.gserviceaccount.com)
2026-06-24 03:03 (beauty-data@agile-bonbon-662.iam.gserviceaccount.com)
2026-06-24 02:32 (sa-bpswcbdsql01@thg-beauty.iam.gserviceaccount.com)
2026-06-24 02:32 (sa-bpswcbdsql01@thg-beauty.iam.gserviceaccount.com)</t>
  </si>
  <si>
    <t>2026-06-24 02:32 (sa-bpswcbdsql01@thg-beauty.iam.gserviceaccount.com)
2026-06-24 02:32 (sa-bpswcbdsql01@thg-beauty.iam.gserviceaccount.com)
2026-06-24 02:32 (sa-bpswcbdsql01@thg-beauty.iam.gserviceaccount.com)
2026-06-24 02:32 (sa-bpswcbdsql01@thg-beauty.iam.gserviceaccount.com)
2026-06-24 02:32 (sa-bpswcbdsql01@thg-beauty.iam.gserviceaccount.com)</t>
  </si>
  <si>
    <t>customer_base_health_backup</t>
  </si>
  <si>
    <t>2026-06-18 10:25 (jasmin.cengeloglu96@thehutgroup.com)
2026-06-18 09:21 (jasmin.cengeloglu96@thehutgroup.com)
2026-06-18 09:14 (jasmin.cengeloglu96@thehutgroup.com)
2026-06-18 08:47 (jasmin.cengeloglu96@thehutgroup.com)
2026-06-18 08:36 (jasmin.cengeloglu96@thehutgroup.com)</t>
  </si>
  <si>
    <t>2026-06-15 10:58 (jasmin.cengeloglu96@thehutgroup.com)
2026-06-15 10:58 (jasmin.cengeloglu96@thehutgroup.com)
2026-06-15 10:58 (jasmin.cengeloglu96@thehutgroup.com)
2026-06-15 10:58 (jasmin.cengeloglu96@thehutgroup.com)
2026-06-15 10:58 (jasmin.cengeloglu96@thehutgroup.com)</t>
  </si>
  <si>
    <t>customer_base_health</t>
  </si>
  <si>
    <t>2026-06-18 11:18 (jasmin.cengeloglu96@thehutgroup.com)
2026-06-18 11:18 (jasmin.cengeloglu96@thehutgroup.com)
2026-06-18 11:04 (jasmin.cengeloglu96@thehutgroup.com)
2026-06-18 11:03 (jasmin.cengeloglu96@thehutgroup.com)
2026-06-18 11:02 (jasmin.cengeloglu96@thehutgroup.com)</t>
  </si>
  <si>
    <t>2026-06-18 10:35 (jasmin.cengeloglu96@thehutgroup.com)
2026-06-18 10:35 (jasmin.cengeloglu96@thehutgroup.com)
2026-06-18 10:35 (jasmin.cengeloglu96@thehutgroup.com)
2026-06-18 10:35 (jasmin.cengeloglu96@thehutgroup.com)
2026-06-18 10:35 (jasmin.cengeloglu96@thehutgroup.com)</t>
  </si>
  <si>
    <t>Replicated</t>
  </si>
  <si>
    <t>2026-06-24 10:25 (sa-bpswcbdsql01@thg-beauty.iam.gserviceaccount.com)
2026-06-24 10:01 (beauty-data@agile-bonbon-662.iam.gserviceaccount.com)
2026-06-24 10:01 (beauty-data@agile-bonbon-662.iam.gserviceaccount.com)
2026-06-24 09:25 (sa-bpswcbdsql01@thg-beauty.iam.gserviceaccount.com)
2026-06-24 08:25 (sa-bpswcbdsql01@thg-beauty.iam.gserviceaccount.com)</t>
  </si>
  <si>
    <t>2026-06-24 07:00 (vy.nguyen12@thehutgroup.com)
2026-06-24 07:00 (vy.nguyen12@thehutgroup.com)
2026-06-24 01:44 (beauty-data@agile-bonbon-662.iam.gserviceaccount.com)
2026-06-24 01:43 (beauty-data@agile-bonbon-662.iam.gserviceaccount.com)
2026-06-24 01:43 (beauty-data@agile-bonbon-662.iam.gserviceaccount.com)</t>
  </si>
  <si>
    <t>affinity_report</t>
  </si>
  <si>
    <t>2026-06-24 05:37 (aryagoc@thehutgroup.com)
2026-06-24 05:27 (beauty-data@agile-bonbon-662.iam.gserviceaccount.com)
2026-06-24 05:27 (beauty-data@agile-bonbon-662.iam.gserviceaccount.com)
2026-06-24 05:21 (beauty-data@agile-bonbon-662.iam.gserviceaccount.com)
2026-06-24 05:18 (beauty-data@agile-bonbon-662.iam.gserviceaccount.com)</t>
  </si>
  <si>
    <t>2026-06-24 02:39 (sa-bpswcbdsql01@thg-beauty.iam.gserviceaccount.com)
2026-06-24 02:39 (sa-bpswcbdsql01@thg-beauty.iam.gserviceaccount.com)
2026-06-24 02:29 (sa-bpswcbdsql01@thg-beauty.iam.gserviceaccount.com)
2026-06-24 02:29 (sa-bpswcbdsql01@thg-beauty.iam.gserviceaccount.com)
2026-06-24 02:29 (sa-bpswcbdsql01@thg-beauty.iam.gserviceaccount.com)</t>
  </si>
  <si>
    <t>Cyber_Reporting</t>
  </si>
  <si>
    <t>2026-06-24 05:30 (ravi.subramaniam04@thehutgroup.com)
2026-06-24 05:30 (ravi.subramaniam04@thehutgroup.com)
2026-06-24 05:30 (ravi.subramaniam04@thehutgroup.com)
2026-06-23 05:30 (ravi.subramaniam04@thehutgroup.com)
2026-06-23 05:30 (ravi.subramaniam04@thehutgroup.com)</t>
  </si>
  <si>
    <t>2026-01-09 11:40 (beauty-data@agile-bonbon-662.iam.gserviceaccount.com)
2026-01-09 11:40 (beauty-data@agile-bonbon-662.iam.gserviceaccount.com)
2026-01-09 11:40 (beauty-data@agile-bonbon-662.iam.gserviceaccount.com)
2026-01-09 11:40 (beauty-data@agile-bonbon-662.iam.gserviceaccount.com)
2026-01-09 11:40 (beauty-data@agile-bonbon-662.iam.gserviceaccount.com)</t>
  </si>
  <si>
    <t>Buyers_Daily_Sales</t>
  </si>
  <si>
    <t>2026-06-24 09:03 (jasmin.cengeloglu96@thehutgroup.com)
2026-06-24 07:27 (beauty-data@agile-bonbon-662.iam.gserviceaccount.com)
2026-06-24 05:16 (sa-bpswcbdsql01@thg-beauty.iam.gserviceaccount.com)
2026-06-24 05:16 (sa-bpswcbdsql01@thg-beauty.iam.gserviceaccount.com)
2026-06-24 05:11 (sa-bpswcbdsql01@thg-beauty.iam.gserviceaccount.com)</t>
  </si>
  <si>
    <t>2026-06-24 02:53 (sa-bpswcbdsql01@thg-beauty.iam.gserviceaccount.com)
2026-06-24 02:51 (sa-bpswcbdsql01@thg-beauty.iam.gserviceaccount.com)
2026-06-24 02:51 (sa-bpswcbdsql01@thg-beauty.iam.gserviceaccount.com)
2026-06-24 02:20 (sa-bpswcbdsql01@thg-beauty.iam.gserviceaccount.com)
2026-06-24 02:20 (sa-bpswcbdsql01@thg-beauty.iam.gserviceaccount.com)</t>
  </si>
  <si>
    <t>Special_Offers</t>
  </si>
  <si>
    <t>2026-06-24 07:12 (clare.isakson58@thehutgroup.com)
2026-06-24 07:08 (beauty-data@agile-bonbon-662.iam.gserviceaccount.com)
2026-06-24 07:07 (beauty-data@agile-bonbon-662.iam.gserviceaccount.com)
2026-06-24 07:00 (clare.isakson58@thehutgroup.com)
2026-06-24 03:55 (shilpa.veedu03@thg.com)</t>
  </si>
  <si>
    <t>2026-06-24 02:35 (sa-bpswcbdsql01@thg-beauty.iam.gserviceaccount.com)
2026-06-24 02:35 (sa-bpswcbdsql01@thg-beauty.iam.gserviceaccount.com)
2026-06-24 02:35 (sa-bpswcbdsql01@thg-beauty.iam.gserviceaccount.com)
2026-06-24 02:35 (sa-bpswcbdsql01@thg-beauty.iam.gserviceaccount.com)
2026-06-24 02:35 (sa-bpswcbdsql01@thg-beauty.iam.gserviceaccount.com)</t>
  </si>
  <si>
    <t>Category_Strat</t>
  </si>
  <si>
    <t>2026-06-24 07:55 (jasmin.cengeloglu96@thehutgroup.com)
2026-06-24 07:49 (jasmin.cengeloglu96@thehutgroup.com)
2026-06-24 07:26 (jasmin.cengeloglu96@thehutgroup.com)
2026-06-24 06:48 (beauty-data@agile-bonbon-662.iam.gserviceaccount.com)
2026-06-24 06:40 (beauty-data@agile-bonbon-662.iam.gserviceaccount.com)</t>
  </si>
  <si>
    <t>2026-06-24 07:49 (jasmin.cengeloglu96@thehutgroup.com)
2026-06-24 02:59 (sa-bpswcbdsql01@thg-beauty.iam.gserviceaccount.com)
2026-06-24 02:59 (sa-bpswcbdsql01@thg-beauty.iam.gserviceaccount.com)
2026-06-24 02:59 (sa-bpswcbdsql01@thg-beauty.iam.gserviceaccount.com)
2026-06-24 02:59 (sa-bpswcbdsql01@thg-beauty.iam.gserviceaccount.com)</t>
  </si>
  <si>
    <t>global_brand_shift</t>
  </si>
  <si>
    <t>2026-06-24 09:05 (jasmin.cengeloglu96@thehutgroup.com)
2026-06-24 09:05 (jasmin.cengeloglu96@thehutgroup.com)
2026-06-24 09:05 (jasmin.cengeloglu96@thehutgroup.com)
2026-06-24 09:05 (jasmin.cengeloglu96@thehutgroup.com)
2026-06-24 09:05 (jasmin.cengeloglu96@thehutgroup.com)</t>
  </si>
  <si>
    <t>2026-06-24 09:05 (jasmin.cengeloglu96@thehutgroup.com)
2026-06-24 09:05 (jasmin.cengeloglu96@thehutgroup.com)
2026-06-24 09:04 (jasmin.cengeloglu96@thehutgroup.com)
2026-06-24 09:04 (jasmin.cengeloglu96@thehutgroup.com)
2026-06-24 09:04 (jasmin.cengeloglu96@thehutgroup.com)</t>
  </si>
  <si>
    <t>logistics__permanent</t>
  </si>
  <si>
    <t>2026-01-05 11:07 (laid@thehutgroup.com)
2026-01-05 09:09 (logistics@thg-ml-dev.iam.gserviceaccount.com)
2026-01-05 09:09 (logistics@thg-ml-dev.iam.gserviceaccount.com)
2026-01-05 09:03 (logistics@thg-ml-dev.iam.gserviceaccount.com)
2026-01-05 09:03 (logistics@thg-ml-dev.iam.gserviceaccount.com)</t>
  </si>
  <si>
    <t>2026-01-05 09:09 (logistics@thg-ml-dev.iam.gserviceaccount.com)
2026-01-05 09:09 (logistics@thg-ml-dev.iam.gserviceaccount.com)</t>
  </si>
  <si>
    <t>geekplus_sku_classification</t>
  </si>
  <si>
    <t>2026-01-05 11:01 (laid@thehutgroup.com)
2026-01-05 10:33 (laid@thehutgroup.com)</t>
  </si>
  <si>
    <t>No Write Access (180d)</t>
  </si>
  <si>
    <t>thg-ml-staging</t>
  </si>
  <si>
    <t>autostore_simulator</t>
  </si>
  <si>
    <t>2026-01-08 11:12 (ml-spaces@thg-ml-staging.iam.gserviceaccount.com)
2026-01-08 11:12 (ml-spaces@thg-ml-staging.iam.gserviceaccount.com)
2026-01-08 11:12 (ml-spaces@thg-ml-staging.iam.gserviceaccount.com)
2026-01-08 11:12 (ml-spaces@thg-ml-staging.iam.gserviceaccount.com)
2026-01-08 11:12 (ml-spaces@thg-ml-staging.iam.gserviceaccount.com)</t>
  </si>
  <si>
    <t>THG_Content_Details</t>
  </si>
  <si>
    <t>2026-01-19 05:05 (central-marketing-credentials@thg-central-marketing.iam.gserviceaccount.com)
2026-01-19 05:05 (central-marketing-credentials@thg-central-marketing.iam.gserviceaccount.com)
2026-01-19 05:05 (central-marketing-credentials@thg-central-marketing.iam.gserviceaccount.com)
2026-01-17 05:05 (central-marketing-credentials@thg-central-marketing.iam.gserviceaccount.com)
2026-01-17 05:05 (central-marketing-credentials@thg-central-marketing.iam.gserviceaccount.com)</t>
  </si>
  <si>
    <t>2026-01-19 07:52 (central-marketing-credentials@thg-central-marketing.iam.gserviceaccount.com)
2026-01-18 07:52 (central-marketing-credentials@thg-central-marketing.iam.gserviceaccount.com)
2026-01-17 07:52 (central-marketing-credentials@thg-central-marketing.iam.gserviceaccount.com)
2026-01-16 07:52 (central-marketing-credentials@thg-central-marketing.iam.gserviceaccount.com)
2026-01-15 07:52 (central-marketing-credentials@thg-central-marketing.iam.gserviceaccount.com)</t>
  </si>
  <si>
    <t>analytics_351380246</t>
  </si>
  <si>
    <t>2026-01-23 10:03 (ga4-sessions-level-1-ingenuity@thg-ingenuity.iam.gserviceaccount.com)
2026-01-22 22:03 (ga4-sessions-level-1-ingenuity@thg-ingenuity.iam.gserviceaccount.com)
2026-01-22 20:03 (ga4-sessions-level-1-ingenuity@thg-ingenuity.iam.gserviceaccount.com)
2026-01-20 10:03 (ga4-sessions-level-1-ingenuity@thg-ingenuity.iam.gserviceaccount.com)
2026-01-19 14:04 (ga4-sessions-level-1-ingenuity@thg-ingenuity.iam.gserviceaccount.com)</t>
  </si>
  <si>
    <t>2026-01-23 08:50 (firebase-measurement@system.gserviceaccount.com)
2026-01-20 08:57 (firebase-measurement@system.gserviceaccount.com)
2026-01-19 09:39 (firebase-measurement@system.gserviceaccount.com)
2026-01-18 08:31 (firebase-measurement@system.gserviceaccount.com)
2026-01-17 09:04 (firebase-measurement@system.gserviceaccount.com)</t>
  </si>
  <si>
    <t>bulk_load</t>
  </si>
  <si>
    <t>2026-01-27 19:42 (whitejo@thehutgroup.com)
2026-01-27 19:34 (whitejo@thehutgroup.com)
2026-01-27 19:34 (whitejo@thehutgroup.com)
2026-01-27 19:31 (whitejo@thehutgroup.com)
2026-01-27 18:25 (whitejo@thehutgroup.com)</t>
  </si>
  <si>
    <t>2026-01-27 19:42 (whitejo@thehutgroup.com)
2026-01-27 19:42 (whitejo@thehutgroup.com)
2026-01-27 19:40 (whitejo@thehutgroup.com)
2026-01-27 19:34 (whitejo@thehutgroup.com)
2026-01-27 19:31 (whitejo@thehutgroup.com)</t>
  </si>
  <si>
    <t>analytics_376106118</t>
  </si>
  <si>
    <t>No Read Access (180d)</t>
  </si>
  <si>
    <t>2026-02-11 09:32 (firebase-measurement@system.gserviceaccount.com)</t>
  </si>
  <si>
    <t>product_gen__permanent</t>
  </si>
  <si>
    <t>2026-02-19 11:34 (marije.vanhattum74@thehutgroup.com)
2026-02-19 11:23 (marije.vanhattum74@thehutgroup.com)
2026-02-19 11:23 (marije.vanhattum74@thehutgroup.com)
2026-02-19 11:21 (marije.vanhattum74@thehutgroup.com)
2026-02-19 11:21 (marije.vanhattum74@thehutgroup.com)</t>
  </si>
  <si>
    <t>2026-02-19 11:23 (marije.vanhattum74@thehutgroup.com)
2026-02-19 11:21 (marije.vanhattum74@thehutgroup.com)
2026-02-19 11:21 (marije.vanhattum74@thehutgroup.com)
2026-02-19 11:21 (marije.vanhattum74@thehutgroup.com)
2026-02-19 11:21 (marije.vanhattum74@thehutgroup.com)</t>
  </si>
  <si>
    <t>brand_packs</t>
  </si>
  <si>
    <t>2026-06-23 12:14 (oksana.zherebetska23@thg.com)
2026-06-23 12:14 (oksana.zherebetska23@thg.com)
2026-06-23 11:37 (oksana.zherebetska23@thg.com)
2026-06-23 11:37 (oksana.zherebetska23@thg.com)
2026-06-23 11:35 (oksana.zherebetska23@thg.com)</t>
  </si>
  <si>
    <t>2026-06-24 06:00 (jasmin.cengeloglu96@thehutgroup.com)
2026-06-24 06:00 (jasmin.cengeloglu96@thehutgroup.com)
2026-06-24 06:00 (jasmin.cengeloglu96@thehutgroup.com)
2026-06-24 06:00 (jasmin.cengeloglu96@thehutgroup.com)
2026-06-24 06:00 (jasmin.cengeloglu96@thehutgroup.com)</t>
  </si>
  <si>
    <t>thg-finops-prod</t>
  </si>
  <si>
    <t>europe-west2</t>
  </si>
  <si>
    <t>finops_recommendations</t>
  </si>
  <si>
    <t>Terraform managed.</t>
  </si>
  <si>
    <t>2026-02-24 08:59 (alan.dodd82@thgingenuity.com)
2026-02-17 09:12 (alan.dodd82@thgingenuity.com)</t>
  </si>
  <si>
    <t>audit_logs</t>
  </si>
  <si>
    <t>2026-02-24 08:59 (alan.dodd82@thgingenuity.com)
2026-02-23 12:15 (alan.dodd82@thgingenuity.com)
2026-02-23 12:15 (alan.dodd82@thgingenuity.com)</t>
  </si>
  <si>
    <t>Product_Replen</t>
  </si>
  <si>
    <t>2026-06-22 11:11 (clare.isakson58@thehutgroup.com)
2026-06-22 11:06 (clare.isakson58@thehutgroup.com)
2026-06-21 11:11 (clare.isakson58@thehutgroup.com)
2026-06-21 11:05 (clare.isakson58@thehutgroup.com)
2026-06-19 11:06 (clare.isakson58@thehutgroup.com)</t>
  </si>
  <si>
    <t>2026-05-13 09:19 (clare.isakson58@thehutgroup.com)
2026-05-13 09:19 (clare.isakson58@thehutgroup.com)
2026-05-13 09:19 (clare.isakson58@thehutgroup.com)
2026-05-13 09:19 (clare.isakson58@thehutgroup.com)
2026-03-23 14:03 (clare.isakson58@thehutgroup.com)</t>
  </si>
  <si>
    <t>CustomerInsights_Deepdive_Segmentation</t>
  </si>
  <si>
    <t>2026-02-28 01:00 (aikenc@thehutgroup.com)
2026-02-28 01:00 (aikenc@thehutgroup.com)
2026-02-27 23:10 (aikenc@thehutgroup.com)
2026-02-27 01:00 (aikenc@thehutgroup.com)
2026-02-27 01:00 (aikenc@thehutgroup.com)</t>
  </si>
  <si>
    <t>2026-02-28 01:00 (aikenc@thehutgroup.com)
2026-02-27 23:10 (aikenc@thehutgroup.com)
2026-02-27 23:00 (aikenc@thehutgroup.com)
2026-02-27 01:00 (aikenc@thehutgroup.com)
2026-02-26 23:10 (aikenc@thehutgroup.com)</t>
  </si>
  <si>
    <t>01_Fidelia</t>
  </si>
  <si>
    <t>2026-02-27 14:46 (GunawanF@thehutgroup.com)
2026-02-27 05:00 (GunawanF@thehutgroup.com)
2026-02-26 14:46 (GunawanF@thehutgroup.com)
2026-02-26 05:00 (GunawanF@thehutgroup.com)
2026-02-25 14:46 (GunawanF@thehutgroup.com)</t>
  </si>
  <si>
    <t>thg-machine-learning-fraud</t>
  </si>
  <si>
    <t>refunds__permanent</t>
  </si>
  <si>
    <t>2026-03-02 09:56 (ChunYen.Tay15@thehutgroup.com)
2026-03-02 09:55 (ChunYen.Tay15@thehutgroup.com)
2026-03-02 09:55 (ChunYen.Tay15@thehutgroup.com)
2026-03-02 09:55 (ChunYen.Tay15@thehutgroup.com)
2026-03-02 09:53 (ChunYen.Tay15@thehutgroup.com)</t>
  </si>
  <si>
    <t>analytics_315280056</t>
  </si>
  <si>
    <t>2026-03-05 10:03 (ga4-sessions-level-1-ingenuity@thg-ingenuity.iam.gserviceaccount.com)
2026-03-04 10:03 (ga4-sessions-level-1-ingenuity@thg-ingenuity.iam.gserviceaccount.com)
2026-03-03 10:03 (ga4-sessions-level-1-ingenuity@thg-ingenuity.iam.gserviceaccount.com)
2026-03-02 10:03 (ga4-sessions-level-1-ingenuity@thg-ingenuity.iam.gserviceaccount.com)
2026-03-01 08:03 (ga4-sessions-level-1-ingenuity@thg-ingenuity.iam.gserviceaccount.com)</t>
  </si>
  <si>
    <t>2026-03-05 08:43 (firebase-measurement@system.gserviceaccount.com)
2026-03-04 08:11 (firebase-measurement@system.gserviceaccount.com)
2026-03-03 09:12 (firebase-measurement@system.gserviceaccount.com)
2026-03-02 08:24 (firebase-measurement@system.gserviceaccount.com)
2026-03-01 07:53 (firebase-measurement@system.gserviceaccount.com)</t>
  </si>
  <si>
    <t>analytics_422302097</t>
  </si>
  <si>
    <t>2026-03-06 08:04 (firebase-measurement@system.gserviceaccount.com)
2026-03-05 08:00 (firebase-measurement@system.gserviceaccount.com)
2026-03-04 09:10 (firebase-measurement@system.gserviceaccount.com)
2026-03-03 08:43 (firebase-measurement@system.gserviceaccount.com)
2026-03-02 11:59 (firebase-measurement@system.gserviceaccount.com)</t>
  </si>
  <si>
    <t>Brands_Category</t>
  </si>
  <si>
    <t>2026-06-24 10:46 (chanv@thehutgroup.com)
2026-06-24 10:46 (chanv@thehutgroup.com)
2026-06-24 10:44 (chanv@thehutgroup.com)
2026-06-24 10:44 (chanv@thehutgroup.com)
2026-06-24 10:27 (sa-bpswcbdsql01@thg-beauty.iam.gserviceaccount.com)</t>
  </si>
  <si>
    <t>2026-06-24 02:53 (sa-bpswcbdsql01@thg-beauty.iam.gserviceaccount.com)
2026-06-24 02:53 (sa-bpswcbdsql01@thg-beauty.iam.gserviceaccount.com)
2026-06-24 02:53 (sa-bpswcbdsql01@thg-beauty.iam.gserviceaccount.com)
2026-06-24 02:53 (sa-bpswcbdsql01@thg-beauty.iam.gserviceaccount.com)
2026-06-24 02:53 (sa-bpswcbdsql01@thg-beauty.iam.gserviceaccount.com)</t>
  </si>
  <si>
    <t>thg-finops-nonprod</t>
  </si>
  <si>
    <t>finops_data</t>
  </si>
  <si>
    <t>2026-02-24 09:58 (alan.dodd82@thgingenuity.com)
2026-02-24 09:32 (alan.dodd82@thgingenuity.com)
2026-02-24 08:56 (alan.dodd82@thgingenuity.com)
2026-02-20 18:07 (alan.dodd82@thgingenuity.com)
2026-02-20 18:07 (alan.dodd82@thgingenuity.com)</t>
  </si>
  <si>
    <t>2026-02-20 18:09 (alan.dodd82@thgingenuity.com)
2026-02-20 18:09 (alan.dodd82@thgingenuity.com)
2026-02-20 18:09 (alan.dodd82@thgingenuity.com)
2026-02-20 18:08 (alan.dodd82@thgingenuity.com)
2026-02-20 18:08 (alan.dodd82@thgingenuity.com)</t>
  </si>
  <si>
    <t>parcel_id</t>
  </si>
  <si>
    <t>2026-03-23 09:13 (hicksc@thehutgroup.com)
2026-03-20 14:39 (hicksc@thehutgroup.com)
2026-03-20 14:38 (hicksc@thehutgroup.com)
2026-01-27 11:01 (hicksc@thehutgroup.com)
2026-01-27 11:01 (hicksc@thehutgroup.com)</t>
  </si>
  <si>
    <t>analytics_315289139</t>
  </si>
  <si>
    <t>2026-03-26 08:02 (ga4-sessions-level-1-ingenuity@thg-ingenuity.iam.gserviceaccount.com)
2026-03-25 08:02 (ga4-sessions-level-1-ingenuity@thg-ingenuity.iam.gserviceaccount.com)
2026-03-18 08:02 (ga4-sessions-level-1-ingenuity@thg-ingenuity.iam.gserviceaccount.com)
2026-03-12 08:02 (ga4-sessions-level-1-ingenuity@thg-ingenuity.iam.gserviceaccount.com)
2026-03-10 10:03 (ga4-sessions-level-1-ingenuity@thg-ingenuity.iam.gserviceaccount.com)</t>
  </si>
  <si>
    <t>2026-03-26 07:47 (firebase-measurement@system.gserviceaccount.com)
2026-03-25 07:52 (firebase-measurement@system.gserviceaccount.com)
2026-03-18 07:50 (firebase-measurement@system.gserviceaccount.com)
2026-03-12 07:28 (firebase-measurement@system.gserviceaccount.com)
2026-03-10 08:02 (firebase-measurement@system.gserviceaccount.com)</t>
  </si>
  <si>
    <t>analytics_315279218</t>
  </si>
  <si>
    <t>2026-03-29 08:02 (ga4-sessions-level-1-ingenuity@thg-ingenuity.iam.gserviceaccount.com)
2026-03-25 10:03 (ga4-sessions-level-1-ingenuity@thg-ingenuity.iam.gserviceaccount.com)
2026-03-23 10:03 (ga4-sessions-level-1-ingenuity@thg-ingenuity.iam.gserviceaccount.com)
2026-03-17 10:03 (ga4-sessions-level-1-ingenuity@thg-ingenuity.iam.gserviceaccount.com)
2026-03-15 10:03 (ga4-sessions-level-1-ingenuity@thg-ingenuity.iam.gserviceaccount.com)</t>
  </si>
  <si>
    <t>2026-03-29 07:44 (firebase-measurement@system.gserviceaccount.com)
2026-03-25 08:34 (firebase-measurement@system.gserviceaccount.com)
2026-03-23 08:21 (firebase-measurement@system.gserviceaccount.com)
2026-03-17 09:21 (firebase-measurement@system.gserviceaccount.com)
2026-03-15 08:07 (firebase-measurement@system.gserviceaccount.com)</t>
  </si>
  <si>
    <t>NC_Metrics</t>
  </si>
  <si>
    <t>2026-06-24 07:06 (beauty-data@agile-bonbon-662.iam.gserviceaccount.com)
2026-06-24 07:04 (beauty-data@agile-bonbon-662.iam.gserviceaccount.com)
2026-06-24 02:46 (sa-bpswcbdsql01@thg-beauty.iam.gserviceaccount.com)
2026-06-24 02:43 (sa-bpswcbdsql01@thg-beauty.iam.gserviceaccount.com)
2026-06-24 02:43 (sa-bpswcbdsql01@thg-beauty.iam.gserviceaccount.com)</t>
  </si>
  <si>
    <t>2026-06-24 02:46 (sa-bpswcbdsql01@thg-beauty.iam.gserviceaccount.com)
2026-06-24 02:43 (sa-bpswcbdsql01@thg-beauty.iam.gserviceaccount.com)
2026-06-24 02:43 (sa-bpswcbdsql01@thg-beauty.iam.gserviceaccount.com)
2026-06-24 02:32 (sa-bpswcbdsql01@thg-beauty.iam.gserviceaccount.com)
2026-06-24 02:29 (sa-bpswcbdsql01@thg-beauty.iam.gserviceaccount.com)</t>
  </si>
  <si>
    <t>analytics_330717871</t>
  </si>
  <si>
    <t>2026-04-03 10:03 (ga4-sessions-level-1-ingenuity@thg-ingenuity.iam.gserviceaccount.com)</t>
  </si>
  <si>
    <t>2026-04-03 09:57 (firebase-measurement@system.gserviceaccount.com)</t>
  </si>
  <si>
    <t>2026-01-21 05:56 (atharva.lipare32@thgingenuity.com)
2026-01-21 05:56 (atharva.lipare32@thgingenuity.com)
2026-01-21 05:56 (atharva.lipare32@thgingenuity.com)
2026-01-21 05:56 (atharva.lipare32@thgingenuity.com)
2026-01-21 05:56 (atharva.lipare32@thgingenuity.com)</t>
  </si>
  <si>
    <t>thg-ml-live</t>
  </si>
  <si>
    <t>2026-04-17 10:15 (marije.vanhattum74@thehutgroup.com)
2026-04-17 10:14 (marije.vanhattum74@thehutgroup.com)
2026-01-06 17:55 (product-gen@thg-ml-live.iam.gserviceaccount.com)
2026-01-06 17:55 (product-gen@thg-ml-live.iam.gserviceaccount.com)
2026-01-06 17:55 (product-gen@thg-ml-live.iam.gserviceaccount.com)</t>
  </si>
  <si>
    <t>2026-01-06 17:55 (product-gen@thg-ml-live.iam.gserviceaccount.com)
2026-01-06 17:55 (product-gen@thg-ml-live.iam.gserviceaccount.com)
2026-01-06 17:55 (product-gen@thg-ml-live.iam.gserviceaccount.com)
2026-01-06 17:55 (product-gen@thg-ml-live.iam.gserviceaccount.com)
2026-01-06 17:53 (product-gen@thg-ml-live.iam.gserviceaccount.com)</t>
  </si>
  <si>
    <t>demand_forecasting_gb4_dump</t>
  </si>
  <si>
    <t>2026-04-19 03:28 (vm-service@thg-demand-forecast-dev.iam.gserviceaccount.com)
2026-04-19 03:28 (vm-service@thg-demand-forecast-dev.iam.gserviceaccount.com)
2026-04-19 03:28 (vm-service@thg-demand-forecast-dev.iam.gserviceaccount.com)
2026-04-19 03:28 (vm-service@thg-demand-forecast-dev.iam.gserviceaccount.com)
2026-04-19 03:27 (vm-service@thg-demand-forecast-dev.iam.gserviceaccount.com)</t>
  </si>
  <si>
    <t>2026-03-25 07:16 (atharva.lipare32@thgingenuity.com)
2026-03-24 08:46 (priestleyg@thehutgroup.com)
2026-03-24 08:46 (priestleyg@thehutgroup.com)
2026-03-24 08:45 (priestleyg@thehutgroup.com)
2026-03-24 08:45 (priestleyg@thehutgroup.com)</t>
  </si>
  <si>
    <t>Nielsen_Feed</t>
  </si>
  <si>
    <t>2026-06-24 05:31 (ravi.subramaniam04@thehutgroup.com)
2026-06-24 05:30 (ravi.subramaniam04@thehutgroup.com)
2026-06-23 05:32 (ravi.subramaniam04@thehutgroup.com)
2026-06-23 05:30 (ravi.subramaniam04@thehutgroup.com)
2026-06-22 08:38 (beauty-data@agile-bonbon-662.iam.gserviceaccount.com)</t>
  </si>
  <si>
    <t>2026-06-21 05:30 (ravi.subramaniam04@thehutgroup.com)
2026-06-21 05:30 (ravi.subramaniam04@thehutgroup.com)
2026-06-21 05:30 (ravi.subramaniam04@thehutgroup.com)
2026-06-21 05:30 (ravi.subramaniam04@thehutgroup.com)
2026-06-14 05:30 (ravi.subramaniam04@thehutgroup.com)</t>
  </si>
  <si>
    <t>ml_spaces_v2</t>
  </si>
  <si>
    <t>2026-04-20 11:04 (secera@thehutgroup.com)
2026-04-20 11:01 (secera@thehutgroup.com)
2026-04-20 10:58 (secera@thehutgroup.com)
2026-04-20 10:56 (secera@thehutgroup.com)
2026-04-20 10:54 (secera@thehutgroup.com)</t>
  </si>
  <si>
    <t>ctcl_curated</t>
  </si>
  <si>
    <t>2026-04-20 12:47 (ChunYen.Tay15@thehutgroup.com)
2026-04-20 12:46 (ChunYen.Tay15@thehutgroup.com)
2026-04-20 12:44 (ChunYen.Tay15@thehutgroup.com)</t>
  </si>
  <si>
    <t>Ditto_Society_staging</t>
  </si>
  <si>
    <t>2026-04-21 13:15 (dittwo@thg-influencer.iam.gserviceaccount.com)
2026-04-21 13:15 (dittwo@thg-influencer.iam.gserviceaccount.com)
2026-04-21 13:15 (dittwo@thg-influencer.iam.gserviceaccount.com)
2026-04-21 12:15 (dittwo@thg-influencer.iam.gserviceaccount.com)
2026-04-21 12:15 (dittwo@thg-influencer.iam.gserviceaccount.com)</t>
  </si>
  <si>
    <t>demand_forecasting_gb5_dump</t>
  </si>
  <si>
    <t>2026-04-22 11:11 (atharva.lipare32@thgingenuity.com)
2026-04-22 11:10 (atharva.lipare32@thgingenuity.com)
2026-04-19 02:33 (vm-service@thg-demand-forecast-dev.iam.gserviceaccount.com)
2026-04-19 02:33 (vm-service@thg-demand-forecast-dev.iam.gserviceaccount.com)
2026-04-19 02:33 (vm-service@thg-demand-forecast-dev.iam.gserviceaccount.com)</t>
  </si>
  <si>
    <t>2026-03-20 10:45 (atharva.lipare32@thgingenuity.com)
2026-03-09 09:56 (atharva.lipare32@thgingenuity.com)
2026-03-06 10:13 (priestleyg@thehutgroup.com)
2026-03-06 10:13 (priestleyg@thehutgroup.com)
2026-03-06 10:12 (priestleyg@thehutgroup.com)</t>
  </si>
  <si>
    <t>2026-04-23 10:43 (ml-spaces@thg-ml-live.iam.gserviceaccount.com)
2026-04-23 10:41 (ml-spaces@thg-ml-live.iam.gserviceaccount.com)
2026-04-21 13:24 (ml-spaces@thg-ml-live.iam.gserviceaccount.com)
2026-04-21 13:23 (ml-spaces@thg-ml-live.iam.gserviceaccount.com)
2026-04-21 13:22 (ml-spaces@thg-ml-live.iam.gserviceaccount.com)</t>
  </si>
  <si>
    <t>Summer_Report</t>
  </si>
  <si>
    <t>2026-06-24 10:06 (beauty-data@agile-bonbon-662.iam.gserviceaccount.com)
2026-06-24 10:06 (beauty-data@agile-bonbon-662.iam.gserviceaccount.com)
2026-06-24 10:03 (beauty-data@agile-bonbon-662.iam.gserviceaccount.com)
2026-06-24 10:03 (beauty-data@agile-bonbon-662.iam.gserviceaccount.com)
2026-06-24 10:00 (beauty-data@agile-bonbon-662.iam.gserviceaccount.com)</t>
  </si>
  <si>
    <t>2026-06-24 02:39 (sa-bpswcbdsql01@thg-beauty.iam.gserviceaccount.com)
2026-06-24 02:38 (sa-bpswcbdsql01@thg-beauty.iam.gserviceaccount.com)
2026-06-24 02:38 (sa-bpswcbdsql01@thg-beauty.iam.gserviceaccount.com)
2026-06-24 02:38 (sa-bpswcbdsql01@thg-beauty.iam.gserviceaccount.com)
2026-06-24 02:38 (sa-bpswcbdsql01@thg-beauty.iam.gserviceaccount.com)</t>
  </si>
  <si>
    <t>Liveramp_Segments</t>
  </si>
  <si>
    <t>2026-06-24 05:36 (ravi.subramaniam04@thehutgroup.com)
2026-06-24 05:34 (ravi.subramaniam04@thehutgroup.com)
2026-06-24 05:34 (ravi.subramaniam04@thehutgroup.com)
2026-06-24 05:33 (ravi.subramaniam04@thehutgroup.com)
2026-06-24 05:33 (ravi.subramaniam04@thehutgroup.com)</t>
  </si>
  <si>
    <t>2026-06-24 05:33 (ravi.subramaniam04@thehutgroup.com)
2026-06-24 05:33 (ravi.subramaniam04@thehutgroup.com)
2026-06-24 02:45 (ravi.subramaniam04@thehutgroup.com)
2026-06-24 02:45 (ravi.subramaniam04@thehutgroup.com)
2026-06-24 02:45 (ravi.subramaniam04@thehutgroup.com)</t>
  </si>
  <si>
    <t>experimentation_sessions_exp_value_fix</t>
  </si>
  <si>
    <t>2026-04-29 09:18 (ingersolla@thehutgroup.com)
2026-01-15 04:02 (exp-saviour@the-hut-group.iam.gserviceaccount.com)
2026-01-15 04:02 (exp-saviour@the-hut-group.iam.gserviceaccount.com)
2026-01-15 04:02 (exp-saviour@the-hut-group.iam.gserviceaccount.com)
2026-01-15 04:02 (exp-saviour@the-hut-group.iam.gserviceaccount.com)</t>
  </si>
  <si>
    <t>2026-02-17 04:00 (exp-saviour@the-hut-group.iam.gserviceaccount.com)
2026-02-16 04:00 (exp-saviour@the-hut-group.iam.gserviceaccount.com)
2026-02-15 04:00 (exp-saviour@the-hut-group.iam.gserviceaccount.com)
2026-02-14 04:00 (exp-saviour@the-hut-group.iam.gserviceaccount.com)
2026-02-13 04:00 (exp-saviour@the-hut-group.iam.gserviceaccount.com)</t>
  </si>
  <si>
    <t>experiments_value_fix</t>
  </si>
  <si>
    <t>2026-04-29 09:18 (ingersolla@thehutgroup.com)
2026-01-15 04:02 (exp-saviour@the-hut-group.iam.gserviceaccount.com)
2026-01-15 04:00 (exp-saviour@the-hut-group.iam.gserviceaccount.com)
2026-01-15 04:00 (exp-saviour@the-hut-group.iam.gserviceaccount.com)
2026-01-14 04:09 (exp-saviour@the-hut-group.iam.gserviceaccount.com)</t>
  </si>
  <si>
    <t>2026-01-14 03:01 (meirosur@thehutgroup.com)
2026-01-14 03:01 (meirosur@thehutgroup.com)
2026-01-14 03:01 (meirosur@thehutgroup.com)
2026-01-14 03:00 (meirosur@thehutgroup.com)
2026-01-14 03:00 (meirosur@thehutgroup.com)</t>
  </si>
  <si>
    <t>real_user_monitoring</t>
  </si>
  <si>
    <t>2026-04-29 09:18 (ingersolla@thehutgroup.com)</t>
  </si>
  <si>
    <t>email_segmentation</t>
  </si>
  <si>
    <t>2026-04-29 09:57 (ingersolla@thehutgroup.com)</t>
  </si>
  <si>
    <t>data_engineering</t>
  </si>
  <si>
    <t>2026-04-29 09:56 (ingersolla@thehutgroup.com)
2026-03-05 16:25 (hassaina@thehutgroup.com)
2026-03-05 16:25 (hassaina@thehutgroup.com)
2026-03-03 13:58 (hassaina@thehutgroup.com)
2026-03-03 13:40 (hassaina@thehutgroup.com)</t>
  </si>
  <si>
    <t>2026-03-03 13:40 (hassaina@thehutgroup.com)
2026-03-03 13:40 (hassaina@thehutgroup.com)
2026-03-03 13:13 (hassaina@thehutgroup.com)
2026-03-03 13:13 (hassaina@thehutgroup.com)
2026-03-03 12:28 (hassaina@thehutgroup.com)</t>
  </si>
  <si>
    <t>01_Aaks</t>
  </si>
  <si>
    <t>2026-04-29 09:17 (ingersolla@thehutgroup.com)</t>
  </si>
  <si>
    <t>search</t>
  </si>
  <si>
    <t>2026-04-29 09:19 (ingersolla@thehutgroup.com)
2026-03-19 09:00 (search-trending-searches@the-hut-group.iam.gserviceaccount.com)</t>
  </si>
  <si>
    <t>kafka</t>
  </si>
  <si>
    <t>Elysium</t>
  </si>
  <si>
    <t>2026-04-29 09:56 (ingersolla@thehutgroup.com)
2026-03-23 17:38 (ingersolla@thehutgroup.com)</t>
  </si>
  <si>
    <t>Personify_Segmentation_Data</t>
  </si>
  <si>
    <t>PnG_Data</t>
  </si>
  <si>
    <t>2026-04-29 09:56 (ingersolla@thehutgroup.com)</t>
  </si>
  <si>
    <t>dead_letters</t>
  </si>
  <si>
    <t>airflow_xcom</t>
  </si>
  <si>
    <t>billing</t>
  </si>
  <si>
    <t>app_routines</t>
  </si>
  <si>
    <t>orders_staging</t>
  </si>
  <si>
    <t>mobileapp</t>
  </si>
  <si>
    <t>2026-04-29 09:18 (ingersolla@thehutgroup.com)
2026-01-14 03:00 (meirosur@thehutgroup.com)
2026-01-13 03:00 (meirosur@thehutgroup.com)
2026-01-12 03:00 (meirosur@thehutgroup.com)
2026-01-11 03:00 (meirosur@thehutgroup.com)</t>
  </si>
  <si>
    <t>archived_unity_lookup</t>
  </si>
  <si>
    <t>ditto_staging</t>
  </si>
  <si>
    <t>archived_61241944</t>
  </si>
  <si>
    <t>lfcom_search_accesslogs_0827_0901</t>
  </si>
  <si>
    <t>archived_gdpr_pipeline</t>
  </si>
  <si>
    <t>Pentland_Data_Send</t>
  </si>
  <si>
    <t>product_visit_events</t>
  </si>
  <si>
    <t>Pricing</t>
  </si>
  <si>
    <t>search_team_analysis</t>
  </si>
  <si>
    <t>2026-04-29 09:19 (ingersolla@thehutgroup.com)</t>
  </si>
  <si>
    <t>0_Sun_EU</t>
  </si>
  <si>
    <t>2026-04-29 09:58 (ingersolla@thehutgroup.com)</t>
  </si>
  <si>
    <t>Nutrition_Data_Clothing_Revenue</t>
  </si>
  <si>
    <t>2026-04-29 10:04 (ingersolla@thehutgroup.com)</t>
  </si>
  <si>
    <t>agile_bonbon_662_Renu</t>
  </si>
  <si>
    <t>2026-04-29 10:05 (ingersolla@thehutgroup.com)</t>
  </si>
  <si>
    <t>0_MarketingCoSDailySales</t>
  </si>
  <si>
    <t>236946992</t>
  </si>
  <si>
    <t>2026-04-29 10:01 (ingersolla@thehutgroup.com)</t>
  </si>
  <si>
    <t>118857522</t>
  </si>
  <si>
    <t>2026-04-29 09:59 (ingersolla@thehutgroup.com)</t>
  </si>
  <si>
    <t>cult_beauty_153345910</t>
  </si>
  <si>
    <t>2026-04-29 10:10 (ingersolla@thehutgroup.com)</t>
  </si>
  <si>
    <t>0_Andrej_EU</t>
  </si>
  <si>
    <t>143288032</t>
  </si>
  <si>
    <t>2026-04-29 10:00 (ingersolla@thehutgroup.com)</t>
  </si>
  <si>
    <t>247281289</t>
  </si>
  <si>
    <t>archived_PR_copy</t>
  </si>
  <si>
    <t>2026-04-29 10:09 (ingersolla@thehutgroup.com)</t>
  </si>
  <si>
    <t>Google_Search_Console_Nutrition</t>
  </si>
  <si>
    <t>cultbeauty_206972047_backup</t>
  </si>
  <si>
    <t>161531339</t>
  </si>
  <si>
    <t>85526116</t>
  </si>
  <si>
    <t>2026-04-29 10:02 (ingersolla@thehutgroup.com)</t>
  </si>
  <si>
    <t>171265870</t>
  </si>
  <si>
    <t>archived_SEO_Reporting_SEOClarity</t>
  </si>
  <si>
    <t>118838176</t>
  </si>
  <si>
    <t>Product_launch_dates</t>
  </si>
  <si>
    <t>THG_Heinz_Dataset</t>
  </si>
  <si>
    <t>161513661</t>
  </si>
  <si>
    <t>118746639</t>
  </si>
  <si>
    <t>97870907</t>
  </si>
  <si>
    <t>2026-04-29 10:03 (ingersolla@thehutgroup.com)</t>
  </si>
  <si>
    <t>0_Hamish</t>
  </si>
  <si>
    <t>0_Georgia_EU_Catman</t>
  </si>
  <si>
    <t>0_ZM</t>
  </si>
  <si>
    <t>246164846</t>
  </si>
  <si>
    <t>Nutrition_CRM</t>
  </si>
  <si>
    <t>archived_bqml_tutorial</t>
  </si>
  <si>
    <t>Altitude_Corporate_Websites_Logs</t>
  </si>
  <si>
    <t>ditto_airflow_staging</t>
  </si>
  <si>
    <t>shaun_hall</t>
  </si>
  <si>
    <t>de_bot_detection</t>
  </si>
  <si>
    <t>PG_Metadata_v2_staging</t>
  </si>
  <si>
    <t>GA4_Sessions_Level_1</t>
  </si>
  <si>
    <t>confluent_ing_sde</t>
  </si>
  <si>
    <t>site_traffic_shadow</t>
  </si>
  <si>
    <t>2026-04-29 09:57 (ingersolla@thehutgroup.com)
2026-03-16 13:10 (elysium2-merger@the-hut-group.iam.gserviceaccount.com)
2026-03-16 13:05 (elysium2-merger@the-hut-group.iam.gserviceaccount.com)
2026-03-16 13:00 (elysium2-merger@the-hut-group.iam.gserviceaccount.com)
2026-03-16 12:55 (elysium2-merger@the-hut-group.iam.gserviceaccount.com)</t>
  </si>
  <si>
    <t>bot_detector</t>
  </si>
  <si>
    <t>Ditto_HQDW_staging</t>
  </si>
  <si>
    <t>ecrmEvents_external</t>
  </si>
  <si>
    <t>ecrmEvents_internal</t>
  </si>
  <si>
    <t>reference_data</t>
  </si>
  <si>
    <t>2026-04-29 09:56 (ingersolla@thehutgroup.com)
2026-03-23 13:10 (ingersolla@thehutgroup.com)
2026-03-23 13:10 (ingersolla@thehutgroup.com)</t>
  </si>
  <si>
    <t>airbyte_internal</t>
  </si>
  <si>
    <t>recent_site_traffic_shadow</t>
  </si>
  <si>
    <t>2026-04-29 09:57 (ingersolla@thehutgroup.com)
2026-03-16 13:10 (elysium2-merger@the-hut-group.iam.gserviceaccount.com)
2026-03-16 13:10 (elysium2-merger@the-hut-group.iam.gserviceaccount.com)
2026-03-16 13:05 (elysium2-merger@the-hut-group.iam.gserviceaccount.com)
2026-03-16 13:05 (elysium2-merger@the-hut-group.iam.gserviceaccount.com)</t>
  </si>
  <si>
    <t>ditto_ingenuity_staging</t>
  </si>
  <si>
    <t>data_export_ditto</t>
  </si>
  <si>
    <t>Sessions_Level_1_All_Sites_Ing</t>
  </si>
  <si>
    <t>Sessions_Aggregated</t>
  </si>
  <si>
    <t>checkout</t>
  </si>
  <si>
    <t>ditto_ecrm_push_staging</t>
  </si>
  <si>
    <t>orders_streaming_staging</t>
  </si>
  <si>
    <t>foundation_finder_rollup</t>
  </si>
  <si>
    <t>2026-04-29 22:45 (id-foundation-business-metrics@the-hut-group.iam.gserviceaccount.com)
2026-04-29 09:18 (ingersolla@thehutgroup.com)
2026-04-28 22:45 (id-foundation-business-metrics@the-hut-group.iam.gserviceaccount.com)
2026-04-27 22:45 (id-foundation-business-metrics@the-hut-group.iam.gserviceaccount.com)
2026-04-26 22:45 (id-foundation-business-metrics@the-hut-group.iam.gserviceaccount.com)</t>
  </si>
  <si>
    <t>analytics_315326723</t>
  </si>
  <si>
    <t>2026-05-01 08:03 (ga4-sessions-level-1-ingenuity@thg-ingenuity.iam.gserviceaccount.com)
2026-03-21 10:02 (ga4-sessions-level-1-ingenuity@thg-ingenuity.iam.gserviceaccount.com)
2026-03-07 10:02 (ga4-sessions-level-1-ingenuity@thg-ingenuity.iam.gserviceaccount.com)
2026-03-04 10:03 (ga4-sessions-level-1-ingenuity@thg-ingenuity.iam.gserviceaccount.com)
2026-03-03 10:03 (ga4-sessions-level-1-ingenuity@thg-ingenuity.iam.gserviceaccount.com)</t>
  </si>
  <si>
    <t>2026-05-01 07:58 (firebase-measurement@system.gserviceaccount.com)
2026-03-21 09:58 (firebase-measurement@system.gserviceaccount.com)
2026-03-07 09:24 (firebase-measurement@system.gserviceaccount.com)
2026-03-04 08:18 (firebase-measurement@system.gserviceaccount.com)
2026-03-03 09:38 (firebase-measurement@system.gserviceaccount.com)</t>
  </si>
  <si>
    <t>Ditto_HQDW</t>
  </si>
  <si>
    <t>2026-05-01 11:19 (dittwo@vibrant-map-107910.iam.gserviceaccount.com)
2026-05-01 11:18 (dittwo@vibrant-map-107910.iam.gserviceaccount.com)
2026-05-01 11:17 (dittwo@vibrant-map-107910.iam.gserviceaccount.com)
2026-04-29 09:56 (ingersolla@thehutgroup.com)</t>
  </si>
  <si>
    <t>marije_exploration</t>
  </si>
  <si>
    <t>2026-05-11 10:17 (marije.vanhattum74@thehutgroup.com)
2026-05-11 10:15 (marije.vanhattum74@thehutgroup.com)
2026-05-11 10:10 (marije.vanhattum74@thehutgroup.com)
2026-05-11 09:54 (marije.vanhattum74@thehutgroup.com)
2026-05-11 09:52 (marije.vanhattum74@thehutgroup.com)</t>
  </si>
  <si>
    <t>2026-04-28 13:19 (marije.vanhattum74@thehutgroup.com)
2026-03-30 12:42 (marije.vanhattum74@thehutgroup.com)
2026-03-30 11:59 (marije.vanhattum74@thehutgroup.com)
2026-03-30 11:50 (marije.vanhattum74@thehutgroup.com)
2026-03-30 11:42 (marije.vanhattum74@thehutgroup.com)</t>
  </si>
  <si>
    <t>thg-dev-vertexai-poc</t>
  </si>
  <si>
    <t>ea_commitment_eu</t>
  </si>
  <si>
    <t>2026-05-12 18:14 (alan.dodd82@thgingenuity.com)
2026-05-12 18:14 (alan.dodd82@thgingenuity.com)
2026-05-12 18:13 (alan.dodd82@thgingenuity.com)
2026-05-12 18:13 (alan.dodd82@thgingenuity.com)
2026-05-12 17:00 (alan.dodd82@thgingenuity.com)</t>
  </si>
  <si>
    <t>2026-05-12 18:14 (alan.dodd82@thgingenuity.com)
2026-05-12 16:34 (alan.dodd82@thgingenuity.com)
2026-05-12 16:33 (alan.dodd82@thgingenuity.com)</t>
  </si>
  <si>
    <t>thg-ml-assets</t>
  </si>
  <si>
    <t>product_data</t>
  </si>
  <si>
    <t>2026-01-26 14:20 (ChunYen.Tay15@thehutgroup.com)</t>
  </si>
  <si>
    <t>2026-02-06 10:13 (secera@thehutgroup.com)
2026-02-06 10:11 (secera@thehutgroup.com)
2026-02-06 10:11 (secera@thehutgroup.com)
2026-02-06 10:09 (secera@thehutgroup.com)
2026-02-06 10:09 (secera@thehutgroup.com)</t>
  </si>
  <si>
    <t>2026-02-04 11:24 (secera@thehutgroup.com)
2026-02-04 11:24 (secera@thehutgroup.com)
2026-02-04 11:24 (secera@thehutgroup.com)
2026-02-04 11:24 (secera@thehutgroup.com)
2026-02-04 11:24 (secera@thehutgroup.com)</t>
  </si>
  <si>
    <t>product_data_DLQ</t>
  </si>
  <si>
    <t>analytics_376210899</t>
  </si>
  <si>
    <t>2026-05-17 08:03 (ga4-sessions-level-1-ingenuity@thg-ingenuity.iam.gserviceaccount.com)
2026-05-12 10:03 (ga4-sessions-level-1-ingenuity@thg-ingenuity.iam.gserviceaccount.com)
2026-05-09 10:03 (ga4-sessions-level-1-ingenuity@thg-ingenuity.iam.gserviceaccount.com)
2026-04-30 10:04 (ga4-sessions-level-1-ingenuity@thg-ingenuity.iam.gserviceaccount.com)
2026-04-29 08:03 (ga4-sessions-level-1-ingenuity@thg-ingenuity.iam.gserviceaccount.com)</t>
  </si>
  <si>
    <t>2026-05-17 07:45 (firebase-measurement@system.gserviceaccount.com)
2026-05-12 08:04 (firebase-measurement@system.gserviceaccount.com)
2026-05-09 08:06 (firebase-measurement@system.gserviceaccount.com)
2026-04-30 08:10 (firebase-measurement@system.gserviceaccount.com)
2026-04-29 08:00 (firebase-measurement@system.gserviceaccount.com)</t>
  </si>
  <si>
    <t>analytics_295036609</t>
  </si>
  <si>
    <t>2026-05-19 14:49 (nutrition-data-bq@agile-bonbon-662.iam.gserviceaccount.com)
2026-05-15 14:17 (nutrition-data-bq@agile-bonbon-662.iam.gserviceaccount.com)
2026-04-29 10:07 (ingersolla@thehutgroup.com)</t>
  </si>
  <si>
    <t>Product_Page_Conversion</t>
  </si>
  <si>
    <t>2026-05-19 14:39 (nutrition-data-bq@agile-bonbon-662.iam.gserviceaccount.com)
2026-05-19 14:39 (nutrition-data-bq@agile-bonbon-662.iam.gserviceaccount.com)
2026-05-19 14:39 (nutrition-data-bq@agile-bonbon-662.iam.gserviceaccount.com)
2026-05-15 14:08 (nutrition-data-bq@agile-bonbon-662.iam.gserviceaccount.com)
2026-05-15 14:07 (nutrition-data-bq@agile-bonbon-662.iam.gserviceaccount.com)</t>
  </si>
  <si>
    <t>analytics_294940415</t>
  </si>
  <si>
    <t>2026-05-19 14:48 (nutrition-data-bq@agile-bonbon-662.iam.gserviceaccount.com)
2026-05-15 14:16 (nutrition-data-bq@agile-bonbon-662.iam.gserviceaccount.com)
2026-04-29 10:07 (ingersolla@thehutgroup.com)</t>
  </si>
  <si>
    <t>2026-04-08 10:46 (firebase-measurement@system.gserviceaccount.com)</t>
  </si>
  <si>
    <t>analytics_294881316</t>
  </si>
  <si>
    <t>2026-05-19 14:46 (nutrition-data-bq@agile-bonbon-662.iam.gserviceaccount.com)
2026-05-15 14:14 (nutrition-data-bq@agile-bonbon-662.iam.gserviceaccount.com)
2026-04-29 10:06 (ingersolla@thehutgroup.com)</t>
  </si>
  <si>
    <t>0_Hannah</t>
  </si>
  <si>
    <t>2026-05-19 13:55 (nutrition-data-bq@agile-bonbon-662.iam.gserviceaccount.com)
2026-05-15 13:21 (nutrition-data-bq@agile-bonbon-662.iam.gserviceaccount.com)
2026-05-15 13:13 (nutrition-data-bq@agile-bonbon-662.iam.gserviceaccount.com)
2026-05-15 12:43 (nutrition-data-bq@agile-bonbon-662.iam.gserviceaccount.com)
2026-05-15 12:43 (nutrition-data-bq@agile-bonbon-662.iam.gserviceaccount.com)</t>
  </si>
  <si>
    <t>2026-01-01 06:40 (beauty-data@agile-bonbon-662.iam.gserviceaccount.com)</t>
  </si>
  <si>
    <t>gclid_meta</t>
  </si>
  <si>
    <t>2026-05-19 14:57 (nutrition-data-bq@agile-bonbon-662.iam.gserviceaccount.com)
2026-05-15 14:27 (nutrition-data-bq@agile-bonbon-662.iam.gserviceaccount.com)
2026-04-29 10:10 (ingersolla@thehutgroup.com)</t>
  </si>
  <si>
    <t>0_Charlie</t>
  </si>
  <si>
    <t>2026-05-19 13:54 (nutrition-data-bq@agile-bonbon-662.iam.gserviceaccount.com)
2026-05-15 14:37 (nutrition-data-bq@agile-bonbon-662.iam.gserviceaccount.com)
2026-05-15 13:20 (nutrition-data-bq@agile-bonbon-662.iam.gserviceaccount.com)
2026-05-15 13:12 (nutrition-data-bq@agile-bonbon-662.iam.gserviceaccount.com)
2026-05-15 13:07 (nutrition-data-bq@agile-bonbon-662.iam.gserviceaccount.com)</t>
  </si>
  <si>
    <t>2026-01-23 16:24 (stringerc@thehutgroup.com)</t>
  </si>
  <si>
    <t>analytics_294910171</t>
  </si>
  <si>
    <t>2026-05-19 14:47 (nutrition-data-bq@agile-bonbon-662.iam.gserviceaccount.com)
2026-05-15 14:15 (nutrition-data-bq@agile-bonbon-662.iam.gserviceaccount.com)
2026-04-29 10:06 (ingersolla@thehutgroup.com)</t>
  </si>
  <si>
    <t>Warehouse_Capability_v2</t>
  </si>
  <si>
    <t>2026-05-19 14:42 (nutrition-data-bq@agile-bonbon-662.iam.gserviceaccount.com)
2026-05-19 14:42 (nutrition-data-bq@agile-bonbon-662.iam.gserviceaccount.com)
2026-05-15 14:10 (nutrition-data-bq@agile-bonbon-662.iam.gserviceaccount.com)
2026-05-15 14:10 (nutrition-data-bq@agile-bonbon-662.iam.gserviceaccount.com)
2026-04-29 10:05 (ingersolla@thehutgroup.com)</t>
  </si>
  <si>
    <t>2026-01-13 03:28 (judal@thehutgroup.com)
2026-01-13 03:26 (judal@thehutgroup.com)
2026-01-13 03:25 (judal@thehutgroup.com)</t>
  </si>
  <si>
    <t>analytics_301508696</t>
  </si>
  <si>
    <t>2026-05-19 14:53 (nutrition-data-bq@agile-bonbon-662.iam.gserviceaccount.com)
2026-05-15 14:22 (nutrition-data-bq@agile-bonbon-662.iam.gserviceaccount.com)
2026-04-29 10:09 (ingersolla@thehutgroup.com)</t>
  </si>
  <si>
    <t>analytics_301116889</t>
  </si>
  <si>
    <t>2026-05-19 14:50 (nutrition-data-bq@agile-bonbon-662.iam.gserviceaccount.com)
2026-05-15 14:19 (nutrition-data-bq@agile-bonbon-662.iam.gserviceaccount.com)
2026-04-29 10:07 (ingersolla@thehutgroup.com)</t>
  </si>
  <si>
    <t>analytics_295022282</t>
  </si>
  <si>
    <t>2026-05-19 14:48 (nutrition-data-bq@agile-bonbon-662.iam.gserviceaccount.com)
2026-05-15 14:17 (nutrition-data-bq@agile-bonbon-662.iam.gserviceaccount.com)
2026-04-29 10:07 (ingersolla@thehutgroup.com)</t>
  </si>
  <si>
    <t>analytics_301121450</t>
  </si>
  <si>
    <t>analytics_276356364</t>
  </si>
  <si>
    <t>2026-05-19 14:45 (nutrition-data-bq@agile-bonbon-662.iam.gserviceaccount.com)
2026-05-16 12:01 (ga4-sessions-level-1-thg@agile-bonbon-662.iam.gserviceaccount.com)
2026-05-15 14:14 (nutrition-data-bq@agile-bonbon-662.iam.gserviceaccount.com)
2026-04-29 10:06 (ingersolla@thehutgroup.com)
2026-03-23 00:00 (ga4-sessions-level-1-thg@agile-bonbon-662.iam.gserviceaccount.com)</t>
  </si>
  <si>
    <t>2026-05-16 11:36 (firebase-measurement@system.gserviceaccount.com)
2026-03-22 23:51 (firebase-measurement@system.gserviceaccount.com)
2026-02-08 10:39 (firebase-measurement@system.gserviceaccount.com)
2026-02-06 10:42 (firebase-measurement@system.gserviceaccount.com)
2026-01-29 10:35 (firebase-measurement@system.gserviceaccount.com)</t>
  </si>
  <si>
    <t>0_A_Dean_C</t>
  </si>
  <si>
    <t>2026-05-19 13:54 (nutrition-data-bq@agile-bonbon-662.iam.gserviceaccount.com)
2026-05-15 14:30 (nutrition-data-bq@agile-bonbon-662.iam.gserviceaccount.com)
2026-05-15 13:19 (nutrition-data-bq@agile-bonbon-662.iam.gserviceaccount.com)
2026-05-15 13:11 (nutrition-data-bq@agile-bonbon-662.iam.gserviceaccount.com)
2026-05-15 13:07 (nutrition-data-bq@agile-bonbon-662.iam.gserviceaccount.com)</t>
  </si>
  <si>
    <t>2026-02-02 09:15 (dean.chouit54@thg.com)
2026-01-23 10:56 (dean.chouit54@thg.com)
2026-01-23 10:46 (dean.chouit54@thg.com)</t>
  </si>
  <si>
    <t>0_Aakash</t>
  </si>
  <si>
    <t>analytics_295047630</t>
  </si>
  <si>
    <t>2026-05-19 14:49 (nutrition-data-bq@agile-bonbon-662.iam.gserviceaccount.com)
2026-05-15 14:18 (nutrition-data-bq@agile-bonbon-662.iam.gserviceaccount.com)
2026-04-29 10:07 (ingersolla@thehutgroup.com)</t>
  </si>
  <si>
    <t>2026-04-01 13:58 (firebase-measurement@system.gserviceaccount.com)</t>
  </si>
  <si>
    <t>analytics_301540429</t>
  </si>
  <si>
    <t>2026-05-19 14:54 (nutrition-data-bq@agile-bonbon-662.iam.gserviceaccount.com)
2026-05-15 14:23 (nutrition-data-bq@agile-bonbon-662.iam.gserviceaccount.com)
2026-04-29 10:09 (ingersolla@thehutgroup.com)</t>
  </si>
  <si>
    <t>2026-04-12 14:17 (firebase-measurement@system.gserviceaccount.com)
2026-03-25 13:54 (firebase-measurement@system.gserviceaccount.com)
2026-03-08 14:35 (firebase-measurement@system.gserviceaccount.com)
2026-03-07 14:34 (firebase-measurement@system.gserviceaccount.com)
2026-03-06 12:47 (firebase-measurement@system.gserviceaccount.com)</t>
  </si>
  <si>
    <t>analytics_274950573</t>
  </si>
  <si>
    <t>2026-05-19 14:45 (nutrition-data-bq@agile-bonbon-662.iam.gserviceaccount.com)
2026-05-15 14:13 (nutrition-data-bq@agile-bonbon-662.iam.gserviceaccount.com)
2026-04-29 10:06 (ingersolla@thehutgroup.com)</t>
  </si>
  <si>
    <t>2026-05-16 08:39 (firebase-measurement@system.gserviceaccount.com)
2026-03-10 09:16 (firebase-measurement@system.gserviceaccount.com)
2026-03-09 08:31 (firebase-measurement@system.gserviceaccount.com)
2026-03-08 08:03 (firebase-measurement@system.gserviceaccount.com)
2026-03-07 09:10 (firebase-measurement@system.gserviceaccount.com)</t>
  </si>
  <si>
    <t>analytics_276383261</t>
  </si>
  <si>
    <t>2026-05-19 14:46 (nutrition-data-bq@agile-bonbon-662.iam.gserviceaccount.com)
2026-05-16 12:01 (ga4-sessions-level-1-thg@agile-bonbon-662.iam.gserviceaccount.com)
2026-05-15 14:14 (nutrition-data-bq@agile-bonbon-662.iam.gserviceaccount.com)
2026-04-29 10:06 (ingersolla@thehutgroup.com)</t>
  </si>
  <si>
    <t>2026-05-16 11:36 (firebase-measurement@system.gserviceaccount.com)</t>
  </si>
  <si>
    <t>analytics_301507275</t>
  </si>
  <si>
    <t>2026-05-19 14:53 (nutrition-data-bq@agile-bonbon-662.iam.gserviceaccount.com)
2026-05-15 14:22 (nutrition-data-bq@agile-bonbon-662.iam.gserviceaccount.com)
2026-04-29 10:08 (ingersolla@thehutgroup.com)</t>
  </si>
  <si>
    <t>2026-03-07 09:25 (firebase-measurement@system.gserviceaccount.com)
2026-03-06 09:12 (firebase-measurement@system.gserviceaccount.com)
2026-03-05 09:39 (firebase-measurement@system.gserviceaccount.com)
2026-03-04 10:14 (firebase-measurement@system.gserviceaccount.com)
2026-03-03 09:35 (firebase-measurement@system.gserviceaccount.com)</t>
  </si>
  <si>
    <t>analytics_301488723</t>
  </si>
  <si>
    <t>2026-05-19 14:52 (nutrition-data-bq@agile-bonbon-662.iam.gserviceaccount.com)
2026-05-15 14:21 (nutrition-data-bq@agile-bonbon-662.iam.gserviceaccount.com)
2026-04-29 10:08 (ingersolla@thehutgroup.com)</t>
  </si>
  <si>
    <t>2026-03-11 09:07 (firebase-measurement@system.gserviceaccount.com)
2026-03-07 09:31 (firebase-measurement@system.gserviceaccount.com)
2026-03-06 08:55 (firebase-measurement@system.gserviceaccount.com)
2026-03-05 09:07 (firebase-measurement@system.gserviceaccount.com)
2026-03-04 09:17 (firebase-measurement@system.gserviceaccount.com)</t>
  </si>
  <si>
    <t>analytics_301479515</t>
  </si>
  <si>
    <t>2026-03-07 10:53 (firebase-measurement@system.gserviceaccount.com)
2026-03-06 10:15 (firebase-measurement@system.gserviceaccount.com)
2026-03-05 11:07 (firebase-measurement@system.gserviceaccount.com)
2026-03-04 12:44 (firebase-measurement@system.gserviceaccount.com)
2026-03-03 10:54 (firebase-measurement@system.gserviceaccount.com)</t>
  </si>
  <si>
    <t>analytics_294895347</t>
  </si>
  <si>
    <t>2026-05-19 14:46 (nutrition-data-bq@agile-bonbon-662.iam.gserviceaccount.com)
2026-05-15 14:15 (nutrition-data-bq@agile-bonbon-662.iam.gserviceaccount.com)
2026-04-29 10:06 (ingersolla@thehutgroup.com)</t>
  </si>
  <si>
    <t>2026-03-02 08:31 (firebase-measurement@system.gserviceaccount.com)</t>
  </si>
  <si>
    <t>analytics_295008514</t>
  </si>
  <si>
    <t>analytics_301161421</t>
  </si>
  <si>
    <t>2026-05-19 14:51 (nutrition-data-bq@agile-bonbon-662.iam.gserviceaccount.com)
2026-05-15 14:20 (nutrition-data-bq@agile-bonbon-662.iam.gserviceaccount.com)
2026-04-29 10:08 (ingersolla@thehutgroup.com)</t>
  </si>
  <si>
    <t>analytics_301146859</t>
  </si>
  <si>
    <t>analytics_294921901</t>
  </si>
  <si>
    <t>2026-05-19 14:47 (nutrition-data-bq@agile-bonbon-662.iam.gserviceaccount.com)
2026-05-15 14:16 (nutrition-data-bq@agile-bonbon-662.iam.gserviceaccount.com)
2026-04-29 10:06 (ingersolla@thehutgroup.com)</t>
  </si>
  <si>
    <t>analytics_301115672</t>
  </si>
  <si>
    <t>analytics_301110742</t>
  </si>
  <si>
    <t>2026-05-19 14:50 (nutrition-data-bq@agile-bonbon-662.iam.gserviceaccount.com)
2026-05-15 14:18 (nutrition-data-bq@agile-bonbon-662.iam.gserviceaccount.com)
2026-04-29 10:07 (ingersolla@thehutgroup.com)</t>
  </si>
  <si>
    <t>0_Fidelia</t>
  </si>
  <si>
    <t>2026-05-19 13:55 (nutrition-data-bq@agile-bonbon-662.iam.gserviceaccount.com)
2026-05-15 13:20 (nutrition-data-bq@agile-bonbon-662.iam.gserviceaccount.com)
2026-05-15 13:13 (nutrition-data-bq@agile-bonbon-662.iam.gserviceaccount.com)
2026-05-15 12:43 (nutrition-data-bq@agile-bonbon-662.iam.gserviceaccount.com)
2026-04-29 09:58 (ingersolla@thehutgroup.com)</t>
  </si>
  <si>
    <t>2026-02-27 12:00 (GunawanF@thehutgroup.com)
2026-02-27 11:00 (GunawanF@thehutgroup.com)
2026-02-27 11:00 (GunawanF@thehutgroup.com)
2026-02-26 12:00 (GunawanF@thehutgroup.com)
2026-02-26 11:00 (GunawanF@thehutgroup.com)</t>
  </si>
  <si>
    <t>analytics_301512360</t>
  </si>
  <si>
    <t>2026-03-06 08:26 (firebase-measurement@system.gserviceaccount.com)
2026-03-05 08:39 (firebase-measurement@system.gserviceaccount.com)
2026-03-04 08:40 (firebase-measurement@system.gserviceaccount.com)
2026-03-03 08:49 (firebase-measurement@system.gserviceaccount.com)
2026-03-02 08:46 (firebase-measurement@system.gserviceaccount.com)</t>
  </si>
  <si>
    <t>Adverity_Criteo_RetailMedia</t>
  </si>
  <si>
    <t>2026-05-19 14:29 (nutrition-data-bq@agile-bonbon-662.iam.gserviceaccount.com)
2026-05-15 13:56 (nutrition-data-bq@agile-bonbon-662.iam.gserviceaccount.com)
2026-04-29 10:03 (ingersolla@thehutgroup.com)</t>
  </si>
  <si>
    <t>analytics_301494055</t>
  </si>
  <si>
    <t>2026-03-21 08:52 (firebase-measurement@system.gserviceaccount.com)</t>
  </si>
  <si>
    <t>analytics_301160908</t>
  </si>
  <si>
    <t>0_Eddie_EU</t>
  </si>
  <si>
    <t>2026-05-19 13:55 (nutrition-data-bq@agile-bonbon-662.iam.gserviceaccount.com)
2026-05-19 13:55 (nutrition-data-bq@agile-bonbon-662.iam.gserviceaccount.com)
2026-05-19 13:55 (nutrition-data-bq@agile-bonbon-662.iam.gserviceaccount.com)
2026-05-15 13:20 (nutrition-data-bq@agile-bonbon-662.iam.gserviceaccount.com)
2026-05-15 13:20 (nutrition-data-bq@agile-bonbon-662.iam.gserviceaccount.com)</t>
  </si>
  <si>
    <t>analytics_301165065</t>
  </si>
  <si>
    <t>analytics_301153294</t>
  </si>
  <si>
    <t>analytics_301141653</t>
  </si>
  <si>
    <t>2026-05-19 14:50 (nutrition-data-bq@agile-bonbon-662.iam.gserviceaccount.com)
2026-05-15 14:19 (nutrition-data-bq@agile-bonbon-662.iam.gserviceaccount.com)
2026-04-29 10:08 (ingersolla@thehutgroup.com)</t>
  </si>
  <si>
    <t>analytics_301112137</t>
  </si>
  <si>
    <t>analytics_301108780</t>
  </si>
  <si>
    <t>analytics_274979058</t>
  </si>
  <si>
    <t>2026-05-19 14:45 (nutrition-data-bq@agile-bonbon-662.iam.gserviceaccount.com)
2026-05-16 10:04 (ga4-sessions-level-1-thg@agile-bonbon-662.iam.gserviceaccount.com)
2026-05-15 14:13 (nutrition-data-bq@agile-bonbon-662.iam.gserviceaccount.com)
2026-04-29 10:06 (ingersolla@thehutgroup.com)</t>
  </si>
  <si>
    <t>2026-05-16 08:27 (firebase-measurement@system.gserviceaccount.com)</t>
  </si>
  <si>
    <t>analytics_301481536</t>
  </si>
  <si>
    <t>2026-03-05 08:24 (firebase-measurement@system.gserviceaccount.com)
2026-03-03 08:32 (firebase-measurement@system.gserviceaccount.com)
2026-03-02 08:24 (firebase-measurement@system.gserviceaccount.com)
2026-03-01 08:25 (firebase-measurement@system.gserviceaccount.com)
2026-02-27 08:26 (firebase-measurement@system.gserviceaccount.com)</t>
  </si>
  <si>
    <t>analytics_301136080</t>
  </si>
  <si>
    <t>analytics_301510816</t>
  </si>
  <si>
    <t>analytics_301112513</t>
  </si>
  <si>
    <t>Lucy_E_Category</t>
  </si>
  <si>
    <t>2026-05-19 14:34 (nutrition-data-bq@agile-bonbon-662.iam.gserviceaccount.com)
2026-05-15 14:01 (nutrition-data-bq@agile-bonbon-662.iam.gserviceaccount.com)
2026-04-29 10:04 (ingersolla@thehutgroup.com)
2026-01-19 03:30 (Lucy.Elliot23@thg.com)
2026-01-12 03:30 (Lucy.Elliot23@thg.com)</t>
  </si>
  <si>
    <t>2026-01-19 02:00 (Lucy.Elliot23@thg.com)
2026-01-19 02:00 (Lucy.Elliot23@thg.com)
2026-01-12 02:00 (Lucy.Elliot23@thg.com)
2026-01-12 02:00 (Lucy.Elliot23@thg.com)
2026-01-05 02:00 (Lucy.Elliot23@thg.com)</t>
  </si>
  <si>
    <t>analytics_301100282</t>
  </si>
  <si>
    <t>analytics_301497057</t>
  </si>
  <si>
    <t>2026-05-19 14:52 (nutrition-data-bq@agile-bonbon-662.iam.gserviceaccount.com)
2026-05-15 14:22 (nutrition-data-bq@agile-bonbon-662.iam.gserviceaccount.com)
2026-04-29 10:08 (ingersolla@thehutgroup.com)</t>
  </si>
  <si>
    <t>2026-02-26 09:43 (firebase-measurement@system.gserviceaccount.com)
2026-02-25 09:56 (firebase-measurement@system.gserviceaccount.com)
2026-02-24 09:23 (firebase-measurement@system.gserviceaccount.com)
2026-02-23 09:39 (firebase-measurement@system.gserviceaccount.com)
2026-02-22 08:58 (firebase-measurement@system.gserviceaccount.com)</t>
  </si>
  <si>
    <t>analytics_394433033</t>
  </si>
  <si>
    <t>2026-04-03 10:35 (firebase-measurement@system.gserviceaccount.com)
2026-04-02 13:54 (firebase-measurement@system.gserviceaccount.com)
2026-04-01 13:50 (firebase-measurement@system.gserviceaccount.com)
2026-03-31 11:42 (firebase-measurement@system.gserviceaccount.com)
2026-03-30 10:50 (firebase-measurement@system.gserviceaccount.com)</t>
  </si>
  <si>
    <t>analytics_301165004</t>
  </si>
  <si>
    <t>analytics_276370767</t>
  </si>
  <si>
    <t>2026-05-19 14:45 (nutrition-data-bq@agile-bonbon-662.iam.gserviceaccount.com)
2026-05-15 14:14 (nutrition-data-bq@agile-bonbon-662.iam.gserviceaccount.com)
2026-04-29 10:06 (ingersolla@thehutgroup.com)</t>
  </si>
  <si>
    <t>Nutrition_Data_Brand_Campaigns</t>
  </si>
  <si>
    <t>2026-05-19 14:36 (nutrition-data-bq@agile-bonbon-662.iam.gserviceaccount.com)
2026-05-15 14:05 (nutrition-data-bq@agile-bonbon-662.iam.gserviceaccount.com)
2026-04-29 10:04 (ingersolla@thehutgroup.com)</t>
  </si>
  <si>
    <t>analytics_301495675</t>
  </si>
  <si>
    <t>2026-02-27 08:31 (firebase-measurement@system.gserviceaccount.com)</t>
  </si>
  <si>
    <t>analytics_301518498</t>
  </si>
  <si>
    <t>0_Roy_EU_MMM</t>
  </si>
  <si>
    <t>2026-05-19 13:57 (nutrition-data-bq@agile-bonbon-662.iam.gserviceaccount.com)
2026-05-15 13:23 (nutrition-data-bq@agile-bonbon-662.iam.gserviceaccount.com)
2026-05-15 12:49 (nutrition-data-bq@agile-bonbon-662.iam.gserviceaccount.com)
2026-04-29 09:58 (ingersolla@thehutgroup.com)</t>
  </si>
  <si>
    <t>foundationfinder</t>
  </si>
  <si>
    <t>Adverity_Criteo_MarketingSolutions</t>
  </si>
  <si>
    <t>2026-05-19 14:29 (nutrition-data-bq@agile-bonbon-662.iam.gserviceaccount.com)
2026-05-15 13:56 (nutrition-data-bq@agile-bonbon-662.iam.gserviceaccount.com)
2026-04-29 10:03 (ingersolla@thehutgroup.com)
2026-02-02 13:52 (oksana.zherebetska23@thg.com)
2026-02-02 13:52 (oksana.zherebetska23@thg.com)</t>
  </si>
  <si>
    <t>analytics_301478813</t>
  </si>
  <si>
    <t>0_Sam_EU</t>
  </si>
  <si>
    <t>2026-05-19 13:57 (nutrition-data-bq@agile-bonbon-662.iam.gserviceaccount.com)
2026-05-15 13:23 (nutrition-data-bq@agile-bonbon-662.iam.gserviceaccount.com)
2026-05-15 12:49 (nutrition-data-bq@agile-bonbon-662.iam.gserviceaccount.com)
2026-04-29 09:58 (ingersolla@thehutgroup.com)
2026-01-20 17:08 (sam.atkin98@thehutgroup.com)</t>
  </si>
  <si>
    <t>2026-01-20 16:50 (sam.atkin98@thehutgroup.com)
2026-01-20 16:38 (sam.atkin98@thehutgroup.com)</t>
  </si>
  <si>
    <t>Nutrition_Data_Customer_Lists</t>
  </si>
  <si>
    <t>analytics_301163668</t>
  </si>
  <si>
    <t>analytics_301135680</t>
  </si>
  <si>
    <t>0_Jamie_EU</t>
  </si>
  <si>
    <t>2026-05-19 13:55 (nutrition-data-bq@agile-bonbon-662.iam.gserviceaccount.com)
2026-05-15 13:21 (nutrition-data-bq@agile-bonbon-662.iam.gserviceaccount.com)
2026-05-15 13:13 (nutrition-data-bq@agile-bonbon-662.iam.gserviceaccount.com)
2026-05-15 12:44 (nutrition-data-bq@agile-bonbon-662.iam.gserviceaccount.com)
2026-04-29 09:58 (ingersolla@thehutgroup.com)</t>
  </si>
  <si>
    <t>2026-03-26 16:43 (jamie.atkinson98@thehutgroup.com)
2026-03-26 16:41 (jamie.atkinson98@thehutgroup.com)
2026-03-26 16:40 (jamie.atkinson98@thehutgroup.com)
2026-03-26 16:38 (jamie.atkinson98@thehutgroup.com)
2026-03-26 16:37 (jamie.atkinson98@thehutgroup.com)</t>
  </si>
  <si>
    <t>MessengerPeople</t>
  </si>
  <si>
    <t>2026-05-19 14:35 (nutrition-data-bq@agile-bonbon-662.iam.gserviceaccount.com)
2026-05-15 14:02 (nutrition-data-bq@agile-bonbon-662.iam.gserviceaccount.com)
2026-04-29 10:04 (ingersolla@thehutgroup.com)</t>
  </si>
  <si>
    <t>B2B_JL</t>
  </si>
  <si>
    <t>2026-05-19 14:30 (nutrition-data-bq@agile-bonbon-662.iam.gserviceaccount.com)
2026-05-15 13:57 (nutrition-data-bq@agile-bonbon-662.iam.gserviceaccount.com)</t>
  </si>
  <si>
    <t>2026-05-05 11:27 (joeyyuenyu.law24@thg.com)</t>
  </si>
  <si>
    <t>Nutrition_Data_RRP_Alerting</t>
  </si>
  <si>
    <t>2026-05-19 14:37 (nutrition-data-bq@agile-bonbon-662.iam.gserviceaccount.com)
2026-05-15 14:06 (nutrition-data-bq@agile-bonbon-662.iam.gserviceaccount.com)
2026-04-29 10:04 (ingersolla@thehutgroup.com)</t>
  </si>
  <si>
    <t>0_Dan_H</t>
  </si>
  <si>
    <t>2026-05-19 13:55 (nutrition-data-bq@agile-bonbon-662.iam.gserviceaccount.com)
2026-05-15 13:20 (nutrition-data-bq@agile-bonbon-662.iam.gserviceaccount.com)
2026-05-15 13:12 (nutrition-data-bq@agile-bonbon-662.iam.gserviceaccount.com)
2026-05-15 13:08 (nutrition-data-bq@agile-bonbon-662.iam.gserviceaccount.com)
2026-05-15 12:56 (nutrition-data-bq@agile-bonbon-662.iam.gserviceaccount.com)</t>
  </si>
  <si>
    <t>2026-01-06 16:58 (dan.henshall54@thg.com)
2025-12-30 15:29 (dan.henshall54@thg.com)
2025-12-30 15:26 (dan.henshall54@thg.com)</t>
  </si>
  <si>
    <t>Adverity_Rokt_RetailMedia</t>
  </si>
  <si>
    <t>Qubit</t>
  </si>
  <si>
    <t>2026-05-19 14:39 (nutrition-data-bq@agile-bonbon-662.iam.gserviceaccount.com)
2026-05-15 14:08 (nutrition-data-bq@agile-bonbon-662.iam.gserviceaccount.com)
2026-04-29 10:05 (ingersolla@thehutgroup.com)</t>
  </si>
  <si>
    <t>Ditto_staging</t>
  </si>
  <si>
    <t>2026-05-19 14:33 (nutrition-data-bq@agile-bonbon-662.iam.gserviceaccount.com)
2026-05-15 14:00 (nutrition-data-bq@agile-bonbon-662.iam.gserviceaccount.com)
2026-04-29 10:04 (ingersolla@thehutgroup.com)</t>
  </si>
  <si>
    <t>Free_Item_Campaigns_EU</t>
  </si>
  <si>
    <t>2026-05-19 14:34 (nutrition-data-bq@agile-bonbon-662.iam.gserviceaccount.com)
2026-05-15 14:00 (nutrition-data-bq@agile-bonbon-662.iam.gserviceaccount.com)
2026-04-29 10:04 (ingersolla@thehutgroup.com)</t>
  </si>
  <si>
    <t>analytics_427768680</t>
  </si>
  <si>
    <t>2026-01-01 10:11 (firebase-measurement@system.gserviceaccount.com)</t>
  </si>
  <si>
    <t>Nutrition_Data_External_Feeds</t>
  </si>
  <si>
    <t>0_Will_L</t>
  </si>
  <si>
    <t>Nutrition_Data_GS</t>
  </si>
  <si>
    <t>2026-05-19 14:37 (nutrition-data-bq@agile-bonbon-662.iam.gserviceaccount.com)
2026-05-15 14:05 (nutrition-data-bq@agile-bonbon-662.iam.gserviceaccount.com)
2026-05-06 13:34 (james.lloyd34@thg.com)
2026-05-06 13:34 (james.lloyd34@thg.com)
2026-05-06 13:33 (james.lloyd34@thg.com)</t>
  </si>
  <si>
    <t>Adverity_RTBHouse</t>
  </si>
  <si>
    <t>2026-05-19 14:29 (nutrition-data-bq@agile-bonbon-662.iam.gserviceaccount.com)
2026-05-15 13:56 (nutrition-data-bq@agile-bonbon-662.iam.gserviceaccount.com)
2026-04-29 10:03 (ingersolla@thehutgroup.com)
2026-02-10 03:15 (nutrition-data-bq@agile-bonbon-662.iam.gserviceaccount.com)
2026-02-10 01:17 (nutrition-data-bq@agile-bonbon-662.iam.gserviceaccount.com)</t>
  </si>
  <si>
    <t>2026-02-10 01:17 (nutrition-data-bq@agile-bonbon-662.iam.gserviceaccount.com)
2026-02-10 01:17 (nutrition-data-bq@agile-bonbon-662.iam.gserviceaccount.com)
2026-02-09 01:15 (nutrition-data-bq@agile-bonbon-662.iam.gserviceaccount.com)
2026-02-09 01:15 (nutrition-data-bq@agile-bonbon-662.iam.gserviceaccount.com)
2026-02-08 01:15 (nutrition-data-bq@agile-bonbon-662.iam.gserviceaccount.com)</t>
  </si>
  <si>
    <t>0_Ciaran_EU</t>
  </si>
  <si>
    <t>2026-05-19 13:54 (nutrition-data-bq@agile-bonbon-662.iam.gserviceaccount.com)
2026-05-15 13:20 (nutrition-data-bq@agile-bonbon-662.iam.gserviceaccount.com)
2026-05-15 13:12 (nutrition-data-bq@agile-bonbon-662.iam.gserviceaccount.com)
2026-05-15 13:07 (nutrition-data-bq@agile-bonbon-662.iam.gserviceaccount.com)
2026-05-15 12:55 (nutrition-data-bq@agile-bonbon-662.iam.gserviceaccount.com)</t>
  </si>
  <si>
    <t>Shrinkflation_Remapping</t>
  </si>
  <si>
    <t>2026-05-19 14:40 (nutrition-data-bq@agile-bonbon-662.iam.gserviceaccount.com)
2026-05-15 14:09 (nutrition-data-bq@agile-bonbon-662.iam.gserviceaccount.com)</t>
  </si>
  <si>
    <t>2026-05-08 09:30 (dean.chouit54@thg.com)
2026-05-08 09:25 (dean.chouit54@thg.com)</t>
  </si>
  <si>
    <t>airbyte_data_transfer</t>
  </si>
  <si>
    <t>2026-05-19 14:42 (nutrition-data-bq@agile-bonbon-662.iam.gserviceaccount.com)
2026-05-15 14:11 (nutrition-data-bq@agile-bonbon-662.iam.gserviceaccount.com)
2026-04-29 10:05 (ingersolla@thehutgroup.com)</t>
  </si>
  <si>
    <t>Ingenuity_Social</t>
  </si>
  <si>
    <t>2026-05-21 08:02 (marketing-analytics@thg-influencer.iam.gserviceaccount.com)
2026-05-21 08:02 (marketing-analytics@thg-influencer.iam.gserviceaccount.com)
2026-05-21 08:01 (marketing-analytics@thg-influencer.iam.gserviceaccount.com)
2026-05-21 08:01 (marketing-analytics@thg-influencer.iam.gserviceaccount.com)
2026-05-21 08:00 (marketing-analytics@thg-influencer.iam.gserviceaccount.com)</t>
  </si>
  <si>
    <t>audit</t>
  </si>
  <si>
    <t>2026-05-21 07:24 (alan.dodd82@thgingenuity.com)
2026-05-21 07:24 (alan.dodd82@thgingenuity.com)
2026-05-18 10:39 (alan.dodd82@thgingenuity.com)</t>
  </si>
  <si>
    <t>2026-05-18 10:39 (alan.dodd82@thgingenuity.com)
2026-05-18 10:39 (alan.dodd82@thgingenuity.com)</t>
  </si>
  <si>
    <t>analytics_268689428</t>
  </si>
  <si>
    <t>2026-05-23 10:02 (ga4-sessions-level-1-thg@agile-bonbon-662.iam.gserviceaccount.com)
2026-05-22 12:20 (nutrition-data-bq@agile-bonbon-662.iam.gserviceaccount.com)
2026-05-22 10:02 (ga4-sessions-level-1-thg@agile-bonbon-662.iam.gserviceaccount.com)
2026-05-21 10:03 (ga4-sessions-level-1-thg@agile-bonbon-662.iam.gserviceaccount.com)
2026-05-20 10:03 (ga4-sessions-level-1-thg@agile-bonbon-662.iam.gserviceaccount.com)</t>
  </si>
  <si>
    <t>2026-05-23 08:48 (firebase-measurement@system.gserviceaccount.com)
2026-05-22 08:44 (firebase-measurement@system.gserviceaccount.com)
2026-05-21 09:10 (firebase-measurement@system.gserviceaccount.com)
2026-05-20 08:55 (firebase-measurement@system.gserviceaccount.com)
2026-05-18 09:05 (firebase-measurement@system.gserviceaccount.com)</t>
  </si>
  <si>
    <t>v2_Ingenuity_Traffic</t>
  </si>
  <si>
    <t>2026-05-23 14:11 (marketing-analytics@thg-influencer.iam.gserviceaccount.com)
2026-05-23 14:11 (marketing-analytics@thg-influencer.iam.gserviceaccount.com)
2026-05-23 14:11 (marketing-analytics@thg-influencer.iam.gserviceaccount.com)
2026-05-23 13:11 (marketing-analytics@thg-influencer.iam.gserviceaccount.com)
2026-05-23 13:11 (marketing-analytics@thg-influencer.iam.gserviceaccount.com)</t>
  </si>
  <si>
    <t>2026-05-23 15:10 (marketing-analytics@thg-influencer.iam.gserviceaccount.com)
2026-05-23 14:11 (marketing-analytics@thg-influencer.iam.gserviceaccount.com)
2026-05-23 14:11 (marketing-analytics@thg-influencer.iam.gserviceaccount.com)
2026-05-23 14:10 (marketing-analytics@thg-influencer.iam.gserviceaccount.com)
2026-05-23 14:10 (marketing-analytics@thg-influencer.iam.gserviceaccount.com)</t>
  </si>
  <si>
    <t>analytics_331689608</t>
  </si>
  <si>
    <t>2026-05-26 10:03 (ga4-sessions-level-1-ingenuity@thg-ingenuity.iam.gserviceaccount.com)
2026-04-14 12:03 (ga4-sessions-level-1-ingenuity@thg-ingenuity.iam.gserviceaccount.com)
2026-04-04 10:03 (ga4-sessions-level-1-ingenuity@thg-ingenuity.iam.gserviceaccount.com)</t>
  </si>
  <si>
    <t>2026-05-26 09:37 (firebase-measurement@system.gserviceaccount.com)
2026-04-14 10:32 (firebase-measurement@system.gserviceaccount.com)
2026-04-04 09:19 (firebase-measurement@system.gserviceaccount.com)</t>
  </si>
  <si>
    <t>thcdn-on-the-edge</t>
  </si>
  <si>
    <t>fastly_access_log</t>
  </si>
  <si>
    <t>2026-01-29 12:06 (bleasej@thehutgroup.com)</t>
  </si>
  <si>
    <t>analytics_315314875</t>
  </si>
  <si>
    <t>2026-05-27 10:02 (ga4-sessions-level-1-ingenuity@thg-ingenuity.iam.gserviceaccount.com)
2026-05-25 08:02 (ga4-sessions-level-1-ingenuity@thg-ingenuity.iam.gserviceaccount.com)
2026-05-01 08:03 (ga4-sessions-level-1-ingenuity@thg-ingenuity.iam.gserviceaccount.com)
2026-04-26 10:03 (ga4-sessions-level-1-ingenuity@thg-ingenuity.iam.gserviceaccount.com)
2026-04-23 10:03 (ga4-sessions-level-1-ingenuity@thg-ingenuity.iam.gserviceaccount.com)</t>
  </si>
  <si>
    <t>2026-05-27 09:06 (firebase-measurement@system.gserviceaccount.com)
2026-05-25 07:51 (firebase-measurement@system.gserviceaccount.com)
2026-05-01 07:13 (firebase-measurement@system.gserviceaccount.com)
2026-04-26 08:06 (firebase-measurement@system.gserviceaccount.com)
2026-04-23 08:05 (firebase-measurement@system.gserviceaccount.com)</t>
  </si>
  <si>
    <t>ecrm_last_opened</t>
  </si>
  <si>
    <t>2026-05-26 13:53 (konstantinoun@thehutgroup.com)</t>
  </si>
  <si>
    <t>01_Alix</t>
  </si>
  <si>
    <t>2026-05-01 09:56 (alix.miceli38@thehutgroup.com)
2026-05-01 09:53 (alix.miceli38@thehutgroup.com)
2026-05-01 08:37 (yearsleye@thehutgroup.com)</t>
  </si>
  <si>
    <t>2026-05-01 08:35 (yearsleye@thehutgroup.com)
2026-05-01 08:33 (yearsleye@thehutgroup.com)
2026-05-01 08:30 (yearsleye@thehutgroup.com)
2026-05-01 08:28 (yearsleye@thehutgroup.com)</t>
  </si>
  <si>
    <t>0_Liam_EU</t>
  </si>
  <si>
    <t>2026-05-22 06:16 (nutrition-data-bq@agile-bonbon-662.iam.gserviceaccount.com)
2026-05-21 06:15 (nutrition-data-bq@agile-bonbon-662.iam.gserviceaccount.com)
2026-05-20 12:38 (nutrition-data-bq@agile-bonbon-662.iam.gserviceaccount.com)
2026-05-20 06:15 (nutrition-data-bq@agile-bonbon-662.iam.gserviceaccount.com)
2026-05-19 13:56 (nutrition-data-bq@agile-bonbon-662.iam.gserviceaccount.com)</t>
  </si>
  <si>
    <t>2026-05-27 08:16 (vy.nguyen12@thehutgroup.com)</t>
  </si>
  <si>
    <t>s2s_config</t>
  </si>
  <si>
    <t>2026-05-28 01:07 (s2s-facebook-events-handler@the-hut-group.iam.gserviceaccount.com)
2026-04-30 13:31 (pm-fb-s2s@the-hut-group.iam.gserviceaccount.com)
2026-04-29 09:19 (ingersolla@thehutgroup.com)
2026-04-28 15:22 (pm-fb-s2s@the-hut-group.iam.gserviceaccount.com)
2026-04-27 10:47 (s2s-facebook-events-handler@the-hut-group.iam.gserviceaccount.com)</t>
  </si>
  <si>
    <t>2026-03-25 08:11 (pm-fb-s2s@the-hut-group.iam.gserviceaccount.com)</t>
  </si>
  <si>
    <t>vertexai_chatbot_adk_telemetry</t>
  </si>
  <si>
    <t>2026-05-27 19:46 (lupuletic@thehutgroup.com)
2026-05-21 15:18 (babenkon@thehutgroup.com)
2026-02-03 13:14 (kartik.patel28@thgingenuity.com)</t>
  </si>
  <si>
    <t>2026-02-03 13:14 (kartik.patel28@thgingenuity.com)
2026-02-03 11:45 (kartik.patel28@thgingenuity.com)
2026-02-03 11:44 (kartik.patel28@thgingenuity.com)</t>
  </si>
  <si>
    <t>vertexai_chatbot_adk_genai_telemetry_logs</t>
  </si>
  <si>
    <t>Dataset that holds views for the `vertexai-chatbot-adk-genai-telemetry` log bucket from the `thg-ml-dev` project.</t>
  </si>
  <si>
    <t>2026-05-27 21:29 (lupuletic@thehutgroup.com)</t>
  </si>
  <si>
    <t>2026-05-28 13:50 (ml-spaces@thg-ml-staging.iam.gserviceaccount.com)
2026-05-28 13:19 (ml-spaces@thg-ml-staging.iam.gserviceaccount.com)
2026-05-07 09:45 (ml-spaces@thg-ml-staging.iam.gserviceaccount.com)
2026-05-07 09:44 (ml-spaces@thg-ml-staging.iam.gserviceaccount.com)
2026-05-07 09:42 (ml-spaces@thg-ml-staging.iam.gserviceaccount.com)</t>
  </si>
  <si>
    <t>Central_THGEdit</t>
  </si>
  <si>
    <t>2026-05-19 14:33 (nutrition-data-bq@agile-bonbon-662.iam.gserviceaccount.com)
2026-05-19 14:33 (nutrition-data-bq@agile-bonbon-662.iam.gserviceaccount.com)
2026-05-19 14:33 (nutrition-data-bq@agile-bonbon-662.iam.gserviceaccount.com)
2026-05-15 13:59 (nutrition-data-bq@agile-bonbon-662.iam.gserviceaccount.com)
2026-05-15 13:59 (nutrition-data-bq@agile-bonbon-662.iam.gserviceaccount.com)</t>
  </si>
  <si>
    <t>2026-06-01 04:52 (central-marketing-credentials@thg-central-marketing.iam.gserviceaccount.com)
2026-05-01 04:50 (myprotein-bq@agile-bonbon-662.iam.gserviceaccount.com)
2026-04-01 04:54 (myprotein-bq@agile-bonbon-662.iam.gserviceaccount.com)
2026-03-01 05:49 (myprotein-bq@agile-bonbon-662.iam.gserviceaccount.com)
2026-02-01 07:17 (myprotein-bq@agile-bonbon-662.iam.gserviceaccount.com)</t>
  </si>
  <si>
    <t>Pitch_Data</t>
  </si>
  <si>
    <t>2026-06-24 10:00 (oksana.zherebetska23@thg.com)
2026-06-24 09:58 (sa-bpswcbdsql01@thg-beauty.iam.gserviceaccount.com)
2026-06-24 09:58 (sa-bpswcbdsql01@thg-beauty.iam.gserviceaccount.com)
2026-06-24 09:08 (oksana.zherebetska23@thg.com)
2026-06-24 09:08 (oksana.zherebetska23@thg.com)</t>
  </si>
  <si>
    <t>2026-06-24 09:58 (sa-bpswcbdsql01@thg-beauty.iam.gserviceaccount.com)
2026-06-24 08:53 (sa-bpswcbdsql01@thg-beauty.iam.gserviceaccount.com)
2026-06-24 08:53 (sa-bpswcbdsql01@thg-beauty.iam.gserviceaccount.com)
2026-06-24 08:53 (sa-bpswcbdsql01@thg-beauty.iam.gserviceaccount.com)
2026-06-24 08:53 (sa-bpswcbdsql01@thg-beauty.iam.gserviceaccount.com)</t>
  </si>
  <si>
    <t>Search_Term</t>
  </si>
  <si>
    <t>2026-06-24 09:30 (thg-beauty-bqdata-scheduler@thg-beauty.iam.gserviceaccount.com)
2026-06-24 09:30 (thg-beauty-bqdata-scheduler@thg-beauty.iam.gserviceaccount.com)
2026-06-24 09:30 (thg-beauty-bqdata-scheduler@thg-beauty.iam.gserviceaccount.com)
2026-06-24 09:30 (thg-beauty-bqdata-scheduler@thg-beauty.iam.gserviceaccount.com)
2026-06-24 09:30 (thg-beauty-bqdata-scheduler@thg-beauty.iam.gserviceaccount.com)</t>
  </si>
  <si>
    <t>2026-06-24 02:20 (sa-bpswcbdsql01@thg-beauty.iam.gserviceaccount.com)
2026-06-24 02:20 (sa-bpswcbdsql01@thg-beauty.iam.gserviceaccount.com)
2026-06-24 02:20 (sa-bpswcbdsql01@thg-beauty.iam.gserviceaccount.com)
2026-06-24 02:20 (sa-bpswcbdsql01@thg-beauty.iam.gserviceaccount.com)
2026-06-24 02:20 (sa-bpswcbdsql01@thg-beauty.iam.gserviceaccount.com)</t>
  </si>
  <si>
    <t>2026-06-01 03:02 (logistics@thg-ml-staging.iam.gserviceaccount.com)
2026-05-18 03:02 (logistics@thg-ml-staging.iam.gserviceaccount.com)
2026-04-27 03:02 (logistics@thg-ml-staging.iam.gserviceaccount.com)
2026-04-20 03:02 (logistics@thg-ml-staging.iam.gserviceaccount.com)
2026-03-23 03:02 (logistics@thg-ml-staging.iam.gserviceaccount.com)</t>
  </si>
  <si>
    <t>analytics_314959155</t>
  </si>
  <si>
    <t>2026-06-02 07:28 (firebase-measurement@system.gserviceaccount.com)
2026-06-01 08:06 (firebase-measurement@system.gserviceaccount.com)
2026-05-31 07:47 (firebase-measurement@system.gserviceaccount.com)
2026-05-30 07:40 (firebase-measurement@system.gserviceaccount.com)
2026-05-29 09:00 (firebase-measurement@system.gserviceaccount.com)</t>
  </si>
  <si>
    <t>voyager_unit_economics</t>
  </si>
  <si>
    <t>Voyager unit economics — euw2</t>
  </si>
  <si>
    <t>2026-06-04 14:41 (robin.hillier@thgingenuity.com)
2026-06-04 14:24 (robin.hillier@thgingenuity.com)
2026-06-04 14:24 (robin.hillier@thgingenuity.com)
2026-06-04 14:24 (robin.hillier@thgingenuity.com)
2026-06-04 14:22 (robin.hillier@thgingenuity.com)</t>
  </si>
  <si>
    <t>2026-06-04 14:22 (robin.hillier@thgingenuity.com)
2026-06-04 14:22 (robin.hillier@thgingenuity.com)
2026-06-04 14:20 (robin.hillier@thgingenuity.com)</t>
  </si>
  <si>
    <t>voyager_unit_economics_cost_summary</t>
  </si>
  <si>
    <t>2026-06-04 14:42 (robin.hillier@thgingenuity.com)
2026-06-04 14:42 (robin.hillier@thgingenuity.com)
2026-06-04 14:41 (robin.hillier@thgingenuity.com)
2026-06-04 14:24 (robin.hillier@thgingenuity.com)
2026-06-04 14:24 (robin.hillier@thgingenuity.com)</t>
  </si>
  <si>
    <t>2026-05-07 12:31 (robin.hillier@thgingenuity.com)</t>
  </si>
  <si>
    <t>identity</t>
  </si>
  <si>
    <t>2026-06-08 10:55 (stringerc@thehutgroup.com)
2026-06-08 10:54 (stringerc@thehutgroup.com)
2026-06-08 10:54 (stringerc@thehutgroup.com)
2026-06-08 10:54 (stringerc@thehutgroup.com)
2026-06-08 10:54 (stringerc@thehutgroup.com)</t>
  </si>
  <si>
    <t>2026-06-08 10:55 (stringerc@thehutgroup.com)
2026-06-08 10:54 (stringerc@thehutgroup.com)
2026-06-08 10:54 (stringerc@thehutgroup.com)
2026-06-08 10:54 (stringerc@thehutgroup.com)
2026-06-08 10:44 (stringerc@thehutgroup.com)</t>
  </si>
  <si>
    <t>2026-06-08 11:32 (alan.dodd82@thgingenuity.com)
2026-06-08 11:32 (alan.dodd82@thgingenuity.com)
2026-06-08 11:32 (alan.dodd82@thgingenuity.com)
2026-06-08 11:32 (alan.dodd82@thgingenuity.com)
2026-06-08 11:32 (alan.dodd82@thgingenuity.com)</t>
  </si>
  <si>
    <t>2026-05-19 07:15 (alan.dodd82@thgingenuity.com)
2026-05-19 06:45 (alan.dodd82@thgingenuity.com)
2026-05-19 06:15 (alan.dodd82@thgingenuity.com)
2026-05-19 05:15 (alan.dodd82@thgingenuity.com)
2026-05-19 05:15 (alan.dodd82@thgingenuity.com)</t>
  </si>
  <si>
    <t>analytics_315307581</t>
  </si>
  <si>
    <t>2026-06-10 08:02 (ga4-sessions-level-1-ingenuity@thg-ingenuity.iam.gserviceaccount.com)
2026-06-04 12:03 (ga4-sessions-level-1-ingenuity@thg-ingenuity.iam.gserviceaccount.com)
2026-05-19 08:03 (ga4-sessions-level-1-ingenuity@thg-ingenuity.iam.gserviceaccount.com)
2026-05-18 08:02 (ga4-sessions-level-1-ingenuity@thg-ingenuity.iam.gserviceaccount.com)
2026-05-16 08:02 (ga4-sessions-level-1-ingenuity@thg-ingenuity.iam.gserviceaccount.com)</t>
  </si>
  <si>
    <t>2026-06-10 06:51 (firebase-measurement@system.gserviceaccount.com)
2026-06-04 06:54 (firebase-measurement@system.gserviceaccount.com)
2026-05-19 06:45 (firebase-measurement@system.gserviceaccount.com)
2026-05-18 06:29 (firebase-measurement@system.gserviceaccount.com)
2026-05-16 06:46 (firebase-measurement@system.gserviceaccount.com)</t>
  </si>
  <si>
    <t>logistics</t>
  </si>
  <si>
    <t>2026-06-09 08:01 (priestleyg@thehutgroup.com)
2026-06-09 08:01 (priestleyg@thehutgroup.com)
2026-06-09 08:01 (priestleyg@thehutgroup.com)
2026-06-09 08:01 (priestleyg@thehutgroup.com)
2026-06-09 08:00 (priestleyg@thehutgroup.com)</t>
  </si>
  <si>
    <t>ditto_cloud</t>
  </si>
  <si>
    <t>NPD_new_product</t>
  </si>
  <si>
    <t>2026-06-24 10:46 (chanv@thehutgroup.com)
2026-06-24 10:44 (chanv@thehutgroup.com)
2026-06-24 10:43 (chanv@thehutgroup.com)
2026-06-24 10:43 (chanv@thehutgroup.com)
2026-06-24 10:43 (chanv@thehutgroup.com)</t>
  </si>
  <si>
    <t>2026-06-24 02:33 (sa-bpswcbdsql01@thg-beauty.iam.gserviceaccount.com)
2026-06-24 02:33 (sa-bpswcbdsql01@thg-beauty.iam.gserviceaccount.com)
2026-06-24 02:33 (sa-bpswcbdsql01@thg-beauty.iam.gserviceaccount.com)
2026-06-24 02:33 (sa-bpswcbdsql01@thg-beauty.iam.gserviceaccount.com)
2026-06-24 02:33 (sa-bpswcbdsql01@thg-beauty.iam.gserviceaccount.com)</t>
  </si>
  <si>
    <t>NPD_Circana</t>
  </si>
  <si>
    <t>2026-06-24 02:28 (sa-bpswcbdsql01@thg-beauty.iam.gserviceaccount.com)
2026-06-23 02:33 (sa-bpswcbdsql01@thg-beauty.iam.gserviceaccount.com)
2026-06-22 08:43 (beauty-data@agile-bonbon-662.iam.gserviceaccount.com)
2026-06-22 08:43 (beauty-data@agile-bonbon-662.iam.gserviceaccount.com)
2026-06-22 08:42 (beauty-data@agile-bonbon-662.iam.gserviceaccount.com)</t>
  </si>
  <si>
    <t>2026-06-22 08:35 (beauty-data@agile-bonbon-662.iam.gserviceaccount.com)
2026-06-22 08:35 (beauty-data@agile-bonbon-662.iam.gserviceaccount.com)
2026-06-22 08:34 (beauty-data@agile-bonbon-662.iam.gserviceaccount.com)
2026-06-22 08:34 (beauty-data@agile-bonbon-662.iam.gserviceaccount.com)
2026-06-22 08:34 (beauty-data@agile-bonbon-662.iam.gserviceaccount.com)</t>
  </si>
  <si>
    <t>Adverity_AmazonSeller</t>
  </si>
  <si>
    <t>2026-06-12 08:21 (stringerc@thehutgroup.com)
2026-06-12 08:20 (stringerc@thehutgroup.com)
2026-01-05 12:45 (central-marketing-credentials@thg-central-marketing.iam.gserviceaccount.com)
2026-01-05 12:31 (central-marketing-credentials@thg-central-marketing.iam.gserviceaccount.com)
2026-01-05 12:15 (central-marketing-credentials@thg-central-marketing.iam.gserviceaccount.com)</t>
  </si>
  <si>
    <t>ecrm_segmentation</t>
  </si>
  <si>
    <t>2026-06-12 06:31 (yearsleye@thehutgroup.com)
2026-06-12 06:01 (yearsleye@thehutgroup.com)
2026-06-11 06:31 (yearsleye@thehutgroup.com)
2026-06-11 06:01 (yearsleye@thehutgroup.com)
2026-06-10 06:31 (yearsleye@thehutgroup.com)</t>
  </si>
  <si>
    <t>Adverity_Emplifi</t>
  </si>
  <si>
    <t>Adverity_Yandex</t>
  </si>
  <si>
    <t>Adverity_ZohoCRM</t>
  </si>
  <si>
    <t>Adverity_TikTokShop</t>
  </si>
  <si>
    <t>2026-06-12 08:21 (stringerc@thehutgroup.com)
2026-06-12 08:20 (stringerc@thehutgroup.com)
2026-06-12 08:16 (stringerc@thehutgroup.com)
2026-01-05 12:45 (central-marketing-credentials@thg-central-marketing.iam.gserviceaccount.com)
2026-01-05 12:31 (central-marketing-credentials@thg-central-marketing.iam.gserviceaccount.com)</t>
  </si>
  <si>
    <t>Adverity_Qihoo</t>
  </si>
  <si>
    <t>thg-finance</t>
  </si>
  <si>
    <t>Nutrition_Line_Detail</t>
  </si>
  <si>
    <t>2026-06-12 13:45 (ingersolla@thehutgroup.com)
2026-05-06 13:59 (ranya.darwash86@thg.com)
2026-05-06 13:52 (ranya.darwash86@thg.com)
2026-05-06 13:47 (ranya.darwash86@thg.com)
2026-04-23 11:11 (dean.chouit54@thg.com)</t>
  </si>
  <si>
    <t>2026-05-18 00:13 (data-uploader@thg-finance.iam.gserviceaccount.com)
2026-05-18 00:12 (data-uploader@thg-finance.iam.gserviceaccount.com)
2026-05-18 00:11 (data-uploader@thg-finance.iam.gserviceaccount.com)
2026-05-18 00:09 (data-uploader@thg-finance.iam.gserviceaccount.com)
2026-05-18 00:08 (data-uploader@thg-finance.iam.gserviceaccount.com)</t>
  </si>
  <si>
    <t>Reactivation_Report</t>
  </si>
  <si>
    <t>2026-06-24 06:30 (aakash.kalantre61@thehutgroup.com)
2026-06-24 06:30 (aakash.kalantre61@thehutgroup.com)
2026-06-24 06:30 (aakash.kalantre61@thehutgroup.com)
2026-06-24 06:30 (aakash.kalantre61@thehutgroup.com)
2026-06-24 06:30 (aakash.kalantre61@thehutgroup.com)</t>
  </si>
  <si>
    <t>analytics_350439844</t>
  </si>
  <si>
    <t>2026-06-16 05:29 (firebase-measurement@system.gserviceaccount.com)
2026-04-19 04:04 (firebase-measurement@system.gserviceaccount.com)
2026-04-17 04:38 (firebase-measurement@system.gserviceaccount.com)
2026-04-10 04:25 (firebase-measurement@system.gserviceaccount.com)
2026-04-07 03:49 (firebase-measurement@system.gserviceaccount.com)</t>
  </si>
  <si>
    <t>analytics_315316388</t>
  </si>
  <si>
    <t>2026-06-16 08:02 (ga4-sessions-level-1-ingenuity@thg-ingenuity.iam.gserviceaccount.com)
2026-05-20 10:02 (ga4-sessions-level-1-ingenuity@thg-ingenuity.iam.gserviceaccount.com)
2026-05-19 10:03 (ga4-sessions-level-1-ingenuity@thg-ingenuity.iam.gserviceaccount.com)
2026-05-14 08:02 (ga4-sessions-level-1-ingenuity@thg-ingenuity.iam.gserviceaccount.com)
2026-05-09 10:03 (ga4-sessions-level-1-ingenuity@thg-ingenuity.iam.gserviceaccount.com)</t>
  </si>
  <si>
    <t>2026-06-16 07:47 (firebase-measurement@system.gserviceaccount.com)
2026-05-20 08:48 (firebase-measurement@system.gserviceaccount.com)
2026-05-19 08:52 (firebase-measurement@system.gserviceaccount.com)
2026-05-14 07:38 (firebase-measurement@system.gserviceaccount.com)
2026-05-09 09:04 (firebase-measurement@system.gserviceaccount.com)</t>
  </si>
  <si>
    <t>2026-06-16 12:28 (ml-spaces@thg-ml-live.iam.gserviceaccount.com)
2026-06-16 12:28 (ml-spaces@thg-ml-live.iam.gserviceaccount.com)
2026-01-27 08:47 (ml-spaces@thg-ml-live.iam.gserviceaccount.com)
2026-01-27 08:47 (ml-spaces@thg-ml-live.iam.gserviceaccount.com)</t>
  </si>
  <si>
    <t>project_forecasts</t>
  </si>
  <si>
    <t>FinOps base project cost forecasts captured at project creation time</t>
  </si>
  <si>
    <t>Category_Customer_Behaviour</t>
  </si>
  <si>
    <t>2026-06-24 08:02 (beauty-data@agile-bonbon-662.iam.gserviceaccount.com)
2026-06-24 08:02 (beauty-data@agile-bonbon-662.iam.gserviceaccount.com)
2026-06-24 08:02 (beauty-data@agile-bonbon-662.iam.gserviceaccount.com)
2026-06-24 08:02 (beauty-data@agile-bonbon-662.iam.gserviceaccount.com)
2026-06-24 08:02 (beauty-data@agile-bonbon-662.iam.gserviceaccount.com)</t>
  </si>
  <si>
    <t>2026-06-24 02:52 (sa-bpswcbdsql01@thg-beauty.iam.gserviceaccount.com)
2026-06-24 02:52 (sa-bpswcbdsql01@thg-beauty.iam.gserviceaccount.com)
2026-06-24 02:52 (sa-bpswcbdsql01@thg-beauty.iam.gserviceaccount.com)
2026-06-24 02:52 (sa-bpswcbdsql01@thg-beauty.iam.gserviceaccount.com)
2026-06-24 02:52 (sa-bpswcbdsql01@thg-beauty.iam.gserviceaccount.com)</t>
  </si>
  <si>
    <t>recommender__permanent</t>
  </si>
  <si>
    <t>2026-06-19 06:25 (rahul.chaudhari72@thgingenuity.com)
2026-06-19 06:25 (rahul.chaudhari72@thgingenuity.com)
2026-06-19 06:25 (rahul.chaudhari72@thgingenuity.com)
2026-06-19 06:20 (rahul.chaudhari72@thgingenuity.com)
2026-06-19 06:02 (rahul.chaudhari72@thgingenuity.com)</t>
  </si>
  <si>
    <t>2026-06-18 14:59 (recommender@thg-ml-dev.iam.gserviceaccount.com)
2026-06-18 14:59 (recommender@thg-ml-dev.iam.gserviceaccount.com)
2026-06-18 14:58 (recommender@thg-ml-dev.iam.gserviceaccount.com)
2026-06-18 14:58 (recommender@thg-ml-dev.iam.gserviceaccount.com)
2026-06-18 14:58 (recommender@thg-ml-dev.iam.gserviceaccount.com)</t>
  </si>
  <si>
    <t>Site_Migration</t>
  </si>
  <si>
    <t>2026-06-24 09:03 (Liam.Lim79@thg.com)
2026-06-24 09:01 (Liam.Lim79@thg.com)
2026-06-24 09:01 (Liam.Lim79@thg.com)
2026-06-24 09:01 (Liam.Lim79@thg.com)
2026-06-24 09:01 (Liam.Lim79@thg.com)</t>
  </si>
  <si>
    <t>analytics_315294381</t>
  </si>
  <si>
    <t>2026-06-19 08:02 (ga4-sessions-level-1-ingenuity@thg-ingenuity.iam.gserviceaccount.com)
2026-06-16 08:02 (ga4-sessions-level-1-ingenuity@thg-ingenuity.iam.gserviceaccount.com)
2026-06-02 10:02 (ga4-sessions-level-1-ingenuity@thg-ingenuity.iam.gserviceaccount.com)
2026-06-01 08:02 (ga4-sessions-level-1-ingenuity@thg-ingenuity.iam.gserviceaccount.com)
2026-05-31 08:02 (ga4-sessions-level-1-ingenuity@thg-ingenuity.iam.gserviceaccount.com)</t>
  </si>
  <si>
    <t>2026-06-19 07:53 (firebase-measurement@system.gserviceaccount.com)
2026-06-16 06:31 (firebase-measurement@system.gserviceaccount.com)
2026-06-02 08:44 (firebase-measurement@system.gserviceaccount.com)
2026-06-01 07:55 (firebase-measurement@system.gserviceaccount.com)
2026-05-31 06:50 (firebase-measurement@system.gserviceaccount.com)</t>
  </si>
  <si>
    <t>chatbot</t>
  </si>
  <si>
    <t>2026-02-10 13:58 (shelleym@thehutgroup.com)
2026-02-10 12:50 (shelleym@thehutgroup.com)
2026-02-10 12:50 (shelleym@thehutgroup.com)
2026-02-10 12:46 (shelleym@thehutgroup.com)
2026-02-10 12:46 (shelleym@thehutgroup.com)</t>
  </si>
  <si>
    <t>vto_analytics_nonprod</t>
  </si>
  <si>
    <t>Virtual Try-On analytics — frontend events and generation metrics</t>
  </si>
  <si>
    <t>2026-06-17 12:46 (babenkon@thehutgroup.com)
2026-06-17 12:32 (babenkon@thehutgroup.com)
2026-06-17 12:31 (babenkon@thehutgroup.com)
2026-06-17 12:30 (babenkon@thehutgroup.com)
2026-06-17 12:30 (babenkon@thehutgroup.com)</t>
  </si>
  <si>
    <t>insights</t>
  </si>
  <si>
    <t>2026-06-19 11:10 (meirosur@thehutgroup.com)
2026-06-19 11:09 (meirosur@thehutgroup.com)
2026-06-19 11:09 (meirosur@thehutgroup.com)
2026-06-19 10:55 (meirosur@thehutgroup.com)
2026-06-16 14:38 (konstantinoun@thehutgroup.com)</t>
  </si>
  <si>
    <t>2026-06-16 14:26 (konstantinoun@thehutgroup.com)
2026-06-16 14:26 (konstantinoun@thehutgroup.com)
2026-06-16 14:26 (konstantinoun@thehutgroup.com)
2026-06-16 13:10 (konstantinoun@thehutgroup.com)
2026-06-16 13:10 (konstantinoun@thehutgroup.com)</t>
  </si>
  <si>
    <t>ecrm__permanent</t>
  </si>
  <si>
    <t>2026-06-21 01:02 (ecrm-sa@thg-ml-staging.iam.gserviceaccount.com)
2026-06-21 01:02 (ecrm-sa@thg-ml-staging.iam.gserviceaccount.com)
2026-06-21 01:02 (ecrm-sa@thg-ml-staging.iam.gserviceaccount.com)
2026-06-21 01:02 (ecrm-sa@thg-ml-staging.iam.gserviceaccount.com)
2026-06-21 01:02 (ecrm-sa@thg-ml-staging.iam.gserviceaccount.com)</t>
  </si>
  <si>
    <t>2026-06-21 01:02 (ecrm-sa@thg-ml-staging.iam.gserviceaccount.com)
2026-06-21 01:02 (ecrm-sa@thg-ml-staging.iam.gserviceaccount.com)
2026-06-21 01:02 (ecrm-sa@thg-ml-staging.iam.gserviceaccount.com)
2026-06-21 01:01 (ecrm-sa@thg-ml-staging.iam.gserviceaccount.com)
2026-06-21 01:01 (ecrm-sa@thg-ml-staging.iam.gserviceaccount.com)</t>
  </si>
  <si>
    <t>analytics_243860204</t>
  </si>
  <si>
    <t>2026-06-21 08:02 (ga4-sessions-level-1-thg@agile-bonbon-662.iam.gserviceaccount.com)
2026-06-21 03:00 (web-analytics-ga4@agile-bonbon-662.iam.gserviceaccount.com)
2026-06-20 16:02 (ga4-sessions-level-1-thg@agile-bonbon-662.iam.gserviceaccount.com)
2026-06-18 08:02 (ga4-sessions-level-1-thg@agile-bonbon-662.iam.gserviceaccount.com)
2026-06-17 22:01 (ga4-sessions-level-1-thg@agile-bonbon-662.iam.gserviceaccount.com)</t>
  </si>
  <si>
    <t>2026-06-21 07:04 (firebase-measurement@system.gserviceaccount.com)
2026-06-18 07:41 (firebase-measurement@system.gserviceaccount.com)
2026-06-16 06:43 (firebase-measurement@system.gserviceaccount.com)
2026-06-13 06:51 (firebase-measurement@system.gserviceaccount.com)
2026-06-11 14:10 (firebase-measurement@system.gserviceaccount.com)</t>
  </si>
  <si>
    <t>MTD_KPI</t>
  </si>
  <si>
    <t>2026-06-24 10:45 (beauty-data@agile-bonbon-662.iam.gserviceaccount.com)
2026-06-24 10:45 (beauty-data@agile-bonbon-662.iam.gserviceaccount.com)
2026-06-24 10:31 (beauty-data@agile-bonbon-662.iam.gserviceaccount.com)
2026-06-24 10:31 (clare.isakson58@thehutgroup.com)
2026-06-24 10:31 (beauty-data@agile-bonbon-662.iam.gserviceaccount.com)</t>
  </si>
  <si>
    <t>2026-06-24 10:25 (sa-bpswcbdsql01@thg-beauty.iam.gserviceaccount.com)
2026-06-24 10:25 (sa-bpswcbdsql01@thg-beauty.iam.gserviceaccount.com)
2026-06-24 10:25 (sa-bpswcbdsql01@thg-beauty.iam.gserviceaccount.com)
2026-06-24 10:25 (sa-bpswcbdsql01@thg-beauty.iam.gserviceaccount.com)
2026-06-24 10:25 (sa-bpswcbdsql01@thg-beauty.iam.gserviceaccount.com)</t>
  </si>
  <si>
    <t>2026-06-21 01:09 (product-gen@thg-ml-staging.iam.gserviceaccount.com)
2026-06-21 01:09 (product-gen@thg-ml-staging.iam.gserviceaccount.com)
2026-06-21 01:09 (product-gen@thg-ml-staging.iam.gserviceaccount.com)
2026-06-21 01:05 (product-gen@thg-ml-staging.iam.gserviceaccount.com)
2026-06-14 01:09 (product-gen@thg-ml-staging.iam.gserviceaccount.com)</t>
  </si>
  <si>
    <t>2026-06-21 01:09 (product-gen@thg-ml-staging.iam.gserviceaccount.com)
2026-06-21 01:09 (product-gen@thg-ml-staging.iam.gserviceaccount.com)
2026-06-14 01:09 (product-gen@thg-ml-staging.iam.gserviceaccount.com)
2026-06-14 01:09 (product-gen@thg-ml-staging.iam.gserviceaccount.com)
2026-06-07 01:08 (product-gen@thg-ml-staging.iam.gserviceaccount.com)</t>
  </si>
  <si>
    <t>analytics_315289550</t>
  </si>
  <si>
    <t>2026-06-22 10:03 (ga4-sessions-level-1-ingenuity@thg-ingenuity.iam.gserviceaccount.com)
2026-06-17 08:02 (ga4-sessions-level-1-ingenuity@thg-ingenuity.iam.gserviceaccount.com)
2026-06-16 08:02 (ga4-sessions-level-1-ingenuity@thg-ingenuity.iam.gserviceaccount.com)
2026-06-13 08:02 (ga4-sessions-level-1-ingenuity@thg-ingenuity.iam.gserviceaccount.com)
2026-06-11 18:03 (ga4-sessions-level-1-ingenuity@thg-ingenuity.iam.gserviceaccount.com)</t>
  </si>
  <si>
    <t>2026-06-22 08:58 (firebase-measurement@system.gserviceaccount.com)
2026-06-17 07:57 (firebase-measurement@system.gserviceaccount.com)
2026-06-16 07:15 (firebase-measurement@system.gserviceaccount.com)
2026-06-13 07:57 (firebase-measurement@system.gserviceaccount.com)
2026-06-11 17:07 (firebase-measurement@system.gserviceaccount.com)</t>
  </si>
  <si>
    <t>Weekly_Retention_Rate</t>
  </si>
  <si>
    <t>2026-06-22 02:31 (nutrition-data-bq@agile-bonbon-662.iam.gserviceaccount.com)
2026-06-22 02:31 (nutrition-data-bq@agile-bonbon-662.iam.gserviceaccount.com)
2026-06-22 02:31 (nutrition-data-bq@agile-bonbon-662.iam.gserviceaccount.com)
2026-06-22 02:31 (nutrition-data-bq@agile-bonbon-662.iam.gserviceaccount.com)
2026-06-22 02:31 (nutrition-data-bq@agile-bonbon-662.iam.gserviceaccount.com)</t>
  </si>
  <si>
    <t>2026-06-22 00:04 (nutrition-data-bq@agile-bonbon-662.iam.gserviceaccount.com)
2026-06-22 00:04 (nutrition-data-bq@agile-bonbon-662.iam.gserviceaccount.com)
2026-06-22 00:03 (nutrition-data-bq@agile-bonbon-662.iam.gserviceaccount.com)
2026-06-22 00:03 (nutrition-data-bq@agile-bonbon-662.iam.gserviceaccount.com)
2026-06-22 00:03 (nutrition-data-bq@agile-bonbon-662.iam.gserviceaccount.com)</t>
  </si>
  <si>
    <t>Survey_Monkey</t>
  </si>
  <si>
    <t>2026-06-22 08:03 (nutrition-data-bq@agile-bonbon-662.iam.gserviceaccount.com)
2026-06-22 08:03 (nutrition-data-bq@agile-bonbon-662.iam.gserviceaccount.com)
2026-06-22 08:03 (nutrition-data-bq@agile-bonbon-662.iam.gserviceaccount.com)
2026-06-22 08:03 (nutrition-data-bq@agile-bonbon-662.iam.gserviceaccount.com)
2026-06-22 08:03 (nutrition-data-bq@agile-bonbon-662.iam.gserviceaccount.com)</t>
  </si>
  <si>
    <t>2026-06-22 00:05 (nutrition-data-bq@agile-bonbon-662.iam.gserviceaccount.com)
2026-06-22 00:05 (nutrition-data-bq@agile-bonbon-662.iam.gserviceaccount.com)
2026-06-22 00:04 (nutrition-data-bq@agile-bonbon-662.iam.gserviceaccount.com)
2026-06-22 00:04 (nutrition-data-bq@agile-bonbon-662.iam.gserviceaccount.com)
2026-06-22 00:04 (nutrition-data-bq@agile-bonbon-662.iam.gserviceaccount.com)</t>
  </si>
  <si>
    <t>Nutrition_Data_Customer_Activation</t>
  </si>
  <si>
    <t>2026-06-22 02:31 (nutrition-data-bq@agile-bonbon-662.iam.gserviceaccount.com)
2026-06-15 02:31 (nutrition-data-bq@agile-bonbon-662.iam.gserviceaccount.com)
2026-06-08 02:31 (nutrition-data-bq@agile-bonbon-662.iam.gserviceaccount.com)
2026-06-03 13:13 (RobinsonJa@thehutgroup.com)
2026-06-01 02:31 (nutrition-data-bq@agile-bonbon-662.iam.gserviceaccount.com)</t>
  </si>
  <si>
    <t>2026-06-22 01:32 (nutrition-data-bq@agile-bonbon-662.iam.gserviceaccount.com)
2026-06-22 01:32 (nutrition-data-bq@agile-bonbon-662.iam.gserviceaccount.com)
2026-06-22 01:32 (nutrition-data-bq@agile-bonbon-662.iam.gserviceaccount.com)
2026-06-22 01:32 (nutrition-data-bq@agile-bonbon-662.iam.gserviceaccount.com)
2026-06-22 01:32 (nutrition-data-bq@agile-bonbon-662.iam.gserviceaccount.com)</t>
  </si>
  <si>
    <t>Brand_Health</t>
  </si>
  <si>
    <t>2026-06-22 02:32 (nutrition-data-bq@agile-bonbon-662.iam.gserviceaccount.com)
2026-06-22 02:31 (nutrition-data-bq@agile-bonbon-662.iam.gserviceaccount.com)
2026-06-20 21:03 (nutrition-data-bq@agile-bonbon-662.iam.gserviceaccount.com)
2026-06-15 02:32 (nutrition-data-bq@agile-bonbon-662.iam.gserviceaccount.com)
2026-06-15 02:31 (nutrition-data-bq@agile-bonbon-662.iam.gserviceaccount.com)</t>
  </si>
  <si>
    <t>2026-06-22 02:45 (nutrition-data-bq@agile-bonbon-662.iam.gserviceaccount.com)
2026-06-22 02:31 (nutrition-data-bq@agile-bonbon-662.iam.gserviceaccount.com)
2026-06-20 21:03 (nutrition-data-bq@agile-bonbon-662.iam.gserviceaccount.com)
2026-06-15 02:36 (nutrition-data-bq@agile-bonbon-662.iam.gserviceaccount.com)
2026-06-15 02:31 (nutrition-data-bq@agile-bonbon-662.iam.gserviceaccount.com)</t>
  </si>
  <si>
    <t>00_Luke</t>
  </si>
  <si>
    <t>2026-06-22 08:11 (dean.chouit54@thg.com)
2026-06-22 08:04 (dean.chouit54@thg.com)
2026-06-22 08:03 (dean.chouit54@thg.com)
2026-05-19 13:54 (nutrition-data-bq@agile-bonbon-662.iam.gserviceaccount.com)
2026-05-19 09:38 (luke.goodwin38@thg.com)</t>
  </si>
  <si>
    <t>2026-05-07 09:23 (luke.goodwin38@thg.com)
2026-05-07 08:58 (luke.goodwin38@thg.com)
2026-05-07 08:57 (luke.goodwin38@thg.com)
2026-05-07 08:57 (luke.goodwin38@thg.com)
2026-05-07 08:51 (luke.goodwin38@thg.com)</t>
  </si>
  <si>
    <t>master_sku_report_bc</t>
  </si>
  <si>
    <t>2026-06-24 06:38 (beauty-data@agile-bonbon-662.iam.gserviceaccount.com)
2026-06-24 06:31 (beauty-data@agile-bonbon-662.iam.gserviceaccount.com)
2026-06-24 06:31 (beauty-data@agile-bonbon-662.iam.gserviceaccount.com)
2026-06-24 06:31 (beauty-data@agile-bonbon-662.iam.gserviceaccount.com)
2026-06-24 03:07 (beauty-data@agile-bonbon-662.iam.gserviceaccount.com)</t>
  </si>
  <si>
    <t>2026-06-24 02:42 (sa-bpswcbdsql01@thg-beauty.iam.gserviceaccount.com)
2026-06-24 02:29 (sa-bpswcbdsql01@thg-beauty.iam.gserviceaccount.com)
2026-06-24 02:29 (sa-bpswcbdsql01@thg-beauty.iam.gserviceaccount.com)
2026-06-24 02:29 (sa-bpswcbdsql01@thg-beauty.iam.gserviceaccount.com)
2026-06-24 02:28 (sa-bpswcbdsql01@thg-beauty.iam.gserviceaccount.com)</t>
  </si>
  <si>
    <t>analytics_276362441</t>
  </si>
  <si>
    <t>2026-06-23 10:05 (ga4-sessions-level-1-thg@agile-bonbon-662.iam.gserviceaccount.com)
2026-06-22 12:01 (ga4-sessions-level-1-thg@agile-bonbon-662.iam.gserviceaccount.com)
2026-06-21 00:01 (ga4-sessions-level-1-thg@agile-bonbon-662.iam.gserviceaccount.com)
2026-06-19 14:01 (ga4-sessions-level-1-thg@agile-bonbon-662.iam.gserviceaccount.com)
2026-06-18 12:02 (ga4-sessions-level-1-thg@agile-bonbon-662.iam.gserviceaccount.com)</t>
  </si>
  <si>
    <t>2026-06-23 09:39 (firebase-measurement@system.gserviceaccount.com)
2026-06-22 11:23 (firebase-measurement@system.gserviceaccount.com)
2026-06-20 23:11 (firebase-measurement@system.gserviceaccount.com)
2026-06-19 12:49 (firebase-measurement@system.gserviceaccount.com)
2026-06-19 08:33 (firebase-measurement@system.gserviceaccount.com)</t>
  </si>
  <si>
    <t>Campaign_Performance</t>
  </si>
  <si>
    <t>2026-06-24 07:04 (beauty-data@agile-bonbon-662.iam.gserviceaccount.com)
2026-06-24 07:04 (beauty-data@agile-bonbon-662.iam.gserviceaccount.com)
2026-06-24 07:04 (beauty-data@agile-bonbon-662.iam.gserviceaccount.com)
2026-06-24 07:04 (beauty-data@agile-bonbon-662.iam.gserviceaccount.com)
2026-06-24 07:04 (beauty-data@agile-bonbon-662.iam.gserviceaccount.com)</t>
  </si>
  <si>
    <t>2026-06-24 02:31 (sa-bpswcbdsql01@thg-beauty.iam.gserviceaccount.com)
2026-06-24 02:31 (sa-bpswcbdsql01@thg-beauty.iam.gserviceaccount.com)
2026-06-24 02:31 (sa-bpswcbdsql01@thg-beauty.iam.gserviceaccount.com)
2026-06-24 02:31 (sa-bpswcbdsql01@thg-beauty.iam.gserviceaccount.com)
2026-06-24 02:31 (sa-bpswcbdsql01@thg-beauty.iam.gserviceaccount.com)</t>
  </si>
  <si>
    <t>analytics_259750120</t>
  </si>
  <si>
    <t>2026-06-23 08:02 (ga4-sessions-level-1-thg@agile-bonbon-662.iam.gserviceaccount.com)
2026-06-22 08:02 (ga4-sessions-level-1-thg@agile-bonbon-662.iam.gserviceaccount.com)
2026-06-21 08:02 (ga4-sessions-level-1-thg@agile-bonbon-662.iam.gserviceaccount.com)
2026-06-20 18:03 (ga4-sessions-level-1-thg@agile-bonbon-662.iam.gserviceaccount.com)
2026-06-19 08:01 (ga4-sessions-level-1-thg@agile-bonbon-662.iam.gserviceaccount.com)</t>
  </si>
  <si>
    <t>2026-06-23 07:57 (firebase-measurement@system.gserviceaccount.com)
2026-06-22 07:42 (firebase-measurement@system.gserviceaccount.com)
2026-06-21 07:02 (firebase-measurement@system.gserviceaccount.com)
2026-06-20 17:45 (firebase-measurement@system.gserviceaccount.com)
2026-06-19 07:55 (firebase-measurement@system.gserviceaccount.com)</t>
  </si>
  <si>
    <t>ecrm_exports</t>
  </si>
  <si>
    <t>2026-06-23 09:49 (rahul.chaudhari72@thgingenuity.com)
2026-06-23 09:37 (rahul.chaudhari72@thgingenuity.com)
2026-06-23 09:37 (rahul.chaudhari72@thgingenuity.com)
2026-06-23 09:36 (rahul.chaudhari72@thgingenuity.com)
2026-06-23 09:34 (rahul.chaudhari72@thgingenuity.com)</t>
  </si>
  <si>
    <t>site_traffic</t>
  </si>
  <si>
    <t>Please consider the environment before printing `site_traffic.elysium*`</t>
  </si>
  <si>
    <t>2026-06-24 10:54 (bigquery-pipeline-manager@the-hut-group.iam.gserviceaccount.com)
2026-06-24 10:53 (bigquery-pipeline-manager@the-hut-group.iam.gserviceaccount.com)
2026-06-24 10:53 (bigquery-pipeline-manager@the-hut-group.iam.gserviceaccount.com)
2026-06-24 10:53 (bigquery-pipeline-manager@the-hut-group.iam.gserviceaccount.com)
2026-06-24 10:51 (airflow-xcom-metadata@the-hut-group.iam.gserviceaccount.com)</t>
  </si>
  <si>
    <t>2026-06-24 10:51 (elysium2-merger@the-hut-group.iam.gserviceaccount.com)
2026-06-24 10:50 (elysium2-merger@the-hut-group.iam.gserviceaccount.com)
2026-06-24 10:46 (elysium2-merger@the-hut-group.iam.gserviceaccount.com)
2026-06-24 10:46 (elysium2-merger@the-hut-group.iam.gserviceaccount.com)
2026-06-24 10:41 (elysium2-merger@the-hut-group.iam.gserviceaccount.com)</t>
  </si>
  <si>
    <t>2026-06-24 10:25 (central-marketing-credentials@thg-central-marketing.iam.gserviceaccount.com)
2026-06-24 10:25 (central-marketing-credentials@thg-central-marketing.iam.gserviceaccount.com)
2026-06-24 10:25 (central-marketing-credentials@thg-central-marketing.iam.gserviceaccount.com)
2026-06-24 10:25 (central-marketing-credentials@thg-central-marketing.iam.gserviceaccount.com)
2026-06-24 10:23 (central-marketing-credentials@thg-central-marketing.iam.gserviceaccount.com)</t>
  </si>
  <si>
    <t>2026-06-24 10:17 (central-marketing-credentials@thg-central-marketing.iam.gserviceaccount.com)
2026-06-24 10:10 (nutrition-data-bq@agile-bonbon-662.iam.gserviceaccount.com)
2026-06-24 09:16 (nutrition-data-bq@agile-bonbon-662.iam.gserviceaccount.com)
2026-06-24 09:14 (central-marketing-credentials@thg-central-marketing.iam.gserviceaccount.com)
2026-06-24 09:10 (nutrition-data-bq@agile-bonbon-662.iam.gserviceaccount.com)</t>
  </si>
  <si>
    <t>ecrmEvents</t>
  </si>
  <si>
    <t>https://thehut.atlassian.net/wiki/spaces/DSCI/pages/1259932666/Really+Simple+Data+Science+Pipelines#ReallySimpleDataSciencePipelines-EmailCampaignsReport(ecrmeventspipeline)</t>
  </si>
  <si>
    <t>2026-06-24 05:04 (nutrition-data-bq@agile-bonbon-662.iam.gserviceaccount.com)
2026-06-24 05:04 (nutrition-data-bq@agile-bonbon-662.iam.gserviceaccount.com)
2026-06-24 05:04 (nutrition-data-bq@agile-bonbon-662.iam.gserviceaccount.com)
2026-06-24 05:04 (nutrition-data-bq@agile-bonbon-662.iam.gserviceaccount.com)
2026-06-24 04:31 (nutrition-data-bq@agile-bonbon-662.iam.gserviceaccount.com)</t>
  </si>
  <si>
    <t>analytics_193273488</t>
  </si>
  <si>
    <t>2026-06-24 10:30 (yips@thehutgroup.com)
2026-06-24 10:07 (ga4-sessions-level-1-thg@agile-bonbon-662.iam.gserviceaccount.com)
2026-06-24 10:05 (ga4-sessions-level-1-thg@agile-bonbon-662.iam.gserviceaccount.com)
2026-06-24 10:03 (ga4-sessions-level-1-thg@agile-bonbon-662.iam.gserviceaccount.com)
2026-06-24 10:01 (ga4-sessions-level-1-thg@agile-bonbon-662.iam.gserviceaccount.com)</t>
  </si>
  <si>
    <t>2026-06-24 09:19 (firebase-measurement@system.gserviceaccount.com)
2026-06-24 09:19 (firebase-measurement@system.gserviceaccount.com)
2026-06-24 09:19 (firebase-measurement@system.gserviceaccount.com)
2026-06-24 09:19 (firebase-measurement@system.gserviceaccount.com)
2026-06-23 09:59 (firebase-measurement@system.gserviceaccount.com)</t>
  </si>
  <si>
    <t>analytics_193316130</t>
  </si>
  <si>
    <t>2026-06-24 10:30 (yips@thehutgroup.com)
2026-06-24 10:07 (ga4-sessions-level-1-thg@agile-bonbon-662.iam.gserviceaccount.com)
2026-06-24 09:30 (yips@thehutgroup.com)
2026-06-24 08:30 (yips@thehutgroup.com)
2026-06-24 08:02 (ga4-sessions-level-1-thg@agile-bonbon-662.iam.gserviceaccount.com)</t>
  </si>
  <si>
    <t>2026-06-23 13:52 (firebase-measurement@system.gserviceaccount.com)
2026-06-23 13:52 (firebase-measurement@system.gserviceaccount.com)
2026-06-23 13:52 (firebase-measurement@system.gserviceaccount.com)
2026-06-23 13:52 (firebase-measurement@system.gserviceaccount.com)
2026-06-22 11:32 (firebase-measurement@system.gserviceaccount.com)</t>
  </si>
  <si>
    <t>2026-06-02 07:27 (grafana@thcdn-on-the-edge.iam.gserviceaccount.com)
2026-06-02 07:27 (grafana@thcdn-on-the-edge.iam.gserviceaccount.com)
2026-06-02 07:27 (grafana@thcdn-on-the-edge.iam.gserviceaccount.com)
2026-06-02 07:27 (grafana@thcdn-on-the-edge.iam.gserviceaccount.com)
2026-06-02 07:27 (grafana@thcdn-on-the-edge.iam.gserviceaccount.com)</t>
  </si>
  <si>
    <t>Central_Marketing</t>
  </si>
  <si>
    <t>2026-06-24 10:53 (RobinsonJa@thehutgroup.com)
2026-06-24 10:53 (RobinsonJa@thehutgroup.com)
2026-06-24 10:48 (RobinsonJa@thehutgroup.com)
2026-06-24 10:48 (RobinsonJa@thehutgroup.com)
2026-06-24 10:47 (nutrition-data-bq@agile-bonbon-662.iam.gserviceaccount.com)</t>
  </si>
  <si>
    <t>2026-06-24 10:21 (central-marketing-credentials@thg-central-marketing.iam.gserviceaccount.com)
2026-06-24 10:21 (central-marketing-credentials@thg-central-marketing.iam.gserviceaccount.com)
2026-06-24 10:21 (central-marketing-credentials@thg-central-marketing.iam.gserviceaccount.com)
2026-06-24 10:21 (central-marketing-credentials@thg-central-marketing.iam.gserviceaccount.com)
2026-06-24 10:21 (central-marketing-credentials@thg-central-marketing.iam.gserviceaccount.com)</t>
  </si>
  <si>
    <t>analytics_rollup</t>
  </si>
  <si>
    <t>2026-06-24 04:00 (yips@thehutgroup.com)
2026-06-23 04:00 (yips@thehutgroup.com)
2026-06-22 04:00 (yips@thehutgroup.com)
2026-06-21 04:00 (yips@thehutgroup.com)
2026-06-20 04:00 (yips@thehutgroup.com)</t>
  </si>
  <si>
    <t>2026-06-21 03:00 (web-analytics-ga4@agile-bonbon-662.iam.gserviceaccount.com)
2026-06-16 03:00 (web-analytics-ga4@agile-bonbon-662.iam.gserviceaccount.com)
2026-06-13 03:00 (web-analytics-ga4@agile-bonbon-662.iam.gserviceaccount.com)
2026-06-11 03:00 (web-analytics-ga4@agile-bonbon-662.iam.gserviceaccount.com)
2026-06-07 03:00 (web-analytics-ga4@agile-bonbon-662.iam.gserviceaccount.com)</t>
  </si>
  <si>
    <t>experimentation_sessions</t>
  </si>
  <si>
    <t>2026-06-24 05:36 (exp-automation-tool@the-hut-group.iam.gserviceaccount.com)
2026-06-24 05:36 (exp-automation-tool@the-hut-group.iam.gserviceaccount.com)
2026-06-24 05:36 (exp-automation-tool@the-hut-group.iam.gserviceaccount.com)
2026-06-24 05:30 (exp-automation-tool@the-hut-group.iam.gserviceaccount.com)
2026-06-24 05:25 (exp-automation-tool@the-hut-group.iam.gserviceaccount.com)</t>
  </si>
  <si>
    <t>2026-06-24 10:23 (exp-session-table-builder@the-hut-group.iam.gserviceaccount.com)
2026-06-24 09:21 (exp-session-table-builder@the-hut-group.iam.gserviceaccount.com)
2026-06-24 08:18 (exp-session-table-builder@the-hut-group.iam.gserviceaccount.com)
2026-06-24 07:19 (exp-session-table-builder@the-hut-group.iam.gserviceaccount.com)
2026-06-24 06:23 (exp-session-table-builder@the-hut-group.iam.gserviceaccount.com)</t>
  </si>
  <si>
    <t>2026-06-24 10:50 (ecrm-service@the-hut-group.iam.gserviceaccount.com)
2026-06-24 10:50 (ecrm-service@the-hut-group.iam.gserviceaccount.com)
2026-06-24 10:50 (ecrm-service@the-hut-group.iam.gserviceaccount.com)
2026-06-24 10:50 (ecrm-service@the-hut-group.iam.gserviceaccount.com)
2026-06-24 10:50 (ecrm-service@the-hut-group.iam.gserviceaccount.com)</t>
  </si>
  <si>
    <t>2026-06-24 01:06 (ds-email-segmentation@the-hut-group.iam.gserviceaccount.com)
2026-06-24 01:06 (ds-email-segmentation@the-hut-group.iam.gserviceaccount.com)
2026-06-24 01:06 (ds-email-segmentation@the-hut-group.iam.gserviceaccount.com)
2026-06-24 01:06 (ds-email-segmentation@the-hut-group.iam.gserviceaccount.com)
2026-06-24 01:06 (ds-email-segmentation@the-hut-group.iam.gserviceaccount.com)</t>
  </si>
  <si>
    <t>analytics_256407952</t>
  </si>
  <si>
    <t>2026-06-24 10:08 (ga4-sessions-level-1-thg@agile-bonbon-662.iam.gserviceaccount.com)
2026-06-24 10:06 (ga4-sessions-level-1-thg@agile-bonbon-662.iam.gserviceaccount.com)
2026-06-24 10:04 (ga4-sessions-level-1-thg@agile-bonbon-662.iam.gserviceaccount.com)
2026-06-24 10:02 (ga4-sessions-level-1-thg@agile-bonbon-662.iam.gserviceaccount.com)
2026-06-24 10:00 (ga4-sessions-level-1-thg@agile-bonbon-662.iam.gserviceaccount.com)</t>
  </si>
  <si>
    <t>2026-06-24 09:51 (firebase-measurement@system.gserviceaccount.com)
2026-06-24 09:51 (firebase-measurement@system.gserviceaccount.com)
2026-06-24 09:51 (firebase-measurement@system.gserviceaccount.com)
2026-06-24 09:51 (firebase-measurement@system.gserviceaccount.com)
2026-06-23 11:51 (firebase-measurement@system.gserviceaccount.com)</t>
  </si>
  <si>
    <t>live</t>
  </si>
  <si>
    <t>2026-06-23 09:52 (Harry.Lyons94@thehutgroup.com)
2026-06-23 09:50 (Harry.Lyons94@thehutgroup.com)
2026-06-23 09:49 (Harry.Lyons94@thehutgroup.com)
2026-06-23 09:46 (Harry.Lyons94@thehutgroup.com)
2026-06-23 09:46 (Harry.Lyons94@thehutgroup.com)</t>
  </si>
  <si>
    <t>mobileapps</t>
  </si>
  <si>
    <t>237389129</t>
  </si>
  <si>
    <t>2026-05-19 14:15 (nutrition-data-bq@agile-bonbon-662.iam.gserviceaccount.com)
2026-05-15 13:42 (nutrition-data-bq@agile-bonbon-662.iam.gserviceaccount.com)
2026-04-29 10:01 (ingersolla@thehutgroup.com)</t>
  </si>
  <si>
    <t>2026-06-24 10:17 (yips@thehutgroup.com)
2026-06-23 10:17 (yips@thehutgroup.com)
2026-06-22 10:17 (yips@thehutgroup.com)
2026-06-21 10:17 (yips@thehutgroup.com)
2026-06-20 10:17 (yips@thehutgroup.com)</t>
  </si>
  <si>
    <t>2026-06-17 10:53 (thomas.arvanitidis90@thgingenuity.com)
2026-06-17 10:53 (thomas.arvanitidis90@thgingenuity.com)
2026-06-17 10:53 (thomas.arvanitidis90@thgingenuity.com)
2026-01-21 13:53 (secera@thehutgroup.com)
2026-01-21 13:53 (secera@thehutgroup.com)</t>
  </si>
  <si>
    <t>THG_CoS</t>
  </si>
  <si>
    <t>2026-06-24 10:32 (mosina@thehutgroup.com)
2026-06-24 10:31 (mosina@thehutgroup.com)
2026-06-24 10:31 (mosina@thehutgroup.com)
2026-06-24 10:31 (mosina@thehutgroup.com)
2026-06-24 10:31 (central-marketing-credentials@thg-central-marketing.iam.gserviceaccount.com)</t>
  </si>
  <si>
    <t>2026-06-24 10:28 (central-marketing-credentials@thg-central-marketing.iam.gserviceaccount.com)
2026-06-24 10:28 (central-marketing-credentials@thg-central-marketing.iam.gserviceaccount.com)
2026-06-24 10:28 (central-marketing-credentials@thg-central-marketing.iam.gserviceaccount.com)
2026-06-24 10:26 (central-marketing-credentials@thg-central-marketing.iam.gserviceaccount.com)
2026-06-24 10:23 (central-marketing-credentials@thg-central-marketing.iam.gserviceaccount.com)</t>
  </si>
  <si>
    <t>ctcl_training</t>
  </si>
  <si>
    <t>2026-06-24 10:07 (ChunYen.Tay15@thehutgroup.com)
2026-06-24 10:06 (ChunYen.Tay15@thehutgroup.com)
2026-06-24 10:06 (ChunYen.Tay15@thehutgroup.com)
2026-06-24 10:06 (ChunYen.Tay15@thehutgroup.com)
2026-06-24 10:05 (ChunYen.Tay15@thehutgroup.com)</t>
  </si>
  <si>
    <t>2026-05-12 14:21 (ChunYen.Tay15@thehutgroup.com)
2026-04-20 14:12 (ChunYen.Tay15@thehutgroup.com)
2026-04-20 14:03 (ChunYen.Tay15@thehutgroup.com)
2026-04-20 13:52 (ChunYen.Tay15@thehutgroup.com)
2026-04-20 13:52 (ChunYen.Tay15@thehutgroup.com)</t>
  </si>
  <si>
    <t>2026-06-24 10:01 (recommender@thg-ml-live.iam.gserviceaccount.com)
2026-06-24 09:01 (recommender@thg-ml-live.iam.gserviceaccount.com)
2026-06-24 08:01 (recommender@thg-ml-live.iam.gserviceaccount.com)
2026-06-24 07:01 (recommender@thg-ml-live.iam.gserviceaccount.com)
2026-06-24 06:01 (recommender@thg-ml-live.iam.gserviceaccount.com)</t>
  </si>
  <si>
    <t>2026-06-24 10:01 (recommender@thg-ml-live.iam.gserviceaccount.com)
2026-06-24 10:01 (recommender@thg-ml-live.iam.gserviceaccount.com)
2026-06-24 09:01 (recommender@thg-ml-live.iam.gserviceaccount.com)
2026-06-24 09:01 (recommender@thg-ml-live.iam.gserviceaccount.com)
2026-06-24 08:01 (recommender@thg-ml-live.iam.gserviceaccount.com)</t>
  </si>
  <si>
    <t>MMM</t>
  </si>
  <si>
    <t>2026-06-24 06:01 (aakash.kalantre61@thehutgroup.com)
2026-06-24 06:01 (aakash.kalantre61@thehutgroup.com)
2026-06-24 06:01 (aakash.kalantre61@thehutgroup.com)
2026-06-24 06:01 (aakash.kalantre61@thehutgroup.com)
2026-06-24 06:01 (aakash.kalantre61@thehutgroup.com)</t>
  </si>
  <si>
    <t>2026-06-06 07:05 (aakash.kalantre61@thehutgroup.com)
2026-06-06 07:05 (aakash.kalantre61@thehutgroup.com)
2026-06-06 07:05 (aakash.kalantre61@thehutgroup.com)
2026-06-06 07:05 (aakash.kalantre61@thehutgroup.com)
2026-06-06 07:05 (aakash.kalantre61@thehutgroup.com)</t>
  </si>
  <si>
    <t>Bigquery_Pipeline_Manager</t>
  </si>
  <si>
    <t>2026-06-12 03:00 (yearsleye@thehutgroup.com)
2026-06-11 03:00 (yearsleye@thehutgroup.com)
2026-06-10 03:00 (yearsleye@thehutgroup.com)
2026-06-09 03:00 (yearsleye@thehutgroup.com)
2026-06-08 03:00 (yearsleye@thehutgroup.com)</t>
  </si>
  <si>
    <t>2026-06-24 02:45 (recommender@thg-ml-staging.iam.gserviceaccount.com)
2026-06-24 02:36 (recommender@thg-ml-staging.iam.gserviceaccount.com)
2026-06-24 02:36 (recommender@thg-ml-staging.iam.gserviceaccount.com)
2026-06-24 02:36 (recommender@thg-ml-staging.iam.gserviceaccount.com)
2026-06-24 02:36 (recommender@thg-ml-staging.iam.gserviceaccount.com)</t>
  </si>
  <si>
    <t>2026-06-24 10:28 (raia@thehutgroup.com)
2026-06-24 10:28 (raia@thehutgroup.com)
2026-06-24 10:20 (central-marketing-credentials@thg-central-marketing.iam.gserviceaccount.com)
2026-06-24 10:20 (central-marketing-credentials@thg-central-marketing.iam.gserviceaccount.com)
2026-06-24 10:20 (central-marketing-credentials@thg-central-marketing.iam.gserviceaccount.com)</t>
  </si>
  <si>
    <t>Ingenuity_CoS</t>
  </si>
  <si>
    <t>2026-06-24 10:36 (central-marketing-credentials@thg-central-marketing.iam.gserviceaccount.com)
2026-06-24 10:36 (central-marketing-credentials@thg-central-marketing.iam.gserviceaccount.com)
2026-06-24 10:36 (central-marketing-credentials@thg-central-marketing.iam.gserviceaccount.com)
2026-06-24 10:36 (central-marketing-credentials@thg-central-marketing.iam.gserviceaccount.com)
2026-06-24 10:36 (central-marketing-credentials@thg-central-marketing.iam.gserviceaccount.com)</t>
  </si>
  <si>
    <t>2026-06-24 10:36 (central-marketing-credentials@thg-central-marketing.iam.gserviceaccount.com)
2026-06-24 10:36 (central-marketing-credentials@thg-central-marketing.iam.gserviceaccount.com)
2026-06-24 10:35 (central-marketing-credentials@thg-central-marketing.iam.gserviceaccount.com)
2026-06-24 10:33 (central-marketing-credentials@thg-central-marketing.iam.gserviceaccount.com)
2026-06-24 10:31 (central-marketing-credentials@thg-central-marketing.iam.gserviceaccount.com)</t>
  </si>
  <si>
    <t>2026-06-24 05:04 (tableau-bq-ingenuity-sa@thg-ingenuity.iam.gserviceaccount.com)
2026-06-23 05:03 (tableau-bq-ingenuity-sa@thg-ingenuity.iam.gserviceaccount.com)
2026-06-22 05:04 (tableau-bq-ingenuity-sa@thg-ingenuity.iam.gserviceaccount.com)
2026-06-21 07:09 (tableau-bq-ingenuity-sa@thg-ingenuity.iam.gserviceaccount.com)
2026-06-21 07:09 (tableau-bq-ingenuity-sa@thg-ingenuity.iam.gserviceaccount.com)</t>
  </si>
  <si>
    <t>2026-06-24 10:50 (ecrm-events-pipeline@thg-ingenuity.iam.gserviceaccount.com)
2026-06-24 10:50 (ecrm-events-pipeline@thg-ingenuity.iam.gserviceaccount.com)
2026-06-24 10:50 (ecrm-events-pipeline@thg-ingenuity.iam.gserviceaccount.com)
2026-06-24 10:50 (ecrm-events-pipeline@thg-ingenuity.iam.gserviceaccount.com)
2026-06-24 10:50 (ecrm-events-pipeline@thg-ingenuity.iam.gserviceaccount.com)</t>
  </si>
  <si>
    <t>Publicis_Loreal</t>
  </si>
  <si>
    <t>2026-06-04 03:10 (beauty-data@agile-bonbon-662.iam.gserviceaccount.com)
2026-06-04 03:10 (beauty-data@agile-bonbon-662.iam.gserviceaccount.com)
2026-06-03 03:07 (beauty-data@agile-bonbon-662.iam.gserviceaccount.com)
2026-06-03 03:07 (beauty-data@agile-bonbon-662.iam.gserviceaccount.com)
2026-06-02 03:10 (beauty-data@agile-bonbon-662.iam.gserviceaccount.com)</t>
  </si>
  <si>
    <t>analytics_247510410</t>
  </si>
  <si>
    <t>2026-06-24 10:07 (ga4-sessions-level-1-thg@agile-bonbon-662.iam.gserviceaccount.com)
2026-06-24 10:05 (ga4-sessions-level-1-thg@agile-bonbon-662.iam.gserviceaccount.com)
2026-06-24 10:03 (ga4-sessions-level-1-thg@agile-bonbon-662.iam.gserviceaccount.com)
2026-06-24 10:01 (ga4-sessions-level-1-thg@agile-bonbon-662.iam.gserviceaccount.com)
2026-06-24 10:00 (ga4-sessions-level-1-thg@agile-bonbon-662.iam.gserviceaccount.com)</t>
  </si>
  <si>
    <t>2026-06-24 08:44 (firebase-measurement@system.gserviceaccount.com)
2026-06-24 08:44 (firebase-measurement@system.gserviceaccount.com)
2026-06-24 08:44 (firebase-measurement@system.gserviceaccount.com)
2026-06-24 08:44 (firebase-measurement@system.gserviceaccount.com)
2026-06-23 08:57 (firebase-measurement@system.gserviceaccount.com)</t>
  </si>
  <si>
    <t>sku_forecasting</t>
  </si>
  <si>
    <t>2026-06-24 10:30 (beauty-data@agile-bonbon-662.iam.gserviceaccount.com)
2026-06-24 10:04 (beauty-data@agile-bonbon-662.iam.gserviceaccount.com)
2026-06-24 09:50 (ambatis@thehutgroup.com)
2026-06-24 09:50 (ambatis@thehutgroup.com)
2026-06-24 09:48 (ambatis@thehutgroup.com)</t>
  </si>
  <si>
    <t>2026-06-24 09:37 (beauty-data@agile-bonbon-662.iam.gserviceaccount.com)
2026-06-24 09:19 (beauty-data@agile-bonbon-662.iam.gserviceaccount.com)
2026-06-24 09:19 (beauty-data@agile-bonbon-662.iam.gserviceaccount.com)
2026-06-24 07:43 (beauty-data@agile-bonbon-662.iam.gserviceaccount.com)
2026-06-24 07:43 (beauty-data@agile-bonbon-662.iam.gserviceaccount.com)</t>
  </si>
  <si>
    <t>experimentation_sessions_staging</t>
  </si>
  <si>
    <t>2026-06-24 10:23 (exp-session-table-builder@the-hut-group.iam.gserviceaccount.com)
2026-06-24 10:23 (exp-session-table-builder@the-hut-group.iam.gserviceaccount.com)
2026-06-24 10:22 (exp-session-table-builder@the-hut-group.iam.gserviceaccount.com)
2026-06-24 10:22 (exp-session-table-builder@the-hut-group.iam.gserviceaccount.com)
2026-06-24 10:21 (exp-session-table-builder@the-hut-group.iam.gserviceaccount.com)</t>
  </si>
  <si>
    <t>2026-06-24 10:22 (exp-session-table-builder@the-hut-group.iam.gserviceaccount.com)
2026-06-24 10:21 (exp-session-table-builder@the-hut-group.iam.gserviceaccount.com)
2026-06-24 10:20 (exp-session-table-builder@the-hut-group.iam.gserviceaccount.com)
2026-06-24 10:19 (exp-session-table-builder@the-hut-group.iam.gserviceaccount.com)
2026-06-24 10:18 (exp-session-table-builder@the-hut-group.iam.gserviceaccount.com)</t>
  </si>
  <si>
    <t>analytics_223106488</t>
  </si>
  <si>
    <t>2026-06-24 07:01 (firebase-measurement@system.gserviceaccount.com)
2026-06-24 07:01 (firebase-measurement@system.gserviceaccount.com)
2026-06-24 07:01 (firebase-measurement@system.gserviceaccount.com)
2026-06-24 07:01 (firebase-measurement@system.gserviceaccount.com)
2026-06-23 07:34 (firebase-measurement@system.gserviceaccount.com)</t>
  </si>
  <si>
    <t>aggregated_site_traffic</t>
  </si>
  <si>
    <t>2026-06-24 10:50 (blackgraphs@the-hut-group.iam.gserviceaccount.com)
2026-06-24 10:50 (blackgraphs@the-hut-group.iam.gserviceaccount.com)
2026-06-24 10:50 (blackgraphs@the-hut-group.iam.gserviceaccount.com)
2026-06-24 10:50 (blackgraphs@the-hut-group.iam.gserviceaccount.com)
2026-06-24 10:50 (blackgraphs@the-hut-group.iam.gserviceaccount.com)</t>
  </si>
  <si>
    <t>GA4_Sessions_Level_1_All_Sites</t>
  </si>
  <si>
    <t>2026-05-22 12:19 (nutrition-data-bq@agile-bonbon-662.iam.gserviceaccount.com)
2026-05-19 14:34 (nutrition-data-bq@agile-bonbon-662.iam.gserviceaccount.com)
2026-05-15 14:01 (nutrition-data-bq@agile-bonbon-662.iam.gserviceaccount.com)
2026-04-29 10:04 (ingersolla@thehutgroup.com)</t>
  </si>
  <si>
    <t>2026-06-24 10:08 (ga4-sessions-level-1-thg@agile-bonbon-662.iam.gserviceaccount.com)
2026-06-24 10:06 (ga4-sessions-level-1-thg@agile-bonbon-662.iam.gserviceaccount.com)
2026-06-24 10:04 (ga4-sessions-level-1-thg@agile-bonbon-662.iam.gserviceaccount.com)
2026-06-24 10:02 (ga4-sessions-level-1-thg@agile-bonbon-662.iam.gserviceaccount.com)
2026-06-24 10:01 (ga4-sessions-level-1-thg@agile-bonbon-662.iam.gserviceaccount.com)</t>
  </si>
  <si>
    <t>lf_cult_crossover</t>
  </si>
  <si>
    <t>2026-06-12 07:03 (beauty-data@agile-bonbon-662.iam.gserviceaccount.com)
2026-06-12 07:03 (beauty-data@agile-bonbon-662.iam.gserviceaccount.com)
2026-06-12 07:03 (beauty-data@agile-bonbon-662.iam.gserviceaccount.com)
2026-06-12 07:03 (beauty-data@agile-bonbon-662.iam.gserviceaccount.com)
2026-06-12 07:03 (beauty-data@agile-bonbon-662.iam.gserviceaccount.com)</t>
  </si>
  <si>
    <t>2026-06-01 05:01 (sa-bpswcbdsql01@thg-beauty.iam.gserviceaccount.com)
2026-06-01 05:01 (sa-bpswcbdsql01@thg-beauty.iam.gserviceaccount.com)
2026-06-01 05:01 (sa-bpswcbdsql01@thg-beauty.iam.gserviceaccount.com)
2026-06-01 05:01 (sa-bpswcbdsql01@thg-beauty.iam.gserviceaccount.com)
2026-06-01 05:01 (sa-bpswcbdsql01@thg-beauty.iam.gserviceaccount.com)</t>
  </si>
  <si>
    <t>PCRM</t>
  </si>
  <si>
    <t>2026-06-24 03:31 (vikash.patil03@thg.com)
2026-06-24 03:30 (vikash.patil03@thg.com)
2026-06-24 03:27 (vikash.patil03@thg.com)
2026-06-24 03:27 (vikash.patil03@thg.com)
2026-06-24 03:27 (vikash.patil03@thg.com)</t>
  </si>
  <si>
    <t>2026-06-24 03:27 (vikash.patil03@thg.com)
2026-06-24 03:27 (vikash.patil03@thg.com)
2026-06-24 03:25 (vikash.patil03@thg.com)
2026-06-24 03:25 (vikash.patil03@thg.com)
2026-06-24 03:25 (vikash.patil03@thg.com)</t>
  </si>
  <si>
    <t>App_Reporting</t>
  </si>
  <si>
    <t>2026-06-24 05:00 (sa-bpswcbdsql01@thg-beauty.iam.gserviceaccount.com)
2026-06-24 05:00 (sa-bpswcbdsql01@thg-beauty.iam.gserviceaccount.com)
2026-06-24 04:00 (aakash.kalantre61@thehutgroup.com)
2026-06-24 04:00 (aakash.kalantre61@thehutgroup.com)
2026-06-24 04:00 (aakash.kalantre61@thehutgroup.com)</t>
  </si>
  <si>
    <t>2026-06-24 04:00 (aakash.kalantre61@thehutgroup.com)
2026-06-24 04:00 (aakash.kalantre61@thehutgroup.com)
2026-06-24 04:00 (aakash.kalantre61@thehutgroup.com)
2026-06-24 04:00 (aakash.kalantre61@thehutgroup.com)
2026-06-24 03:45 (aakash.kalantre61@thehutgroup.com)</t>
  </si>
  <si>
    <t>THG_Site_Performance</t>
  </si>
  <si>
    <t>2026-06-24 01:10 (central-marketing-credentials@thg-central-marketing.iam.gserviceaccount.com)
2026-06-24 01:09 (central-marketing-credentials@thg-central-marketing.iam.gserviceaccount.com)
2026-06-24 01:08 (central-marketing-credentials@thg-central-marketing.iam.gserviceaccount.com)
2026-06-24 01:07 (central-marketing-credentials@thg-central-marketing.iam.gserviceaccount.com)
2026-06-24 01:06 (central-marketing-credentials@thg-central-marketing.iam.gserviceaccount.com)</t>
  </si>
  <si>
    <t>2026-06-24 01:10 (central-marketing-credentials@thg-central-marketing.iam.gserviceaccount.com)
2026-06-24 01:10 (central-marketing-credentials@thg-central-marketing.iam.gserviceaccount.com)
2026-06-24 01:09 (central-marketing-credentials@thg-central-marketing.iam.gserviceaccount.com)
2026-06-24 01:09 (central-marketing-credentials@thg-central-marketing.iam.gserviceaccount.com)
2026-06-24 01:08 (central-marketing-credentials@thg-central-marketing.iam.gserviceaccount.com)</t>
  </si>
  <si>
    <t>Personify_Enhancements</t>
  </si>
  <si>
    <t>2026-06-24 09:27 (ecrm-segmentation-bigquery@thg-data-personify.iam.gserviceaccount.com)
2026-06-24 09:27 (ecrm-segmentation-bigquery@thg-data-personify.iam.gserviceaccount.com)
2026-06-24 09:14 (ecrm-segmentation-bigquery@thg-data-personify.iam.gserviceaccount.com)
2026-06-24 06:15 (RaatzT@thehutgroup.com)
2026-06-24 06:15 (RaatzT@thehutgroup.com)</t>
  </si>
  <si>
    <t>2026-06-24 05:30 (personify-pipeline@thg-data-personify.iam.gserviceaccount.com)
2026-06-24 05:30 (personify-pipeline@thg-data-personify.iam.gserviceaccount.com)
2026-06-24 05:30 (personify-pipeline@thg-data-personify.iam.gserviceaccount.com)
2026-06-24 05:30 (personify-pipeline@thg-data-personify.iam.gserviceaccount.com)
2026-06-24 05:30 (personify-pipeline@thg-data-personify.iam.gserviceaccount.com)</t>
  </si>
  <si>
    <t>Liveramp_Dashboard_Data</t>
  </si>
  <si>
    <t>2026-06-24 04:30 (ravi.subramaniam04@thehutgroup.com)
2026-06-24 04:30 (ravi.subramaniam04@thehutgroup.com)
2026-06-24 04:30 (ravi.subramaniam04@thehutgroup.com)
2026-06-24 04:30 (ravi.subramaniam04@thehutgroup.com)
2026-06-24 04:30 (ravi.subramaniam04@thehutgroup.com)</t>
  </si>
  <si>
    <t>2026-06-24 04:30 (ravi.subramaniam04@thehutgroup.com)
2026-06-24 04:00 (ravi.subramaniam04@thehutgroup.com)
2026-06-24 04:00 (ravi.subramaniam04@thehutgroup.com)
2026-06-24 04:00 (ravi.subramaniam04@thehutgroup.com)
2026-06-24 03:46 (ravi.subramaniam04@thehutgroup.com)</t>
  </si>
  <si>
    <t>2026-06-24 01:03 (ecrm-sa@thg-ml-live.iam.gserviceaccount.com)
2026-06-24 01:03 (ecrm-sa@thg-ml-live.iam.gserviceaccount.com)
2026-06-24 01:03 (ecrm-sa@thg-ml-live.iam.gserviceaccount.com)
2026-06-24 01:03 (ecrm-sa@thg-ml-live.iam.gserviceaccount.com)
2026-06-24 01:02 (ecrm-sa@thg-ml-live.iam.gserviceaccount.com)</t>
  </si>
  <si>
    <t>2026-06-24 01:03 (ecrm-sa@thg-ml-live.iam.gserviceaccount.com)
2026-06-24 01:03 (ecrm-sa@thg-ml-live.iam.gserviceaccount.com)
2026-06-24 01:02 (ecrm-sa@thg-ml-live.iam.gserviceaccount.com)
2026-06-24 01:02 (ecrm-sa@thg-ml-live.iam.gserviceaccount.com)
2026-06-24 01:02 (ecrm-sa@thg-ml-live.iam.gserviceaccount.com)</t>
  </si>
  <si>
    <t>nutrition_beauty_xover</t>
  </si>
  <si>
    <t>2026-06-01 08:37 (thomas.myers12@thg.com)
2026-06-01 08:37 (thomas.myers12@thg.com)
2026-06-01 07:47 (thomas.myers12@thg.com)
2026-06-01 07:47 (thomas.myers12@thg.com)
2026-04-22 12:09 (jasmin.cengeloglu96@thehutgroup.com)</t>
  </si>
  <si>
    <t>2026-06-01 07:47 (thomas.myers12@thg.com)
2026-04-20 13:33 (jasmin.cengeloglu96@thehutgroup.com)
2026-01-19 09:57 (jasmin.cengeloglu96@thehutgroup.com)
2026-01-12 10:23 (jasmin.cengeloglu96@thehutgroup.com)
2026-01-09 11:47 (beauty-data@agile-bonbon-662.iam.gserviceaccount.com)</t>
  </si>
  <si>
    <t>analytics_193317182</t>
  </si>
  <si>
    <t>2026-06-24 08:52 (firebase-measurement@system.gserviceaccount.com)
2026-06-24 08:52 (firebase-measurement@system.gserviceaccount.com)
2026-06-23 10:01 (firebase-measurement@system.gserviceaccount.com)
2026-06-23 10:01 (firebase-measurement@system.gserviceaccount.com)
2026-06-23 10:01 (firebase-measurement@system.gserviceaccount.com)</t>
  </si>
  <si>
    <t>Premier</t>
  </si>
  <si>
    <t>2026-06-24 06:18 (shilpa.veedu03@thg.com)
2026-06-24 06:18 (shilpa.veedu03@thg.com)
2026-06-24 06:15 (shilpa.veedu03@thg.com)
2026-06-24 05:00 (sa-bpswcbdsql01@thg-beauty.iam.gserviceaccount.com)
2026-06-24 05:00 (sa-bpswcbdsql01@thg-beauty.iam.gserviceaccount.com)</t>
  </si>
  <si>
    <t>2026-06-24 04:31 (beauty-data@agile-bonbon-662.iam.gserviceaccount.com)
2026-06-24 04:31 (shilpa.veedu03@thg.com)
2026-06-24 04:31 (beauty-data@agile-bonbon-662.iam.gserviceaccount.com)
2026-06-24 04:31 (shilpa.veedu03@thg.com)
2026-06-24 04:30 (shilpa.veedu03@thg.com)</t>
  </si>
  <si>
    <t>thg-prod-billing-exp</t>
  </si>
  <si>
    <t>billing_export</t>
  </si>
  <si>
    <t>myprotein-ecommerce</t>
  </si>
  <si>
    <t>firebase_performance</t>
  </si>
  <si>
    <t>2026-06-23 13:48 (service-100687420039@gcp-sa-bigquerydatatransfer.iam.gserviceaccount.com)
2026-06-23 13:48 (service-100687420039@gcp-sa-bigquerydatatransfer.iam.gserviceaccount.com)
2026-06-22 13:48 (service-100687420039@gcp-sa-bigquerydatatransfer.iam.gserviceaccount.com)
2026-06-22 13:48 (service-100687420039@gcp-sa-bigquerydatatransfer.iam.gserviceaccount.com)
2026-06-21 10:45 (service-100687420039@gcp-sa-bigquerydatatransfer.iam.gserviceaccount.com)</t>
  </si>
  <si>
    <t>2026-05-29 14:38 (mandiant@thg.com)
2026-05-29 14:37 (mandiant@thg.com)
2026-05-29 13:50 (mandiant@thg.com)
2026-05-29 13:50 (mandiant@thg.com)
2026-05-29 13:42 (mandiant@thg.com)</t>
  </si>
  <si>
    <t>analytics_274927043</t>
  </si>
  <si>
    <t>2026-06-24 10:08 (ga4-sessions-level-1-thg@agile-bonbon-662.iam.gserviceaccount.com)
2026-06-24 10:06 (ga4-sessions-level-1-thg@agile-bonbon-662.iam.gserviceaccount.com)
2026-06-24 08:03 (ga4-sessions-level-1-thg@agile-bonbon-662.iam.gserviceaccount.com)
2026-06-24 06:01 (ga4-sessions-level-1-thg@agile-bonbon-662.iam.gserviceaccount.com)
2026-06-24 04:02 (ga4-sessions-level-1-thg@agile-bonbon-662.iam.gserviceaccount.com)</t>
  </si>
  <si>
    <t>2026-06-24 08:14 (firebase-measurement@system.gserviceaccount.com)
2026-06-23 08:44 (firebase-measurement@system.gserviceaccount.com)
2026-06-22 08:22 (firebase-measurement@system.gserviceaccount.com)
2026-06-21 08:06 (firebase-measurement@system.gserviceaccount.com)
2026-06-20 16:59 (firebase-measurement@system.gserviceaccount.com)</t>
  </si>
  <si>
    <t>Hermes_Staging</t>
  </si>
  <si>
    <t>2026-06-24 10:28 (personify-pipeline@thg-data-personify.iam.gserviceaccount.com)
2026-06-24 10:28 (personify-pipeline@thg-data-personify.iam.gserviceaccount.com)
2026-06-24 10:27 (personify-pipeline@thg-data-personify.iam.gserviceaccount.com)
2026-06-24 10:27 (personify-pipeline@thg-data-personify.iam.gserviceaccount.com)
2026-06-24 10:27 (personify-pipeline@thg-data-personify.iam.gserviceaccount.com)</t>
  </si>
  <si>
    <t>2026-06-24 10:26 (personify-pipeline@thg-data-personify.iam.gserviceaccount.com)
2026-06-24 10:26 (personify-pipeline@thg-data-personify.iam.gserviceaccount.com)
2026-06-24 10:25 (personify-pipeline@thg-data-personify.iam.gserviceaccount.com)
2026-06-24 10:25 (personify-pipeline@thg-data-personify.iam.gserviceaccount.com)
2026-06-24 09:25 (personify-pipeline@thg-data-personify.iam.gserviceaccount.com)</t>
  </si>
  <si>
    <t>analytics_318743247</t>
  </si>
  <si>
    <t>2026-06-23 18:00 (ga4-sessions-level-1-thg@agile-bonbon-662.iam.gserviceaccount.com)
2026-06-22 18:00 (ga4-sessions-level-1-thg@agile-bonbon-662.iam.gserviceaccount.com)
2026-06-21 18:00 (ga4-sessions-level-1-thg@agile-bonbon-662.iam.gserviceaccount.com)
2026-06-20 20:00 (ga4-sessions-level-1-thg@agile-bonbon-662.iam.gserviceaccount.com)
2026-06-19 20:00 (ga4-sessions-level-1-thg@agile-bonbon-662.iam.gserviceaccount.com)</t>
  </si>
  <si>
    <t>2026-06-24 10:33 (firebase-measurement@system.gserviceaccount.com)
2026-06-24 10:09 (firebase-measurement@system.gserviceaccount.com)
2026-06-24 09:37 (firebase-measurement@system.gserviceaccount.com)
2026-06-24 09:07 (firebase-measurement@system.gserviceaccount.com)
2026-06-24 08:37 (firebase-measurement@system.gserviceaccount.com)</t>
  </si>
  <si>
    <t>thg-web-platform</t>
  </si>
  <si>
    <t>event_data</t>
  </si>
  <si>
    <t>2026-06-04 07:46 (joshua.prior03@thgingenuity.com)
2026-06-03 12:48 (joshua.prior03@thgingenuity.com)
2026-06-03 12:40 (joshua.prior03@thgingenuity.com)
2026-06-03 12:31 (joshua.prior03@thgingenuity.com)
2026-06-03 12:30 (joshua.prior03@thgingenuity.com)</t>
  </si>
  <si>
    <t>Detailed_Billing</t>
  </si>
  <si>
    <t>2026-06-24 05:00 (edmondo.mazzoncini38@thehutgroup.com)
2026-06-24 05:00 (edmondo.mazzoncini38@thehutgroup.com)
2026-06-24 05:00 (edmondo.mazzoncini38@thehutgroup.com)
2026-06-24 05:00 (edmondo.mazzoncini38@thehutgroup.com)
2026-06-24 03:05 (edmondo.mazzoncini38@thehutgroup.com)</t>
  </si>
  <si>
    <t>2026-06-24 05:00 (edmondo.mazzoncini38@thehutgroup.com)
2026-06-24 05:00 (edmondo.mazzoncini38@thehutgroup.com)
2026-06-23 05:00 (edmondo.mazzoncini38@thehutgroup.com)
2026-06-23 05:00 (edmondo.mazzoncini38@thehutgroup.com)
2026-06-22 05:00 (edmondo.mazzoncini38@thehutgroup.com)</t>
  </si>
  <si>
    <t>Price_Compliance_Checker</t>
  </si>
  <si>
    <t>2026-06-24 03:08 (beauty-data@agile-bonbon-662.iam.gserviceaccount.com)
2026-06-24 03:03 (beauty-data@agile-bonbon-662.iam.gserviceaccount.com)
2026-06-24 02:24 (sa-bpswcbdsql01@thg-beauty.iam.gserviceaccount.com)
2026-06-24 02:24 (sa-bpswcbdsql01@thg-beauty.iam.gserviceaccount.com)
2026-06-24 02:23 (sa-bpswcbdsql01@thg-beauty.iam.gserviceaccount.com)</t>
  </si>
  <si>
    <t>2026-06-24 02:24 (sa-bpswcbdsql01@thg-beauty.iam.gserviceaccount.com)
2026-06-24 02:23 (sa-bpswcbdsql01@thg-beauty.iam.gserviceaccount.com)
2026-06-24 02:23 (sa-bpswcbdsql01@thg-beauty.iam.gserviceaccount.com)
2026-06-23 02:27 (sa-bpswcbdsql01@thg-beauty.iam.gserviceaccount.com)
2026-06-23 02:24 (sa-bpswcbdsql01@thg-beauty.iam.gserviceaccount.com)</t>
  </si>
  <si>
    <t>analytics_193261373</t>
  </si>
  <si>
    <t>2026-06-24 07:46 (firebase-measurement@system.gserviceaccount.com)
2026-06-24 07:46 (firebase-measurement@system.gserviceaccount.com)
2026-06-24 07:46 (firebase-measurement@system.gserviceaccount.com)
2026-06-23 07:36 (firebase-measurement@system.gserviceaccount.com)
2026-06-23 07:36 (firebase-measurement@system.gserviceaccount.com)</t>
  </si>
  <si>
    <t>US_Reporting</t>
  </si>
  <si>
    <t>2026-06-24 05:45 (beauty-data@agile-bonbon-662.iam.gserviceaccount.com)
2026-06-24 05:45 (beauty-data@agile-bonbon-662.iam.gserviceaccount.com)
2026-06-24 05:31 (beauty-data@agile-bonbon-662.iam.gserviceaccount.com)
2026-06-24 05:31 (beauty-data@agile-bonbon-662.iam.gserviceaccount.com)
2026-06-24 02:53 (sa-bpswcbdsql01@thg-beauty.iam.gserviceaccount.com)</t>
  </si>
  <si>
    <t>2026-06-24 02:53 (sa-bpswcbdsql01@thg-beauty.iam.gserviceaccount.com)
2026-06-24 02:52 (sa-bpswcbdsql01@thg-beauty.iam.gserviceaccount.com)
2026-06-24 02:51 (sa-bpswcbdsql01@thg-beauty.iam.gserviceaccount.com)
2026-06-24 02:51 (sa-bpswcbdsql01@thg-beauty.iam.gserviceaccount.com)
2026-06-23 03:10 (sa-bpswcbdsql01@thg-beauty.iam.gserviceaccount.com)</t>
  </si>
  <si>
    <t>Adverity_GoogleAds</t>
  </si>
  <si>
    <t>2026-06-24 10:47 (thg-adverity@agile-bonbon-662.iam.gserviceaccount.com)
2026-06-24 10:47 (thg-adverity@agile-bonbon-662.iam.gserviceaccount.com)
2026-06-24 10:27 (central-marketing-credentials@thg-central-marketing.iam.gserviceaccount.com)
2026-06-24 10:27 (central-marketing-credentials@thg-central-marketing.iam.gserviceaccount.com)
2026-06-24 10:27 (central-marketing-credentials@thg-central-marketing.iam.gserviceaccount.com)</t>
  </si>
  <si>
    <t>2026-06-24 10:47 (thg-adverity@agile-bonbon-662.iam.gserviceaccount.com)
2026-06-24 10:47 (thg-adverity@agile-bonbon-662.iam.gserviceaccount.com)
2026-06-24 10:47 (thg-adverity@agile-bonbon-662.iam.gserviceaccount.com)
2026-06-24 10:47 (thg-adverity@agile-bonbon-662.iam.gserviceaccount.com)
2026-06-24 10:00 (thg-adverity@agile-bonbon-662.iam.gserviceaccount.com)</t>
  </si>
  <si>
    <t>analytics_245379740</t>
  </si>
  <si>
    <t>2026-06-24 07:28 (firebase-measurement@system.gserviceaccount.com)
2026-06-24 07:28 (firebase-measurement@system.gserviceaccount.com)
2026-06-24 07:28 (firebase-measurement@system.gserviceaccount.com)
2026-06-23 07:18 (firebase-measurement@system.gserviceaccount.com)
2026-06-23 07:18 (firebase-measurement@system.gserviceaccount.com)</t>
  </si>
  <si>
    <t>OneSignal</t>
  </si>
  <si>
    <t>2026-06-24 08:12 (nutrition-data-bq@agile-bonbon-662.iam.gserviceaccount.com)
2026-06-24 08:08 (nutrition-data-bq@agile-bonbon-662.iam.gserviceaccount.com)
2026-06-24 08:03 (nutrition-data-bq@agile-bonbon-662.iam.gserviceaccount.com)
2026-06-24 07:58 (nutrition-data-bq@agile-bonbon-662.iam.gserviceaccount.com)
2026-06-24 07:58 (nutrition-data-bq@agile-bonbon-662.iam.gserviceaccount.com)</t>
  </si>
  <si>
    <t>2026-06-24 07:57 (nutrition-data-bq@agile-bonbon-662.iam.gserviceaccount.com)
2026-06-24 07:57 (nutrition-data-bq@agile-bonbon-662.iam.gserviceaccount.com)
2026-06-24 07:57 (nutrition-data-bq@agile-bonbon-662.iam.gserviceaccount.com)
2026-06-24 07:57 (nutrition-data-bq@agile-bonbon-662.iam.gserviceaccount.com)
2026-06-24 07:57 (nutrition-data-bq@agile-bonbon-662.iam.gserviceaccount.com)</t>
  </si>
  <si>
    <t>2026-06-24 10:45 (ditto-transactions-agilebonbon@agile-bonbon-662.iam.gserviceaccount.com)
2026-06-24 10:30 (ditto-transactions-agilebonbon@agile-bonbon-662.iam.gserviceaccount.com)
2026-06-24 10:18 (dittwo@agile-bonbon-662.iam.gserviceaccount.com)
2026-06-24 10:17 (dittwo@agile-bonbon-662.iam.gserviceaccount.com)
2026-06-24 10:17 (dittwo@agile-bonbon-662.iam.gserviceaccount.com)</t>
  </si>
  <si>
    <t>ditto_hqdw</t>
  </si>
  <si>
    <t>2026-06-24 10:50 (ecrm-events-pipeline@the-hut-group.iam.gserviceaccount.com)
2026-06-24 10:50 (ecrm-events-pipeline@the-hut-group.iam.gserviceaccount.com)
2026-06-24 10:50 (ecrm-events-pipeline@the-hut-group.iam.gserviceaccount.com)
2026-06-24 10:50 (ecrm-events-pipeline@the-hut-group.iam.gserviceaccount.com)
2026-06-24 10:50 (ecrm-events-pipeline@the-hut-group.iam.gserviceaccount.com)</t>
  </si>
  <si>
    <t>2026-06-24 10:45 (ditto-transactions-thg@the-hut-group.iam.gserviceaccount.com)
2026-06-24 10:45 (dittwo@the-hut-group.iam.gserviceaccount.com)
2026-06-24 10:30 (dittwo@the-hut-group.iam.gserviceaccount.com)
2026-06-24 10:30 (dittwo@the-hut-group.iam.gserviceaccount.com)
2026-06-24 10:30 (ditto-transactions-thg@the-hut-group.iam.gserviceaccount.com)</t>
  </si>
  <si>
    <t>analytics_236610138</t>
  </si>
  <si>
    <t>2026-06-24 10:07 (ga4-sessions-level-1-thg@agile-bonbon-662.iam.gserviceaccount.com)
2026-06-24 08:03 (ga4-sessions-level-1-thg@agile-bonbon-662.iam.gserviceaccount.com)
2026-06-24 08:01 (ga4-sessions-level-1-thg@agile-bonbon-662.iam.gserviceaccount.com)
2026-06-24 08:01 (ga4-sessions-level-1-thg@agile-bonbon-662.iam.gserviceaccount.com)
2026-06-24 08:00 (ga4-sessions-level-1-thg@agile-bonbon-662.iam.gserviceaccount.com)</t>
  </si>
  <si>
    <t>2026-06-24 07:29 (firebase-measurement@system.gserviceaccount.com)
2026-06-24 07:29 (firebase-measurement@system.gserviceaccount.com)
2026-06-24 07:29 (firebase-measurement@system.gserviceaccount.com)
2026-06-23 07:34 (firebase-measurement@system.gserviceaccount.com)
2026-06-23 07:34 (firebase-measurement@system.gserviceaccount.com)</t>
  </si>
  <si>
    <t>analytics_240856234</t>
  </si>
  <si>
    <t>2026-06-24 10:07 (ga4-sessions-level-1-thg@agile-bonbon-662.iam.gserviceaccount.com)
2026-06-24 08:03 (ga4-sessions-level-1-thg@agile-bonbon-662.iam.gserviceaccount.com)
2026-06-24 08:02 (ga4-sessions-level-1-thg@agile-bonbon-662.iam.gserviceaccount.com)
2026-06-24 08:01 (ga4-sessions-level-1-thg@agile-bonbon-662.iam.gserviceaccount.com)
2026-06-24 08:00 (ga4-sessions-level-1-thg@agile-bonbon-662.iam.gserviceaccount.com)</t>
  </si>
  <si>
    <t>2026-06-24 09:55 (firebase-measurement@system.gserviceaccount.com)
2026-06-24 09:55 (firebase-measurement@system.gserviceaccount.com)
2026-06-24 09:55 (firebase-measurement@system.gserviceaccount.com)
2026-06-24 06:46 (firebase-measurement@system.gserviceaccount.com)
2026-06-24 06:46 (firebase-measurement@system.gserviceaccount.com)</t>
  </si>
  <si>
    <t>thg-search-poc</t>
  </si>
  <si>
    <t>compass</t>
  </si>
  <si>
    <t>2026-06-24 04:28 (201255070746-compute@developer.gserviceaccount.com)
2026-06-23 04:26 (201255070746-compute@developer.gserviceaccount.com)
2026-06-22 04:34 (201255070746-compute@developer.gserviceaccount.com)
2026-06-21 04:33 (201255070746-compute@developer.gserviceaccount.com)
2026-06-20 04:31 (201255070746-compute@developer.gserviceaccount.com)</t>
  </si>
  <si>
    <t>2026-06-24 07:20 (jamie.atkinson98@thehutgroup.com)
2026-06-24 06:02 (nutrition-data-bq@agile-bonbon-662.iam.gserviceaccount.com)
2026-06-24 05:46 (nutrition-data-bq@agile-bonbon-662.iam.gserviceaccount.com)
2026-06-24 05:19 (nutrition-data-bq@agile-bonbon-662.iam.gserviceaccount.com)
2026-06-24 05:17 (nutrition-data-bq@agile-bonbon-662.iam.gserviceaccount.com)</t>
  </si>
  <si>
    <t>2026-06-24 02:30 (stringerc@thehutgroup.com)
2026-06-24 02:30 (stringerc@thehutgroup.com)
2026-06-24 02:30 (stringerc@thehutgroup.com)
2026-06-24 02:30 (stringerc@thehutgroup.com)
2026-06-24 01:32 (nutrition-data-bq@agile-bonbon-662.iam.gserviceaccount.com)</t>
  </si>
  <si>
    <t>THG_Paid_Media</t>
  </si>
  <si>
    <t>2026-06-24 10:32 (mosina@thehutgroup.com)
2026-06-24 10:32 (mosina@thehutgroup.com)
2026-06-24 10:32 (mosina@thehutgroup.com)
2026-06-24 10:32 (mosina@thehutgroup.com)
2026-06-24 10:31 (mosina@thehutgroup.com)</t>
  </si>
  <si>
    <t>2026-06-24 10:27 (central-marketing-credentials@thg-central-marketing.iam.gserviceaccount.com)
2026-06-24 10:27 (central-marketing-credentials@thg-central-marketing.iam.gserviceaccount.com)
2026-06-24 10:26 (central-marketing-credentials@thg-central-marketing.iam.gserviceaccount.com)
2026-06-24 10:26 (central-marketing-credentials@thg-central-marketing.iam.gserviceaccount.com)
2026-06-24 10:26 (central-marketing-credentials@thg-central-marketing.iam.gserviceaccount.com)</t>
  </si>
  <si>
    <t>analytics_271861161</t>
  </si>
  <si>
    <t>2026-06-24 10:03 (ga4-sessions-level-1-ingenuity@thg-ingenuity.iam.gserviceaccount.com)
2026-06-24 10:02 (ga4-sessions-level-1-ingenuity@thg-ingenuity.iam.gserviceaccount.com)
2026-06-24 08:03 (ga4-sessions-level-1-ingenuity@thg-ingenuity.iam.gserviceaccount.com)
2026-06-24 06:02 (ga4-sessions-level-1-ingenuity@thg-ingenuity.iam.gserviceaccount.com)
2026-06-24 04:02 (ga4-sessions-level-1-ingenuity@thg-ingenuity.iam.gserviceaccount.com)</t>
  </si>
  <si>
    <t>2026-06-24 08:12 (firebase-measurement@system.gserviceaccount.com)
2026-06-23 08:56 (firebase-measurement@system.gserviceaccount.com)
2026-06-22 08:35 (firebase-measurement@system.gserviceaccount.com)
2026-06-21 08:16 (firebase-measurement@system.gserviceaccount.com)
2026-06-20 16:07 (firebase-measurement@system.gserviceaccount.com)</t>
  </si>
  <si>
    <t>analytics_212560791</t>
  </si>
  <si>
    <t>2026-06-24 06:38 (firebase-measurement@system.gserviceaccount.com)
2026-06-24 06:38 (firebase-measurement@system.gserviceaccount.com)
2026-06-23 06:20 (firebase-measurement@system.gserviceaccount.com)
2026-06-23 06:20 (firebase-measurement@system.gserviceaccount.com)
2026-06-23 06:20 (firebase-measurement@system.gserviceaccount.com)</t>
  </si>
  <si>
    <t>analytics_388030890</t>
  </si>
  <si>
    <t>2026-05-22 12:20 (nutrition-data-bq@agile-bonbon-662.iam.gserviceaccount.com)
2026-05-19 14:54 (nutrition-data-bq@agile-bonbon-662.iam.gserviceaccount.com)
2026-05-15 14:23 (nutrition-data-bq@agile-bonbon-662.iam.gserviceaccount.com)
2026-04-29 10:09 (ingersolla@thehutgroup.com)</t>
  </si>
  <si>
    <t>2026-06-24 07:42 (firebase-measurement@system.gserviceaccount.com)
2026-06-23 07:14 (firebase-measurement@system.gserviceaccount.com)
2026-06-22 07:21 (firebase-measurement@system.gserviceaccount.com)
2026-06-21 07:40 (firebase-measurement@system.gserviceaccount.com)
2026-06-20 17:12 (firebase-measurement@system.gserviceaccount.com)</t>
  </si>
  <si>
    <t>analytics_378074805</t>
  </si>
  <si>
    <t>2026-06-23 16:02 (ga4-sessions-level-1-ingenuity@thg-ingenuity.iam.gserviceaccount.com)
2026-06-22 12:02 (ga4-sessions-level-1-ingenuity@thg-ingenuity.iam.gserviceaccount.com)
2026-06-21 16:02 (ga4-sessions-level-1-ingenuity@thg-ingenuity.iam.gserviceaccount.com)
2026-06-21 02:01 (ga4-sessions-level-1-ingenuity@thg-ingenuity.iam.gserviceaccount.com)
2026-06-19 12:02 (ga4-sessions-level-1-ingenuity@thg-ingenuity.iam.gserviceaccount.com)</t>
  </si>
  <si>
    <t>2026-06-23 15:16 (firebase-measurement@system.gserviceaccount.com)
2026-06-22 10:30 (firebase-measurement@system.gserviceaccount.com)
2026-06-21 15:22 (firebase-measurement@system.gserviceaccount.com)
2026-06-21 01:24 (firebase-measurement@system.gserviceaccount.com)
2026-06-19 15:38 (firebase-measurement@system.gserviceaccount.com)</t>
  </si>
  <si>
    <t>VoyagerDataImport</t>
  </si>
  <si>
    <t>2026-06-24 10:31 (personify-pipeline@thg-data-personify.iam.gserviceaccount.com)
2026-06-24 10:31 (personify-pipeline@thg-data-personify.iam.gserviceaccount.com)
2026-06-24 10:30 (personify-pipeline@thg-data-personify.iam.gserviceaccount.com)
2026-06-24 10:30 (personify-pipeline@thg-data-personify.iam.gserviceaccount.com)
2026-06-24 10:30 (personify-pipeline@thg-data-personify.iam.gserviceaccount.com)</t>
  </si>
  <si>
    <t>2026-06-24 10:31 (personify-pipeline@thg-data-personify.iam.gserviceaccount.com)
2026-06-24 10:30 (personify-pipeline@thg-data-personify.iam.gserviceaccount.com)
2026-06-24 10:30 (personify-pipeline@thg-data-personify.iam.gserviceaccount.com)
2026-06-24 10:30 (personify-pipeline@thg-data-personify.iam.gserviceaccount.com)
2026-06-24 10:30 (personify-pipeline@thg-data-personify.iam.gserviceaccount.com)</t>
  </si>
  <si>
    <t>analytics_277843117</t>
  </si>
  <si>
    <t>2026-06-24 09:21 (firebase-measurement@system.gserviceaccount.com)
2026-06-24 09:21 (firebase-measurement@system.gserviceaccount.com)
2026-06-24 09:21 (firebase-measurement@system.gserviceaccount.com)
2026-06-24 09:21 (firebase-measurement@system.gserviceaccount.com)
2026-06-23 09:24 (firebase-measurement@system.gserviceaccount.com)</t>
  </si>
  <si>
    <t>Central_Affiliates</t>
  </si>
  <si>
    <t>2026-06-24 10:12 (central-marketing-credentials@thg-central-marketing.iam.gserviceaccount.com)
2026-06-24 10:12 (central-marketing-credentials@thg-central-marketing.iam.gserviceaccount.com)
2026-06-24 10:12 (central-marketing-credentials@thg-central-marketing.iam.gserviceaccount.com)
2026-06-24 10:00 (central-marketing-credentials@thg-central-marketing.iam.gserviceaccount.com)
2026-06-24 09:17 (central-marketing-credentials@thg-central-marketing.iam.gserviceaccount.com)</t>
  </si>
  <si>
    <t>2026-06-24 10:12 (central-marketing-credentials@thg-central-marketing.iam.gserviceaccount.com)
2026-06-24 10:12 (central-marketing-credentials@thg-central-marketing.iam.gserviceaccount.com)
2026-06-24 10:12 (central-marketing-credentials@thg-central-marketing.iam.gserviceaccount.com)
2026-06-24 09:30 (dominic.gooch56@thehutgroup.com)
2026-06-24 09:17 (central-marketing-credentials@thg-central-marketing.iam.gserviceaccount.com)</t>
  </si>
  <si>
    <t>analytics_231591611</t>
  </si>
  <si>
    <t>2026-06-24 06:34 (firebase-measurement@system.gserviceaccount.com)
2026-06-24 06:34 (firebase-measurement@system.gserviceaccount.com)
2026-06-23 06:08 (firebase-measurement@system.gserviceaccount.com)
2026-06-22 06:15 (firebase-measurement@system.gserviceaccount.com)
2026-06-22 06:15 (firebase-measurement@system.gserviceaccount.com)</t>
  </si>
  <si>
    <t>clv_brand</t>
  </si>
  <si>
    <t>2026-06-24 05:46 (clare.isakson58@thehutgroup.com)
2026-06-24 05:45 (clare.isakson58@thehutgroup.com)
2026-06-24 05:45 (clare.isakson58@thehutgroup.com)
2026-06-24 05:45 (clare.isakson58@thehutgroup.com)
2026-06-24 05:45 (clare.isakson58@thehutgroup.com)</t>
  </si>
  <si>
    <t>2026-06-24 05:46 (clare.isakson58@thehutgroup.com)
2026-06-24 05:46 (clare.isakson58@thehutgroup.com)
2026-06-24 05:45 (clare.isakson58@thehutgroup.com)
2026-06-24 05:45 (clare.isakson58@thehutgroup.com)
2026-06-24 05:45 (clare.isakson58@thehutgroup.com)</t>
  </si>
  <si>
    <t>THG_Social</t>
  </si>
  <si>
    <t>2026-06-24 10:30 (central-marketing-credentials@thg-central-marketing.iam.gserviceaccount.com)
2026-06-24 10:30 (central-marketing-credentials@thg-central-marketing.iam.gserviceaccount.com)
2026-06-24 10:22 (central-marketing-credentials@thg-central-marketing.iam.gserviceaccount.com)
2026-06-24 10:22 (central-marketing-credentials@thg-central-marketing.iam.gserviceaccount.com)
2026-06-24 09:30 (central-marketing-credentials@thg-central-marketing.iam.gserviceaccount.com)</t>
  </si>
  <si>
    <t>2026-06-24 10:30 (central-marketing-credentials@thg-central-marketing.iam.gserviceaccount.com)
2026-06-24 10:30 (central-marketing-credentials@thg-central-marketing.iam.gserviceaccount.com)
2026-06-24 10:22 (central-marketing-credentials@thg-central-marketing.iam.gserviceaccount.com)
2026-06-24 10:22 (central-marketing-credentials@thg-central-marketing.iam.gserviceaccount.com)
2026-06-24 10:22 (central-marketing-credentials@thg-central-marketing.iam.gserviceaccount.com)</t>
  </si>
  <si>
    <t>Markdown</t>
  </si>
  <si>
    <t>2026-06-24 06:24 (beauty-data@agile-bonbon-662.iam.gserviceaccount.com)
2026-06-24 06:19 (beauty-data@agile-bonbon-662.iam.gserviceaccount.com)
2026-06-24 06:19 (beauty-data@agile-bonbon-662.iam.gserviceaccount.com)
2026-06-24 06:19 (beauty-data@agile-bonbon-662.iam.gserviceaccount.com)
2026-06-24 06:19 (beauty-data@agile-bonbon-662.iam.gserviceaccount.com)</t>
  </si>
  <si>
    <t>2026-06-24 06:19 (beauty-data@agile-bonbon-662.iam.gserviceaccount.com)
2026-06-24 06:19 (beauty-data@agile-bonbon-662.iam.gserviceaccount.com)
2026-06-24 02:51 (sa-bpswcbdsql01@thg-beauty.iam.gserviceaccount.com)
2026-06-24 02:51 (sa-bpswcbdsql01@thg-beauty.iam.gserviceaccount.com)
2026-06-24 02:51 (sa-bpswcbdsql01@thg-beauty.iam.gserviceaccount.com)</t>
  </si>
  <si>
    <t>THG_Email</t>
  </si>
  <si>
    <t>2026-06-24 10:35 (raia@thehutgroup.com)
2026-06-24 10:35 (raia@thehutgroup.com)
2026-06-24 10:35 (raia@thehutgroup.com)
2026-06-24 10:35 (raia@thehutgroup.com)
2026-06-24 10:33 (raia@thehutgroup.com)</t>
  </si>
  <si>
    <t>2026-06-24 10:27 (central-marketing-credentials@thg-central-marketing.iam.gserviceaccount.com)
2026-06-24 10:27 (central-marketing-credentials@thg-central-marketing.iam.gserviceaccount.com)
2026-06-24 10:24 (central-marketing-credentials@thg-central-marketing.iam.gserviceaccount.com)
2026-06-24 10:24 (central-marketing-credentials@thg-central-marketing.iam.gserviceaccount.com)
2026-06-24 10:24 (central-marketing-credentials@thg-central-marketing.iam.gserviceaccount.com)</t>
  </si>
  <si>
    <t>AppsFlyer_DataLocker</t>
  </si>
  <si>
    <t>2026-01-05 12:45 (central-marketing-credentials@thg-central-marketing.iam.gserviceaccount.com)
2026-01-05 12:31 (central-marketing-credentials@thg-central-marketing.iam.gserviceaccount.com)
2026-01-05 12:15 (central-marketing-credentials@thg-central-marketing.iam.gserviceaccount.com)
2026-01-05 12:03 (central-marketing-credentials@thg-central-marketing.iam.gserviceaccount.com)
2026-01-05 11:45 (central-marketing-credentials@thg-central-marketing.iam.gserviceaccount.com)</t>
  </si>
  <si>
    <t>2026-05-19 14:30 (nutrition-data-bq@agile-bonbon-662.iam.gserviceaccount.com)
2026-05-15 13:56 (nutrition-data-bq@agile-bonbon-662.iam.gserviceaccount.com)
2026-04-29 10:03 (ingersolla@thehutgroup.com)
2026-02-03 14:55 (jamie.atkinson98@thehutgroup.com)
2026-02-03 14:55 (jamie.atkinson98@thehutgroup.com)</t>
  </si>
  <si>
    <t>2026-06-24 02:00 (stringerc@thehutgroup.com)
2026-06-24 02:00 (stringerc@thehutgroup.com)
2026-06-24 02:00 (stringerc@thehutgroup.com)
2026-06-24 02:00 (stringerc@thehutgroup.com)
2026-06-24 02:00 (stringerc@thehutgroup.com)</t>
  </si>
  <si>
    <t>Adverity_FacebookAds</t>
  </si>
  <si>
    <t>2026-06-24 10:36 (thg-adverity@agile-bonbon-662.iam.gserviceaccount.com)
2026-06-24 10:26 (central-marketing-credentials@thg-central-marketing.iam.gserviceaccount.com)
2026-06-24 10:26 (central-marketing-credentials@thg-central-marketing.iam.gserviceaccount.com)
2026-06-24 10:26 (central-marketing-credentials@thg-central-marketing.iam.gserviceaccount.com)
2026-06-24 10:23 (thg-adverity@agile-bonbon-662.iam.gserviceaccount.com)</t>
  </si>
  <si>
    <t>2026-06-24 10:36 (thg-adverity@agile-bonbon-662.iam.gserviceaccount.com)
2026-06-24 10:36 (thg-adverity@agile-bonbon-662.iam.gserviceaccount.com)
2026-06-24 10:23 (thg-adverity@agile-bonbon-662.iam.gserviceaccount.com)
2026-06-24 10:23 (thg-adverity@agile-bonbon-662.iam.gserviceaccount.com)
2026-06-24 10:23 (thg-adverity@agile-bonbon-662.iam.gserviceaccount.com)</t>
  </si>
  <si>
    <t>analytics_240794187</t>
  </si>
  <si>
    <t>2026-06-24 10:07 (ga4-sessions-level-1-thg@agile-bonbon-662.iam.gserviceaccount.com)
2026-06-24 08:03 (ga4-sessions-level-1-thg@agile-bonbon-662.iam.gserviceaccount.com)
2026-06-24 08:01 (ga4-sessions-level-1-thg@agile-bonbon-662.iam.gserviceaccount.com)
2026-06-24 08:01 (ga4-sessions-level-1-thg@agile-bonbon-662.iam.gserviceaccount.com)
2026-06-24 06:01 (ga4-sessions-level-1-thg@agile-bonbon-662.iam.gserviceaccount.com)</t>
  </si>
  <si>
    <t>2026-06-24 09:24 (firebase-measurement@system.gserviceaccount.com)
2026-06-24 09:24 (firebase-measurement@system.gserviceaccount.com)
2026-06-24 06:25 (firebase-measurement@system.gserviceaccount.com)
2026-06-24 06:25 (firebase-measurement@system.gserviceaccount.com)
2026-06-24 06:22 (firebase-measurement@system.gserviceaccount.com)</t>
  </si>
  <si>
    <t>analytics_266795735</t>
  </si>
  <si>
    <t>2026-06-24 07:33 (firebase-measurement@system.gserviceaccount.com)
2026-06-24 07:33 (firebase-measurement@system.gserviceaccount.com)
2026-06-24 07:33 (firebase-measurement@system.gserviceaccount.com)
2026-06-24 07:33 (firebase-measurement@system.gserviceaccount.com)
2026-06-23 07:53 (firebase-measurement@system.gserviceaccount.com)</t>
  </si>
  <si>
    <t>analytics_343427114</t>
  </si>
  <si>
    <t>2026-06-24 07:19 (firebase-measurement@system.gserviceaccount.com)
2026-06-24 07:19 (firebase-measurement@system.gserviceaccount.com)
2026-06-24 07:19 (firebase-measurement@system.gserviceaccount.com)
2026-06-24 07:19 (firebase-measurement@system.gserviceaccount.com)
2026-06-23 07:02 (firebase-measurement@system.gserviceaccount.com)</t>
  </si>
  <si>
    <t>altitude_fastly_img_opto_logs</t>
  </si>
  <si>
    <t>2026-04-29 09:56 (ingersolla@thehutgroup.com)
2026-04-23 09:36 (halls@thehutgroup.com)
2026-04-23 08:58 (halls@thehutgroup.com)
2026-04-09 10:33 (waiyan.aung84@thgingenuity.com)
2026-04-09 10:32 (waiyan.aung84@thgingenuity.com)</t>
  </si>
  <si>
    <t>2026-04-23 09:46 (waiyan.aung84@thgingenuity.com)
2026-04-23 09:36 (halls@thehutgroup.com)
2026-04-09 10:26 (waiyan.aung84@thgingenuity.com)</t>
  </si>
  <si>
    <t>Customer_Profile_Report</t>
  </si>
  <si>
    <t>2026-06-24 07:02 (beauty-data@agile-bonbon-662.iam.gserviceaccount.com)
2026-06-24 07:02 (beauty-data@agile-bonbon-662.iam.gserviceaccount.com)
2026-06-24 07:02 (beauty-data@agile-bonbon-662.iam.gserviceaccount.com)
2026-06-24 07:01 (beauty-data@agile-bonbon-662.iam.gserviceaccount.com)
2026-06-24 05:00 (sa-bpswcbdsql01@thg-beauty.iam.gserviceaccount.com)</t>
  </si>
  <si>
    <t>2026-06-24 04:21 (sa-bpswcbdsql01@thg-beauty.iam.gserviceaccount.com)
2026-06-24 02:48 (sa-bpswcbdsql01@thg-beauty.iam.gserviceaccount.com)
2026-06-24 02:48 (sa-bpswcbdsql01@thg-beauty.iam.gserviceaccount.com)
2026-06-24 02:47 (sa-bpswcbdsql01@thg-beauty.iam.gserviceaccount.com)
2026-06-24 02:47 (sa-bpswcbdsql01@thg-beauty.iam.gserviceaccount.com)</t>
  </si>
  <si>
    <t>THG_Customer_Behaviour</t>
  </si>
  <si>
    <t>2026-06-24 10:30 (central-marketing-credentials@thg-central-marketing.iam.gserviceaccount.com)
2026-06-24 10:17 (marketing-analytics@thg-influencer.iam.gserviceaccount.com)
2026-06-24 09:30 (central-marketing-credentials@thg-central-marketing.iam.gserviceaccount.com)
2026-06-24 09:17 (marketing-analytics@thg-influencer.iam.gserviceaccount.com)
2026-06-24 08:30 (central-marketing-credentials@thg-central-marketing.iam.gserviceaccount.com)</t>
  </si>
  <si>
    <t>2026-06-24 10:18 (marketing-analytics@thg-influencer.iam.gserviceaccount.com)
2026-06-24 10:18 (marketing-analytics@thg-influencer.iam.gserviceaccount.com)
2026-06-24 10:16 (marketing-analytics@thg-influencer.iam.gserviceaccount.com)
2026-06-24 10:16 (marketing-analytics@thg-influencer.iam.gserviceaccount.com)
2026-06-24 09:19 (marketing-analytics@thg-influencer.iam.gserviceaccount.com)</t>
  </si>
  <si>
    <t>Ditto_Society</t>
  </si>
  <si>
    <t>2026-06-24 10:40 (marketing-analytics@thg-influencer.iam.gserviceaccount.com)
2026-06-24 10:40 (marketing-analytics@thg-influencer.iam.gserviceaccount.com)
2026-06-24 10:40 (marketing-analytics@thg-influencer.iam.gserviceaccount.com)
2026-06-24 10:40 (marketing-analytics@thg-influencer.iam.gserviceaccount.com)
2026-06-24 10:40 (marketing-analytics@thg-influencer.iam.gserviceaccount.com)</t>
  </si>
  <si>
    <t>2026-04-21 13:15 (dittwo@thg-influencer.iam.gserviceaccount.com)
2026-04-21 13:15 (dittwo@thg-influencer.iam.gserviceaccount.com)
2026-04-21 13:15 (dittwo@thg-influencer.iam.gserviceaccount.com)
2026-04-21 13:15 (dittwo@thg-influencer.iam.gserviceaccount.com)
2026-04-21 13:15 (dittwo@thg-influencer.iam.gserviceaccount.com)</t>
  </si>
  <si>
    <t>dittwo</t>
  </si>
  <si>
    <t>2026-06-24 10:47 (order-expander@vibrant-map-107910.iam.gserviceaccount.com)
2026-06-24 10:46 (order-expander@vibrant-map-107910.iam.gserviceaccount.com)
2026-06-24 10:46 (order-expander@vibrant-map-107910.iam.gserviceaccount.com)
2026-06-24 10:36 (order-expander@vibrant-map-107910.iam.gserviceaccount.com)
2026-06-24 10:35 (order-expander@vibrant-map-107910.iam.gserviceaccount.com)</t>
  </si>
  <si>
    <t>Adverity_BingAds</t>
  </si>
  <si>
    <t>2026-06-24 10:53 (thg-adverity@agile-bonbon-662.iam.gserviceaccount.com)
2026-06-24 10:53 (thg-adverity@agile-bonbon-662.iam.gserviceaccount.com)
2026-06-24 10:53 (thg-adverity@agile-bonbon-662.iam.gserviceaccount.com)
2026-06-24 10:53 (thg-adverity@agile-bonbon-662.iam.gserviceaccount.com)
2026-06-24 10:26 (central-marketing-credentials@thg-central-marketing.iam.gserviceaccount.com)</t>
  </si>
  <si>
    <t>2026-06-24 10:53 (thg-adverity@agile-bonbon-662.iam.gserviceaccount.com)
2026-06-24 10:53 (thg-adverity@agile-bonbon-662.iam.gserviceaccount.com)
2026-06-24 10:53 (thg-adverity@agile-bonbon-662.iam.gserviceaccount.com)
2026-06-24 10:53 (thg-adverity@agile-bonbon-662.iam.gserviceaccount.com)
2026-06-24 10:53 (thg-adverity@agile-bonbon-662.iam.gserviceaccount.com)</t>
  </si>
  <si>
    <t>analytics_240883094</t>
  </si>
  <si>
    <t>2026-06-24 07:07 (firebase-measurement@system.gserviceaccount.com)
2026-06-24 07:07 (firebase-measurement@system.gserviceaccount.com)
2026-06-23 06:42 (firebase-measurement@system.gserviceaccount.com)
2026-06-23 06:42 (firebase-measurement@system.gserviceaccount.com)
2026-06-22 06:37 (firebase-measurement@system.gserviceaccount.com)</t>
  </si>
  <si>
    <t>analytics_362904458</t>
  </si>
  <si>
    <t>2026-06-24 10:03 (ga4-sessions-level-1-ingenuity@thg-ingenuity.iam.gserviceaccount.com)
2026-06-24 08:03 (ga4-sessions-level-1-ingenuity@thg-ingenuity.iam.gserviceaccount.com)
2026-06-24 06:03 (ga4-sessions-level-1-ingenuity@thg-ingenuity.iam.gserviceaccount.com)
2026-06-24 06:02 (ga4-sessions-level-1-ingenuity@thg-ingenuity.iam.gserviceaccount.com)
2026-06-24 04:02 (ga4-sessions-level-1-ingenuity@thg-ingenuity.iam.gserviceaccount.com)</t>
  </si>
  <si>
    <t>2026-06-23 13:26 (firebase-measurement@system.gserviceaccount.com)
2026-06-22 13:38 (firebase-measurement@system.gserviceaccount.com)
2026-06-21 12:43 (firebase-measurement@system.gserviceaccount.com)
2026-06-20 17:47 (firebase-measurement@system.gserviceaccount.com)
2026-06-19 19:25 (firebase-measurement@system.gserviceaccount.com)</t>
  </si>
  <si>
    <t>2026-06-24 10:50 (blackgraphs@the-hut-group.iam.gserviceaccount.com)
2026-06-24 10:50 (ecrm-service@the-hut-group.iam.gserviceaccount.com)
2026-06-24 10:50 (ecrm-service@the-hut-group.iam.gserviceaccount.com)
2026-06-24 10:50 (ecrm-service@the-hut-group.iam.gserviceaccount.com)
2026-06-24 10:50 (ecrm-service@the-hut-group.iam.gserviceaccount.com)</t>
  </si>
  <si>
    <t>thg-beautydata-liveramp</t>
  </si>
  <si>
    <t>2026-06-08 09:27 (ravi.subramaniam04@thehutgroup.com)
2026-02-24 11:22 (ravi.subramaniam04@thehutgroup.com)
2026-02-24 11:22 (ravi.subramaniam04@thehutgroup.com)
2026-02-24 11:22 (ravi.subramaniam04@thehutgroup.com)
2026-02-24 11:22 (ravi.subramaniam04@thehutgroup.com)</t>
  </si>
  <si>
    <t>retail_events_lfint_en</t>
  </si>
  <si>
    <t>2026-06-17 08:39 (vrabiem@thehutgroup.com)
2026-06-17 06:16 (rishikesh.salunkhe44@thg.com)
2026-06-17 06:14 (rishikesh.salunkhe44@thg.com)
2026-06-16 10:38 (rishikesh.salunkhe44@thg.com)
2026-06-16 10:34 (rishikesh.salunkhe44@thg.com)</t>
  </si>
  <si>
    <t>2026-06-24 06:00 (cs-pipeline@the-hut-group.iam.gserviceaccount.com)
2026-06-24 06:00 (cs-pipeline@the-hut-group.iam.gserviceaccount.com)
2026-06-23 06:01 (cs-pipeline@the-hut-group.iam.gserviceaccount.com)
2026-06-23 06:00 (cs-pipeline@the-hut-group.iam.gserviceaccount.com)
2026-06-22 06:00 (cs-pipeline@the-hut-group.iam.gserviceaccount.com)</t>
  </si>
  <si>
    <t>01_Ellis</t>
  </si>
  <si>
    <t>2026-03-25 13:17 (peakn@thehutgroup.com)
2026-03-25 13:17 (peakn@thehutgroup.com)
2026-03-25 13:16 (peakn@thehutgroup.com)
2026-03-25 13:16 (peakn@thehutgroup.com)
2026-03-20 11:04 (yearsleye@thehutgroup.com)</t>
  </si>
  <si>
    <t>2026-06-24 10:28 (raia@thehutgroup.com)
2026-06-24 10:26 (raia@thehutgroup.com)
2026-06-24 10:20 (central-marketing-credentials@thg-central-marketing.iam.gserviceaccount.com)
2026-06-24 10:20 (central-marketing-credentials@thg-central-marketing.iam.gserviceaccount.com)
2026-06-24 10:20 (central-marketing-credentials@thg-central-marketing.iam.gserviceaccount.com)</t>
  </si>
  <si>
    <t>2026-06-24 06:00 (stringerc@thehutgroup.com)
2026-06-24 03:00 (stringerc@thehutgroup.com)
2026-06-24 03:00 (stringerc@thehutgroup.com)
2026-06-24 02:40 (dittwo@thg-ingenuity.iam.gserviceaccount.com)
2026-06-24 02:39 (dittwo@thg-ingenuity.iam.gserviceaccount.com)</t>
  </si>
  <si>
    <t>Legacy_Performance</t>
  </si>
  <si>
    <t>2026-06-24 10:41 (marketing-analytics@thg-influencer.iam.gserviceaccount.com)
2026-06-24 10:41 (marketing-analytics@thg-influencer.iam.gserviceaccount.com)
2026-06-24 10:41 (marketing-analytics@thg-influencer.iam.gserviceaccount.com)
2026-06-24 10:40 (marketing-analytics@thg-influencer.iam.gserviceaccount.com)
2026-06-24 10:40 (marketing-analytics@thg-influencer.iam.gserviceaccount.com)</t>
  </si>
  <si>
    <t>2026-06-24 00:51 (marketing-analytics@thg-influencer.iam.gserviceaccount.com)
2026-06-24 00:49 (marketing-analytics@thg-influencer.iam.gserviceaccount.com)
2026-06-24 00:47 (marketing-analytics@thg-influencer.iam.gserviceaccount.com)
2026-06-24 00:44 (marketing-analytics@thg-influencer.iam.gserviceaccount.com)
2026-06-24 00:44 (marketing-analytics@thg-influencer.iam.gserviceaccount.com)</t>
  </si>
  <si>
    <t>analytics_330651207</t>
  </si>
  <si>
    <t>2026-06-24 10:02 (ga4-sessions-level-1-ingenuity@thg-ingenuity.iam.gserviceaccount.com)
2026-06-23 10:02 (ga4-sessions-level-1-ingenuity@thg-ingenuity.iam.gserviceaccount.com)
2026-06-22 10:03 (ga4-sessions-level-1-ingenuity@thg-ingenuity.iam.gserviceaccount.com)
2026-06-21 10:02 (ga4-sessions-level-1-ingenuity@thg-ingenuity.iam.gserviceaccount.com)
2026-06-21 00:01 (ga4-sessions-level-1-ingenuity@thg-ingenuity.iam.gserviceaccount.com)</t>
  </si>
  <si>
    <t>2026-06-24 08:59 (firebase-measurement@system.gserviceaccount.com)
2026-06-23 09:33 (firebase-measurement@system.gserviceaccount.com)
2026-06-22 08:48 (firebase-measurement@system.gserviceaccount.com)
2026-06-21 09:05 (firebase-measurement@system.gserviceaccount.com)
2026-06-20 22:12 (firebase-measurement@system.gserviceaccount.com)</t>
  </si>
  <si>
    <t>2026-06-24 07:20 (jamie.atkinson98@thehutgroup.com)
2026-06-24 05:46 (nutrition-data-bq@agile-bonbon-662.iam.gserviceaccount.com)
2026-06-24 05:19 (nutrition-data-bq@agile-bonbon-662.iam.gserviceaccount.com)
2026-06-24 05:17 (nutrition-data-bq@agile-bonbon-662.iam.gserviceaccount.com)
2026-06-23 07:20 (jamie.atkinson98@thehutgroup.com)</t>
  </si>
  <si>
    <t>2026-06-24 10:06 (stringerc@thehutgroup.com)
2026-06-24 09:06 (stringerc@thehutgroup.com)
2026-06-24 08:06 (stringerc@thehutgroup.com)
2026-06-24 07:06 (stringerc@thehutgroup.com)
2026-06-24 06:06 (stringerc@thehutgroup.com)</t>
  </si>
  <si>
    <t>THG_Affiliate</t>
  </si>
  <si>
    <t>2026-06-24 10:28 (central-marketing-credentials@thg-central-marketing.iam.gserviceaccount.com)
2026-06-24 10:28 (central-marketing-credentials@thg-central-marketing.iam.gserviceaccount.com)
2026-06-24 10:25 (central-marketing-credentials@thg-central-marketing.iam.gserviceaccount.com)
2026-06-24 10:25 (central-marketing-credentials@thg-central-marketing.iam.gserviceaccount.com)
2026-06-24 10:23 (central-marketing-credentials@thg-central-marketing.iam.gserviceaccount.com)</t>
  </si>
  <si>
    <t>2026-06-24 02:19 (central-marketing-credentials@thg-central-marketing.iam.gserviceaccount.com)
2026-06-24 02:18 (central-marketing-credentials@thg-central-marketing.iam.gserviceaccount.com)
2026-06-24 02:11 (central-marketing-credentials@thg-central-marketing.iam.gserviceaccount.com)
2026-06-24 02:09 (central-marketing-credentials@thg-central-marketing.iam.gserviceaccount.com)
2026-06-24 02:03 (central-marketing-credentials@thg-central-marketing.iam.gserviceaccount.com)</t>
  </si>
  <si>
    <t>2026-06-24 10:50 (ecrm-events-pipeline@thg-ingenuity.iam.gserviceaccount.com)
2026-06-24 10:50 (ecrm-events-pipeline@thg-ingenuity.iam.gserviceaccount.com)
2026-06-24 10:45 (dittwo@thg-ingenuity.iam.gserviceaccount.com)
2026-06-24 10:45 (dittwo@thg-ingenuity.iam.gserviceaccount.com)
2026-06-24 10:45 (dittwo@thg-ingenuity.iam.gserviceaccount.com)</t>
  </si>
  <si>
    <t>2026-06-24 10:45 (dittwo@thg-ingenuity.iam.gserviceaccount.com)
2026-06-24 10:45 (dittwo@thg-ingenuity.iam.gserviceaccount.com)
2026-06-24 10:45 (dittwo@thg-ingenuity.iam.gserviceaccount.com)
2026-06-24 10:30 (dittwo@thg-ingenuity.iam.gserviceaccount.com)
2026-06-24 10:30 (dittwo@thg-ingenuity.iam.gserviceaccount.com)</t>
  </si>
  <si>
    <t>2026-06-24 05:19 (nutrition-data-bq@agile-bonbon-662.iam.gserviceaccount.com)
2026-06-24 05:17 (nutrition-data-bq@agile-bonbon-662.iam.gserviceaccount.com)
2026-06-24 05:06 (nutrition-data-bq@agile-bonbon-662.iam.gserviceaccount.com)
2026-06-24 04:03 (nutrition-data-bq@agile-bonbon-662.iam.gserviceaccount.com)
2026-06-24 04:03 (nutrition-data-bq@agile-bonbon-662.iam.gserviceaccount.com)</t>
  </si>
  <si>
    <t>2026-06-24 03:03 (nutrition-data-bq@agile-bonbon-662.iam.gserviceaccount.com)
2026-06-24 03:03 (nutrition-data-bq@agile-bonbon-662.iam.gserviceaccount.com)
2026-06-24 03:02 (nutrition-data-bq@agile-bonbon-662.iam.gserviceaccount.com)
2026-06-24 03:02 (nutrition-data-bq@agile-bonbon-662.iam.gserviceaccount.com)
2026-06-24 03:00 (stringerc@thehutgroup.com)</t>
  </si>
  <si>
    <t>Ingenuity_Site_Performance</t>
  </si>
  <si>
    <t>2026-06-24 01:10 (central-marketing-credentials@thg-central-marketing.iam.gserviceaccount.com)
2026-06-24 01:09 (central-marketing-credentials@thg-central-marketing.iam.gserviceaccount.com)
2026-06-24 01:09 (central-marketing-credentials@thg-central-marketing.iam.gserviceaccount.com)
2026-06-24 01:09 (central-marketing-credentials@thg-central-marketing.iam.gserviceaccount.com)
2026-06-24 01:08 (central-marketing-credentials@thg-central-marketing.iam.gserviceaccount.com)</t>
  </si>
  <si>
    <t>Liveramp_Segments_US</t>
  </si>
  <si>
    <t>2026-06-24 05:36 (ravi.subramaniam04@thehutgroup.com)
2026-06-24 05:36 (ravi.subramaniam04@thehutgroup.com)
2026-06-24 05:36 (ravi.subramaniam04@thehutgroup.com)
2026-06-24 05:36 (ravi.subramaniam04@thehutgroup.com)
2026-06-24 05:36 (ravi.subramaniam04@thehutgroup.com)</t>
  </si>
  <si>
    <t>analytics_233603642</t>
  </si>
  <si>
    <t>2026-06-24 10:07 (ga4-sessions-level-1-thg@agile-bonbon-662.iam.gserviceaccount.com)
2026-06-24 08:02 (ga4-sessions-level-1-thg@agile-bonbon-662.iam.gserviceaccount.com)
2026-06-24 08:01 (ga4-sessions-level-1-thg@agile-bonbon-662.iam.gserviceaccount.com)
2026-06-24 08:01 (ga4-sessions-level-1-thg@agile-bonbon-662.iam.gserviceaccount.com)
2026-06-24 08:00 (ga4-sessions-level-1-thg@agile-bonbon-662.iam.gserviceaccount.com)</t>
  </si>
  <si>
    <t>2026-06-24 06:59 (firebase-measurement@system.gserviceaccount.com)
2026-06-24 06:59 (firebase-measurement@system.gserviceaccount.com)
2026-06-24 06:59 (firebase-measurement@system.gserviceaccount.com)
2026-06-23 07:18 (firebase-measurement@system.gserviceaccount.com)
2026-06-23 07:18 (firebase-measurement@system.gserviceaccount.com)</t>
  </si>
  <si>
    <t>Christmas</t>
  </si>
  <si>
    <t>2026-06-24 06:47 (haleema.anbreen45@thg.com)
2026-06-24 05:04 (beauty-data@agile-bonbon-662.iam.gserviceaccount.com)
2026-06-24 05:04 (beauty-data@agile-bonbon-662.iam.gserviceaccount.com)
2026-06-24 05:04 (beauty-data@agile-bonbon-662.iam.gserviceaccount.com)
2026-06-24 05:04 (beauty-data@agile-bonbon-662.iam.gserviceaccount.com)</t>
  </si>
  <si>
    <t>2026-06-24 02:34 (sa-bpswcbdsql01@thg-beauty.iam.gserviceaccount.com)
2026-06-24 02:32 (sa-bpswcbdsql01@thg-beauty.iam.gserviceaccount.com)
2026-06-24 02:32 (sa-bpswcbdsql01@thg-beauty.iam.gserviceaccount.com)
2026-06-24 02:32 (sa-bpswcbdsql01@thg-beauty.iam.gserviceaccount.com)
2026-06-24 02:31 (sa-bpswcbdsql01@thg-beauty.iam.gserviceaccount.com)</t>
  </si>
  <si>
    <t>Brand_Category_PNL</t>
  </si>
  <si>
    <t>2026-06-24 02:29 (sa-bpswcbdsql01@thg-beauty.iam.gserviceaccount.com)
2026-06-24 02:28 (sa-bpswcbdsql01@thg-beauty.iam.gserviceaccount.com)
2026-06-23 09:43 (haleema.anbreen45@thg.com)
2026-06-23 05:00 (sa-bpswcbdsql01@thg-beauty.iam.gserviceaccount.com)
2026-06-23 02:35 (sa-bpswcbdsql01@thg-beauty.iam.gserviceaccount.com)</t>
  </si>
  <si>
    <t>2026-06-16 10:53 (sa-bpswcbdsql01@thg-beauty.iam.gserviceaccount.com)
2026-06-16 10:53 (sa-bpswcbdsql01@thg-beauty.iam.gserviceaccount.com)
2026-06-16 10:53 (sa-bpswcbdsql01@thg-beauty.iam.gserviceaccount.com)
2026-06-16 10:53 (sa-bpswcbdsql01@thg-beauty.iam.gserviceaccount.com)
2026-06-16 10:53 (sa-bpswcbdsql01@thg-beauty.iam.gserviceaccount.com)</t>
  </si>
  <si>
    <t>Offers</t>
  </si>
  <si>
    <t>2026-06-24 10:32 (nutrition-data-bq@agile-bonbon-662.iam.gserviceaccount.com)
2026-06-24 10:17 (central-marketing-credentials@thg-central-marketing.iam.gserviceaccount.com)
2026-06-24 10:17 (central-marketing-credentials@thg-central-marketing.iam.gserviceaccount.com)
2026-06-24 09:54 (nutrition-data-bq@agile-bonbon-662.iam.gserviceaccount.com)
2026-06-24 09:54 (nutrition-data-bq@agile-bonbon-662.iam.gserviceaccount.com)</t>
  </si>
  <si>
    <t>2026-06-24 10:19 (central-marketing-credentials@thg-central-marketing.iam.gserviceaccount.com)
2026-06-24 10:17 (central-marketing-credentials@thg-central-marketing.iam.gserviceaccount.com)
2026-06-24 10:17 (central-marketing-credentials@thg-central-marketing.iam.gserviceaccount.com)
2026-06-24 10:17 (central-marketing-credentials@thg-central-marketing.iam.gserviceaccount.com)
2026-06-24 10:13 (central-marketing-credentials@thg-central-marketing.iam.gserviceaccount.com)</t>
  </si>
  <si>
    <t>thg-unityhz-fe-li</t>
  </si>
  <si>
    <t>hz_unit_economics</t>
  </si>
  <si>
    <t>Horizon Unit Economics — Cloud Logging sink ingestion target</t>
  </si>
  <si>
    <t>category_marketing_channel</t>
  </si>
  <si>
    <t>2026-06-24 08:04 (beauty-data@agile-bonbon-662.iam.gserviceaccount.com)
2026-06-24 07:07 (beauty-data@agile-bonbon-662.iam.gserviceaccount.com)
2026-06-24 06:06 (beauty-data@agile-bonbon-662.iam.gserviceaccount.com)
2026-06-24 05:52 (beauty-data@agile-bonbon-662.iam.gserviceaccount.com)
2026-06-24 02:52 (sa-bpswcbdsql01@thg-beauty.iam.gserviceaccount.com)</t>
  </si>
  <si>
    <t>2026-06-24 02:52 (sa-bpswcbdsql01@thg-beauty.iam.gserviceaccount.com)
2026-06-24 02:51 (sa-bpswcbdsql01@thg-beauty.iam.gserviceaccount.com)
2026-06-24 02:51 (sa-bpswcbdsql01@thg-beauty.iam.gserviceaccount.com)
2026-06-23 03:06 (sa-bpswcbdsql01@thg-beauty.iam.gserviceaccount.com)
2026-06-23 03:05 (sa-bpswcbdsql01@thg-beauty.iam.gserviceaccount.com)</t>
  </si>
  <si>
    <t>thg-media-commerce</t>
  </si>
  <si>
    <t>CityAM</t>
  </si>
  <si>
    <t>2026-06-24 09:59 (tableau-bq-ingenuity-sa@thg-ingenuity.iam.gserviceaccount.com)
2026-06-24 09:59 (tableau-bq-ingenuity-sa@thg-ingenuity.iam.gserviceaccount.com)
2026-06-24 09:59 (tableau-bq-ingenuity-sa@thg-ingenuity.iam.gserviceaccount.com)
2026-06-24 09:59 (tableau-bq-ingenuity-sa@thg-ingenuity.iam.gserviceaccount.com)
2026-06-24 09:57 (tableau-bq-ingenuity-sa@thg-ingenuity.iam.gserviceaccount.com)</t>
  </si>
  <si>
    <t>2026-06-24 09:35 (id-thg-media-commerce@thg-media-commerce.iam.gserviceaccount.com)
2026-06-24 09:35 (id-thg-media-commerce@thg-media-commerce.iam.gserviceaccount.com)
2026-06-24 09:35 (id-thg-media-commerce@thg-media-commerce.iam.gserviceaccount.com)
2026-06-24 09:19 (id-thg-media-commerce@thg-media-commerce.iam.gserviceaccount.com)
2026-06-24 09:19 (id-thg-media-commerce@thg-media-commerce.iam.gserviceaccount.com)</t>
  </si>
  <si>
    <t>retail_events_matalan_en</t>
  </si>
  <si>
    <t>2026-06-10 11:09 (rahul.chaudhari72@thgingenuity.com)
2026-06-10 11:08 (rahul.chaudhari72@thgingenuity.com)
2026-05-26 12:14 (SnowM@thehutgroup.com)
2026-05-26 12:13 (SnowM@thehutgroup.com)
2026-05-26 12:11 (SnowM@thehutgroup.com)</t>
  </si>
  <si>
    <t>analytics_274949503</t>
  </si>
  <si>
    <t>2026-06-24 10:06 (ga4-sessions-level-1-thg@agile-bonbon-662.iam.gserviceaccount.com)
2026-06-23 10:05 (ga4-sessions-level-1-thg@agile-bonbon-662.iam.gserviceaccount.com)
2026-06-22 12:01 (ga4-sessions-level-1-thg@agile-bonbon-662.iam.gserviceaccount.com)
2026-06-21 10:04 (ga4-sessions-level-1-thg@agile-bonbon-662.iam.gserviceaccount.com)
2026-06-20 22:01 (ga4-sessions-level-1-thg@agile-bonbon-662.iam.gserviceaccount.com)</t>
  </si>
  <si>
    <t>2026-06-24 09:16 (firebase-measurement@system.gserviceaccount.com)
2026-06-23 09:24 (firebase-measurement@system.gserviceaccount.com)
2026-06-22 10:13 (firebase-measurement@system.gserviceaccount.com)
2026-06-21 09:08 (firebase-measurement@system.gserviceaccount.com)
2026-06-20 21:19 (firebase-measurement@system.gserviceaccount.com)</t>
  </si>
  <si>
    <t>GWP_Type</t>
  </si>
  <si>
    <t>2026-03-24 09:01 (clare.isakson58@thehutgroup.com)
2026-03-24 09:01 (clare.isakson58@thehutgroup.com)
2026-03-24 09:00 (clare.isakson58@thehutgroup.com)
2026-03-24 09:00 (clare.isakson58@thehutgroup.com)
2026-03-24 09:00 (clare.isakson58@thehutgroup.com)</t>
  </si>
  <si>
    <t>Adverity_GoogleSearchConsole</t>
  </si>
  <si>
    <t>2026-06-24 05:34 (nutrition-data-bq@agile-bonbon-662.iam.gserviceaccount.com)
2026-06-24 00:15 (nutrition-data-bq@agile-bonbon-662.iam.gserviceaccount.com)
2026-06-23 05:34 (nutrition-data-bq@agile-bonbon-662.iam.gserviceaccount.com)
2026-06-23 00:15 (nutrition-data-bq@agile-bonbon-662.iam.gserviceaccount.com)
2026-06-22 05:36 (nutrition-data-bq@agile-bonbon-662.iam.gserviceaccount.com)</t>
  </si>
  <si>
    <t>2026-06-24 00:20 (nutrition-data-bq@agile-bonbon-662.iam.gserviceaccount.com)
2026-06-24 00:15 (nutrition-data-bq@agile-bonbon-662.iam.gserviceaccount.com)
2026-06-23 00:20 (nutrition-data-bq@agile-bonbon-662.iam.gserviceaccount.com)
2026-06-23 00:15 (nutrition-data-bq@agile-bonbon-662.iam.gserviceaccount.com)
2026-06-22 00:21 (nutrition-data-bq@agile-bonbon-662.iam.gserviceaccount.com)</t>
  </si>
  <si>
    <t>analytics_252780414</t>
  </si>
  <si>
    <t>2026-06-24 10:06 (ga4-sessions-level-1-thg@agile-bonbon-662.iam.gserviceaccount.com)
2026-06-24 10:04 (ga4-sessions-level-1-thg@agile-bonbon-662.iam.gserviceaccount.com)
2026-06-24 08:03 (ga4-sessions-level-1-thg@agile-bonbon-662.iam.gserviceaccount.com)
2026-06-24 06:01 (ga4-sessions-level-1-thg@agile-bonbon-662.iam.gserviceaccount.com)
2026-06-24 04:02 (ga4-sessions-level-1-thg@agile-bonbon-662.iam.gserviceaccount.com)</t>
  </si>
  <si>
    <t>2026-06-24 08:24 (firebase-measurement@system.gserviceaccount.com)
2026-06-24 08:24 (firebase-measurement@system.gserviceaccount.com)
2026-06-23 07:31 (firebase-measurement@system.gserviceaccount.com)
2026-06-22 07:24 (firebase-measurement@system.gserviceaccount.com)
2026-06-21 10:11 (firebase-measurement@system.gserviceaccount.com)</t>
  </si>
  <si>
    <t>LTV_CAC</t>
  </si>
  <si>
    <t>2026-06-24 06:45 (aakash.kalantre61@thehutgroup.com)
2026-06-24 06:45 (aakash.kalantre61@thehutgroup.com)
2026-06-24 06:45 (aakash.kalantre61@thehutgroup.com)
2026-06-24 06:45 (aakash.kalantre61@thehutgroup.com)
2026-06-24 06:45 (aakash.kalantre61@thehutgroup.com)</t>
  </si>
  <si>
    <t>Logistics</t>
  </si>
  <si>
    <t>Data Sets for Logistics Analysis &amp; Reporting Pipelines</t>
  </si>
  <si>
    <t>2026-06-24 05:04 (dittwo@agile-bonbon-662.iam.gserviceaccount.com)
2026-06-23 05:04 (dittwo@agile-bonbon-662.iam.gserviceaccount.com)
2026-06-22 05:04 (dittwo@agile-bonbon-662.iam.gserviceaccount.com)
2026-06-21 05:03 (dittwo@agile-bonbon-662.iam.gserviceaccount.com)
2026-06-20 05:05 (dittwo@agile-bonbon-662.iam.gserviceaccount.com)</t>
  </si>
  <si>
    <t>Nutrition_Data</t>
  </si>
  <si>
    <t>2026-06-24 10:53 (RobinsonJa@thehutgroup.com)
2026-06-24 10:53 (RobinsonJa@thehutgroup.com)
2026-06-24 10:53 (RobinsonJa@thehutgroup.com)
2026-06-24 10:53 (RobinsonJa@thehutgroup.com)
2026-06-24 10:53 (RobinsonJa@thehutgroup.com)</t>
  </si>
  <si>
    <t>2026-06-24 10:53 (RobinsonJa@thehutgroup.com)
2026-06-24 10:48 (RobinsonJa@thehutgroup.com)
2026-06-24 10:47 (nutrition-data-bq@agile-bonbon-662.iam.gserviceaccount.com)
2026-06-24 10:43 (RobinsonJa@thehutgroup.com)
2026-06-24 10:38 (RobinsonJa@thehutgroup.com)</t>
  </si>
  <si>
    <t>Tracking_Sheets</t>
  </si>
  <si>
    <t>2026-06-24 10:42 (marketing-analytics@thg-influencer.iam.gserviceaccount.com)
2026-06-24 10:23 (marketing-analytics@thg-influencer.iam.gserviceaccount.com)
2026-06-24 10:12 (marketing-analytics@thg-influencer.iam.gserviceaccount.com)
2026-06-24 10:12 (marketing-analytics@thg-influencer.iam.gserviceaccount.com)
2026-06-24 10:12 (marketing-analytics@thg-influencer.iam.gserviceaccount.com)</t>
  </si>
  <si>
    <t>2026-06-24 10:02 (marketing-analytics@thg-influencer.iam.gserviceaccount.com)
2026-06-24 10:02 (marketing-analytics@thg-influencer.iam.gserviceaccount.com)
2026-06-24 10:01 (marketing-analytics@thg-influencer.iam.gserviceaccount.com)
2026-06-24 10:01 (marketing-analytics@thg-influencer.iam.gserviceaccount.com)
2026-06-24 10:01 (marketing-analytics@thg-influencer.iam.gserviceaccount.com)</t>
  </si>
  <si>
    <t>Trade_SitePerformance_Overall</t>
  </si>
  <si>
    <t>2026-06-24 06:30 (central-marketing-credentials@thg-central-marketing.iam.gserviceaccount.com)
2026-06-24 05:31 (raia@thehutgroup.com)
2026-06-24 05:08 (central-marketing-credentials@thg-central-marketing.iam.gserviceaccount.com)
2026-06-24 04:27 (central-marketing-credentials@thg-central-marketing.iam.gserviceaccount.com)
2026-06-24 04:27 (central-marketing-credentials@thg-central-marketing.iam.gserviceaccount.com)</t>
  </si>
  <si>
    <t>2026-06-24 04:27 (central-marketing-credentials@thg-central-marketing.iam.gserviceaccount.com)
2026-06-24 04:26 (central-marketing-credentials@thg-central-marketing.iam.gserviceaccount.com)
2026-06-24 04:25 (central-marketing-credentials@thg-central-marketing.iam.gserviceaccount.com)
2026-06-24 04:17 (central-marketing-credentials@thg-central-marketing.iam.gserviceaccount.com)
2026-06-24 04:16 (central-marketing-credentials@thg-central-marketing.iam.gserviceaccount.com)</t>
  </si>
  <si>
    <t>THG_Conversions</t>
  </si>
  <si>
    <t>2026-06-24 10:41 (marketing-analytics@thg-influencer.iam.gserviceaccount.com)
2026-06-24 10:40 (marketing-analytics@thg-influencer.iam.gserviceaccount.com)
2026-06-24 10:40 (marketing-analytics@thg-influencer.iam.gserviceaccount.com)
2026-06-24 10:00 (marketing-analytics@thg-influencer.iam.gserviceaccount.com)
2026-06-24 10:00 (marketing-analytics@thg-influencer.iam.gserviceaccount.com)</t>
  </si>
  <si>
    <t>2026-06-24 10:40 (marketing-analytics@thg-influencer.iam.gserviceaccount.com)
2026-06-24 10:40 (marketing-analytics@thg-influencer.iam.gserviceaccount.com)
2026-06-24 09:40 (marketing-analytics@thg-influencer.iam.gserviceaccount.com)
2026-06-24 09:40 (marketing-analytics@thg-influencer.iam.gserviceaccount.com)
2026-06-24 08:40 (marketing-analytics@thg-influencer.iam.gserviceaccount.com)</t>
  </si>
  <si>
    <t>analytics_309574485</t>
  </si>
  <si>
    <t>2026-06-24 06:44 (firebase-measurement@system.gserviceaccount.com)
2026-06-23 08:01 (firebase-measurement@system.gserviceaccount.com)
2026-06-22 06:46 (firebase-measurement@system.gserviceaccount.com)
2026-06-21 06:49 (firebase-measurement@system.gserviceaccount.com)
2026-06-20 16:36 (firebase-measurement@system.gserviceaccount.com)</t>
  </si>
  <si>
    <t>Mass_Category</t>
  </si>
  <si>
    <t>2026-06-11 12:25 (sa-bpswcbdsql01@thg-beauty.iam.gserviceaccount.com)
2026-06-11 12:25 (sa-bpswcbdsql01@thg-beauty.iam.gserviceaccount.com)
2026-06-11 12:25 (sa-bpswcbdsql01@thg-beauty.iam.gserviceaccount.com)
2026-06-11 12:25 (sa-bpswcbdsql01@thg-beauty.iam.gserviceaccount.com)
2026-06-11 12:25 (sa-bpswcbdsql01@thg-beauty.iam.gserviceaccount.com)</t>
  </si>
  <si>
    <t>Influencer_Data_Copy</t>
  </si>
  <si>
    <t>2026-06-24 10:47 (nutrition-data-bq@agile-bonbon-662.iam.gserviceaccount.com)
2026-06-24 10:47 (nutrition-data-bq@agile-bonbon-662.iam.gserviceaccount.com)
2026-06-24 10:32 (nutrition-data-bq@agile-bonbon-662.iam.gserviceaccount.com)
2026-06-24 10:32 (nutrition-data-bq@agile-bonbon-662.iam.gserviceaccount.com)
2026-06-24 10:31 (nutrition-data-bq@agile-bonbon-662.iam.gserviceaccount.com)</t>
  </si>
  <si>
    <t>2026-06-24 10:40 (stringerc@thehutgroup.com)
2026-06-24 10:28 (stringerc@thehutgroup.com)
2026-06-24 10:06 (stringerc@thehutgroup.com)
2026-06-24 09:55 (stringerc@thehutgroup.com)
2026-06-24 09:40 (stringerc@thehutgroup.com)</t>
  </si>
  <si>
    <t>0_James_EU</t>
  </si>
  <si>
    <t>2026-06-24 05:00 (yips@thehutgroup.com)
2026-06-23 05:00 (yips@thehutgroup.com)
2026-06-22 05:00 (yips@thehutgroup.com)
2026-06-21 05:00 (yips@thehutgroup.com)
2026-06-20 05:00 (yips@thehutgroup.com)</t>
  </si>
  <si>
    <t>2026-06-24 05:00 (yips@thehutgroup.com)
2026-06-24 04:00 (yips@thehutgroup.com)
2026-06-24 02:01 (nutrition-data-bq@agile-bonbon-662.iam.gserviceaccount.com)
2026-06-23 05:00 (yips@thehutgroup.com)
2026-06-23 04:00 (yips@thehutgroup.com)</t>
  </si>
  <si>
    <t>analytics_252719134</t>
  </si>
  <si>
    <t>2026-06-24 10:07 (ga4-sessions-level-1-thg@agile-bonbon-662.iam.gserviceaccount.com)
2026-06-24 08:03 (ga4-sessions-level-1-thg@agile-bonbon-662.iam.gserviceaccount.com)
2026-06-24 08:02 (ga4-sessions-level-1-thg@agile-bonbon-662.iam.gserviceaccount.com)
2026-06-24 08:01 (ga4-sessions-level-1-thg@agile-bonbon-662.iam.gserviceaccount.com)
2026-06-24 06:01 (ga4-sessions-level-1-thg@agile-bonbon-662.iam.gserviceaccount.com)</t>
  </si>
  <si>
    <t>2026-06-24 07:57 (firebase-measurement@system.gserviceaccount.com)
2026-06-24 07:57 (firebase-measurement@system.gserviceaccount.com)
2026-06-23 08:09 (firebase-measurement@system.gserviceaccount.com)
2026-06-23 08:09 (firebase-measurement@system.gserviceaccount.com)
2026-06-23 08:09 (firebase-measurement@system.gserviceaccount.com)</t>
  </si>
  <si>
    <t>2026-06-24 02:04 (central-marketing-credentials@thg-central-marketing.iam.gserviceaccount.com)
2026-06-24 02:04 (central-marketing-credentials@thg-central-marketing.iam.gserviceaccount.com)
2026-06-24 02:04 (central-marketing-credentials@thg-central-marketing.iam.gserviceaccount.com)
2026-06-24 02:04 (central-marketing-credentials@thg-central-marketing.iam.gserviceaccount.com)
2026-06-24 02:03 (central-marketing-credentials@thg-central-marketing.iam.gserviceaccount.com)</t>
  </si>
  <si>
    <t>2026-06-24 10:04 (ga4-sessions-level-1-ingenuity@thg-ingenuity.iam.gserviceaccount.com)
2026-06-24 10:03 (ga4-sessions-level-1-ingenuity@thg-ingenuity.iam.gserviceaccount.com)
2026-06-24 10:02 (ga4-sessions-level-1-ingenuity@thg-ingenuity.iam.gserviceaccount.com)
2026-06-24 10:01 (ga4-sessions-level-1-ingenuity@thg-ingenuity.iam.gserviceaccount.com)
2026-06-24 10:00 (ga4-sessions-level-1-ingenuity@thg-ingenuity.iam.gserviceaccount.com)</t>
  </si>
  <si>
    <t>Nutrition_Data_Site_Conversion</t>
  </si>
  <si>
    <t>2026-06-24 10:31 (nutrition-data-bq@agile-bonbon-662.iam.gserviceaccount.com)
2026-06-24 10:31 (nutrition-data-bq@agile-bonbon-662.iam.gserviceaccount.com)
2026-06-24 10:31 (nutrition-data-bq@agile-bonbon-662.iam.gserviceaccount.com)
2026-06-24 10:23 (sam.atkin98@thehutgroup.com)
2026-06-24 10:22 (sam.atkin98@thehutgroup.com)</t>
  </si>
  <si>
    <t>2026-06-24 10:21 (nutrition-data-bq@agile-bonbon-662.iam.gserviceaccount.com)
2026-06-24 09:21 (nutrition-data-bq@agile-bonbon-662.iam.gserviceaccount.com)
2026-06-24 08:21 (nutrition-data-bq@agile-bonbon-662.iam.gserviceaccount.com)
2026-06-24 07:21 (nutrition-data-bq@agile-bonbon-662.iam.gserviceaccount.com)
2026-06-24 06:21 (nutrition-data-bq@agile-bonbon-662.iam.gserviceaccount.com)</t>
  </si>
  <si>
    <t>0_MattHaslam</t>
  </si>
  <si>
    <t>2026-06-24 10:06 (nutrition-data-bq@agile-bonbon-662.iam.gserviceaccount.com)
2026-06-24 10:06 (nutrition-data-bq@agile-bonbon-662.iam.gserviceaccount.com)
2026-06-24 10:06 (nutrition-data-bq@agile-bonbon-662.iam.gserviceaccount.com)
2026-06-24 10:06 (nutrition-data-bq@agile-bonbon-662.iam.gserviceaccount.com)
2026-06-24 10:02 (nutrition-data-bq@agile-bonbon-662.iam.gserviceaccount.com)</t>
  </si>
  <si>
    <t>2026-06-24 07:47 (nutrition-data-bq@agile-bonbon-662.iam.gserviceaccount.com)
2026-06-24 07:47 (nutrition-data-bq@agile-bonbon-662.iam.gserviceaccount.com)
2026-06-24 07:46 (nutrition-data-bq@agile-bonbon-662.iam.gserviceaccount.com)
2026-06-24 07:46 (nutrition-data-bq@agile-bonbon-662.iam.gserviceaccount.com)
2026-06-24 07:46 (nutrition-data-bq@agile-bonbon-662.iam.gserviceaccount.com)</t>
  </si>
  <si>
    <t>analytics_276353597</t>
  </si>
  <si>
    <t>2026-06-24 10:06 (ga4-sessions-level-1-thg@agile-bonbon-662.iam.gserviceaccount.com)
2026-06-23 14:01 (ga4-sessions-level-1-thg@agile-bonbon-662.iam.gserviceaccount.com)
2026-06-22 10:06 (ga4-sessions-level-1-thg@agile-bonbon-662.iam.gserviceaccount.com)
2026-06-21 16:01 (ga4-sessions-level-1-thg@agile-bonbon-662.iam.gserviceaccount.com)
2026-06-20 22:01 (ga4-sessions-level-1-thg@agile-bonbon-662.iam.gserviceaccount.com)</t>
  </si>
  <si>
    <t>2026-06-24 09:50 (firebase-measurement@system.gserviceaccount.com)
2026-06-23 12:49 (firebase-measurement@system.gserviceaccount.com)
2026-06-22 09:42 (firebase-measurement@system.gserviceaccount.com)
2026-06-21 14:46 (firebase-measurement@system.gserviceaccount.com)
2026-06-20 21:08 (firebase-measurement@system.gserviceaccount.com)</t>
  </si>
  <si>
    <t>v2_THG_Conversions</t>
  </si>
  <si>
    <t>2026-06-24 10:07 (marketing-analytics@thg-influencer.iam.gserviceaccount.com)
2026-06-24 10:01 (marketing-analytics@thg-influencer.iam.gserviceaccount.com)
2026-06-24 09:07 (marketing-analytics@thg-influencer.iam.gserviceaccount.com)
2026-06-24 09:01 (marketing-analytics@thg-influencer.iam.gserviceaccount.com)
2026-06-24 08:07 (marketing-analytics@thg-influencer.iam.gserviceaccount.com)</t>
  </si>
  <si>
    <t>2026-06-24 02:51 (marketing-analytics@thg-influencer.iam.gserviceaccount.com)
2026-06-24 02:51 (marketing-analytics@thg-influencer.iam.gserviceaccount.com)
2026-06-24 02:49 (marketing-analytics@thg-influencer.iam.gserviceaccount.com)
2026-06-24 02:49 (marketing-analytics@thg-influencer.iam.gserviceaccount.com)
2026-06-24 02:45 (marketing-analytics@thg-influencer.iam.gserviceaccount.com)</t>
  </si>
  <si>
    <t>Retail_Media</t>
  </si>
  <si>
    <t>2026-06-24 07:05 (id-thg-media-commerce@thg-media-commerce.iam.gserviceaccount.com)
2026-06-24 07:05 (id-thg-media-commerce@thg-media-commerce.iam.gserviceaccount.com)
2026-06-24 07:05 (id-thg-media-commerce@thg-media-commerce.iam.gserviceaccount.com)
2026-06-24 06:06 (id-thg-media-commerce@thg-media-commerce.iam.gserviceaccount.com)
2026-06-24 06:06 (id-thg-media-commerce@thg-media-commerce.iam.gserviceaccount.com)</t>
  </si>
  <si>
    <t>2026-06-24 10:21 (id-thg-media-commerce@thg-media-commerce.iam.gserviceaccount.com)
2026-06-24 10:19 (id-thg-media-commerce@thg-media-commerce.iam.gserviceaccount.com)
2026-06-24 09:51 (id-thg-media-commerce@thg-media-commerce.iam.gserviceaccount.com)
2026-06-24 09:50 (id-thg-media-commerce@thg-media-commerce.iam.gserviceaccount.com)
2026-06-24 09:49 (id-thg-media-commerce@thg-media-commerce.iam.gserviceaccount.com)</t>
  </si>
  <si>
    <t>Bundles_Report</t>
  </si>
  <si>
    <t>2026-06-24 06:31 (beauty-data@agile-bonbon-662.iam.gserviceaccount.com)
2026-06-24 06:31 (beauty-data@agile-bonbon-662.iam.gserviceaccount.com)
2026-06-24 03:06 (beauty-data@agile-bonbon-662.iam.gserviceaccount.com)
2026-06-24 03:06 (beauty-data@agile-bonbon-662.iam.gserviceaccount.com)
2026-06-24 03:06 (beauty-data@agile-bonbon-662.iam.gserviceaccount.com)</t>
  </si>
  <si>
    <t>2026-06-24 02:35 (sa-bpswcbdsql01@thg-beauty.iam.gserviceaccount.com)
2026-06-24 02:35 (sa-bpswcbdsql01@thg-beauty.iam.gserviceaccount.com)
2026-06-24 02:34 (sa-bpswcbdsql01@thg-beauty.iam.gserviceaccount.com)
2026-06-24 02:28 (sa-bpswcbdsql01@thg-beauty.iam.gserviceaccount.com)
2026-06-23 02:41 (sa-bpswcbdsql01@thg-beauty.iam.gserviceaccount.com)</t>
  </si>
  <si>
    <t>logistics_dwh</t>
  </si>
  <si>
    <t>2026-06-24 10:53 (bigquery-adminbot@system.gserviceaccount.com)
2026-06-24 10:50 (bigquery-adminbot@system.gserviceaccount.com)
2026-06-24 10:47 (bigquery-adminbot@system.gserviceaccount.com)
2026-06-24 10:45 (bigquery-adminbot@system.gserviceaccount.com)
2026-06-24 10:44 (bigquery-adminbot@system.gserviceaccount.com)</t>
  </si>
  <si>
    <t>Ingenuity_Email</t>
  </si>
  <si>
    <t>2026-06-24 10:35 (central-marketing-credentials@thg-central-marketing.iam.gserviceaccount.com)
2026-06-24 10:35 (raia@thehutgroup.com)
2026-06-24 10:35 (raia@thehutgroup.com)
2026-06-24 10:35 (raia@thehutgroup.com)
2026-06-24 10:35 (raia@thehutgroup.com)</t>
  </si>
  <si>
    <t>2026-06-24 10:27 (central-marketing-credentials@thg-central-marketing.iam.gserviceaccount.com)
2026-06-24 10:27 (central-marketing-credentials@thg-central-marketing.iam.gserviceaccount.com)
2026-06-24 10:26 (central-marketing-credentials@thg-central-marketing.iam.gserviceaccount.com)
2026-06-24 10:24 (central-marketing-credentials@thg-central-marketing.iam.gserviceaccount.com)
2026-06-24 10:24 (central-marketing-credentials@thg-central-marketing.iam.gserviceaccount.com)</t>
  </si>
  <si>
    <t>analytics_489918238</t>
  </si>
  <si>
    <t>2026-06-23 20:02 (ga4-sessions-level-1-ingenuity@thg-ingenuity.iam.gserviceaccount.com)
2026-06-22 18:02 (ga4-sessions-level-1-ingenuity@thg-ingenuity.iam.gserviceaccount.com)
2026-06-21 18:02 (ga4-sessions-level-1-ingenuity@thg-ingenuity.iam.gserviceaccount.com)
2026-06-21 06:02 (ga4-sessions-level-1-ingenuity@thg-ingenuity.iam.gserviceaccount.com)
2026-06-19 22:02 (ga4-sessions-level-1-ingenuity@thg-ingenuity.iam.gserviceaccount.com)</t>
  </si>
  <si>
    <t>2026-06-23 18:38 (firebase-measurement@system.gserviceaccount.com)
2026-06-22 17:59 (firebase-measurement@system.gserviceaccount.com)
2026-06-21 17:24 (firebase-measurement@system.gserviceaccount.com)
2026-06-21 04:46 (firebase-measurement@system.gserviceaccount.com)
2026-06-19 21:11 (firebase-measurement@system.gserviceaccount.com)</t>
  </si>
  <si>
    <t>0_Ellis_B</t>
  </si>
  <si>
    <t>2026-06-24 08:13 (ellis.brew11@thehutgroup.com)
2026-06-24 08:12 (ellis.brew11@thehutgroup.com)
2026-06-24 08:03 (ellis.brew11@thehutgroup.com)
2026-06-24 07:40 (ellis.brew11@thehutgroup.com)
2026-06-24 07:33 (ellis.brew11@thehutgroup.com)</t>
  </si>
  <si>
    <t>2026-06-24 10:05 (nutrition-data-bq@agile-bonbon-662.iam.gserviceaccount.com)
2026-06-24 09:54 (nutrition-data-bq@agile-bonbon-662.iam.gserviceaccount.com)
2026-06-24 02:03 (nutrition-data-bq@agile-bonbon-662.iam.gserviceaccount.com)
2026-06-23 14:21 (nutrition-data-bq@agile-bonbon-662.iam.gserviceaccount.com)
2026-06-23 14:11 (nutrition-data-bq@agile-bonbon-662.iam.gserviceaccount.com)</t>
  </si>
  <si>
    <t>Adverity_Awin</t>
  </si>
  <si>
    <t>2026-06-24 10:43 (thg-adverity@agile-bonbon-662.iam.gserviceaccount.com)
2026-06-24 10:40 (thg-adverity@agile-bonbon-662.iam.gserviceaccount.com)
2026-06-24 10:37 (thg-adverity@agile-bonbon-662.iam.gserviceaccount.com)
2026-06-24 10:31 (thg-adverity@agile-bonbon-662.iam.gserviceaccount.com)
2026-06-24 10:25 (central-marketing-credentials@thg-central-marketing.iam.gserviceaccount.com)</t>
  </si>
  <si>
    <t>2026-06-24 10:43 (thg-adverity@agile-bonbon-662.iam.gserviceaccount.com)
2026-06-24 10:43 (thg-adverity@agile-bonbon-662.iam.gserviceaccount.com)
2026-06-24 10:40 (thg-adverity@agile-bonbon-662.iam.gserviceaccount.com)
2026-06-24 10:40 (thg-adverity@agile-bonbon-662.iam.gserviceaccount.com)
2026-06-24 10:37 (thg-adverity@agile-bonbon-662.iam.gserviceaccount.com)</t>
  </si>
  <si>
    <t>analytics_261321530</t>
  </si>
  <si>
    <t>2026-06-24 10:51 (firebase-measurement@system.gserviceaccount.com)
2026-06-24 10:15 (firebase-measurement@system.gserviceaccount.com)
2026-06-24 10:10 (firebase-measurement@system.gserviceaccount.com)
2026-06-24 09:44 (firebase-measurement@system.gserviceaccount.com)
2026-06-24 09:14 (firebase-measurement@system.gserviceaccount.com)</t>
  </si>
  <si>
    <t>THG_SEO</t>
  </si>
  <si>
    <t>2026-06-24 02:01 (aakash.kalantre61@thehutgroup.com)
2026-06-24 02:00 (parkinsong@thehutgroup.com)
2026-06-23 02:01 (aakash.kalantre61@thehutgroup.com)
2026-06-23 02:00 (parkinsong@thehutgroup.com)
2026-06-22 02:00 (parkinsong@thehutgroup.com)</t>
  </si>
  <si>
    <t>2026-06-24 01:09 (central-marketing-credentials@thg-central-marketing.iam.gserviceaccount.com)
2026-06-24 01:09 (central-marketing-credentials@thg-central-marketing.iam.gserviceaccount.com)
2026-06-24 01:09 (central-marketing-credentials@thg-central-marketing.iam.gserviceaccount.com)
2026-06-24 01:09 (central-marketing-credentials@thg-central-marketing.iam.gserviceaccount.com)
2026-06-24 01:08 (central-marketing-credentials@thg-central-marketing.iam.gserviceaccount.com)</t>
  </si>
  <si>
    <t>analytics_376106117</t>
  </si>
  <si>
    <t>2026-06-24 10:38 (firebase-measurement@system.gserviceaccount.com)
2026-06-23 13:38 (firebase-measurement@system.gserviceaccount.com)
2026-06-23 12:14 (firebase-measurement@system.gserviceaccount.com)
2026-06-23 11:25 (firebase-measurement@system.gserviceaccount.com)
2026-06-22 13:12 (firebase-measurement@system.gserviceaccount.com)</t>
  </si>
  <si>
    <t>2026-06-03 09:47 (jamie.atkinson98@thehutgroup.com)
2026-05-19 14:29 (nutrition-data-bq@agile-bonbon-662.iam.gserviceaccount.com)
2026-05-15 13:56 (nutrition-data-bq@agile-bonbon-662.iam.gserviceaccount.com)
2026-04-29 10:03 (ingersolla@thehutgroup.com)
2026-04-16 07:39 (RobinsonJa@thehutgroup.com)</t>
  </si>
  <si>
    <t>2026-06-24 04:00 (stringerc@thehutgroup.com)
2026-06-24 04:00 (stringerc@thehutgroup.com)
2026-06-24 04:00 (stringerc@thehutgroup.com)
2026-06-24 01:00 (stringerc@thehutgroup.com)
2026-06-24 01:00 (stringerc@thehutgroup.com)</t>
  </si>
  <si>
    <t>analytics_276298754</t>
  </si>
  <si>
    <t>2026-06-24 08:07 (firebase-measurement@system.gserviceaccount.com)
2026-06-24 08:07 (firebase-measurement@system.gserviceaccount.com)
2026-06-23 08:56 (firebase-measurement@system.gserviceaccount.com)
2026-06-22 08:01 (firebase-measurement@system.gserviceaccount.com)
2026-06-21 07:56 (firebase-measurement@system.gserviceaccount.com)</t>
  </si>
  <si>
    <t>brand_cat_new_cust</t>
  </si>
  <si>
    <t>2026-06-24 07:04 (beauty-data@agile-bonbon-662.iam.gserviceaccount.com)
2026-06-24 07:04 (beauty-data@agile-bonbon-662.iam.gserviceaccount.com)
2026-06-24 07:04 (beauty-data@agile-bonbon-662.iam.gserviceaccount.com)
2026-06-24 07:02 (beauty-data@agile-bonbon-662.iam.gserviceaccount.com)
2026-06-24 07:02 (beauty-data@agile-bonbon-662.iam.gserviceaccount.com)</t>
  </si>
  <si>
    <t>2026-06-24 02:29 (sa-bpswcbdsql01@thg-beauty.iam.gserviceaccount.com)
2026-06-24 02:29 (sa-bpswcbdsql01@thg-beauty.iam.gserviceaccount.com)
2026-06-24 02:29 (sa-bpswcbdsql01@thg-beauty.iam.gserviceaccount.com)
2026-06-24 02:29 (sa-bpswcbdsql01@thg-beauty.iam.gserviceaccount.com)
2026-06-24 02:29 (sa-bpswcbdsql01@thg-beauty.iam.gserviceaccount.com)</t>
  </si>
  <si>
    <t>analytics_212545434</t>
  </si>
  <si>
    <t>2026-06-24 10:07 (ga4-sessions-level-1-thg@agile-bonbon-662.iam.gserviceaccount.com)
2026-06-24 08:02 (ga4-sessions-level-1-thg@agile-bonbon-662.iam.gserviceaccount.com)
2026-06-24 08:01 (ga4-sessions-level-1-thg@agile-bonbon-662.iam.gserviceaccount.com)
2026-06-24 06:00 (ga4-sessions-level-1-thg@agile-bonbon-662.iam.gserviceaccount.com)
2026-06-24 04:02 (ga4-sessions-level-1-thg@agile-bonbon-662.iam.gserviceaccount.com)</t>
  </si>
  <si>
    <t>2026-06-24 06:53 (firebase-measurement@system.gserviceaccount.com)
2026-06-23 06:11 (firebase-measurement@system.gserviceaccount.com)
2026-06-22 06:20 (firebase-measurement@system.gserviceaccount.com)
2026-06-21 06:29 (firebase-measurement@system.gserviceaccount.com)
2026-06-20 14:33 (firebase-measurement@system.gserviceaccount.com)</t>
  </si>
  <si>
    <t>analytics_334292400</t>
  </si>
  <si>
    <t>2026-06-24 10:03 (ga4-sessions-level-1-ingenuity@thg-ingenuity.iam.gserviceaccount.com)
2026-06-23 12:03 (ga4-sessions-level-1-ingenuity@thg-ingenuity.iam.gserviceaccount.com)
2026-06-22 10:03 (ga4-sessions-level-1-ingenuity@thg-ingenuity.iam.gserviceaccount.com)
2026-06-21 10:03 (ga4-sessions-level-1-ingenuity@thg-ingenuity.iam.gserviceaccount.com)
2026-06-21 00:02 (ga4-sessions-level-1-ingenuity@thg-ingenuity.iam.gserviceaccount.com)</t>
  </si>
  <si>
    <t>2026-06-24 09:18 (firebase-measurement@system.gserviceaccount.com)
2026-06-23 10:07 (firebase-measurement@system.gserviceaccount.com)
2026-06-22 09:27 (firebase-measurement@system.gserviceaccount.com)
2026-06-21 09:28 (firebase-measurement@system.gserviceaccount.com)
2026-06-21 00:00 (firebase-measurement@system.gserviceaccount.com)</t>
  </si>
  <si>
    <t>Site_Search</t>
  </si>
  <si>
    <t>2026-06-24 09:16 (nutrition-data-bq@agile-bonbon-662.iam.gserviceaccount.com)
2026-06-24 07:16 (nutrition-data-bq@agile-bonbon-662.iam.gserviceaccount.com)
2026-06-24 05:18 (nutrition-data-bq@agile-bonbon-662.iam.gserviceaccount.com)
2026-06-24 03:16 (nutrition-data-bq@agile-bonbon-662.iam.gserviceaccount.com)
2026-06-23 21:16 (nutrition-data-bq@agile-bonbon-662.iam.gserviceaccount.com)</t>
  </si>
  <si>
    <t>2026-06-24 09:00 (nutrition-data-bq@agile-bonbon-662.iam.gserviceaccount.com)
2026-06-24 07:00 (nutrition-data-bq@agile-bonbon-662.iam.gserviceaccount.com)
2026-06-24 05:00 (nutrition-data-bq@agile-bonbon-662.iam.gserviceaccount.com)
2026-06-24 03:00 (nutrition-data-bq@agile-bonbon-662.iam.gserviceaccount.com)
2026-06-24 01:31 (nutrition-data-bq@agile-bonbon-662.iam.gserviceaccount.com)</t>
  </si>
  <si>
    <t>ditto</t>
  </si>
  <si>
    <t>2026-06-24 10:51 (airflow-xcom-metadata@the-hut-group.iam.gserviceaccount.com)
2026-06-24 10:51 (airflow-xcom-metadata@the-hut-group.iam.gserviceaccount.com)
2026-06-24 10:51 (airflow-xcom-metadata@the-hut-group.iam.gserviceaccount.com)
2026-06-24 10:46 (airflow-xcom-metadata@the-hut-group.iam.gserviceaccount.com)
2026-06-24 10:46 (airflow-xcom-metadata@the-hut-group.iam.gserviceaccount.com)</t>
  </si>
  <si>
    <t>2026-06-24 03:00 (bigquery-pipeline-manager@the-hut-group.iam.gserviceaccount.com)
2026-06-24 03:00 (bigquery-pipeline-manager@the-hut-group.iam.gserviceaccount.com)
2026-06-24 03:00 (bigquery-pipeline-manager@the-hut-group.iam.gserviceaccount.com)
2026-06-23 03:00 (bigquery-pipeline-manager@the-hut-group.iam.gserviceaccount.com)
2026-06-23 03:00 (bigquery-pipeline-manager@the-hut-group.iam.gserviceaccount.com)</t>
  </si>
  <si>
    <t>Beauty_Map</t>
  </si>
  <si>
    <t>2026-06-24 07:07 (beauty-data@agile-bonbon-662.iam.gserviceaccount.com)
2026-06-24 07:07 (beauty-data@agile-bonbon-662.iam.gserviceaccount.com)
2026-06-24 07:02 (beauty-data@agile-bonbon-662.iam.gserviceaccount.com)
2026-06-24 07:02 (beauty-data@agile-bonbon-662.iam.gserviceaccount.com)
2026-06-24 03:08 (beauty-data@agile-bonbon-662.iam.gserviceaccount.com)</t>
  </si>
  <si>
    <t>2026-06-24 02:28 (sa-bpswcbdsql01@thg-beauty.iam.gserviceaccount.com)
2026-06-24 02:28 (sa-bpswcbdsql01@thg-beauty.iam.gserviceaccount.com)
2026-06-24 02:28 (sa-bpswcbdsql01@thg-beauty.iam.gserviceaccount.com)
2026-06-24 02:28 (sa-bpswcbdsql01@thg-beauty.iam.gserviceaccount.com)
2026-06-24 02:20 (sa-bpswcbdsql01@thg-beauty.iam.gserviceaccount.com)</t>
  </si>
  <si>
    <t>Marketing_Cos_Pipeline</t>
  </si>
  <si>
    <t>2026-06-24 09:22 (nutrition-data-bq@agile-bonbon-662.iam.gserviceaccount.com)
2026-06-24 07:20 (jamie.atkinson98@thehutgroup.com)
2026-06-24 06:32 (nutrition-data-bq@agile-bonbon-662.iam.gserviceaccount.com)
2026-06-24 05:47 (nutrition-data-bq@agile-bonbon-662.iam.gserviceaccount.com)
2026-06-24 05:44 (nutrition-data-bq@agile-bonbon-662.iam.gserviceaccount.com)</t>
  </si>
  <si>
    <t>2026-06-24 05:45 (nutrition-data-bq@agile-bonbon-662.iam.gserviceaccount.com)
2026-06-24 05:45 (nutrition-data-bq@agile-bonbon-662.iam.gserviceaccount.com)
2026-06-24 05:45 (nutrition-data-bq@agile-bonbon-662.iam.gserviceaccount.com)
2026-06-24 05:45 (nutrition-data-bq@agile-bonbon-662.iam.gserviceaccount.com)
2026-06-24 05:45 (nutrition-data-bq@agile-bonbon-662.iam.gserviceaccount.com)</t>
  </si>
  <si>
    <t>Socials</t>
  </si>
  <si>
    <t>2026-06-24 10:20 (marketing-analytics@thg-influencer.iam.gserviceaccount.com)
2026-06-24 10:20 (marketing-analytics@thg-influencer.iam.gserviceaccount.com)
2026-06-24 09:21 (marketing-analytics@thg-influencer.iam.gserviceaccount.com)
2026-06-24 09:20 (marketing-analytics@thg-influencer.iam.gserviceaccount.com)
2026-06-24 08:21 (marketing-analytics@thg-influencer.iam.gserviceaccount.com)</t>
  </si>
  <si>
    <t>Beauty_Nero</t>
  </si>
  <si>
    <t>2026-06-24 07:00 (dittwo@agile-bonbon-662.iam.gserviceaccount.com)
2026-06-24 07:00 (dittwo@agile-bonbon-662.iam.gserviceaccount.com)
2026-06-24 07:00 (dittwo@agile-bonbon-662.iam.gserviceaccount.com)
2026-06-24 06:06 (dittwo@agile-bonbon-662.iam.gserviceaccount.com)
2026-06-24 06:03 (dittwo@agile-bonbon-662.iam.gserviceaccount.com)</t>
  </si>
  <si>
    <t>2026-06-24 08:01 (thg-adverity@agile-bonbon-662.iam.gserviceaccount.com)
2026-06-24 08:01 (thg-adverity@agile-bonbon-662.iam.gserviceaccount.com)
2026-06-24 08:00 (thg-adverity@agile-bonbon-662.iam.gserviceaccount.com)
2026-06-24 01:15 (thg-adverity@agile-bonbon-662.iam.gserviceaccount.com)
2026-06-24 01:14 (thg-adverity@agile-bonbon-662.iam.gserviceaccount.com)</t>
  </si>
  <si>
    <t>analytics_276349072</t>
  </si>
  <si>
    <t>2026-06-24 10:06 (ga4-sessions-level-1-thg@agile-bonbon-662.iam.gserviceaccount.com)
2026-06-23 10:05 (ga4-sessions-level-1-thg@agile-bonbon-662.iam.gserviceaccount.com)
2026-06-22 10:06 (ga4-sessions-level-1-thg@agile-bonbon-662.iam.gserviceaccount.com)
2026-06-21 10:04 (ga4-sessions-level-1-thg@agile-bonbon-662.iam.gserviceaccount.com)
2026-06-20 16:02 (ga4-sessions-level-1-thg@agile-bonbon-662.iam.gserviceaccount.com)</t>
  </si>
  <si>
    <t>2026-06-24 08:58 (firebase-measurement@system.gserviceaccount.com)
2026-06-23 10:04 (firebase-measurement@system.gserviceaccount.com)
2026-06-22 09:24 (firebase-measurement@system.gserviceaccount.com)
2026-06-21 08:36 (firebase-measurement@system.gserviceaccount.com)
2026-06-20 15:51 (firebase-measurement@system.gserviceaccount.com)</t>
  </si>
  <si>
    <t>0_Digital_Analytics</t>
  </si>
  <si>
    <t>2026-06-24 10:45 (yips@thehutgroup.com)
2026-06-24 10:45 (yips@thehutgroup.com)
2026-06-24 10:45 (yips@thehutgroup.com)
2026-06-24 10:30 (yips@thehutgroup.com)
2026-06-24 09:45 (yips@thehutgroup.com)</t>
  </si>
  <si>
    <t>Beauty_Profile</t>
  </si>
  <si>
    <t>2026-06-24 10:07 (beauty-data@agile-bonbon-662.iam.gserviceaccount.com)
2026-06-24 10:07 (beauty-data@agile-bonbon-662.iam.gserviceaccount.com)
2026-06-24 10:07 (beauty-data@agile-bonbon-662.iam.gserviceaccount.com)
2026-06-24 10:02 (beauty-data@agile-bonbon-662.iam.gserviceaccount.com)
2026-06-24 10:02 (beauty-data@agile-bonbon-662.iam.gserviceaccount.com)</t>
  </si>
  <si>
    <t>01_Cameron</t>
  </si>
  <si>
    <t>2026-06-24 05:04 (tableau-bq-ingenuity-sa@thg-ingenuity.iam.gserviceaccount.com)
2026-06-24 04:56 (tableau-bq-ingenuity-sa@thg-ingenuity.iam.gserviceaccount.com)
2026-06-23 05:03 (tableau-bq-ingenuity-sa@thg-ingenuity.iam.gserviceaccount.com)
2026-06-23 04:55 (tableau-bq-ingenuity-sa@thg-ingenuity.iam.gserviceaccount.com)
2026-06-22 05:04 (tableau-bq-ingenuity-sa@thg-ingenuity.iam.gserviceaccount.com)</t>
  </si>
  <si>
    <t>2026-06-24 03:15 (central-marketing-credentials@thg-central-marketing.iam.gserviceaccount.com)
2026-06-23 03:15 (central-marketing-credentials@thg-central-marketing.iam.gserviceaccount.com)
2026-06-21 03:15 (central-marketing-credentials@thg-central-marketing.iam.gserviceaccount.com)
2026-06-20 03:15 (central-marketing-credentials@thg-central-marketing.iam.gserviceaccount.com)
2026-06-19 03:15 (central-marketing-credentials@thg-central-marketing.iam.gserviceaccount.com)</t>
  </si>
  <si>
    <t>analytics_276382768</t>
  </si>
  <si>
    <t>2026-06-24 10:04 (ga4-sessions-level-1-thg@agile-bonbon-662.iam.gserviceaccount.com)
2026-06-23 10:03 (ga4-sessions-level-1-thg@agile-bonbon-662.iam.gserviceaccount.com)
2026-06-22 10:04 (ga4-sessions-level-1-thg@agile-bonbon-662.iam.gserviceaccount.com)
2026-06-21 10:03 (ga4-sessions-level-1-thg@agile-bonbon-662.iam.gserviceaccount.com)
2026-06-20 22:01 (ga4-sessions-level-1-thg@agile-bonbon-662.iam.gserviceaccount.com)</t>
  </si>
  <si>
    <t>2026-06-24 09:00 (firebase-measurement@system.gserviceaccount.com)
2026-06-23 09:01 (firebase-measurement@system.gserviceaccount.com)
2026-06-22 09:55 (firebase-measurement@system.gserviceaccount.com)
2026-06-21 09:05 (firebase-measurement@system.gserviceaccount.com)
2026-06-20 21:03 (firebase-measurement@system.gserviceaccount.com)</t>
  </si>
  <si>
    <t>2026-06-24 10:08 (ga4-sessions-level-1-thg@agile-bonbon-662.iam.gserviceaccount.com)
2026-06-24 10:08 (ga4-sessions-level-1-thg@agile-bonbon-662.iam.gserviceaccount.com)
2026-06-24 10:08 (ga4-sessions-level-1-thg@agile-bonbon-662.iam.gserviceaccount.com)
2026-06-24 10:08 (ga4-sessions-level-1-thg@agile-bonbon-662.iam.gserviceaccount.com)
2026-06-24 10:08 (ga4-sessions-level-1-thg@agile-bonbon-662.iam.gserviceaccount.com)</t>
  </si>
  <si>
    <t>2026-06-24 10:08 (ga4-sessions-level-1-thg@agile-bonbon-662.iam.gserviceaccount.com)
2026-06-24 10:08 (ga4-sessions-level-1-thg@agile-bonbon-662.iam.gserviceaccount.com)
2026-06-24 10:07 (ga4-sessions-level-1-thg@agile-bonbon-662.iam.gserviceaccount.com)
2026-06-24 10:07 (ga4-sessions-level-1-thg@agile-bonbon-662.iam.gserviceaccount.com)
2026-06-24 10:07 (ga4-sessions-level-1-thg@agile-bonbon-662.iam.gserviceaccount.com)</t>
  </si>
  <si>
    <t>01_Aakanksha</t>
  </si>
  <si>
    <t>2026-06-24 07:15 (raia@thehutgroup.com)
2026-06-23 07:15 (raia@thehutgroup.com)
2026-06-22 07:15 (raia@thehutgroup.com)
2026-06-21 07:15 (raia@thehutgroup.com)
2026-06-20 07:15 (raia@thehutgroup.com)</t>
  </si>
  <si>
    <t>Weekly_Sales</t>
  </si>
  <si>
    <t>thg-ics-reporting-prod</t>
  </si>
  <si>
    <t>ICS_Reporting</t>
  </si>
  <si>
    <t>analytics_505817157</t>
  </si>
  <si>
    <t>2026-06-24 08:19 (firebase-measurement@system.gserviceaccount.com)
2026-06-23 10:23 (firebase-measurement@system.gserviceaccount.com)
2026-06-22 08:28 (firebase-measurement@system.gserviceaccount.com)
2026-06-21 08:33 (firebase-measurement@system.gserviceaccount.com)
2026-06-20 21:12 (firebase-measurement@system.gserviceaccount.com)</t>
  </si>
  <si>
    <t>2026-06-24 10:20 (central-marketing-credentials@thg-central-marketing.iam.gserviceaccount.com)
2026-06-24 10:17 (raia@thehutgroup.com)
2026-06-24 10:03 (raia@thehutgroup.com)
2026-06-24 09:20 (central-marketing-credentials@thg-central-marketing.iam.gserviceaccount.com)
2026-06-24 09:17 (raia@thehutgroup.com)</t>
  </si>
  <si>
    <t>2026-06-24 10:05 (marketing-analytics@thg-influencer.iam.gserviceaccount.com)
2026-06-24 10:05 (marketing-analytics@thg-influencer.iam.gserviceaccount.com)
2026-06-24 10:05 (marketing-analytics@thg-influencer.iam.gserviceaccount.com)
2026-06-24 10:04 (marketing-analytics@thg-influencer.iam.gserviceaccount.com)
2026-06-24 10:03 (marketing-analytics@thg-influencer.iam.gserviceaccount.com)</t>
  </si>
  <si>
    <t>Skin_Mass</t>
  </si>
  <si>
    <t>2026-04-27 00:42 (beauty-data@agile-bonbon-662.iam.gserviceaccount.com)
2026-04-26 00:43 (beauty-data@agile-bonbon-662.iam.gserviceaccount.com)
2026-04-25 00:50 (beauty-data@agile-bonbon-662.iam.gserviceaccount.com)
2026-04-24 00:45 (beauty-data@agile-bonbon-662.iam.gserviceaccount.com)
2026-04-23 00:52 (beauty-data@agile-bonbon-662.iam.gserviceaccount.com)</t>
  </si>
  <si>
    <t>New_Customer</t>
  </si>
  <si>
    <t>2026-06-24 07:02 (beauty-data@agile-bonbon-662.iam.gserviceaccount.com)
2026-06-24 02:32 (sa-bpswcbdsql01@thg-beauty.iam.gserviceaccount.com)
2026-06-24 02:32 (sa-bpswcbdsql01@thg-beauty.iam.gserviceaccount.com)
2026-06-24 02:32 (sa-bpswcbdsql01@thg-beauty.iam.gserviceaccount.com)
2026-06-24 02:30 (sa-bpswcbdsql01@thg-beauty.iam.gserviceaccount.com)</t>
  </si>
  <si>
    <t>2026-06-24 02:32 (sa-bpswcbdsql01@thg-beauty.iam.gserviceaccount.com)
2026-06-24 02:32 (sa-bpswcbdsql01@thg-beauty.iam.gserviceaccount.com)
2026-06-24 02:30 (sa-bpswcbdsql01@thg-beauty.iam.gserviceaccount.com)
2026-06-24 02:29 (sa-bpswcbdsql01@thg-beauty.iam.gserviceaccount.com)
2026-06-24 02:29 (sa-bpswcbdsql01@thg-beauty.iam.gserviceaccount.com)</t>
  </si>
  <si>
    <t>search__permanent</t>
  </si>
  <si>
    <t>2026-06-24 03:00 (search@thg-ml-live.iam.gserviceaccount.com)
2026-06-23 03:00 (search@thg-ml-live.iam.gserviceaccount.com)
2026-06-22 03:00 (search@thg-ml-live.iam.gserviceaccount.com)
2026-06-21 03:00 (search@thg-ml-live.iam.gserviceaccount.com)
2026-06-20 03:00 (search@thg-ml-live.iam.gserviceaccount.com)</t>
  </si>
  <si>
    <t>2026-06-24 05:02 (search@thg-ml-staging.iam.gserviceaccount.com)
2026-06-24 05:02 (search@thg-ml-staging.iam.gserviceaccount.com)
2026-06-24 05:01 (search@thg-ml-staging.iam.gserviceaccount.com)
2026-06-23 05:02 (search@thg-ml-staging.iam.gserviceaccount.com)
2026-06-23 05:02 (search@thg-ml-staging.iam.gserviceaccount.com)</t>
  </si>
  <si>
    <t>2026-06-24 05:02 (search@thg-ml-staging.iam.gserviceaccount.com)
2026-06-24 05:02 (search@thg-ml-staging.iam.gserviceaccount.com)
2026-06-23 05:02 (search@thg-ml-staging.iam.gserviceaccount.com)
2026-06-23 05:02 (search@thg-ml-staging.iam.gserviceaccount.com)
2026-06-22 05:03 (search@thg-ml-staging.iam.gserviceaccount.com)</t>
  </si>
  <si>
    <t>Ingenuity_Paid_Media</t>
  </si>
  <si>
    <t>2026-06-24 10:35 (central-marketing-credentials@thg-central-marketing.iam.gserviceaccount.com)
2026-06-24 10:30 (central-marketing-credentials@thg-central-marketing.iam.gserviceaccount.com)
2026-06-24 10:30 (central-marketing-credentials@thg-central-marketing.iam.gserviceaccount.com)
2026-06-24 10:30 (central-marketing-credentials@thg-central-marketing.iam.gserviceaccount.com)
2026-06-24 10:30 (central-marketing-credentials@thg-central-marketing.iam.gserviceaccount.com)</t>
  </si>
  <si>
    <t>2026-06-24 02:10 (central-marketing-credentials@thg-central-marketing.iam.gserviceaccount.com)
2026-06-24 02:10 (central-marketing-credentials@thg-central-marketing.iam.gserviceaccount.com)
2026-06-24 02:10 (central-marketing-credentials@thg-central-marketing.iam.gserviceaccount.com)
2026-06-24 02:10 (central-marketing-credentials@thg-central-marketing.iam.gserviceaccount.com)
2026-06-24 02:10 (central-marketing-credentials@thg-central-marketing.iam.gserviceaccount.com)</t>
  </si>
  <si>
    <t>THG_Customer_Insights</t>
  </si>
  <si>
    <t>2026-06-24 01:22 (central-marketing-credentials@thg-central-marketing.iam.gserviceaccount.com)
2026-06-24 01:14 (central-marketing-credentials@thg-central-marketing.iam.gserviceaccount.com)
2026-06-24 01:10 (central-marketing-credentials@thg-central-marketing.iam.gserviceaccount.com)
2026-06-24 01:07 (central-marketing-credentials@thg-central-marketing.iam.gserviceaccount.com)
2026-06-24 01:04 (central-marketing-credentials@thg-central-marketing.iam.gserviceaccount.com)</t>
  </si>
  <si>
    <t>Audit</t>
  </si>
  <si>
    <t>2026-01-05 12:56 (central-marketing-credentials@thg-central-marketing.iam.gserviceaccount.com)
2026-01-05 12:53 (central-marketing-credentials@thg-central-marketing.iam.gserviceaccount.com)
2026-01-05 12:50 (central-marketing-credentials@thg-central-marketing.iam.gserviceaccount.com)
2026-01-05 12:48 (central-marketing-credentials@thg-central-marketing.iam.gserviceaccount.com)
2026-01-05 12:45 (central-marketing-credentials@thg-central-marketing.iam.gserviceaccount.com)</t>
  </si>
  <si>
    <t>2026-06-23 19:26 (central-marketing-credentials@thg-central-marketing.iam.gserviceaccount.com)
2026-06-23 19:21 (central-marketing-credentials@thg-central-marketing.iam.gserviceaccount.com)
2026-06-23 19:16 (central-marketing-credentials@thg-central-marketing.iam.gserviceaccount.com)
2026-06-23 19:10 (central-marketing-credentials@thg-central-marketing.iam.gserviceaccount.com)
2026-06-23 19:06 (central-marketing-credentials@thg-central-marketing.iam.gserviceaccount.com)</t>
  </si>
  <si>
    <t>Marketing_Cost</t>
  </si>
  <si>
    <t>2026-06-24 08:04 (beauty-data@agile-bonbon-662.iam.gserviceaccount.com)
2026-06-24 07:07 (beauty-data@agile-bonbon-662.iam.gserviceaccount.com)
2026-06-24 06:45 (aakash.kalantre61@thehutgroup.com)
2026-06-24 06:06 (beauty-data@agile-bonbon-662.iam.gserviceaccount.com)
2026-06-24 05:02 (sa-bpswcbdsql01@thg-beauty.iam.gserviceaccount.com)</t>
  </si>
  <si>
    <t>2026-06-24 05:02 (sa-bpswcbdsql01@thg-beauty.iam.gserviceaccount.com)
2026-06-24 05:02 (sa-bpswcbdsql01@thg-beauty.iam.gserviceaccount.com)
2026-06-24 05:02 (sa-bpswcbdsql01@thg-beauty.iam.gserviceaccount.com)
2026-06-24 05:02 (sa-bpswcbdsql01@thg-beauty.iam.gserviceaccount.com)
2026-06-24 05:00 (sa-bpswcbdsql01@thg-beauty.iam.gserviceaccount.com)</t>
  </si>
  <si>
    <t>Adverity_SA360</t>
  </si>
  <si>
    <t>2026-06-24 08:14 (thg-adverity@agile-bonbon-662.iam.gserviceaccount.com)
2026-06-23 22:13 (thg-adverity@agile-bonbon-662.iam.gserviceaccount.com)
2026-06-23 20:16 (thg-adverity@agile-bonbon-662.iam.gserviceaccount.com)
2026-06-23 08:13 (thg-adverity@agile-bonbon-662.iam.gserviceaccount.com)
2026-06-22 22:14 (thg-adverity@agile-bonbon-662.iam.gserviceaccount.com)</t>
  </si>
  <si>
    <t>2026-06-24 08:14 (thg-adverity@agile-bonbon-662.iam.gserviceaccount.com)
2026-06-24 08:14 (thg-adverity@agile-bonbon-662.iam.gserviceaccount.com)
2026-06-23 22:13 (thg-adverity@agile-bonbon-662.iam.gserviceaccount.com)
2026-06-23 22:13 (thg-adverity@agile-bonbon-662.iam.gserviceaccount.com)
2026-06-23 20:16 (thg-adverity@agile-bonbon-662.iam.gserviceaccount.com)</t>
  </si>
  <si>
    <t>Mass</t>
  </si>
  <si>
    <t>2026-06-20 21:02 (beauty-data@agile-bonbon-662.iam.gserviceaccount.com)
2026-06-20 21:02 (beauty-data@agile-bonbon-662.iam.gserviceaccount.com)
2026-06-20 21:02 (beauty-data@agile-bonbon-662.iam.gserviceaccount.com)
2026-06-20 21:01 (beauty-data@agile-bonbon-662.iam.gserviceaccount.com)
2026-06-20 21:01 (beauty-data@agile-bonbon-662.iam.gserviceaccount.com)</t>
  </si>
  <si>
    <t>2026-06-11 12:24 (sa-bpswcbdsql01@thg-beauty.iam.gserviceaccount.com)
2026-06-11 12:24 (sa-bpswcbdsql01@thg-beauty.iam.gserviceaccount.com)
2026-06-11 12:24 (sa-bpswcbdsql01@thg-beauty.iam.gserviceaccount.com)
2026-06-11 12:24 (sa-bpswcbdsql01@thg-beauty.iam.gserviceaccount.com)
2026-06-11 12:24 (sa-bpswcbdsql01@thg-beauty.iam.gserviceaccount.com)</t>
  </si>
  <si>
    <t>2026-05-13 13:14 (ravi.subramaniam04@thehutgroup.com)</t>
  </si>
  <si>
    <t>Competera</t>
  </si>
  <si>
    <t>2026-06-24 10:02 (beauty-data@agile-bonbon-662.iam.gserviceaccount.com)
2026-06-24 10:02 (beauty-data@agile-bonbon-662.iam.gserviceaccount.com)
2026-06-24 10:02 (beauty-data@agile-bonbon-662.iam.gserviceaccount.com)
2026-06-24 10:02 (beauty-data@agile-bonbon-662.iam.gserviceaccount.com)
2026-06-23 13:30 (ravi.subramaniam04@thehutgroup.com)</t>
  </si>
  <si>
    <t>2026-06-24 10:02 (beauty-data@agile-bonbon-662.iam.gserviceaccount.com)
2026-06-24 10:02 (beauty-data@agile-bonbon-662.iam.gserviceaccount.com)
2026-06-24 10:02 (beauty-data@agile-bonbon-662.iam.gserviceaccount.com)
2026-06-23 13:30 (ravi.subramaniam04@thehutgroup.com)
2026-06-23 13:30 (ravi.subramaniam04@thehutgroup.com)</t>
  </si>
  <si>
    <t>v2_THG_Influencer_Details</t>
  </si>
  <si>
    <t>2026-06-24 10:01 (marketing-analytics@thg-influencer.iam.gserviceaccount.com)
2026-06-24 09:01 (marketing-analytics@thg-influencer.iam.gserviceaccount.com)
2026-06-24 08:01 (marketing-analytics@thg-influencer.iam.gserviceaccount.com)
2026-06-24 07:01 (marketing-analytics@thg-influencer.iam.gserviceaccount.com)
2026-06-24 06:01 (marketing-analytics@thg-influencer.iam.gserviceaccount.com)</t>
  </si>
  <si>
    <t>2026-06-24 00:21 (marketing-analytics@thg-influencer.iam.gserviceaccount.com)
2026-06-24 00:20 (marketing-analytics@thg-influencer.iam.gserviceaccount.com)
2026-06-24 00:20 (marketing-analytics@thg-influencer.iam.gserviceaccount.com)
2026-06-24 00:19 (marketing-analytics@thg-influencer.iam.gserviceaccount.com)
2026-06-24 00:17 (marketing-analytics@thg-influencer.iam.gserviceaccount.com)</t>
  </si>
  <si>
    <t>OnDemand</t>
  </si>
  <si>
    <t>2026-06-24 02:01 (central-marketing-credentials@thg-central-marketing.iam.gserviceaccount.com)
2026-06-24 02:01 (central-marketing-credentials@thg-central-marketing.iam.gserviceaccount.com)
2026-06-23 02:01 (central-marketing-credentials@thg-central-marketing.iam.gserviceaccount.com)
2026-06-23 02:01 (central-marketing-credentials@thg-central-marketing.iam.gserviceaccount.com)
2026-06-22 02:01 (central-marketing-credentials@thg-central-marketing.iam.gserviceaccount.com)</t>
  </si>
  <si>
    <t>2026-06-24 02:21 (central-marketing-credentials@thg-central-marketing.iam.gserviceaccount.com)
2026-06-24 02:20 (central-marketing-credentials@thg-central-marketing.iam.gserviceaccount.com)
2026-06-24 02:19 (central-marketing-credentials@thg-central-marketing.iam.gserviceaccount.com)
2026-06-24 02:19 (central-marketing-credentials@thg-central-marketing.iam.gserviceaccount.com)
2026-06-24 02:18 (central-marketing-credentials@thg-central-marketing.iam.gserviceaccount.com)</t>
  </si>
  <si>
    <t>SDE_Dataset</t>
  </si>
  <si>
    <t>2026-06-24 10:02 (ditto-ingenuity@the-hut-group.iam.gserviceaccount.com)
2026-06-24 09:02 (ditto-ingenuity@the-hut-group.iam.gserviceaccount.com)
2026-06-24 08:02 (ditto-ingenuity@the-hut-group.iam.gserviceaccount.com)
2026-06-24 07:01 (ditto-ingenuity@the-hut-group.iam.gserviceaccount.com)
2026-06-24 06:03 (ditto-ingenuity@the-hut-group.iam.gserviceaccount.com)</t>
  </si>
  <si>
    <t>2026-05-07 09:39 (RaatzT@thehutgroup.com)
2026-05-07 09:39 (RaatzT@thehutgroup.com)
2026-05-07 09:39 (RaatzT@thehutgroup.com)
2026-05-07 09:37 (RaatzT@thehutgroup.com)
2026-05-07 09:10 (RaatzT@thehutgroup.com)</t>
  </si>
  <si>
    <t>Product_on_Site</t>
  </si>
  <si>
    <t>2026-06-24 03:08 (beauty-data@agile-bonbon-662.iam.gserviceaccount.com)
2026-06-24 02:23 (sa-bpswcbdsql01@thg-beauty.iam.gserviceaccount.com)
2026-06-23 03:16 (beauty-data@agile-bonbon-662.iam.gserviceaccount.com)
2026-06-23 02:24 (sa-bpswcbdsql01@thg-beauty.iam.gserviceaccount.com)
2026-06-22 03:08 (beauty-data@agile-bonbon-662.iam.gserviceaccount.com)</t>
  </si>
  <si>
    <t>2026-02-16 15:02 (beauty-data@agile-bonbon-662.iam.gserviceaccount.com)
2026-02-16 15:01 (beauty-data@agile-bonbon-662.iam.gserviceaccount.com)
2026-02-16 15:01 (beauty-data@agile-bonbon-662.iam.gserviceaccount.com)
2026-02-16 15:01 (beauty-data@agile-bonbon-662.iam.gserviceaccount.com)
2026-02-16 15:00 (beauty-data@agile-bonbon-662.iam.gserviceaccount.com)</t>
  </si>
  <si>
    <t>analytics_311144606</t>
  </si>
  <si>
    <t>2026-06-24 08:02 (ga4-sessions-level-1-ingenuity@thg-ingenuity.iam.gserviceaccount.com)
2026-06-23 08:02 (ga4-sessions-level-1-ingenuity@thg-ingenuity.iam.gserviceaccount.com)
2026-06-22 08:02 (ga4-sessions-level-1-ingenuity@thg-ingenuity.iam.gserviceaccount.com)
2026-06-21 08:02 (ga4-sessions-level-1-ingenuity@thg-ingenuity.iam.gserviceaccount.com)
2026-06-20 18:02 (ga4-sessions-level-1-ingenuity@thg-ingenuity.iam.gserviceaccount.com)</t>
  </si>
  <si>
    <t>2026-06-24 07:03 (firebase-measurement@system.gserviceaccount.com)
2026-06-23 07:26 (firebase-measurement@system.gserviceaccount.com)
2026-06-22 06:48 (firebase-measurement@system.gserviceaccount.com)
2026-06-21 06:39 (firebase-measurement@system.gserviceaccount.com)
2026-06-20 16:33 (firebase-measurement@system.gserviceaccount.com)</t>
  </si>
  <si>
    <t>beauty_push</t>
  </si>
  <si>
    <t>2026-06-24 09:40 (amalu.thevalakara21@thg.com)
2026-06-24 09:40 (amalu.thevalakara21@thg.com)
2026-06-24 09:40 (amalu.thevalakara21@thg.com)
2026-06-24 09:39 (amalu.thevalakara21@thg.com)
2026-06-24 09:33 (shilpa.veedu03@thg.com)</t>
  </si>
  <si>
    <t>Legacy_Details</t>
  </si>
  <si>
    <t>2026-06-24 10:41 (marketing-analytics@thg-influencer.iam.gserviceaccount.com)
2026-06-24 10:40 (marketing-analytics@thg-influencer.iam.gserviceaccount.com)
2026-06-24 10:40 (marketing-analytics@thg-influencer.iam.gserviceaccount.com)
2026-06-24 10:28 (marketing-analytics@thg-influencer.iam.gserviceaccount.com)
2026-06-24 10:23 (marketing-analytics@thg-influencer.iam.gserviceaccount.com)</t>
  </si>
  <si>
    <t>2026-06-24 10:15 (marketing-analytics@thg-influencer.iam.gserviceaccount.com)
2026-06-24 10:14 (marketing-analytics@thg-influencer.iam.gserviceaccount.com)
2026-06-24 10:11 (marketing-analytics@thg-influencer.iam.gserviceaccount.com)
2026-06-24 10:10 (marketing-analytics@thg-influencer.iam.gserviceaccount.com)
2026-06-24 10:08 (marketing-analytics@thg-influencer.iam.gserviceaccount.com)</t>
  </si>
  <si>
    <t>Nutrition_Category_Data</t>
  </si>
  <si>
    <t>2026-06-24 10:53 (RobinsonJa@thehutgroup.com)
2026-06-24 10:53 (RobinsonJa@thehutgroup.com)
2026-06-24 10:53 (RobinsonJa@thehutgroup.com)
2026-06-24 10:48 (RobinsonJa@thehutgroup.com)
2026-06-24 10:48 (RobinsonJa@thehutgroup.com)</t>
  </si>
  <si>
    <t>2026-06-24 05:38 (nutrition-data-bq@agile-bonbon-662.iam.gserviceaccount.com)
2026-06-24 05:16 (nutrition-data-bq@agile-bonbon-662.iam.gserviceaccount.com)
2026-06-24 05:15 (nutrition-data-bq@agile-bonbon-662.iam.gserviceaccount.com)
2026-06-24 05:15 (nutrition-data-bq@agile-bonbon-662.iam.gserviceaccount.com)
2026-06-24 03:05 (nutrition-data-bq@agile-bonbon-662.iam.gserviceaccount.com)</t>
  </si>
  <si>
    <t>analytics_351404867</t>
  </si>
  <si>
    <t>2026-06-24 10:04 (ga4-sessions-level-1-ingenuity@thg-ingenuity.iam.gserviceaccount.com)
2026-06-24 10:03 (ga4-sessions-level-1-ingenuity@thg-ingenuity.iam.gserviceaccount.com)
2026-06-24 08:03 (ga4-sessions-level-1-ingenuity@thg-ingenuity.iam.gserviceaccount.com)
2026-06-24 06:03 (ga4-sessions-level-1-ingenuity@thg-ingenuity.iam.gserviceaccount.com)
2026-06-24 04:03 (ga4-sessions-level-1-ingenuity@thg-ingenuity.iam.gserviceaccount.com)</t>
  </si>
  <si>
    <t>2026-06-24 08:53 (firebase-measurement@system.gserviceaccount.com)
2026-06-23 08:59 (firebase-measurement@system.gserviceaccount.com)
2026-06-22 10:01 (firebase-measurement@system.gserviceaccount.com)
2026-06-21 11:36 (firebase-measurement@system.gserviceaccount.com)
2026-06-20 17:15 (firebase-measurement@system.gserviceaccount.com)</t>
  </si>
  <si>
    <t>Ingenuity_App</t>
  </si>
  <si>
    <t>2026-06-24 03:31 (tableau-bq-ingenuity-sa@thg-ingenuity.iam.gserviceaccount.com)
2026-06-24 03:31 (tableau-bq-ingenuity-sa@thg-ingenuity.iam.gserviceaccount.com)
2026-06-24 03:31 (tableau-bq-ingenuity-sa@thg-ingenuity.iam.gserviceaccount.com)
2026-06-24 03:31 (tableau-bq-ingenuity-sa@thg-ingenuity.iam.gserviceaccount.com)
2026-06-24 03:31 (tableau-bq-ingenuity-sa@thg-ingenuity.iam.gserviceaccount.com)</t>
  </si>
  <si>
    <t>2026-06-24 03:21 (central-marketing-credentials@thg-central-marketing.iam.gserviceaccount.com)
2026-06-24 03:21 (central-marketing-credentials@thg-central-marketing.iam.gserviceaccount.com)
2026-06-24 03:20 (central-marketing-credentials@thg-central-marketing.iam.gserviceaccount.com)
2026-06-24 01:04 (central-marketing-credentials@thg-central-marketing.iam.gserviceaccount.com)
2026-06-24 00:20 (central-marketing-credentials@thg-central-marketing.iam.gserviceaccount.com)</t>
  </si>
  <si>
    <t>Acorn</t>
  </si>
  <si>
    <t>2026-06-24 03:20 (vikash.patil03@thg.com)
2026-06-24 03:20 (vikash.patil03@thg.com)
2026-06-23 11:00 (aakash.kalantre61@thehutgroup.com)
2026-06-23 11:00 (aakash.kalantre61@thehutgroup.com)
2026-06-23 11:00 (aakash.kalantre61@thehutgroup.com)</t>
  </si>
  <si>
    <t>2026-06-23 11:00 (aakash.kalantre61@thehutgroup.com)
2026-06-23 11:00 (aakash.kalantre61@thehutgroup.com)
2026-06-23 11:00 (aakash.kalantre61@thehutgroup.com)
2026-06-23 11:00 (aakash.kalantre61@thehutgroup.com)
2026-06-22 11:00 (aakash.kalantre61@thehutgroup.com)</t>
  </si>
  <si>
    <t>Society</t>
  </si>
  <si>
    <t>2026-06-24 10:41 (marketing-analytics@thg-influencer.iam.gserviceaccount.com)
2026-06-24 10:40 (marketing-analytics@thg-influencer.iam.gserviceaccount.com)
2026-06-24 10:23 (marketing-analytics@thg-influencer.iam.gserviceaccount.com)
2026-06-24 10:22 (marketing-analytics@thg-influencer.iam.gserviceaccount.com)
2026-06-24 10:22 (marketing-analytics@thg-influencer.iam.gserviceaccount.com)</t>
  </si>
  <si>
    <t>2026-06-24 10:03 (marketing-analytics@thg-influencer.iam.gserviceaccount.com)
2026-06-24 10:02 (marketing-analytics@thg-influencer.iam.gserviceaccount.com)
2026-06-24 10:01 (marketing-analytics@thg-influencer.iam.gserviceaccount.com)
2026-06-24 10:00 (marketing-analytics@thg-influencer.iam.gserviceaccount.com)
2026-06-24 10:00 (marketing-analytics@thg-influencer.iam.gserviceaccount.com)</t>
  </si>
  <si>
    <t>analytics_506962215</t>
  </si>
  <si>
    <t>2026-06-24 08:38 (firebase-measurement@system.gserviceaccount.com)
2026-06-23 10:04 (firebase-measurement@system.gserviceaccount.com)
2026-06-22 09:10 (firebase-measurement@system.gserviceaccount.com)
2026-06-21 08:36 (firebase-measurement@system.gserviceaccount.com)
2026-06-20 18:51 (firebase-measurement@system.gserviceaccount.com)</t>
  </si>
  <si>
    <t>Merch_Comp</t>
  </si>
  <si>
    <t>2026-06-24 10:07 (beauty-data@agile-bonbon-662.iam.gserviceaccount.com)
2026-06-24 10:07 (beauty-data@agile-bonbon-662.iam.gserviceaccount.com)
2026-06-24 10:02 (beauty-data@agile-bonbon-662.iam.gserviceaccount.com)
2026-06-24 10:01 (beauty-data@agile-bonbon-662.iam.gserviceaccount.com)
2026-06-24 10:01 (beauty-data@agile-bonbon-662.iam.gserviceaccount.com)</t>
  </si>
  <si>
    <t>2026-06-24 06:34 (ravi.subramaniam04@thehutgroup.com)
2026-06-24 06:34 (ravi.subramaniam04@thehutgroup.com)
2026-06-24 06:34 (ravi.subramaniam04@thehutgroup.com)
2026-06-24 06:34 (ravi.subramaniam04@thehutgroup.com)
2026-06-24 06:34 (ravi.subramaniam04@thehutgroup.com)</t>
  </si>
  <si>
    <t>analytics_376205853</t>
  </si>
  <si>
    <t>2026-06-24 10:03 (ga4-sessions-level-1-ingenuity@thg-ingenuity.iam.gserviceaccount.com)
2026-06-23 10:03 (ga4-sessions-level-1-ingenuity@thg-ingenuity.iam.gserviceaccount.com)
2026-06-22 10:03 (ga4-sessions-level-1-ingenuity@thg-ingenuity.iam.gserviceaccount.com)
2026-06-21 10:03 (ga4-sessions-level-1-ingenuity@thg-ingenuity.iam.gserviceaccount.com)
2026-06-20 20:02 (ga4-sessions-level-1-ingenuity@thg-ingenuity.iam.gserviceaccount.com)</t>
  </si>
  <si>
    <t>2026-06-24 08:31 (firebase-measurement@system.gserviceaccount.com)
2026-06-23 09:05 (firebase-measurement@system.gserviceaccount.com)
2026-06-22 08:45 (firebase-measurement@system.gserviceaccount.com)
2026-06-21 09:34 (firebase-measurement@system.gserviceaccount.com)
2026-06-20 18:25 (firebase-measurement@system.gserviceaccount.com)</t>
  </si>
  <si>
    <t>Ingenuity_SEO</t>
  </si>
  <si>
    <t>2026-06-24 02:30 (parkinsong@thehutgroup.com)
2026-06-23 02:30 (parkinsong@thehutgroup.com)
2026-06-22 02:33 (parkinsong@thehutgroup.com)
2026-06-21 02:30 (parkinsong@thehutgroup.com)
2026-06-20 02:31 (parkinsong@thehutgroup.com)</t>
  </si>
  <si>
    <t>Ingenuity_Product_Conversion</t>
  </si>
  <si>
    <t>2026-06-24 09:43 (thg-adverity@agile-bonbon-662.iam.gserviceaccount.com)
2026-06-24 09:42 (thg-adverity@agile-bonbon-662.iam.gserviceaccount.com)
2026-06-24 09:38 (thg-adverity@agile-bonbon-662.iam.gserviceaccount.com)
2026-06-24 07:04 (thg-adverity@agile-bonbon-662.iam.gserviceaccount.com)
2026-06-24 07:02 (thg-adverity@agile-bonbon-662.iam.gserviceaccount.com)</t>
  </si>
  <si>
    <t>2026-06-24 09:43 (thg-adverity@agile-bonbon-662.iam.gserviceaccount.com)
2026-06-24 09:43 (thg-adverity@agile-bonbon-662.iam.gserviceaccount.com)
2026-06-24 09:42 (thg-adverity@agile-bonbon-662.iam.gserviceaccount.com)
2026-06-24 09:42 (thg-adverity@agile-bonbon-662.iam.gserviceaccount.com)
2026-06-24 09:38 (thg-adverity@agile-bonbon-662.iam.gserviceaccount.com)</t>
  </si>
  <si>
    <t>analytics_319369402</t>
  </si>
  <si>
    <t>2026-06-24 10:04 (ga4-sessions-level-1-ingenuity@thg-ingenuity.iam.gserviceaccount.com)
2026-06-24 08:03 (ga4-sessions-level-1-ingenuity@thg-ingenuity.iam.gserviceaccount.com)
2026-06-24 08:02 (ga4-sessions-level-1-ingenuity@thg-ingenuity.iam.gserviceaccount.com)
2026-06-24 06:03 (ga4-sessions-level-1-ingenuity@thg-ingenuity.iam.gserviceaccount.com)
2026-06-24 04:03 (ga4-sessions-level-1-ingenuity@thg-ingenuity.iam.gserviceaccount.com)</t>
  </si>
  <si>
    <t>Adverity_TikTokAds</t>
  </si>
  <si>
    <t>2026-06-24 10:26 (central-marketing-credentials@thg-central-marketing.iam.gserviceaccount.com)
2026-06-24 10:26 (central-marketing-credentials@thg-central-marketing.iam.gserviceaccount.com)
2026-06-24 10:24 (thg-adverity@agile-bonbon-662.iam.gserviceaccount.com)
2026-06-24 10:22 (central-marketing-credentials@thg-central-marketing.iam.gserviceaccount.com)
2026-06-24 10:22 (central-marketing-credentials@thg-central-marketing.iam.gserviceaccount.com)</t>
  </si>
  <si>
    <t>2026-06-24 10:24 (thg-adverity@agile-bonbon-662.iam.gserviceaccount.com)
2026-06-24 10:24 (thg-adverity@agile-bonbon-662.iam.gserviceaccount.com)
2026-06-24 10:16 (thg-adverity@agile-bonbon-662.iam.gserviceaccount.com)
2026-06-24 10:16 (thg-adverity@agile-bonbon-662.iam.gserviceaccount.com)
2026-06-24 09:24 (thg-adverity@agile-bonbon-662.iam.gserviceaccount.com)</t>
  </si>
  <si>
    <t>Channel_Migration</t>
  </si>
  <si>
    <t>2026-06-24 05:24 (aakash.kalantre61@thehutgroup.com)
2026-06-24 05:24 (aakash.kalantre61@thehutgroup.com)
2026-06-24 05:24 (aakash.kalantre61@thehutgroup.com)
2026-06-24 05:24 (aakash.kalantre61@thehutgroup.com)
2026-06-24 05:23 (aakash.kalantre61@thehutgroup.com)</t>
  </si>
  <si>
    <t>2026-06-24 05:24 (aakash.kalantre61@thehutgroup.com)
2026-06-24 05:24 (aakash.kalantre61@thehutgroup.com)
2026-06-24 05:23 (aakash.kalantre61@thehutgroup.com)
2026-06-24 05:23 (aakash.kalantre61@thehutgroup.com)
2026-06-24 05:22 (aakash.kalantre61@thehutgroup.com)</t>
  </si>
  <si>
    <t>PDP_Conversion</t>
  </si>
  <si>
    <t>2026-06-24 05:58 (tableau-bq-ingenuity-sa@thg-ingenuity.iam.gserviceaccount.com)
2026-06-24 01:59 (tableau-bq-ingenuity-sa@thg-ingenuity.iam.gserviceaccount.com)
2026-06-23 05:59 (tableau-bq-ingenuity-sa@thg-ingenuity.iam.gserviceaccount.com)
2026-06-23 01:59 (tableau-bq-ingenuity-sa@thg-ingenuity.iam.gserviceaccount.com)
2026-06-22 06:01 (tableau-bq-ingenuity-sa@thg-ingenuity.iam.gserviceaccount.com)</t>
  </si>
  <si>
    <t>2026-06-23 23:22 (central-marketing-credentials@thg-central-marketing.iam.gserviceaccount.com)
2026-06-23 23:22 (central-marketing-credentials@thg-central-marketing.iam.gserviceaccount.com)
2026-06-23 23:22 (central-marketing-credentials@thg-central-marketing.iam.gserviceaccount.com)
2026-06-22 23:22 (central-marketing-credentials@thg-central-marketing.iam.gserviceaccount.com)
2026-06-22 23:22 (central-marketing-credentials@thg-central-marketing.iam.gserviceaccount.com)</t>
  </si>
  <si>
    <t>Discount_Code_Usage</t>
  </si>
  <si>
    <t>2026-06-24 10:16 (nutrition-data-bq@agile-bonbon-662.iam.gserviceaccount.com)
2026-06-24 09:16 (nutrition-data-bq@agile-bonbon-662.iam.gserviceaccount.com)
2026-06-24 08:16 (nutrition-data-bq@agile-bonbon-662.iam.gserviceaccount.com)
2026-06-24 07:16 (nutrition-data-bq@agile-bonbon-662.iam.gserviceaccount.com)
2026-06-24 06:15 (nutrition-data-bq@agile-bonbon-662.iam.gserviceaccount.com)</t>
  </si>
  <si>
    <t>2026-06-24 10:10 (nutrition-data-bq@agile-bonbon-662.iam.gserviceaccount.com)
2026-06-24 09:10 (nutrition-data-bq@agile-bonbon-662.iam.gserviceaccount.com)
2026-06-24 08:10 (nutrition-data-bq@agile-bonbon-662.iam.gserviceaccount.com)
2026-06-24 07:10 (nutrition-data-bq@agile-bonbon-662.iam.gserviceaccount.com)
2026-06-24 06:10 (nutrition-data-bq@agile-bonbon-662.iam.gserviceaccount.com)</t>
  </si>
  <si>
    <t>2026-06-24 10:20 (dittwo@the-hut-group.iam.gserviceaccount.com)
2026-06-24 10:15 (ecrm-last-opened@the-hut-group.iam.gserviceaccount.com)
2026-06-24 09:20 (dittwo@the-hut-group.iam.gserviceaccount.com)
2026-06-24 09:15 (ecrm-last-opened@the-hut-group.iam.gserviceaccount.com)
2026-06-24 08:20 (dittwo@the-hut-group.iam.gserviceaccount.com)</t>
  </si>
  <si>
    <t>2026-06-24 10:15 (ecrm-last-opened@the-hut-group.iam.gserviceaccount.com)
2026-06-24 09:15 (ecrm-last-opened@the-hut-group.iam.gserviceaccount.com)
2026-06-24 08:15 (ecrm-last-opened@the-hut-group.iam.gserviceaccount.com)
2026-06-24 07:15 (ecrm-last-opened@the-hut-group.iam.gserviceaccount.com)
2026-06-24 06:15 (ecrm-last-opened@the-hut-group.iam.gserviceaccount.com)</t>
  </si>
  <si>
    <t>App_Content_Reporting</t>
  </si>
  <si>
    <t>2026-06-24 07:58 (nutrition-data-bq@agile-bonbon-662.iam.gserviceaccount.com)
2026-06-24 05:48 (nutrition-data-bq@agile-bonbon-662.iam.gserviceaccount.com)
2026-06-24 05:35 (nutrition-data-category-bq@agile-bonbon-662.iam.gserviceaccount.com)
2026-06-24 05:31 (jamie.atkinson98@thehutgroup.com)
2026-06-24 05:27 (nutrition-data-bq@agile-bonbon-662.iam.gserviceaccount.com)</t>
  </si>
  <si>
    <t>2026-06-24 03:17 (nutrition-data-bq@agile-bonbon-662.iam.gserviceaccount.com)
2026-06-23 03:17 (nutrition-data-bq@agile-bonbon-662.iam.gserviceaccount.com)
2026-06-22 03:16 (nutrition-data-bq@agile-bonbon-662.iam.gserviceaccount.com)
2026-06-21 03:17 (nutrition-data-bq@agile-bonbon-662.iam.gserviceaccount.com)
2026-06-20 03:17 (nutrition-data-bq@agile-bonbon-662.iam.gserviceaccount.com)</t>
  </si>
  <si>
    <t>ICS_Staging</t>
  </si>
  <si>
    <t>ReviewData</t>
  </si>
  <si>
    <t>2026-06-24 04:32 (nutrition-data-bq@agile-bonbon-662.iam.gserviceaccount.com)
2026-06-24 04:32 (nutrition-data-bq@agile-bonbon-662.iam.gserviceaccount.com)
2026-06-23 12:02 (nutrition-data-bq@agile-bonbon-662.iam.gserviceaccount.com)
2026-06-23 04:32 (nutrition-data-bq@agile-bonbon-662.iam.gserviceaccount.com)
2026-06-23 04:32 (nutrition-data-bq@agile-bonbon-662.iam.gserviceaccount.com)</t>
  </si>
  <si>
    <t>2026-06-24 04:32 (nutrition-data-bq@agile-bonbon-662.iam.gserviceaccount.com)
2026-06-24 04:32 (nutrition-data-bq@agile-bonbon-662.iam.gserviceaccount.com)
2026-06-24 04:32 (nutrition-data-bq@agile-bonbon-662.iam.gserviceaccount.com)
2026-06-24 04:32 (nutrition-data-bq@agile-bonbon-662.iam.gserviceaccount.com)
2026-06-24 04:31 (nutrition-data-bq@agile-bonbon-662.iam.gserviceaccount.com)</t>
  </si>
  <si>
    <t>THG_App</t>
  </si>
  <si>
    <t>2026-06-24 03:21 (central-marketing-credentials@thg-central-marketing.iam.gserviceaccount.com)
2026-06-24 01:04 (central-marketing-credentials@thg-central-marketing.iam.gserviceaccount.com)
2026-06-23 03:21 (central-marketing-credentials@thg-central-marketing.iam.gserviceaccount.com)
2026-06-23 01:04 (central-marketing-credentials@thg-central-marketing.iam.gserviceaccount.com)
2026-06-22 03:21 (central-marketing-credentials@thg-central-marketing.iam.gserviceaccount.com)</t>
  </si>
  <si>
    <t>2026-06-24 03:21 (central-marketing-credentials@thg-central-marketing.iam.gserviceaccount.com)
2026-06-24 03:21 (central-marketing-credentials@thg-central-marketing.iam.gserviceaccount.com)
2026-06-24 03:20 (central-marketing-credentials@thg-central-marketing.iam.gserviceaccount.com)
2026-06-24 01:04 (central-marketing-credentials@thg-central-marketing.iam.gserviceaccount.com)
2026-06-24 01:04 (central-marketing-credentials@thg-central-marketing.iam.gserviceaccount.com)</t>
  </si>
  <si>
    <t>analytics_376203605</t>
  </si>
  <si>
    <t>2026-06-23 12:03 (ga4-sessions-level-1-ingenuity@thg-ingenuity.iam.gserviceaccount.com)
2026-06-22 10:03 (ga4-sessions-level-1-ingenuity@thg-ingenuity.iam.gserviceaccount.com)
2026-06-21 16:02 (ga4-sessions-level-1-ingenuity@thg-ingenuity.iam.gserviceaccount.com)
2026-06-21 00:02 (ga4-sessions-level-1-ingenuity@thg-ingenuity.iam.gserviceaccount.com)
2026-06-19 14:03 (ga4-sessions-level-1-ingenuity@thg-ingenuity.iam.gserviceaccount.com)</t>
  </si>
  <si>
    <t>2026-06-24 10:42 (firebase-measurement@system.gserviceaccount.com)
2026-06-23 11:09 (firebase-measurement@system.gserviceaccount.com)
2026-06-22 09:44 (firebase-measurement@system.gserviceaccount.com)
2026-06-21 15:06 (firebase-measurement@system.gserviceaccount.com)
2026-06-20 22:19 (firebase-measurement@system.gserviceaccount.com)</t>
  </si>
  <si>
    <t>Liveramp_Dashboard_Data_US</t>
  </si>
  <si>
    <t>2026-06-24 04:30 (ravi.subramaniam04@thehutgroup.com)
2026-06-24 04:30 (ravi.subramaniam04@thehutgroup.com)
2026-06-24 04:30 (ravi.subramaniam04@thehutgroup.com)
2026-06-24 04:30 (ravi.subramaniam04@thehutgroup.com)
2026-06-24 04:15 (ravi.subramaniam04@thehutgroup.com)</t>
  </si>
  <si>
    <t>Ingenuity_Affiliate</t>
  </si>
  <si>
    <t>2026-06-24 10:35 (central-marketing-credentials@thg-central-marketing.iam.gserviceaccount.com)
2026-06-24 10:28 (central-marketing-credentials@thg-central-marketing.iam.gserviceaccount.com)
2026-06-24 10:28 (central-marketing-credentials@thg-central-marketing.iam.gserviceaccount.com)
2026-06-24 10:28 (central-marketing-credentials@thg-central-marketing.iam.gserviceaccount.com)
2026-06-24 10:28 (central-marketing-credentials@thg-central-marketing.iam.gserviceaccount.com)</t>
  </si>
  <si>
    <t>2026-06-24 10:28 (central-marketing-credentials@thg-central-marketing.iam.gserviceaccount.com)
2026-06-24 10:25 (central-marketing-credentials@thg-central-marketing.iam.gserviceaccount.com)
2026-06-24 10:25 (central-marketing-credentials@thg-central-marketing.iam.gserviceaccount.com)
2026-06-24 10:23 (central-marketing-credentials@thg-central-marketing.iam.gserviceaccount.com)
2026-06-24 10:23 (central-marketing-credentials@thg-central-marketing.iam.gserviceaccount.com)</t>
  </si>
  <si>
    <t>analytics_334298448</t>
  </si>
  <si>
    <t>2026-06-23 12:03 (ga4-sessions-level-1-ingenuity@thg-ingenuity.iam.gserviceaccount.com)
2026-06-22 10:03 (ga4-sessions-level-1-ingenuity@thg-ingenuity.iam.gserviceaccount.com)
2026-06-21 10:03 (ga4-sessions-level-1-ingenuity@thg-ingenuity.iam.gserviceaccount.com)
2026-06-21 00:02 (ga4-sessions-level-1-ingenuity@thg-ingenuity.iam.gserviceaccount.com)
2026-06-19 10:03 (ga4-sessions-level-1-ingenuity@thg-ingenuity.iam.gserviceaccount.com)</t>
  </si>
  <si>
    <t>2026-06-24 10:05 (firebase-measurement@system.gserviceaccount.com)
2026-06-23 11:25 (firebase-measurement@system.gserviceaccount.com)
2026-06-22 09:15 (firebase-measurement@system.gserviceaccount.com)
2026-06-21 08:54 (firebase-measurement@system.gserviceaccount.com)
2026-06-20 23:04 (firebase-measurement@system.gserviceaccount.com)</t>
  </si>
  <si>
    <t>Trade_Category_Product</t>
  </si>
  <si>
    <t>2026-06-24 10:20 (central-marketing-credentials@thg-central-marketing.iam.gserviceaccount.com)
2026-06-24 09:20 (central-marketing-credentials@thg-central-marketing.iam.gserviceaccount.com)
2026-06-24 08:20 (central-marketing-credentials@thg-central-marketing.iam.gserviceaccount.com)
2026-06-24 07:20 (central-marketing-credentials@thg-central-marketing.iam.gserviceaccount.com)
2026-06-24 06:20 (central-marketing-credentials@thg-central-marketing.iam.gserviceaccount.com)</t>
  </si>
  <si>
    <t>analytics_506930563</t>
  </si>
  <si>
    <t>2026-06-23 18:31 (firebase-measurement@system.gserviceaccount.com)
2026-06-22 18:32 (firebase-measurement@system.gserviceaccount.com)
2026-06-21 16:47 (firebase-measurement@system.gserviceaccount.com)
2026-06-20 21:53 (firebase-measurement@system.gserviceaccount.com)
2026-06-19 21:36 (firebase-measurement@system.gserviceaccount.com)</t>
  </si>
  <si>
    <t>Ingenuity_Customer_Insights</t>
  </si>
  <si>
    <t>2026-06-24 05:17 (central-marketing-credentials@thg-central-marketing.iam.gserviceaccount.com)
2026-06-24 05:15 (tableau-bq-ingenuity-sa@thg-ingenuity.iam.gserviceaccount.com)
2026-06-24 04:32 (tableau-bq-ingenuity-sa@thg-ingenuity.iam.gserviceaccount.com)
2026-06-24 01:08 (central-marketing-credentials@thg-central-marketing.iam.gserviceaccount.com)
2026-06-24 01:06 (central-marketing-credentials@thg-central-marketing.iam.gserviceaccount.com)</t>
  </si>
  <si>
    <t>2026-06-24 01:20 (central-marketing-credentials@thg-central-marketing.iam.gserviceaccount.com)
2026-06-24 01:11 (central-marketing-credentials@thg-central-marketing.iam.gserviceaccount.com)
2026-06-24 01:08 (central-marketing-credentials@thg-central-marketing.iam.gserviceaccount.com)
2026-06-24 01:06 (central-marketing-credentials@thg-central-marketing.iam.gserviceaccount.com)
2026-06-24 01:03 (central-marketing-credentials@thg-central-marketing.iam.gserviceaccount.com)</t>
  </si>
  <si>
    <t>2026-06-24 03:00 (search@thg-ml-dev.iam.gserviceaccount.com)
2026-06-23 03:00 (search@thg-ml-dev.iam.gserviceaccount.com)
2026-06-22 03:00 (search@thg-ml-dev.iam.gserviceaccount.com)
2026-06-21 03:00 (search@thg-ml-dev.iam.gserviceaccount.com)
2026-06-20 03:00 (search@thg-ml-dev.iam.gserviceaccount.com)</t>
  </si>
  <si>
    <t>analytics_372391175</t>
  </si>
  <si>
    <t>2026-06-23 12:02 (ga4-sessions-level-1-ingenuity@thg-ingenuity.iam.gserviceaccount.com)
2026-06-22 10:02 (ga4-sessions-level-1-ingenuity@thg-ingenuity.iam.gserviceaccount.com)
2026-06-21 10:02 (ga4-sessions-level-1-ingenuity@thg-ingenuity.iam.gserviceaccount.com)
2026-06-21 00:01 (ga4-sessions-level-1-ingenuity@thg-ingenuity.iam.gserviceaccount.com)
2026-06-19 10:02 (ga4-sessions-level-1-ingenuity@thg-ingenuity.iam.gserviceaccount.com)</t>
  </si>
  <si>
    <t>THG_Influencer_Details</t>
  </si>
  <si>
    <t>2026-06-24 10:41 (marketing-analytics@thg-influencer.iam.gserviceaccount.com)
2026-06-24 10:40 (marketing-analytics@thg-influencer.iam.gserviceaccount.com)
2026-06-24 10:23 (marketing-analytics@thg-influencer.iam.gserviceaccount.com)
2026-06-24 09:41 (marketing-analytics@thg-influencer.iam.gserviceaccount.com)
2026-06-24 09:40 (marketing-analytics@thg-influencer.iam.gserviceaccount.com)</t>
  </si>
  <si>
    <t>2026-06-24 10:00 (marketing-analytics@thg-influencer.iam.gserviceaccount.com)
2026-06-24 09:00 (marketing-analytics@thg-influencer.iam.gserviceaccount.com)
2026-06-24 08:00 (marketing-analytics@thg-influencer.iam.gserviceaccount.com)
2026-06-24 07:00 (marketing-analytics@thg-influencer.iam.gserviceaccount.com)
2026-06-24 06:00 (marketing-analytics@thg-influencer.iam.gserviceaccount.com)</t>
  </si>
  <si>
    <t>Exclusivity_Report</t>
  </si>
  <si>
    <t>2026-06-24 07:05 (beauty-data@agile-bonbon-662.iam.gserviceaccount.com)
2026-06-24 07:05 (beauty-data@agile-bonbon-662.iam.gserviceaccount.com)
2026-06-24 07:05 (beauty-data@agile-bonbon-662.iam.gserviceaccount.com)
2026-06-24 07:05 (beauty-data@agile-bonbon-662.iam.gserviceaccount.com)
2026-06-24 07:02 (beauty-data@agile-bonbon-662.iam.gserviceaccount.com)</t>
  </si>
  <si>
    <t>2026-06-24 02:51 (sa-bpswcbdsql01@thg-beauty.iam.gserviceaccount.com)
2026-06-24 02:51 (sa-bpswcbdsql01@thg-beauty.iam.gserviceaccount.com)
2026-06-24 02:51 (sa-bpswcbdsql01@thg-beauty.iam.gserviceaccount.com)
2026-06-24 02:51 (sa-bpswcbdsql01@thg-beauty.iam.gserviceaccount.com)
2026-06-24 02:23 (sa-bpswcbdsql01@thg-beauty.iam.gserviceaccount.com)</t>
  </si>
  <si>
    <t>analytics_376116477</t>
  </si>
  <si>
    <t>2026-06-24 08:29 (firebase-measurement@system.gserviceaccount.com)
2026-06-24 08:14 (firebase-measurement@system.gserviceaccount.com)
2026-06-23 11:32 (firebase-measurement@system.gserviceaccount.com)
2026-06-23 09:16 (firebase-measurement@system.gserviceaccount.com)
2026-06-23 09:06 (firebase-measurement@system.gserviceaccount.com)</t>
  </si>
  <si>
    <t>global_brand_health</t>
  </si>
  <si>
    <t>2026-06-24 06:30 (beauty-data@agile-bonbon-662.iam.gserviceaccount.com)
2026-06-24 06:30 (beauty-data@agile-bonbon-662.iam.gserviceaccount.com)
2026-06-24 03:04 (beauty-data@agile-bonbon-662.iam.gserviceaccount.com)
2026-06-24 03:04 (beauty-data@agile-bonbon-662.iam.gserviceaccount.com)
2026-06-24 03:03 (beauty-data@agile-bonbon-662.iam.gserviceaccount.com)</t>
  </si>
  <si>
    <t>2026-06-24 02:51 (sa-bpswcbdsql01@thg-beauty.iam.gserviceaccount.com)
2026-06-24 02:51 (sa-bpswcbdsql01@thg-beauty.iam.gserviceaccount.com)
2026-06-23 03:05 (sa-bpswcbdsql01@thg-beauty.iam.gserviceaccount.com)
2026-06-23 03:05 (sa-bpswcbdsql01@thg-beauty.iam.gserviceaccount.com)
2026-06-22 02:55 (sa-bpswcbdsql01@thg-beauty.iam.gserviceaccount.com)</t>
  </si>
  <si>
    <t>2026-06-24 07:20 (jamie.atkinson98@thehutgroup.com)
2026-06-24 05:19 (nutrition-data-bq@agile-bonbon-662.iam.gserviceaccount.com)
2026-06-24 05:17 (nutrition-data-bq@agile-bonbon-662.iam.gserviceaccount.com)
2026-06-24 04:04 (nutrition-data-bq@agile-bonbon-662.iam.gserviceaccount.com)
2026-06-24 04:04 (nutrition-data-bq@agile-bonbon-662.iam.gserviceaccount.com)</t>
  </si>
  <si>
    <t>2026-06-24 03:10 (nutrition-data-bq@agile-bonbon-662.iam.gserviceaccount.com)
2026-06-24 03:10 (nutrition-data-bq@agile-bonbon-662.iam.gserviceaccount.com)
2026-06-24 01:45 (stringerc@thehutgroup.com)
2026-06-24 01:45 (stringerc@thehutgroup.com)
2026-06-24 01:45 (stringerc@thehutgroup.com)</t>
  </si>
  <si>
    <t>Checkout_Conversion</t>
  </si>
  <si>
    <t>2026-06-24 07:00 (Liam.Lim79@thg.com)
2026-06-24 07:00 (Liam.Lim79@thg.com)
2026-06-23 07:00 (Liam.Lim79@thg.com)
2026-06-23 07:00 (Liam.Lim79@thg.com)
2026-06-22 07:00 (Liam.Lim79@thg.com)</t>
  </si>
  <si>
    <t>Trading_Forecast_Support</t>
  </si>
  <si>
    <t>2026-06-24 05:02 (sa-bpswcbdsql01@thg-beauty.iam.gserviceaccount.com)
2026-06-24 05:01 (sa-bpswcbdsql01@thg-beauty.iam.gserviceaccount.com)
2026-06-24 05:00 (sa-bpswcbdsql01@thg-beauty.iam.gserviceaccount.com)
2026-06-24 05:00 (sa-bpswcbdsql01@thg-beauty.iam.gserviceaccount.com)
2026-06-24 05:00 (sa-bpswcbdsql01@thg-beauty.iam.gserviceaccount.com)</t>
  </si>
  <si>
    <t>analytics_275721023</t>
  </si>
  <si>
    <t>2026-06-24 04:02 (ga4-sessions-level-1-thg@agile-bonbon-662.iam.gserviceaccount.com)
2026-06-23 10:05 (ga4-sessions-level-1-thg@agile-bonbon-662.iam.gserviceaccount.com)
2026-06-22 12:01 (ga4-sessions-level-1-thg@agile-bonbon-662.iam.gserviceaccount.com)
2026-06-22 04:03 (ga4-sessions-level-1-thg@agile-bonbon-662.iam.gserviceaccount.com)
2026-06-21 22:01 (ga4-sessions-level-1-thg@agile-bonbon-662.iam.gserviceaccount.com)</t>
  </si>
  <si>
    <t>2026-06-23 09:48 (firebase-measurement@system.gserviceaccount.com)
2026-06-22 10:43 (firebase-measurement@system.gserviceaccount.com)
2026-06-21 10:04 (firebase-measurement@system.gserviceaccount.com)
2026-06-20 23:20 (firebase-measurement@system.gserviceaccount.com)
2026-06-19 11:55 (firebase-measurement@system.gserviceaccount.com)</t>
  </si>
  <si>
    <t>analytics_376213933</t>
  </si>
  <si>
    <t>2026-06-24 10:03 (ga4-sessions-level-1-ingenuity@thg-ingenuity.iam.gserviceaccount.com)
2026-06-23 12:03 (ga4-sessions-level-1-ingenuity@thg-ingenuity.iam.gserviceaccount.com)
2026-06-22 10:03 (ga4-sessions-level-1-ingenuity@thg-ingenuity.iam.gserviceaccount.com)
2026-06-21 14:02 (ga4-sessions-level-1-ingenuity@thg-ingenuity.iam.gserviceaccount.com)
2026-06-20 18:02 (ga4-sessions-level-1-ingenuity@thg-ingenuity.iam.gserviceaccount.com)</t>
  </si>
  <si>
    <t>2026-06-24 08:24 (firebase-measurement@system.gserviceaccount.com)
2026-06-23 10:11 (firebase-measurement@system.gserviceaccount.com)
2026-06-22 08:14 (firebase-measurement@system.gserviceaccount.com)
2026-06-21 12:15 (firebase-measurement@system.gserviceaccount.com)
2026-06-20 16:35 (firebase-measurement@system.gserviceaccount.com)</t>
  </si>
  <si>
    <t>analytics_331959986</t>
  </si>
  <si>
    <t>2026-06-23 14:02 (ga4-sessions-level-1-ingenuity@thg-ingenuity.iam.gserviceaccount.com)
2026-06-22 12:03 (ga4-sessions-level-1-ingenuity@thg-ingenuity.iam.gserviceaccount.com)
2026-06-21 16:02 (ga4-sessions-level-1-ingenuity@thg-ingenuity.iam.gserviceaccount.com)
2026-06-21 06:01 (ga4-sessions-level-1-ingenuity@thg-ingenuity.iam.gserviceaccount.com)
2026-06-19 12:03 (ga4-sessions-level-1-ingenuity@thg-ingenuity.iam.gserviceaccount.com)</t>
  </si>
  <si>
    <t>2026-06-23 12:37 (firebase-measurement@system.gserviceaccount.com)
2026-06-22 11:31 (firebase-measurement@system.gserviceaccount.com)
2026-06-21 15:21 (firebase-measurement@system.gserviceaccount.com)
2026-06-21 05:18 (firebase-measurement@system.gserviceaccount.com)
2026-06-19 12:16 (firebase-measurement@system.gserviceaccount.com)</t>
  </si>
  <si>
    <t>analytics_376920816</t>
  </si>
  <si>
    <t>2026-06-23 14:02 (ga4-sessions-level-1-ingenuity@thg-ingenuity.iam.gserviceaccount.com)
2026-06-22 12:02 (ga4-sessions-level-1-ingenuity@thg-ingenuity.iam.gserviceaccount.com)
2026-06-21 18:02 (ga4-sessions-level-1-ingenuity@thg-ingenuity.iam.gserviceaccount.com)
2026-06-21 08:01 (ga4-sessions-level-1-ingenuity@thg-ingenuity.iam.gserviceaccount.com)
2026-06-19 12:02 (ga4-sessions-level-1-ingenuity@thg-ingenuity.iam.gserviceaccount.com)</t>
  </si>
  <si>
    <t>2026-06-23 13:51 (firebase-measurement@system.gserviceaccount.com)
2026-06-22 11:54 (firebase-measurement@system.gserviceaccount.com)
2026-06-21 16:13 (firebase-measurement@system.gserviceaccount.com)
2026-06-21 06:24 (firebase-measurement@system.gserviceaccount.com)
2026-06-19 15:38 (firebase-measurement@system.gserviceaccount.com)</t>
  </si>
  <si>
    <t>Legacy_Predictions</t>
  </si>
  <si>
    <t>2026-06-24 02:30 (central-marketing-credentials@thg-central-marketing.iam.gserviceaccount.com)
2026-06-24 00:10 (marketing-analytics@thg-influencer.iam.gserviceaccount.com)
2026-06-23 02:30 (central-marketing-credentials@thg-central-marketing.iam.gserviceaccount.com)
2026-06-23 00:10 (marketing-analytics@thg-influencer.iam.gserviceaccount.com)
2026-06-22 02:31 (central-marketing-credentials@thg-central-marketing.iam.gserviceaccount.com)</t>
  </si>
  <si>
    <t>2026-06-24 00:10 (marketing-analytics@thg-influencer.iam.gserviceaccount.com)
2026-06-24 00:10 (marketing-analytics@thg-influencer.iam.gserviceaccount.com)
2026-06-23 00:10 (marketing-analytics@thg-influencer.iam.gserviceaccount.com)
2026-06-23 00:10 (marketing-analytics@thg-influencer.iam.gserviceaccount.com)
2026-06-22 00:10 (marketing-analytics@thg-influencer.iam.gserviceaccount.com)</t>
  </si>
  <si>
    <t>2026-06-24 01:07 (marketing-analytics@thg-influencer.iam.gserviceaccount.com)
2026-06-24 01:07 (marketing-analytics@thg-influencer.iam.gserviceaccount.com)
2026-06-24 01:07 (marketing-analytics@thg-influencer.iam.gserviceaccount.com)
2026-06-24 01:07 (marketing-analytics@thg-influencer.iam.gserviceaccount.com)
2026-06-24 01:06 (marketing-analytics@thg-influencer.iam.gserviceaccount.com)</t>
  </si>
  <si>
    <t>2026-06-24 01:07 (marketing-analytics@thg-influencer.iam.gserviceaccount.com)
2026-06-24 01:06 (marketing-analytics@thg-influencer.iam.gserviceaccount.com)
2026-06-24 01:05 (marketing-analytics@thg-influencer.iam.gserviceaccount.com)
2026-06-24 01:03 (marketing-analytics@thg-influencer.iam.gserviceaccount.com)
2026-06-24 01:02 (marketing-analytics@thg-influencer.iam.gserviceaccount.com)</t>
  </si>
  <si>
    <t>2026-06-24 01:53 (thg-adverity@agile-bonbon-662.iam.gserviceaccount.com)
2026-06-23 01:53 (thg-adverity@agile-bonbon-662.iam.gserviceaccount.com)
2026-06-22 01:53 (thg-adverity@agile-bonbon-662.iam.gserviceaccount.com)
2026-06-21 01:53 (thg-adverity@agile-bonbon-662.iam.gserviceaccount.com)
2026-06-20 01:53 (thg-adverity@agile-bonbon-662.iam.gserviceaccount.com)</t>
  </si>
  <si>
    <t>2026-06-24 01:53 (thg-adverity@agile-bonbon-662.iam.gserviceaccount.com)
2026-06-24 01:53 (thg-adverity@agile-bonbon-662.iam.gserviceaccount.com)
2026-06-23 01:53 (thg-adverity@agile-bonbon-662.iam.gserviceaccount.com)
2026-06-23 01:53 (thg-adverity@agile-bonbon-662.iam.gserviceaccount.com)
2026-06-22 01:53 (thg-adverity@agile-bonbon-662.iam.gserviceaccount.com)</t>
  </si>
  <si>
    <t>Channel_Activation</t>
  </si>
  <si>
    <t>2026-02-23 08:31 (Liam.Lim79@thg.com)
2026-02-23 08:31 (Liam.Lim79@thg.com)
2026-02-23 08:31 (Liam.Lim79@thg.com)
2026-02-23 08:31 (Liam.Lim79@thg.com)
2026-02-23 08:31 (Liam.Lim79@thg.com)</t>
  </si>
  <si>
    <t>sku_Availability</t>
  </si>
  <si>
    <t>2026-02-25 15:07 (balaji.muthuvelapp77@thg.com)
2026-02-25 14:56 (balaji.muthuvelapp77@thg.com)
2026-02-25 14:49 (balaji.muthuvelapp77@thg.com)
2026-02-25 14:48 (balaji.muthuvelapp77@thg.com)
2026-02-25 14:45 (balaji.muthuvelapp77@thg.com)</t>
  </si>
  <si>
    <t>2026-02-25 14:22 (beauty-data@agile-bonbon-662.iam.gserviceaccount.com)</t>
  </si>
  <si>
    <t>ditto_ecrm_push</t>
  </si>
  <si>
    <t>Product_Reviews</t>
  </si>
  <si>
    <t>2026-03-16 04:43 (beauty-data@agile-bonbon-662.iam.gserviceaccount.com)
2026-03-16 04:43 (beauty-data@agile-bonbon-662.iam.gserviceaccount.com)
2026-03-16 04:33 (beauty-data@agile-bonbon-662.iam.gserviceaccount.com)
2026-03-15 04:42 (beauty-data@agile-bonbon-662.iam.gserviceaccount.com)
2026-03-15 04:42 (beauty-data@agile-bonbon-662.iam.gserviceaccount.com)</t>
  </si>
  <si>
    <t>2026-03-16 04:43 (beauty-data@agile-bonbon-662.iam.gserviceaccount.com)
2026-03-16 04:33 (beauty-data@agile-bonbon-662.iam.gserviceaccount.com)
2026-03-15 04:42 (beauty-data@agile-bonbon-662.iam.gserviceaccount.com)
2026-03-15 04:33 (beauty-data@agile-bonbon-662.iam.gserviceaccount.com)
2026-03-14 04:43 (beauty-data@agile-bonbon-662.iam.gserviceaccount.com)</t>
  </si>
  <si>
    <t>Order_Profile</t>
  </si>
  <si>
    <t>2026-04-20 06:03 (beauty-data@agile-bonbon-662.iam.gserviceaccount.com)
2026-04-16 06:05 (beauty-data@agile-bonbon-662.iam.gserviceaccount.com)
2026-04-13 06:04 (beauty-data@agile-bonbon-662.iam.gserviceaccount.com)
2026-04-09 06:05 (beauty-data@agile-bonbon-662.iam.gserviceaccount.com)
2026-04-06 06:06 (beauty-data@agile-bonbon-662.iam.gserviceaccount.com)</t>
  </si>
  <si>
    <t>2026-03-30 03:29 (sa-bpswcbdsql01@thg-beauty.iam.gserviceaccount.com)
2026-03-30 03:29 (sa-bpswcbdsql01@thg-beauty.iam.gserviceaccount.com)
2026-03-29 03:27 (sa-bpswcbdsql01@thg-beauty.iam.gserviceaccount.com)
2026-03-29 03:27 (sa-bpswcbdsql01@thg-beauty.iam.gserviceaccount.com)
2026-03-28 03:26 (sa-bpswcbdsql01@thg-beauty.iam.gserviceaccount.com)</t>
  </si>
  <si>
    <t>2026-06-24 08:23 (grafana-reader@the-hut-group.iam.gserviceaccount.com)
2026-06-24 08:23 (grafana-reader@the-hut-group.iam.gserviceaccount.com)
2026-06-23 07:42 (grafana-reader@the-hut-group.iam.gserviceaccount.com)
2026-06-23 07:42 (grafana-reader@the-hut-group.iam.gserviceaccount.com)
2026-06-22 08:23 (grafana-reader@the-hut-group.iam.gserviceaccount.com)</t>
  </si>
  <si>
    <t>2026-05-13 07:56 (stelujin.nedungottu16@thgingenuity.com)
2026-05-13 07:55 (stelujin.nedungottu16@thgingenuity.com)
2026-05-06 09:59 (stelujin.nedungottu16@thgingenuity.com)
2026-05-06 09:59 (stelujin.nedungottu16@thgingenuity.com)
2026-04-16 08:16 (stelujin.nedungottu16@thgingenuity.com)</t>
  </si>
  <si>
    <t>0_Carter_EU</t>
  </si>
  <si>
    <t>2026-06-24 10:06 (nutrition-data-bq@agile-bonbon-662.iam.gserviceaccount.com)
2026-06-24 10:06 (nutrition-data-bq@agile-bonbon-662.iam.gserviceaccount.com)
2026-06-24 10:06 (nutrition-data-bq@agile-bonbon-662.iam.gserviceaccount.com)
2026-06-24 10:06 (nutrition-data-bq@agile-bonbon-662.iam.gserviceaccount.com)
2026-06-24 10:06 (nutrition-data-bq@agile-bonbon-662.iam.gserviceaccount.com)</t>
  </si>
  <si>
    <t>2026-06-24 09:07 (nutrition-data-bq@agile-bonbon-662.iam.gserviceaccount.com)
2026-06-24 09:06 (nutrition-data-bq@agile-bonbon-662.iam.gserviceaccount.com)
2026-06-24 09:04 (nutrition-data-bq@agile-bonbon-662.iam.gserviceaccount.com)
2026-06-24 09:04 (nutrition-data-bq@agile-bonbon-662.iam.gserviceaccount.com)
2026-06-24 09:04 (nutrition-data-bq@agile-bonbon-662.iam.gserviceaccount.com)</t>
  </si>
  <si>
    <t>2026-03-19 11:30 (yearsleye@thehutgroup.com)
2026-03-11 11:19 (peakn@thehutgroup.com)
2026-03-11 11:19 (peakn@thehutgroup.com)
2026-03-11 11:15 (peakn@thehutgroup.com)
2026-02-24 16:52 (yearsleye@thehutgroup.com)</t>
  </si>
  <si>
    <t>2026-06-24 02:03 (central-marketing-credentials@thg-central-marketing.iam.gserviceaccount.com)
2026-06-24 02:02 (central-marketing-credentials@thg-central-marketing.iam.gserviceaccount.com)
2026-06-24 01:00 (stringerc@thehutgroup.com)
2026-06-23 02:03 (central-marketing-credentials@thg-central-marketing.iam.gserviceaccount.com)
2026-06-23 02:02 (central-marketing-credentials@thg-central-marketing.iam.gserviceaccount.com)</t>
  </si>
  <si>
    <t>0_Jake_EU</t>
  </si>
  <si>
    <t>2026-06-24 05:15 (nutrition-data-bq@agile-bonbon-662.iam.gserviceaccount.com)
2026-06-24 05:15 (nutrition-data-bq@agile-bonbon-662.iam.gserviceaccount.com)
2026-06-24 05:15 (nutrition-data-bq@agile-bonbon-662.iam.gserviceaccount.com)
2026-06-24 05:15 (nutrition-data-bq@agile-bonbon-662.iam.gserviceaccount.com)
2026-06-24 05:15 (nutrition-data-bq@agile-bonbon-662.iam.gserviceaccount.com)</t>
  </si>
  <si>
    <t>analytics_401415474</t>
  </si>
  <si>
    <t>2026-06-23 19:23 (firebase-measurement@system.gserviceaccount.com)
2026-06-22 17:24 (firebase-measurement@system.gserviceaccount.com)
2026-06-21 17:04 (firebase-measurement@system.gserviceaccount.com)
2026-06-21 08:39 (firebase-measurement@system.gserviceaccount.com)
2026-06-19 19:57 (firebase-measurement@system.gserviceaccount.com)</t>
  </si>
  <si>
    <t>Country_KPI</t>
  </si>
  <si>
    <t>2026-06-01 06:02 (Liam.Lim79@thg.com)
2026-06-01 06:02 (Liam.Lim79@thg.com)
2026-06-01 06:01 (Liam.Lim79@thg.com)
2026-06-01 05:31 (clare.isakson58@thehutgroup.com)
2026-06-01 05:30 (clare.isakson58@thehutgroup.com)</t>
  </si>
  <si>
    <t>2026-06-01 05:31 (clare.isakson58@thehutgroup.com)
2026-06-01 05:30 (clare.isakson58@thehutgroup.com)
2026-06-01 05:30 (clare.isakson58@thehutgroup.com)
2026-05-01 05:31 (clare.isakson58@thehutgroup.com)
2026-05-01 05:30 (clare.isakson58@thehutgroup.com)</t>
  </si>
  <si>
    <t>EPOS_Now</t>
  </si>
  <si>
    <t>2026-06-24 05:02 (sa-bpswcbdsql01@thg-beauty.iam.gserviceaccount.com)
2026-06-24 05:02 (sa-bpswcbdsql01@thg-beauty.iam.gserviceaccount.com)
2026-06-24 05:02 (sa-bpswcbdsql01@thg-beauty.iam.gserviceaccount.com)
2026-06-24 02:26 (sa-bpswcbdsql01@thg-beauty.iam.gserviceaccount.com)
2026-06-24 01:19 (beauty-data@agile-bonbon-662.iam.gserviceaccount.com)</t>
  </si>
  <si>
    <t>2026-06-24 01:19 (beauty-data@agile-bonbon-662.iam.gserviceaccount.com)
2026-06-24 01:18 (beauty-data@agile-bonbon-662.iam.gserviceaccount.com)
2026-06-24 01:15 (beauty-data@agile-bonbon-662.iam.gserviceaccount.com)
2026-06-24 01:15 (beauty-data@agile-bonbon-662.iam.gserviceaccount.com)
2026-06-23 01:21 (beauty-data@agile-bonbon-662.iam.gserviceaccount.com)</t>
  </si>
  <si>
    <t>Perricone_360</t>
  </si>
  <si>
    <t>2026-06-24 08:04 (beauty-data@agile-bonbon-662.iam.gserviceaccount.com)
2026-06-24 07:07 (beauty-data@agile-bonbon-662.iam.gserviceaccount.com)
2026-06-24 06:06 (beauty-data@agile-bonbon-662.iam.gserviceaccount.com)
2026-06-23 08:04 (beauty-data@agile-bonbon-662.iam.gserviceaccount.com)
2026-06-23 07:07 (beauty-data@agile-bonbon-662.iam.gserviceaccount.com)</t>
  </si>
  <si>
    <t>2026-04-13 11:10 (clare.isakson58@thehutgroup.com)
2026-04-13 11:01 (clare.isakson58@thehutgroup.com)
2026-04-13 11:01 (clare.isakson58@thehutgroup.com)
2026-04-13 11:01 (clare.isakson58@thehutgroup.com)
2026-04-13 11:01 (clare.isakson58@thehutgroup.com)</t>
  </si>
  <si>
    <t>Basket_Conversion</t>
  </si>
  <si>
    <t>2026-06-24 00:16 (central-marketing-credentials@thg-central-marketing.iam.gserviceaccount.com)
2026-06-24 00:16 (central-marketing-credentials@thg-central-marketing.iam.gserviceaccount.com)
2026-06-23 00:17 (central-marketing-credentials@thg-central-marketing.iam.gserviceaccount.com)
2026-06-23 00:17 (central-marketing-credentials@thg-central-marketing.iam.gserviceaccount.com)
2026-06-22 00:16 (central-marketing-credentials@thg-central-marketing.iam.gserviceaccount.com)</t>
  </si>
  <si>
    <t>Legacy_Ingenuity</t>
  </si>
  <si>
    <t>2026-06-24 10:42 (marketing-analytics@thg-influencer.iam.gserviceaccount.com)
2026-06-24 10:42 (marketing-analytics@thg-influencer.iam.gserviceaccount.com)
2026-06-24 10:42 (marketing-analytics@thg-influencer.iam.gserviceaccount.com)
2026-06-24 10:41 (marketing-analytics@thg-influencer.iam.gserviceaccount.com)
2026-06-24 10:41 (marketing-analytics@thg-influencer.iam.gserviceaccount.com)</t>
  </si>
  <si>
    <t>2026-06-23 19:30 (marketing-analytics@thg-influencer.iam.gserviceaccount.com)
2026-06-23 19:30 (marketing-analytics@thg-influencer.iam.gserviceaccount.com)
2026-06-23 19:30 (marketing-analytics@thg-influencer.iam.gserviceaccount.com)
2026-06-23 19:30 (marketing-analytics@thg-influencer.iam.gserviceaccount.com)
2026-06-23 18:44 (marketing-analytics@thg-influencer.iam.gserviceaccount.com)</t>
  </si>
  <si>
    <t>ditto_ingenuity</t>
  </si>
  <si>
    <t>2026-06-24 10:51 (airflow-xcom-metadata@the-hut-group.iam.gserviceaccount.com)
2026-06-24 10:51 (airflow-xcom-metadata@the-hut-group.iam.gserviceaccount.com)
2026-06-24 10:46 (airflow-xcom-metadata@the-hut-group.iam.gserviceaccount.com)
2026-06-24 10:46 (airflow-xcom-metadata@the-hut-group.iam.gserviceaccount.com)
2026-06-24 10:40 (airflow-xcom-metadata@the-hut-group.iam.gserviceaccount.com)</t>
  </si>
  <si>
    <t>analytics_351406983</t>
  </si>
  <si>
    <t>2026-06-24 08:59 (firebase-measurement@system.gserviceaccount.com)
2026-06-23 16:49 (firebase-measurement@system.gserviceaccount.com)
2026-06-22 09:17 (firebase-measurement@system.gserviceaccount.com)
2026-06-21 09:03 (firebase-measurement@system.gserviceaccount.com)
2026-06-20 22:50 (firebase-measurement@system.gserviceaccount.com)</t>
  </si>
  <si>
    <t>firebase_crashlytics</t>
  </si>
  <si>
    <t>2026-02-27 08:49 (AbbasAli.Sariya93@thg.com)
2026-02-27 08:49 (AbbasAli.Sariya93@thg.com)
2026-02-27 08:29 (AbbasAli.Sariya93@thg.com)
2026-02-27 08:29 (AbbasAli.Sariya93@thg.com)
2026-02-27 08:28 (AbbasAli.Sariya93@thg.com)</t>
  </si>
  <si>
    <t>2026-06-23 13:54 (service-100687420039@gcp-sa-bigquerydatatransfer.iam.gserviceaccount.com)
2026-06-23 13:54 (service-100687420039@gcp-sa-bigquerydatatransfer.iam.gserviceaccount.com)
2026-06-22 13:54 (service-100687420039@gcp-sa-bigquerydatatransfer.iam.gserviceaccount.com)
2026-06-22 13:54 (service-100687420039@gcp-sa-bigquerydatatransfer.iam.gserviceaccount.com)
2026-06-21 13:11 (service-100687420039@gcp-sa-bigquerydatatransfer.iam.gserviceaccount.com)</t>
  </si>
  <si>
    <t>2026-06-24 10:25 (airflow-xcom-metadata@the-hut-group.iam.gserviceaccount.com)
2026-06-24 10:25 (airflow-xcom-metadata@the-hut-group.iam.gserviceaccount.com)
2026-06-24 10:25 (airflow-xcom-metadata@the-hut-group.iam.gserviceaccount.com)
2026-06-24 08:27 (airflow-xcom-metadata@the-hut-group.iam.gserviceaccount.com)
2026-06-24 08:27 (airflow-xcom-metadata@the-hut-group.iam.gserviceaccount.com)</t>
  </si>
  <si>
    <t>Product_Optimisation_Report</t>
  </si>
  <si>
    <t>2026-06-24 02:28 (sa-bpswcbdsql01@thg-beauty.iam.gserviceaccount.com)
2026-06-24 02:28 (sa-bpswcbdsql01@thg-beauty.iam.gserviceaccount.com)
2026-06-24 02:28 (sa-bpswcbdsql01@thg-beauty.iam.gserviceaccount.com)
2026-06-24 02:28 (sa-bpswcbdsql01@thg-beauty.iam.gserviceaccount.com)
2026-06-24 02:28 (sa-bpswcbdsql01@thg-beauty.iam.gserviceaccount.com)</t>
  </si>
  <si>
    <t>2026-06-24 02:28 (sa-bpswcbdsql01@thg-beauty.iam.gserviceaccount.com)
2026-06-24 02:28 (sa-bpswcbdsql01@thg-beauty.iam.gserviceaccount.com)
2026-06-23 02:33 (sa-bpswcbdsql01@thg-beauty.iam.gserviceaccount.com)
2026-06-23 02:33 (sa-bpswcbdsql01@thg-beauty.iam.gserviceaccount.com)
2026-06-22 02:30 (sa-bpswcbdsql01@thg-beauty.iam.gserviceaccount.com)</t>
  </si>
  <si>
    <t>analytics_272800496</t>
  </si>
  <si>
    <t>2026-05-22 12:20 (nutrition-data-bq@agile-bonbon-662.iam.gserviceaccount.com)
2026-05-19 14:45 (nutrition-data-bq@agile-bonbon-662.iam.gserviceaccount.com)
2026-05-15 14:13 (nutrition-data-bq@agile-bonbon-662.iam.gserviceaccount.com)
2026-04-29 10:06 (ingersolla@thehutgroup.com)</t>
  </si>
  <si>
    <t>2026-06-24 09:22 (firebase-measurement@system.gserviceaccount.com)
2026-06-23 09:19 (firebase-measurement@system.gserviceaccount.com)
2026-06-22 09:07 (firebase-measurement@system.gserviceaccount.com)
2026-06-21 09:15 (firebase-measurement@system.gserviceaccount.com)
2026-06-20 18:37 (firebase-measurement@system.gserviceaccount.com)</t>
  </si>
  <si>
    <t>0_Roman_EU</t>
  </si>
  <si>
    <t>2026-06-22 02:35 (tableau-bq-ingenuity-sa@thg-ingenuity.iam.gserviceaccount.com)
2026-06-20 02:34 (tableau-bq-ingenuity-sa@thg-ingenuity.iam.gserviceaccount.com)
2026-06-18 02:34 (tableau-bq-ingenuity-sa@thg-ingenuity.iam.gserviceaccount.com)
2026-06-16 02:35 (tableau-bq-ingenuity-sa@thg-ingenuity.iam.gserviceaccount.com)
2026-06-15 02:35 (tableau-bq-ingenuity-sa@thg-ingenuity.iam.gserviceaccount.com)</t>
  </si>
  <si>
    <t>2026-06-24 10:26 (raia@thehutgroup.com)
2026-06-24 09:26 (raia@thehutgroup.com)
2026-06-24 08:25 (raia@thehutgroup.com)
2026-06-24 07:29 (raia@thehutgroup.com)
2026-06-24 06:25 (raia@thehutgroup.com)</t>
  </si>
  <si>
    <t>2026-06-24 02:20 (dittwo@thg-ingenuity.iam.gserviceaccount.com)
2026-06-24 02:10 (dittwo@thg-ingenuity.iam.gserviceaccount.com)
2026-06-23 23:49 (dittwo@thg-ingenuity.iam.gserviceaccount.com)
2026-06-23 02:20 (dittwo@thg-ingenuity.iam.gserviceaccount.com)
2026-06-23 02:10 (dittwo@thg-ingenuity.iam.gserviceaccount.com)</t>
  </si>
  <si>
    <t>analytics_314490712</t>
  </si>
  <si>
    <t>2026-06-24 10:02 (ga4-sessions-level-1-ingenuity@thg-ingenuity.iam.gserviceaccount.com)
2026-06-23 10:02 (ga4-sessions-level-1-ingenuity@thg-ingenuity.iam.gserviceaccount.com)
2026-06-22 10:02 (ga4-sessions-level-1-ingenuity@thg-ingenuity.iam.gserviceaccount.com)
2026-06-21 10:02 (ga4-sessions-level-1-ingenuity@thg-ingenuity.iam.gserviceaccount.com)
2026-06-20 20:02 (ga4-sessions-level-1-ingenuity@thg-ingenuity.iam.gserviceaccount.com)</t>
  </si>
  <si>
    <t>2026-06-24 08:44 (firebase-measurement@system.gserviceaccount.com)
2026-06-23 08:55 (firebase-measurement@system.gserviceaccount.com)
2026-06-22 08:45 (firebase-measurement@system.gserviceaccount.com)
2026-06-21 08:46 (firebase-measurement@system.gserviceaccount.com)
2026-06-20 18:19 (firebase-measurement@system.gserviceaccount.com)</t>
  </si>
  <si>
    <t>v2_THG_Traffic</t>
  </si>
  <si>
    <t>2026-06-24 02:51 (marketing-analytics@thg-influencer.iam.gserviceaccount.com)
2026-06-24 01:57 (marketing-analytics@thg-influencer.iam.gserviceaccount.com)
2026-06-24 01:57 (marketing-analytics@thg-influencer.iam.gserviceaccount.com)
2026-06-24 01:57 (marketing-analytics@thg-influencer.iam.gserviceaccount.com)
2026-06-23 02:54 (marketing-analytics@thg-influencer.iam.gserviceaccount.com)</t>
  </si>
  <si>
    <t>2026-06-24 01:57 (marketing-analytics@thg-influencer.iam.gserviceaccount.com)
2026-06-24 01:55 (marketing-analytics@thg-influencer.iam.gserviceaccount.com)
2026-06-24 01:55 (marketing-analytics@thg-influencer.iam.gserviceaccount.com)
2026-06-23 01:57 (marketing-analytics@thg-influencer.iam.gserviceaccount.com)
2026-06-23 01:55 (marketing-analytics@thg-influencer.iam.gserviceaccount.com)</t>
  </si>
  <si>
    <t>analytics_275678324</t>
  </si>
  <si>
    <t>2026-06-23 18:03 (firebase-measurement@system.gserviceaccount.com)
2026-06-22 18:08 (firebase-measurement@system.gserviceaccount.com)
2026-06-21 17:58 (firebase-measurement@system.gserviceaccount.com)
2026-06-20 18:40 (firebase-measurement@system.gserviceaccount.com)
2026-06-19 21:36 (firebase-measurement@system.gserviceaccount.com)</t>
  </si>
  <si>
    <t>0_JamesLloyd_EU</t>
  </si>
  <si>
    <t>2026-06-24 03:01 (nutrition-data-bq@agile-bonbon-662.iam.gserviceaccount.com)
2026-06-24 02:15 (nutrition-data-bq@agile-bonbon-662.iam.gserviceaccount.com)
2026-06-23 03:01 (nutrition-data-bq@agile-bonbon-662.iam.gserviceaccount.com)
2026-06-23 02:15 (nutrition-data-bq@agile-bonbon-662.iam.gserviceaccount.com)
2026-06-22 03:01 (nutrition-data-bq@agile-bonbon-662.iam.gserviceaccount.com)</t>
  </si>
  <si>
    <t>2026-05-06 13:34 (james.lloyd34@thg.com)
2026-05-06 13:29 (james.lloyd34@thg.com)
2026-05-06 10:19 (james.lloyd34@thg.com)
2026-05-06 10:17 (james.lloyd34@thg.com)
2026-05-06 10:17 (james.lloyd34@thg.com)</t>
  </si>
  <si>
    <t>01_Naomi</t>
  </si>
  <si>
    <t>2026-06-24 06:30 (central-marketing-credentials@thg-central-marketing.iam.gserviceaccount.com)
2026-06-24 05:33 (tableau-bq-ingenuity-sa@thg-ingenuity.iam.gserviceaccount.com)
2026-06-24 05:32 (tableau-bq-ingenuity-sa@thg-ingenuity.iam.gserviceaccount.com)
2026-06-24 05:31 (raia@thehutgroup.com)
2026-06-24 03:05 (tableau-bq-ingenuity-sa@thg-ingenuity.iam.gserviceaccount.com)</t>
  </si>
  <si>
    <t>2026-06-24 02:55 (dittwo@thg-ingenuity.iam.gserviceaccount.com)
2026-06-24 02:42 (dittwo@thg-ingenuity.iam.gserviceaccount.com)
2026-06-24 02:41 (dittwo@thg-ingenuity.iam.gserviceaccount.com)
2026-06-24 02:39 (dittwo@thg-ingenuity.iam.gserviceaccount.com)
2026-06-24 02:35 (dittwo@thg-ingenuity.iam.gserviceaccount.com)</t>
  </si>
  <si>
    <t>analytics_280433169</t>
  </si>
  <si>
    <t>2026-06-24 10:04 (ga4-sessions-level-1-ingenuity@thg-ingenuity.iam.gserviceaccount.com)
2026-06-24 10:02 (ga4-sessions-level-1-ingenuity@thg-ingenuity.iam.gserviceaccount.com)
2026-06-24 00:02 (ga4-sessions-level-1-ingenuity@thg-ingenuity.iam.gserviceaccount.com)
2026-06-23 22:03 (ga4-sessions-level-1-ingenuity@thg-ingenuity.iam.gserviceaccount.com)
2026-06-23 16:03 (ga4-sessions-level-1-ingenuity@thg-ingenuity.iam.gserviceaccount.com)</t>
  </si>
  <si>
    <t>2026-06-24 08:18 (firebase-measurement@system.gserviceaccount.com)
2026-06-23 11:08 (firebase-measurement@system.gserviceaccount.com)
2026-06-22 08:33 (firebase-measurement@system.gserviceaccount.com)
2026-06-22 08:33 (firebase-measurement@system.gserviceaccount.com)
2026-06-21 08:24 (firebase-measurement@system.gserviceaccount.com)</t>
  </si>
  <si>
    <t>0_Rashmay_EU</t>
  </si>
  <si>
    <t>2026-06-24 05:14 (nutrition-data-bq@agile-bonbon-662.iam.gserviceaccount.com)
2026-06-24 02:04 (nutrition-data-bq@agile-bonbon-662.iam.gserviceaccount.com)
2026-06-24 02:03 (nutrition-data-bq@agile-bonbon-662.iam.gserviceaccount.com)
2026-06-24 02:01 (nutrition-data-bq@agile-bonbon-662.iam.gserviceaccount.com)
2026-06-24 02:01 (nutrition-data-bq@agile-bonbon-662.iam.gserviceaccount.com)</t>
  </si>
  <si>
    <t>2026-06-24 05:14 (nutrition-data-bq@agile-bonbon-662.iam.gserviceaccount.com)
2026-06-24 02:05 (nutrition-data-bq@agile-bonbon-662.iam.gserviceaccount.com)
2026-06-24 02:05 (nutrition-data-bq@agile-bonbon-662.iam.gserviceaccount.com)
2026-06-24 02:05 (nutrition-data-bq@agile-bonbon-662.iam.gserviceaccount.com)
2026-06-24 02:04 (nutrition-data-bq@agile-bonbon-662.iam.gserviceaccount.com)</t>
  </si>
  <si>
    <t>Nutrition_Data_Price_Scraping</t>
  </si>
  <si>
    <t>2026-06-24 09:30 (nutrition-data-bq@agile-bonbon-662.iam.gserviceaccount.com)
2026-06-24 07:31 (nutrition-data-bq@agile-bonbon-662.iam.gserviceaccount.com)
2026-06-24 05:30 (nutrition-data-bq@agile-bonbon-662.iam.gserviceaccount.com)
2026-06-24 03:30 (nutrition-data-bq@agile-bonbon-662.iam.gserviceaccount.com)
2026-06-24 01:30 (nutrition-data-bq@agile-bonbon-662.iam.gserviceaccount.com)</t>
  </si>
  <si>
    <t>2026-06-24 09:02 (nutrition-data-bq@agile-bonbon-662.iam.gserviceaccount.com)
2026-06-24 07:03 (nutrition-data-bq@agile-bonbon-662.iam.gserviceaccount.com)
2026-06-24 05:02 (nutrition-data-bq@agile-bonbon-662.iam.gserviceaccount.com)
2026-06-24 03:01 (nutrition-data-bq@agile-bonbon-662.iam.gserviceaccount.com)
2026-06-24 01:01 (nutrition-data-bq@agile-bonbon-662.iam.gserviceaccount.com)</t>
  </si>
  <si>
    <t>Ingenuity_GA_Import</t>
  </si>
  <si>
    <t>2026-06-24 10:41 (marketing-analytics@thg-influencer.iam.gserviceaccount.com)
2026-06-24 10:41 (marketing-analytics@thg-influencer.iam.gserviceaccount.com)
2026-06-24 10:40 (marketing-analytics@thg-influencer.iam.gserviceaccount.com)
2026-06-24 10:40 (marketing-analytics@thg-influencer.iam.gserviceaccount.com)
2026-06-24 10:40 (marketing-analytics@thg-influencer.iam.gserviceaccount.com)</t>
  </si>
  <si>
    <t>vertex_ai_audit_eu</t>
  </si>
  <si>
    <t>Vertex AI audit logs in EU for cost-per-user analysis</t>
  </si>
  <si>
    <t>2026-05-19 09:40 (lupuletic@thehutgroup.com)
2026-05-19 09:22 (lupuletic@thehutgroup.com)
2026-05-19 09:22 (lupuletic@thehutgroup.com)
2026-05-19 09:22 (lupuletic@thehutgroup.com)
2026-05-19 09:21 (lupuletic@thehutgroup.com)</t>
  </si>
  <si>
    <t>analytics_423332442</t>
  </si>
  <si>
    <t>2026-06-23 23:34 (firebase-measurement@system.gserviceaccount.com)
2026-06-22 17:21 (firebase-measurement@system.gserviceaccount.com)
2026-06-21 17:23 (firebase-measurement@system.gserviceaccount.com)
2026-06-21 03:21 (firebase-measurement@system.gserviceaccount.com)
2026-06-19 21:27 (firebase-measurement@system.gserviceaccount.com)</t>
  </si>
  <si>
    <t>ML_Sentiment</t>
  </si>
  <si>
    <t>2026-06-24 03:02 (marketing-analytics@thg-influencer.iam.gserviceaccount.com)
2026-06-23 03:02 (marketing-analytics@thg-influencer.iam.gserviceaccount.com)
2026-06-22 03:02 (marketing-analytics@thg-influencer.iam.gserviceaccount.com)
2026-06-21 03:02 (marketing-analytics@thg-influencer.iam.gserviceaccount.com)
2026-06-20 03:02 (marketing-analytics@thg-influencer.iam.gserviceaccount.com)</t>
  </si>
  <si>
    <t>thcdn_access_log</t>
  </si>
  <si>
    <t>SQL_Replication</t>
  </si>
  <si>
    <t>2026-03-10 17:28 (peakn@thehutgroup.com)
2026-03-10 17:23 (peakn@thehutgroup.com)
2026-03-10 16:58 (peakn@thehutgroup.com)
2026-03-10 16:54 (peakn@thehutgroup.com)</t>
  </si>
  <si>
    <t>2026-06-24 05:08 (central-marketing-credentials@thg-central-marketing.iam.gserviceaccount.com)
2026-06-24 05:08 (central-marketing-credentials@thg-central-marketing.iam.gserviceaccount.com)
2026-06-24 04:26 (central-marketing-credentials@thg-central-marketing.iam.gserviceaccount.com)
2026-06-24 04:10 (central-marketing-credentials@thg-central-marketing.iam.gserviceaccount.com)
2026-06-24 04:02 (central-marketing-credentials@thg-central-marketing.iam.gserviceaccount.com)</t>
  </si>
  <si>
    <t>2026-06-24 00:10 (central-marketing-credentials@thg-central-marketing.iam.gserviceaccount.com)
2026-06-24 00:04 (central-marketing-credentials@thg-central-marketing.iam.gserviceaccount.com)
2026-06-24 00:03 (central-marketing-credentials@thg-central-marketing.iam.gserviceaccount.com)
2026-06-24 00:02 (central-marketing-credentials@thg-central-marketing.iam.gserviceaccount.com)
2026-06-24 00:02 (central-marketing-credentials@thg-central-marketing.iam.gserviceaccount.com)</t>
  </si>
  <si>
    <t>pychain</t>
  </si>
  <si>
    <t>2026-06-24 08:32 (nutrition-data-category-bq@agile-bonbon-662.iam.gserviceaccount.com)
2026-06-24 07:26 (nutrition-data-category-bq@agile-bonbon-662.iam.gserviceaccount.com)
2026-06-24 06:44 (nutrition-data-category-bq@agile-bonbon-662.iam.gserviceaccount.com)
2026-06-24 06:31 (nutrition-data-category-bq@agile-bonbon-662.iam.gserviceaccount.com)
2026-06-24 06:25 (nutrition-data-category-bq@agile-bonbon-662.iam.gserviceaccount.com)</t>
  </si>
  <si>
    <t>2026-06-24 10:31 (nutrition-data-category-bq@agile-bonbon-662.iam.gserviceaccount.com)
2026-06-24 07:31 (nutrition-data-category-bq@agile-bonbon-662.iam.gserviceaccount.com)
2026-06-24 07:25 (nutrition-data-category-bq@agile-bonbon-662.iam.gserviceaccount.com)
2026-06-24 06:44 (nutrition-data-category-bq@agile-bonbon-662.iam.gserviceaccount.com)
2026-06-24 06:28 (nutrition-data-category-bq@agile-bonbon-662.iam.gserviceaccount.com)</t>
  </si>
  <si>
    <t>0_Ben_EU</t>
  </si>
  <si>
    <t>2026-06-23 14:34 (sam.atkin98@thehutgroup.com)
2026-06-23 13:57 (smithb@thehutgroup.com)
2026-06-23 13:57 (smithb@thehutgroup.com)
2026-06-23 13:57 (smithb@thehutgroup.com)
2026-06-23 13:55 (smithb@thehutgroup.com)</t>
  </si>
  <si>
    <t>2026-06-23 13:04 (smithb@thehutgroup.com)
2026-06-23 13:01 (smithb@thehutgroup.com)
2026-06-23 10:57 (smithb@thehutgroup.com)
2026-06-23 10:54 (smithb@thehutgroup.com)
2026-06-10 15:32 (smithb@thehutgroup.com)</t>
  </si>
  <si>
    <t>data_science</t>
  </si>
  <si>
    <t>2026-06-24 10:27 (bigquery-adminbot@system.gserviceaccount.com)
2026-06-24 10:24 (bigquery-adminbot@system.gserviceaccount.com)
2026-06-24 10:18 (bigquery-adminbot@system.gserviceaccount.com)
2026-06-24 10:06 (bigquery-adminbot@system.gserviceaccount.com)
2026-06-24 10:00 (bigquery-adminbot@system.gserviceaccount.com)</t>
  </si>
  <si>
    <t>Myprotein_Onboarding_Dashboard</t>
  </si>
  <si>
    <t>2026-05-22 12:19 (nutrition-data-bq@agile-bonbon-662.iam.gserviceaccount.com)
2026-05-19 14:35 (nutrition-data-bq@agile-bonbon-662.iam.gserviceaccount.com)
2026-05-15 14:02 (nutrition-data-bq@agile-bonbon-662.iam.gserviceaccount.com)
2026-04-29 10:04 (ingersolla@thehutgroup.com)
2026-02-10 07:52 (nutrition-data-bq@agile-bonbon-662.iam.gserviceaccount.com)</t>
  </si>
  <si>
    <t>2026-06-24 05:05 (nutrition-data-bq@agile-bonbon-662.iam.gserviceaccount.com)
2026-06-24 05:05 (nutrition-data-bq@agile-bonbon-662.iam.gserviceaccount.com)
2026-06-24 05:05 (nutrition-data-bq@agile-bonbon-662.iam.gserviceaccount.com)
2026-06-24 05:05 (nutrition-data-bq@agile-bonbon-662.iam.gserviceaccount.com)
2026-06-24 05:05 (nutrition-data-bq@agile-bonbon-662.iam.gserviceaccount.com)</t>
  </si>
  <si>
    <t>analytics_498144812</t>
  </si>
  <si>
    <t>2026-06-24 09:18 (firebase-measurement@system.gserviceaccount.com)
2026-06-24 08:44 (firebase-measurement@system.gserviceaccount.com)
2026-06-23 11:34 (firebase-measurement@system.gserviceaccount.com)
2026-06-23 08:57 (firebase-measurement@system.gserviceaccount.com)
2026-06-23 08:48 (firebase-measurement@system.gserviceaccount.com)</t>
  </si>
  <si>
    <t>Ingenuity_Influencer_Details</t>
  </si>
  <si>
    <t>2026-06-24 10:42 (marketing-analytics@thg-influencer.iam.gserviceaccount.com)
2026-06-24 10:41 (marketing-analytics@thg-influencer.iam.gserviceaccount.com)
2026-06-24 10:23 (marketing-analytics@thg-influencer.iam.gserviceaccount.com)
2026-06-24 09:42 (marketing-analytics@thg-influencer.iam.gserviceaccount.com)
2026-06-24 09:41 (marketing-analytics@thg-influencer.iam.gserviceaccount.com)</t>
  </si>
  <si>
    <t>2026-06-24 10:00 (marketing-analytics@thg-influencer.iam.gserviceaccount.com)
2026-06-24 10:00 (marketing-analytics@thg-influencer.iam.gserviceaccount.com)
2026-06-24 09:00 (marketing-analytics@thg-influencer.iam.gserviceaccount.com)
2026-06-24 09:00 (marketing-analytics@thg-influencer.iam.gserviceaccount.com)
2026-06-24 08:00 (marketing-analytics@thg-influencer.iam.gserviceaccount.com)</t>
  </si>
  <si>
    <t>2026-04-29 09:57 (ingersolla@thehutgroup.com)
2026-03-11 11:22 (konstantinoun@thehutgroup.com)
2026-03-10 08:30 (dittocloudv3-sandbox@vibrant-map-107910.iam.gserviceaccount.com)
2026-03-10 07:21 (dittocloudv3-sandbox@vibrant-map-107910.iam.gserviceaccount.com)
2026-03-10 06:21 (dittocloudv3-sandbox@vibrant-map-107910.iam.gserviceaccount.com)</t>
  </si>
  <si>
    <t>Myprotein_NC_Initiatives</t>
  </si>
  <si>
    <t>2026-06-24 08:01 (nutrition-data-bq@agile-bonbon-662.iam.gserviceaccount.com)
2026-06-24 05:49 (nutrition-data-bq@agile-bonbon-662.iam.gserviceaccount.com)
2026-06-23 05:51 (nutrition-data-bq@agile-bonbon-662.iam.gserviceaccount.com)
2026-06-22 05:49 (nutrition-data-bq@agile-bonbon-662.iam.gserviceaccount.com)
2026-06-21 05:50 (nutrition-data-bq@agile-bonbon-662.iam.gserviceaccount.com)</t>
  </si>
  <si>
    <t>2026-06-24 02:25 (dittwo@thg-ingenuity.iam.gserviceaccount.com)
2026-06-23 02:25 (dittwo@thg-ingenuity.iam.gserviceaccount.com)
2026-06-22 02:25 (dittwo@thg-ingenuity.iam.gserviceaccount.com)
2026-06-21 02:25 (dittwo@thg-ingenuity.iam.gserviceaccount.com)
2026-06-20 02:25 (dittwo@thg-ingenuity.iam.gserviceaccount.com)</t>
  </si>
  <si>
    <t>analytics_377952073</t>
  </si>
  <si>
    <t>2026-06-24 10:02 (ga4-sessions-level-1-ingenuity@thg-ingenuity.iam.gserviceaccount.com)
2026-06-23 12:02 (ga4-sessions-level-1-ingenuity@thg-ingenuity.iam.gserviceaccount.com)
2026-06-22 12:02 (ga4-sessions-level-1-ingenuity@thg-ingenuity.iam.gserviceaccount.com)
2026-06-21 12:02 (ga4-sessions-level-1-ingenuity@thg-ingenuity.iam.gserviceaccount.com)
2026-06-21 00:01 (ga4-sessions-level-1-ingenuity@thg-ingenuity.iam.gserviceaccount.com)</t>
  </si>
  <si>
    <t>2026-06-24 10:00 (firebase-measurement@system.gserviceaccount.com)
2026-06-23 10:55 (firebase-measurement@system.gserviceaccount.com)
2026-06-22 10:34 (firebase-measurement@system.gserviceaccount.com)
2026-06-21 10:17 (firebase-measurement@system.gserviceaccount.com)
2026-06-20 22:41 (firebase-measurement@system.gserviceaccount.com)</t>
  </si>
  <si>
    <t>gcp_asset_inventory</t>
  </si>
  <si>
    <t>2026-06-23 19:41 (asset-export@thg-finops-nonprod.iam.gserviceaccount.com)
2026-06-22 20:05 (asset-export@thg-finops-nonprod.iam.gserviceaccount.com)
2026-06-21 19:36 (asset-export@thg-finops-nonprod.iam.gserviceaccount.com)
2026-06-20 19:36 (asset-export@thg-finops-nonprod.iam.gserviceaccount.com)
2026-06-19 19:37 (asset-export@thg-finops-nonprod.iam.gserviceaccount.com)</t>
  </si>
  <si>
    <t>2026-06-23 19:17 (service-559340329397@gcp-sa-cloudasset.iam.gserviceaccount.com)
2026-06-23 19:17 (service-559340329397@gcp-sa-cloudasset.iam.gserviceaccount.com)
2026-06-22 19:44 (service-559340329397@gcp-sa-cloudasset.iam.gserviceaccount.com)
2026-06-22 19:44 (service-559340329397@gcp-sa-cloudasset.iam.gserviceaccount.com)
2026-06-21 19:04 (service-559340329397@gcp-sa-cloudasset.iam.gserviceaccount.com)</t>
  </si>
  <si>
    <t>Ingenuity_Conversions</t>
  </si>
  <si>
    <t>2026-06-24 10:43 (marketing-analytics@thg-influencer.iam.gserviceaccount.com)
2026-06-24 10:42 (marketing-analytics@thg-influencer.iam.gserviceaccount.com)
2026-06-24 10:42 (marketing-analytics@thg-influencer.iam.gserviceaccount.com)
2026-06-24 10:42 (marketing-analytics@thg-influencer.iam.gserviceaccount.com)
2026-06-24 10:42 (marketing-analytics@thg-influencer.iam.gserviceaccount.com)</t>
  </si>
  <si>
    <t>2026-06-24 10:43 (marketing-analytics@thg-influencer.iam.gserviceaccount.com)
2026-06-24 10:42 (marketing-analytics@thg-influencer.iam.gserviceaccount.com)
2026-06-24 10:42 (marketing-analytics@thg-influencer.iam.gserviceaccount.com)
2026-06-24 10:41 (marketing-analytics@thg-influencer.iam.gserviceaccount.com)
2026-06-24 10:41 (marketing-analytics@thg-influencer.iam.gserviceaccount.com)</t>
  </si>
  <si>
    <t>EU_Reports</t>
  </si>
  <si>
    <t>analytics_376211767</t>
  </si>
  <si>
    <t>2026-06-24 08:02 (ga4-sessions-level-1-ingenuity@thg-ingenuity.iam.gserviceaccount.com)
2026-06-23 08:02 (ga4-sessions-level-1-ingenuity@thg-ingenuity.iam.gserviceaccount.com)
2026-06-22 08:03 (ga4-sessions-level-1-ingenuity@thg-ingenuity.iam.gserviceaccount.com)
2026-06-21 08:02 (ga4-sessions-level-1-ingenuity@thg-ingenuity.iam.gserviceaccount.com)
2026-06-20 20:02 (ga4-sessions-level-1-ingenuity@thg-ingenuity.iam.gserviceaccount.com)</t>
  </si>
  <si>
    <t>2026-06-24 07:52 (firebase-measurement@system.gserviceaccount.com)
2026-06-23 07:56 (firebase-measurement@system.gserviceaccount.com)
2026-06-22 07:33 (firebase-measurement@system.gserviceaccount.com)
2026-06-21 07:36 (firebase-measurement@system.gserviceaccount.com)
2026-06-20 18:08 (firebase-measurement@system.gserviceaccount.com)</t>
  </si>
  <si>
    <t>Adverity_GoogleAnalytics</t>
  </si>
  <si>
    <t>2026-06-24 03:15 (central-marketing-credentials@thg-central-marketing.iam.gserviceaccount.com)
2026-06-24 03:15 (central-marketing-credentials@thg-central-marketing.iam.gserviceaccount.com)
2026-06-24 02:09 (central-marketing-credentials@thg-central-marketing.iam.gserviceaccount.com)
2026-06-24 02:09 (central-marketing-credentials@thg-central-marketing.iam.gserviceaccount.com)
2026-06-24 02:05 (central-marketing-credentials@thg-central-marketing.iam.gserviceaccount.com)</t>
  </si>
  <si>
    <t>2026-04-20 00:54 (thg-adverity@agile-bonbon-662.iam.gserviceaccount.com)
2026-04-20 00:54 (thg-adverity@agile-bonbon-662.iam.gserviceaccount.com)
2026-04-20 00:53 (thg-adverity@agile-bonbon-662.iam.gserviceaccount.com)
2026-04-20 00:53 (thg-adverity@agile-bonbon-662.iam.gserviceaccount.com)
2026-04-20 00:53 (thg-adverity@agile-bonbon-662.iam.gserviceaccount.com)</t>
  </si>
  <si>
    <t>BI_Extract_Framework</t>
  </si>
  <si>
    <t>2026-06-24 06:00 (ditto-ingenuity@the-hut-group.iam.gserviceaccount.com)
2026-06-24 06:00 (ditto-ingenuity@the-hut-group.iam.gserviceaccount.com)
2026-06-24 06:00 (ditto-ingenuity@the-hut-group.iam.gserviceaccount.com)
2026-06-23 06:00 (ditto-ingenuity@the-hut-group.iam.gserviceaccount.com)
2026-06-23 06:00 (ditto-ingenuity@the-hut-group.iam.gserviceaccount.com)</t>
  </si>
  <si>
    <t>Trade_Promotions_Discounts</t>
  </si>
  <si>
    <t>2026-06-24 10:20 (central-marketing-credentials@thg-central-marketing.iam.gserviceaccount.com)
2026-06-24 10:20 (central-marketing-credentials@thg-central-marketing.iam.gserviceaccount.com)
2026-06-24 09:20 (central-marketing-credentials@thg-central-marketing.iam.gserviceaccount.com)
2026-06-24 09:20 (central-marketing-credentials@thg-central-marketing.iam.gserviceaccount.com)
2026-06-24 08:20 (central-marketing-credentials@thg-central-marketing.iam.gserviceaccount.com)</t>
  </si>
  <si>
    <t>Adverity_Fospha</t>
  </si>
  <si>
    <t>2026-06-24 07:20 (jamie.atkinson98@thehutgroup.com)
2026-06-24 06:02 (nutrition-data-bq@agile-bonbon-662.iam.gserviceaccount.com)
2026-06-24 05:46 (nutrition-data-bq@agile-bonbon-662.iam.gserviceaccount.com)
2026-06-24 05:26 (nutrition-data-bq@agile-bonbon-662.iam.gserviceaccount.com)
2026-06-24 05:17 (nutrition-data-bq@agile-bonbon-662.iam.gserviceaccount.com)</t>
  </si>
  <si>
    <t>2026-06-24 00:11 (nutrition-data-bq@agile-bonbon-662.iam.gserviceaccount.com)
2026-06-24 00:10 (nutrition-data-bq@agile-bonbon-662.iam.gserviceaccount.com)
2026-06-23 00:10 (nutrition-data-bq@agile-bonbon-662.iam.gserviceaccount.com)
2026-06-23 00:10 (nutrition-data-bq@agile-bonbon-662.iam.gserviceaccount.com)
2026-06-22 00:11 (nutrition-data-bq@agile-bonbon-662.iam.gserviceaccount.com)</t>
  </si>
  <si>
    <t>applications</t>
  </si>
  <si>
    <t>2026-06-24 10:50 (ecrm-service@the-hut-group.iam.gserviceaccount.com)
2026-06-24 10:45 (ecrm-service@the-hut-group.iam.gserviceaccount.com)
2026-06-24 10:40 (ecrm-service@the-hut-group.iam.gserviceaccount.com)
2026-06-24 10:30 (ecrm-service@the-hut-group.iam.gserviceaccount.com)
2026-06-24 10:23 (RaatzT@thehutgroup.com)</t>
  </si>
  <si>
    <t>2026-06-24 03:00 (customer-cookie-mapping@the-hut-group.iam.gserviceaccount.com)
2026-06-23 03:00 (customer-cookie-mapping@the-hut-group.iam.gserviceaccount.com)
2026-06-22 03:00 (customer-cookie-mapping@the-hut-group.iam.gserviceaccount.com)
2026-06-22 00:00 (guos@thehutgroup.com)
2026-06-21 03:00 (customer-cookie-mapping@the-hut-group.iam.gserviceaccount.com)</t>
  </si>
  <si>
    <t>2026-06-24 10:23 (central-marketing-credentials@thg-central-marketing.iam.gserviceaccount.com)
2026-06-24 10:23 (central-marketing-credentials@thg-central-marketing.iam.gserviceaccount.com)
2026-06-24 09:23 (central-marketing-credentials@thg-central-marketing.iam.gserviceaccount.com)
2026-06-24 09:23 (central-marketing-credentials@thg-central-marketing.iam.gserviceaccount.com)
2026-06-24 08:23 (central-marketing-credentials@thg-central-marketing.iam.gserviceaccount.com)</t>
  </si>
  <si>
    <t>2026-06-24 10:23 (central-marketing-credentials@thg-central-marketing.iam.gserviceaccount.com)
2026-06-24 10:22 (central-marketing-credentials@thg-central-marketing.iam.gserviceaccount.com)
2026-06-24 10:22 (central-marketing-credentials@thg-central-marketing.iam.gserviceaccount.com)
2026-06-24 10:22 (central-marketing-credentials@thg-central-marketing.iam.gserviceaccount.com)
2026-06-24 10:22 (central-marketing-credentials@thg-central-marketing.iam.gserviceaccount.com)</t>
  </si>
  <si>
    <t>v2_THG_Costs</t>
  </si>
  <si>
    <t>2026-06-24 02:07 (marketing-analytics@thg-influencer.iam.gserviceaccount.com)
2026-06-24 02:07 (marketing-analytics@thg-influencer.iam.gserviceaccount.com)
2026-06-24 02:06 (marketing-analytics@thg-influencer.iam.gserviceaccount.com)
2026-06-24 02:00 (marketing-analytics@thg-influencer.iam.gserviceaccount.com)
2026-06-24 01:55 (marketing-analytics@thg-influencer.iam.gserviceaccount.com)</t>
  </si>
  <si>
    <t>Referral_Scheme_Report</t>
  </si>
  <si>
    <t>2026-06-24 00:18 (nutrition-data-bq@agile-bonbon-662.iam.gserviceaccount.com)
2026-06-23 00:18 (nutrition-data-bq@agile-bonbon-662.iam.gserviceaccount.com)
2026-06-22 00:18 (nutrition-data-bq@agile-bonbon-662.iam.gserviceaccount.com)
2026-06-21 00:17 (nutrition-data-bq@agile-bonbon-662.iam.gserviceaccount.com)
2026-06-20 00:18 (nutrition-data-bq@agile-bonbon-662.iam.gserviceaccount.com)</t>
  </si>
  <si>
    <t>2026-06-24 00:21 (nutrition-data-bq@agile-bonbon-662.iam.gserviceaccount.com)
2026-06-24 00:19 (nutrition-data-bq@agile-bonbon-662.iam.gserviceaccount.com)
2026-06-24 00:19 (nutrition-data-bq@agile-bonbon-662.iam.gserviceaccount.com)
2026-06-24 00:18 (nutrition-data-bq@agile-bonbon-662.iam.gserviceaccount.com)
2026-06-24 00:18 (nutrition-data-bq@agile-bonbon-662.iam.gserviceaccount.com)</t>
  </si>
  <si>
    <t>Central_Partnerships</t>
  </si>
  <si>
    <t>2026-06-24 05:05 (central-marketing-credentials@thg-central-marketing.iam.gserviceaccount.com)
2026-06-24 05:04 (central-marketing-credentials@thg-central-marketing.iam.gserviceaccount.com)
2026-06-24 05:03 (central-marketing-credentials@thg-central-marketing.iam.gserviceaccount.com)
2026-06-23 05:04 (central-marketing-credentials@thg-central-marketing.iam.gserviceaccount.com)
2026-06-23 05:04 (central-marketing-credentials@thg-central-marketing.iam.gserviceaccount.com)</t>
  </si>
  <si>
    <t>PMD_NC</t>
  </si>
  <si>
    <t>2026-03-24 10:30 (clare.isakson58@thehutgroup.com)
2026-03-24 10:30 (clare.isakson58@thehutgroup.com)
2026-03-24 10:30 (clare.isakson58@thehutgroup.com)
2026-03-24 10:30 (clare.isakson58@thehutgroup.com)
2026-03-24 10:30 (clare.isakson58@thehutgroup.com)</t>
  </si>
  <si>
    <t>Dashmart_Dermstore</t>
  </si>
  <si>
    <t>2026-04-01 08:06 (beauty-data@agile-bonbon-662.iam.gserviceaccount.com)
2026-04-01 08:02 (beauty-data@agile-bonbon-662.iam.gserviceaccount.com)
2026-03-31 15:09 (beauty-data@agile-bonbon-662.iam.gserviceaccount.com)
2026-03-31 14:15 (beauty-data@agile-bonbon-662.iam.gserviceaccount.com)
2026-03-31 14:13 (beauty-data@agile-bonbon-662.iam.gserviceaccount.com)</t>
  </si>
  <si>
    <t>2026-03-31 10:20 (ravi.subramaniam04@thehutgroup.com)
2026-03-31 10:20 (ravi.subramaniam04@thehutgroup.com)
2026-03-31 10:16 (ravi.subramaniam04@thehutgroup.com)
2026-03-31 10:16 (ravi.subramaniam04@thehutgroup.com)
2026-03-31 10:16 (ravi.subramaniam04@thehutgroup.com)</t>
  </si>
  <si>
    <t>2026-06-24 06:32 (nutrition-data-bq@agile-bonbon-662.iam.gserviceaccount.com)
2026-06-24 06:31 (nutrition-data-bq@agile-bonbon-662.iam.gserviceaccount.com)
2026-06-24 06:31 (jamie.atkinson98@thehutgroup.com)
2026-06-24 06:21 (nutrition-data-bq@agile-bonbon-662.iam.gserviceaccount.com)
2026-06-24 05:32 (nutrition-data-bq@agile-bonbon-662.iam.gserviceaccount.com)</t>
  </si>
  <si>
    <t>2026-06-24 04:00 (jamie.atkinson98@thehutgroup.com)
2026-06-24 02:34 (nutrition-data-bq@agile-bonbon-662.iam.gserviceaccount.com)
2026-06-24 02:34 (nutrition-data-bq@agile-bonbon-662.iam.gserviceaccount.com)
2026-06-24 02:04 (nutrition-data-bq@agile-bonbon-662.iam.gserviceaccount.com)
2026-06-24 02:04 (nutrition-data-bq@agile-bonbon-662.iam.gserviceaccount.com)</t>
  </si>
  <si>
    <t>analytics_519098391</t>
  </si>
  <si>
    <t>2026-06-24 05:01 (firebase-measurement@system.gserviceaccount.com)
2026-06-24 01:58 (firebase-measurement@system.gserviceaccount.com)
2026-06-24 01:58 (firebase-measurement@system.gserviceaccount.com)
2026-06-23 05:44 (firebase-measurement@system.gserviceaccount.com)
2026-06-23 02:32 (firebase-measurement@system.gserviceaccount.com)</t>
  </si>
  <si>
    <t>Myprotein_Customer_Activation</t>
  </si>
  <si>
    <t>2026-06-24 03:06 (nutrition-data-bq@agile-bonbon-662.iam.gserviceaccount.com)
2026-06-24 03:02 (nutrition-data-bq@agile-bonbon-662.iam.gserviceaccount.com)
2026-06-24 03:02 (nutrition-data-bq@agile-bonbon-662.iam.gserviceaccount.com)
2026-06-24 03:01 (nutrition-data-bq@agile-bonbon-662.iam.gserviceaccount.com)
2026-06-24 03:01 (nutrition-data-bq@agile-bonbon-662.iam.gserviceaccount.com)</t>
  </si>
  <si>
    <t>2026-06-24 01:06 (nutrition-data-bq@agile-bonbon-662.iam.gserviceaccount.com)
2026-06-24 01:06 (nutrition-data-bq@agile-bonbon-662.iam.gserviceaccount.com)
2026-06-24 01:05 (nutrition-data-bq@agile-bonbon-662.iam.gserviceaccount.com)
2026-06-24 01:03 (nutrition-data-bq@agile-bonbon-662.iam.gserviceaccount.com)
2026-06-23 01:06 (nutrition-data-bq@agile-bonbon-662.iam.gserviceaccount.com)</t>
  </si>
  <si>
    <t>Free_to_Paid</t>
  </si>
  <si>
    <t>2026-04-17 10:02 (aakash.kalantre61@thehutgroup.com)
2026-04-17 10:01 (aakash.kalantre61@thehutgroup.com)
2026-04-16 10:01 (aakash.kalantre61@thehutgroup.com)
2026-04-16 10:00 (aakash.kalantre61@thehutgroup.com)
2026-04-13 10:01 (aakash.kalantre61@thehutgroup.com)</t>
  </si>
  <si>
    <t>CRM_Miscellaneous_Projects</t>
  </si>
  <si>
    <t>2026-06-24 06:07 (nutrition-data-bq@agile-bonbon-662.iam.gserviceaccount.com)
2026-06-24 01:15 (nutrition-data-bq@agile-bonbon-662.iam.gserviceaccount.com)
2026-06-24 01:15 (nutrition-data-bq@agile-bonbon-662.iam.gserviceaccount.com)
2026-06-23 06:08 (nutrition-data-bq@agile-bonbon-662.iam.gserviceaccount.com)
2026-06-23 01:15 (nutrition-data-bq@agile-bonbon-662.iam.gserviceaccount.com)</t>
  </si>
  <si>
    <t>2026-06-24 01:15 (nutrition-data-bq@agile-bonbon-662.iam.gserviceaccount.com)
2026-06-24 01:15 (nutrition-data-bq@agile-bonbon-662.iam.gserviceaccount.com)
2026-06-23 01:15 (nutrition-data-bq@agile-bonbon-662.iam.gserviceaccount.com)
2026-06-23 01:15 (nutrition-data-bq@agile-bonbon-662.iam.gserviceaccount.com)
2026-06-22 01:15 (nutrition-data-bq@agile-bonbon-662.iam.gserviceaccount.com)</t>
  </si>
  <si>
    <t>analytics_376205793</t>
  </si>
  <si>
    <t>2026-06-23 12:03 (ga4-sessions-level-1-ingenuity@thg-ingenuity.iam.gserviceaccount.com)
2026-06-22 12:03 (ga4-sessions-level-1-ingenuity@thg-ingenuity.iam.gserviceaccount.com)
2026-06-21 10:03 (ga4-sessions-level-1-ingenuity@thg-ingenuity.iam.gserviceaccount.com)
2026-06-21 00:02 (ga4-sessions-level-1-ingenuity@thg-ingenuity.iam.gserviceaccount.com)
2026-06-19 12:03 (ga4-sessions-level-1-ingenuity@thg-ingenuity.iam.gserviceaccount.com)</t>
  </si>
  <si>
    <t>2026-06-23 11:41 (firebase-measurement@system.gserviceaccount.com)
2026-06-22 10:03 (firebase-measurement@system.gserviceaccount.com)
2026-06-21 09:36 (firebase-measurement@system.gserviceaccount.com)
2026-06-20 22:44 (firebase-measurement@system.gserviceaccount.com)
2026-06-19 11:43 (firebase-measurement@system.gserviceaccount.com)</t>
  </si>
  <si>
    <t>Nutrition_Data_Marketing_Reporting</t>
  </si>
  <si>
    <t>2026-06-24 07:22 (nutrition-data-bq@agile-bonbon-662.iam.gserviceaccount.com)
2026-06-24 07:21 (nutrition-data-bq@agile-bonbon-662.iam.gserviceaccount.com)
2026-06-24 07:21 (nutrition-data-bq@agile-bonbon-662.iam.gserviceaccount.com)
2026-06-24 07:21 (nutrition-data-bq@agile-bonbon-662.iam.gserviceaccount.com)
2026-06-24 07:21 (nutrition-data-bq@agile-bonbon-662.iam.gserviceaccount.com)</t>
  </si>
  <si>
    <t>2026-06-24 07:20 (jamie.atkinson98@thehutgroup.com)
2026-06-24 07:20 (jamie.atkinson98@thehutgroup.com)
2026-06-24 07:20 (jamie.atkinson98@thehutgroup.com)
2026-06-24 07:20 (jamie.atkinson98@thehutgroup.com)
2026-06-24 07:20 (jamie.atkinson98@thehutgroup.com)</t>
  </si>
  <si>
    <t>THG_Costs</t>
  </si>
  <si>
    <t>2026-06-24 10:40 (marketing-analytics@thg-influencer.iam.gserviceaccount.com)
2026-06-24 10:00 (marketing-analytics@thg-influencer.iam.gserviceaccount.com)
2026-06-24 10:00 (marketing-analytics@thg-influencer.iam.gserviceaccount.com)
2026-06-24 09:40 (marketing-analytics@thg-influencer.iam.gserviceaccount.com)
2026-06-24 09:00 (marketing-analytics@thg-influencer.iam.gserviceaccount.com)</t>
  </si>
  <si>
    <t>2026-06-24 01:18 (marketing-analytics@thg-influencer.iam.gserviceaccount.com)
2026-06-24 01:13 (marketing-analytics@thg-influencer.iam.gserviceaccount.com)
2026-06-24 01:12 (marketing-analytics@thg-influencer.iam.gserviceaccount.com)
2026-06-24 01:12 (marketing-analytics@thg-influencer.iam.gserviceaccount.com)
2026-06-24 01:12 (marketing-analytics@thg-influencer.iam.gserviceaccount.com)</t>
  </si>
  <si>
    <t>analytics_376201810</t>
  </si>
  <si>
    <t>2026-06-24 09:09 (firebase-measurement@system.gserviceaccount.com)
2026-06-23 08:33 (firebase-measurement@system.gserviceaccount.com)
2026-06-22 08:16 (firebase-measurement@system.gserviceaccount.com)
2026-06-21 08:39 (firebase-measurement@system.gserviceaccount.com)
2026-06-20 18:08 (firebase-measurement@system.gserviceaccount.com)</t>
  </si>
  <si>
    <t>cm_dv_360_exports</t>
  </si>
  <si>
    <t>2026-06-24 07:34 (cm-exporter-60702@bqe-customers-12.iam.gserviceaccount.com)
2026-06-23 03:21 (cm-exporter-60702@bqe-customers-12.iam.gserviceaccount.com)
2026-06-22 03:03 (cm-exporter-60702@bqe-customers-12.iam.gserviceaccount.com)
2026-06-21 03:03 (cm-exporter-60702@bqe-customers-12.iam.gserviceaccount.com)
2026-06-20 03:03 (cm-exporter-60702@bqe-customers-12.iam.gserviceaccount.com)</t>
  </si>
  <si>
    <t>Nutrition_Data_Marketing</t>
  </si>
  <si>
    <t>2026-06-24 08:07 (nutrition-data-bq@agile-bonbon-662.iam.gserviceaccount.com)
2026-06-24 07:20 (jamie.atkinson98@thehutgroup.com)
2026-06-24 07:20 (jamie.atkinson98@thehutgroup.com)
2026-06-24 07:20 (jamie.atkinson98@thehutgroup.com)
2026-06-24 07:20 (jamie.atkinson98@thehutgroup.com)</t>
  </si>
  <si>
    <t>2026-06-24 05:40 (nutrition-data-bq@agile-bonbon-662.iam.gserviceaccount.com)
2026-06-24 05:40 (nutrition-data-bq@agile-bonbon-662.iam.gserviceaccount.com)
2026-06-24 05:40 (nutrition-data-bq@agile-bonbon-662.iam.gserviceaccount.com)
2026-06-24 05:40 (nutrition-data-bq@agile-bonbon-662.iam.gserviceaccount.com)
2026-06-24 05:39 (nutrition-data-bq@agile-bonbon-662.iam.gserviceaccount.com)</t>
  </si>
  <si>
    <t>analytics_376204600</t>
  </si>
  <si>
    <t>2026-06-23 14:03 (ga4-sessions-level-1-ingenuity@thg-ingenuity.iam.gserviceaccount.com)
2026-06-22 10:04 (ga4-sessions-level-1-ingenuity@thg-ingenuity.iam.gserviceaccount.com)
2026-06-21 16:02 (ga4-sessions-level-1-ingenuity@thg-ingenuity.iam.gserviceaccount.com)
2026-06-21 00:02 (ga4-sessions-level-1-ingenuity@thg-ingenuity.iam.gserviceaccount.com)
2026-06-19 14:03 (ga4-sessions-level-1-ingenuity@thg-ingenuity.iam.gserviceaccount.com)</t>
  </si>
  <si>
    <t>2026-06-24 10:14 (firebase-measurement@system.gserviceaccount.com)
2026-06-23 12:35 (firebase-measurement@system.gserviceaccount.com)
2026-06-22 09:46 (firebase-measurement@system.gserviceaccount.com)
2026-06-21 15:34 (firebase-measurement@system.gserviceaccount.com)
2026-06-20 23:22 (firebase-measurement@system.gserviceaccount.com)</t>
  </si>
  <si>
    <t>2026-06-24 10:04 (ga4-sessions-level-1-ingenuity@thg-ingenuity.iam.gserviceaccount.com)
2026-06-24 10:04 (ga4-sessions-level-1-ingenuity@thg-ingenuity.iam.gserviceaccount.com)
2026-06-24 10:04 (ga4-sessions-level-1-ingenuity@thg-ingenuity.iam.gserviceaccount.com)
2026-06-24 10:04 (ga4-sessions-level-1-ingenuity@thg-ingenuity.iam.gserviceaccount.com)
2026-06-24 10:04 (ga4-sessions-level-1-ingenuity@thg-ingenuity.iam.gserviceaccount.com)</t>
  </si>
  <si>
    <t>VM_Audit</t>
  </si>
  <si>
    <t>2026-05-19 14:48 (vikash.patil03@thg.com)
2026-05-19 14:41 (nutrition-data-bq@agile-bonbon-662.iam.gserviceaccount.com)
2026-05-15 14:10 (nutrition-data-bq@agile-bonbon-662.iam.gserviceaccount.com)
2026-04-29 10:05 (ingersolla@thehutgroup.com)</t>
  </si>
  <si>
    <t>2026-06-24 10:47 (nutrition-data-bq@agile-bonbon-662.iam.gserviceaccount.com)
2026-06-24 10:32 (nutrition-data-bq@agile-bonbon-662.iam.gserviceaccount.com)
2026-06-24 10:31 (nutrition-data-bq@agile-bonbon-662.iam.gserviceaccount.com)
2026-06-24 10:29 (nutrition-data-bq@agile-bonbon-662.iam.gserviceaccount.com)
2026-06-24 10:25 (nutrition-data-bq@agile-bonbon-662.iam.gserviceaccount.com)</t>
  </si>
  <si>
    <t>vto_analytics</t>
  </si>
  <si>
    <t>2026-06-24 10:53 (lupuletic@thehutgroup.com)
2026-06-24 10:53 (lupuletic@thehutgroup.com)
2026-06-24 10:53 (lupuletic@thehutgroup.com)
2026-06-24 10:52 (lupuletic@thehutgroup.com)
2026-06-24 10:52 (lupuletic@thehutgroup.com)</t>
  </si>
  <si>
    <t>2026-05-19 18:42 (lupuletic@thehutgroup.com)
2026-05-19 18:42 (lupuletic@thehutgroup.com)</t>
  </si>
  <si>
    <t>v2_Ingenuity_Conversions</t>
  </si>
  <si>
    <t>2026-05-19 17:32 (marketing-analytics@thg-influencer.iam.gserviceaccount.com)
2026-05-19 17:31 (marketing-analytics@thg-influencer.iam.gserviceaccount.com)
2026-05-19 17:31 (marketing-analytics@thg-influencer.iam.gserviceaccount.com)
2026-05-19 17:30 (marketing-analytics@thg-influencer.iam.gserviceaccount.com)
2026-05-19 17:28 (marketing-analytics@thg-influencer.iam.gserviceaccount.com)</t>
  </si>
  <si>
    <t>2026-06-24 10:35 (central-marketing-credentials@thg-central-marketing.iam.gserviceaccount.com)
2026-06-24 10:35 (central-marketing-credentials@thg-central-marketing.iam.gserviceaccount.com)
2026-06-24 10:35 (central-marketing-credentials@thg-central-marketing.iam.gserviceaccount.com)
2026-06-24 10:34 (central-marketing-credentials@thg-central-marketing.iam.gserviceaccount.com)
2026-06-24 10:33 (central-marketing-credentials@thg-central-marketing.iam.gserviceaccount.com)</t>
  </si>
  <si>
    <t>2026-06-24 00:03 (central-marketing-credentials@thg-central-marketing.iam.gserviceaccount.com)
2026-06-24 00:03 (central-marketing-credentials@thg-central-marketing.iam.gserviceaccount.com)
2026-06-24 00:03 (central-marketing-credentials@thg-central-marketing.iam.gserviceaccount.com)
2026-06-24 00:02 (central-marketing-credentials@thg-central-marketing.iam.gserviceaccount.com)
2026-06-24 00:02 (central-marketing-credentials@thg-central-marketing.iam.gserviceaccount.com)</t>
  </si>
  <si>
    <t>fraud__permanent</t>
  </si>
  <si>
    <t>2026-06-24 10:06 (ChunYen.Tay15@thehutgroup.com)
2026-06-24 10:05 (ChunYen.Tay15@thehutgroup.com)
2026-06-24 09:51 (ChunYen.Tay15@thehutgroup.com)
2026-06-24 09:50 (ChunYen.Tay15@thehutgroup.com)
2026-06-24 09:49 (ChunYen.Tay15@thehutgroup.com)</t>
  </si>
  <si>
    <t>US_State_Reporting</t>
  </si>
  <si>
    <t>2026-06-23 23:10 (nutrition-data-bq@agile-bonbon-662.iam.gserviceaccount.com)
2026-06-23 23:10 (nutrition-data-bq@agile-bonbon-662.iam.gserviceaccount.com)
2026-06-23 23:10 (nutrition-data-bq@agile-bonbon-662.iam.gserviceaccount.com)
2026-06-22 23:08 (nutrition-data-bq@agile-bonbon-662.iam.gserviceaccount.com)
2026-06-22 23:08 (nutrition-data-bq@agile-bonbon-662.iam.gserviceaccount.com)</t>
  </si>
  <si>
    <t>2026-06-23 23:11 (nutrition-data-bq@agile-bonbon-662.iam.gserviceaccount.com)
2026-06-23 23:11 (nutrition-data-bq@agile-bonbon-662.iam.gserviceaccount.com)
2026-06-23 23:11 (nutrition-data-bq@agile-bonbon-662.iam.gserviceaccount.com)
2026-06-23 23:11 (nutrition-data-bq@agile-bonbon-662.iam.gserviceaccount.com)
2026-06-23 23:11 (nutrition-data-bq@agile-bonbon-662.iam.gserviceaccount.com)</t>
  </si>
  <si>
    <t>PLP_Conversion</t>
  </si>
  <si>
    <t>2026-02-22 05:19 (tableau-bq-ingenuity-sa@thg-ingenuity.iam.gserviceaccount.com)
2026-02-21 05:20 (tableau-bq-ingenuity-sa@thg-ingenuity.iam.gserviceaccount.com)
2026-02-20 05:19 (tableau-bq-ingenuity-sa@thg-ingenuity.iam.gserviceaccount.com)
2026-02-19 05:19 (tableau-bq-ingenuity-sa@thg-ingenuity.iam.gserviceaccount.com)
2026-02-18 05:20 (tableau-bq-ingenuity-sa@thg-ingenuity.iam.gserviceaccount.com)</t>
  </si>
  <si>
    <t>2026-06-23 23:21 (central-marketing-credentials@thg-central-marketing.iam.gserviceaccount.com)
2026-06-23 23:21 (central-marketing-credentials@thg-central-marketing.iam.gserviceaccount.com)
2026-06-23 23:21 (central-marketing-credentials@thg-central-marketing.iam.gserviceaccount.com)
2026-06-22 23:21 (central-marketing-credentials@thg-central-marketing.iam.gserviceaccount.com)
2026-06-22 23:21 (central-marketing-credentials@thg-central-marketing.iam.gserviceaccount.com)</t>
  </si>
  <si>
    <t>Customer</t>
  </si>
  <si>
    <t>2026-06-24 03:45 (id-thg-media-commerce@thg-media-commerce.iam.gserviceaccount.com)
2026-06-23 03:45 (id-thg-media-commerce@thg-media-commerce.iam.gserviceaccount.com)
2026-06-22 03:45 (id-thg-media-commerce@thg-media-commerce.iam.gserviceaccount.com)
2026-06-21 03:45 (id-thg-media-commerce@thg-media-commerce.iam.gserviceaccount.com)
2026-06-20 03:45 (id-thg-media-commerce@thg-media-commerce.iam.gserviceaccount.com)</t>
  </si>
  <si>
    <t>2026-06-24 04:51 (id-thg-media-commerce@thg-media-commerce.iam.gserviceaccount.com)
2026-06-24 03:50 (id-thg-media-commerce@thg-media-commerce.iam.gserviceaccount.com)
2026-06-23 04:51 (id-thg-media-commerce@thg-media-commerce.iam.gserviceaccount.com)
2026-06-23 03:50 (id-thg-media-commerce@thg-media-commerce.iam.gserviceaccount.com)
2026-06-22 04:51 (id-thg-media-commerce@thg-media-commerce.iam.gserviceaccount.com)</t>
  </si>
  <si>
    <t>Market_Intelligence</t>
  </si>
  <si>
    <t>2026-04-22 15:10 (ravi.subramaniam04@thehutgroup.com)
2026-04-22 15:09 (ravi.subramaniam04@thehutgroup.com)</t>
  </si>
  <si>
    <t>2026-04-22 15:10 (ravi.subramaniam04@thehutgroup.com)
2026-04-22 15:08 (ravi.subramaniam04@thehutgroup.com)</t>
  </si>
  <si>
    <t>0_Alex_M</t>
  </si>
  <si>
    <t>2026-06-24 06:40 (mosina@thehutgroup.com)
2026-06-24 05:15 (mosina@thehutgroup.com)
2026-06-24 05:00 (mosina@thehutgroup.com)
2026-06-24 05:00 (mosina@thehutgroup.com)
2026-06-23 06:41 (mosina@thehutgroup.com)</t>
  </si>
  <si>
    <t>2026-06-24 05:15 (mosina@thehutgroup.com)
2026-06-24 05:00 (mosina@thehutgroup.com)
2026-06-24 05:00 (mosina@thehutgroup.com)
2026-06-23 05:15 (mosina@thehutgroup.com)
2026-06-23 05:00 (mosina@thehutgroup.com)</t>
  </si>
  <si>
    <t>Trade_Category_Bundles</t>
  </si>
  <si>
    <t>2026-06-24 10:20 (central-marketing-credentials@thg-central-marketing.iam.gserviceaccount.com)
2026-06-24 10:02 (central-marketing-credentials@thg-central-marketing.iam.gserviceaccount.com)
2026-06-24 09:20 (central-marketing-credentials@thg-central-marketing.iam.gserviceaccount.com)
2026-06-24 09:01 (central-marketing-credentials@thg-central-marketing.iam.gserviceaccount.com)
2026-06-24 08:20 (central-marketing-credentials@thg-central-marketing.iam.gserviceaccount.com)</t>
  </si>
  <si>
    <t>2026-06-24 10:26 (central-marketing-credentials@thg-central-marketing.iam.gserviceaccount.com)
2026-06-24 10:22 (central-marketing-credentials@thg-central-marketing.iam.gserviceaccount.com)
2026-06-24 10:22 (central-marketing-credentials@thg-central-marketing.iam.gserviceaccount.com)
2026-06-24 09:25 (central-marketing-credentials@thg-central-marketing.iam.gserviceaccount.com)
2026-06-24 09:22 (central-marketing-credentials@thg-central-marketing.iam.gserviceaccount.com)</t>
  </si>
  <si>
    <t>2026-06-24 00:31 (central-marketing-credentials@thg-central-marketing.iam.gserviceaccount.com)
2026-06-24 00:31 (central-marketing-credentials@thg-central-marketing.iam.gserviceaccount.com)
2026-06-23 00:31 (central-marketing-credentials@thg-central-marketing.iam.gserviceaccount.com)
2026-06-23 00:31 (central-marketing-credentials@thg-central-marketing.iam.gserviceaccount.com)
2026-06-22 00:31 (central-marketing-credentials@thg-central-marketing.iam.gserviceaccount.com)</t>
  </si>
  <si>
    <t>Data_Packs</t>
  </si>
  <si>
    <t>2026-06-15 09:24 (oksana.zherebetska23@thg.com)
2026-06-04 14:00 (beauty-data@agile-bonbon-662.iam.gserviceaccount.com)
2026-06-04 14:00 (beauty-data@agile-bonbon-662.iam.gserviceaccount.com)
2026-06-01 14:01 (beauty-data@agile-bonbon-662.iam.gserviceaccount.com)
2026-06-01 14:01 (beauty-data@agile-bonbon-662.iam.gserviceaccount.com)</t>
  </si>
  <si>
    <t>2026-06-01 05:00 (sa-bpswcbdsql01@thg-beauty.iam.gserviceaccount.com)
2026-06-01 05:00 (sa-bpswcbdsql01@thg-beauty.iam.gserviceaccount.com)
2026-05-01 05:00 (sa-bpswcbdsql01@thg-beauty.iam.gserviceaccount.com)
2026-05-01 05:00 (sa-bpswcbdsql01@thg-beauty.iam.gserviceaccount.com)
2026-04-01 05:00 (sa-bpswcbdsql01@thg-beauty.iam.gserviceaccount.com)</t>
  </si>
  <si>
    <t>fraud_mispick_detector</t>
  </si>
  <si>
    <t>Fraud mispick detector tables</t>
  </si>
  <si>
    <t>2026-06-24 10:16 (shubham.dawande36@thgingenuity.com)
2026-06-24 08:56 (shubham.dawande36@thgingenuity.com)
2026-06-22 10:05 (shubham.dawande36@thgingenuity.com)
2026-06-21 12:12 (shubham.dawande36@thgingenuity.com)
2026-06-21 12:10 (shubham.dawande36@thgingenuity.com)</t>
  </si>
  <si>
    <t>2026-06-19 11:23 (atharva.lipare32@thgingenuity.com)
2026-06-19 11:22 (atharva.lipare32@thgingenuity.com)</t>
  </si>
  <si>
    <t>Targets</t>
  </si>
  <si>
    <t>2026-03-12 17:00 (raia@thehutgroup.com)
2026-03-12 17:00 (raia@thehutgroup.com)
2026-03-12 16:06 (raia@thehutgroup.com)
2026-03-12 15:40 (raia@thehutgroup.com)
2026-03-12 15:07 (raia@thehutgroup.com)</t>
  </si>
  <si>
    <t>2026-06-24 03:03 (id-thg-media-commerce@thg-media-commerce.iam.gserviceaccount.com)
2026-06-24 03:03 (id-thg-media-commerce@thg-media-commerce.iam.gserviceaccount.com)
2026-06-23 03:03 (id-thg-media-commerce@thg-media-commerce.iam.gserviceaccount.com)
2026-06-23 03:03 (id-thg-media-commerce@thg-media-commerce.iam.gserviceaccount.com)
2026-06-22 03:03 (id-thg-media-commerce@thg-media-commerce.iam.gserviceaccount.com)</t>
  </si>
  <si>
    <t>Staging_Datawarehouse</t>
  </si>
  <si>
    <t>2026-06-24 10:23 (bigquery-adminbot@system.gserviceaccount.com)
2026-06-24 10:21 (personify-pipeline@thg-data-personify.iam.gserviceaccount.com)
2026-06-24 10:21 (personify-pipeline@thg-data-personify.iam.gserviceaccount.com)
2026-06-24 10:21 (personify-pipeline@thg-data-personify.iam.gserviceaccount.com)
2026-06-24 10:21 (personify-pipeline@thg-data-personify.iam.gserviceaccount.com)</t>
  </si>
  <si>
    <t>2026-06-24 10:23 (bigquery-adminbot@system.gserviceaccount.com)
2026-06-24 10:21 (personify-pipeline@thg-data-personify.iam.gserviceaccount.com)
2026-06-24 10:21 (personify-pipeline@thg-data-personify.iam.gserviceaccount.com)
2026-06-24 10:21 (personify-pipeline@thg-data-personify.iam.gserviceaccount.com)
2026-06-24 10:21 (bigquery-adminbot@system.gserviceaccount.com)</t>
  </si>
  <si>
    <t>Brand_Demand</t>
  </si>
  <si>
    <t>2026-06-22 09:30 (ravi.subramaniam04@thehutgroup.com)
2026-06-22 09:30 (ravi.subramaniam04@thehutgroup.com)
2026-06-22 09:30 (ravi.subramaniam04@thehutgroup.com)
2026-06-22 09:30 (ravi.subramaniam04@thehutgroup.com)
2026-06-22 09:30 (ravi.subramaniam04@thehutgroup.com)</t>
  </si>
  <si>
    <t>2026-06-22 09:30 (ravi.subramaniam04@thehutgroup.com)
2026-06-22 09:30 (ravi.subramaniam04@thehutgroup.com)
2026-06-15 09:31 (ravi.subramaniam04@thehutgroup.com)
2026-06-15 09:31 (ravi.subramaniam04@thehutgroup.com)
2026-06-08 09:30 (ravi.subramaniam04@thehutgroup.com)</t>
  </si>
  <si>
    <t>v2_THG_Tracking_Sheets</t>
  </si>
  <si>
    <t>2026-06-24 02:49 (marketing-analytics@thg-influencer.iam.gserviceaccount.com)
2026-06-23 02:52 (marketing-analytics@thg-influencer.iam.gserviceaccount.com)
2026-06-22 02:52 (marketing-analytics@thg-influencer.iam.gserviceaccount.com)
2026-06-21 02:47 (marketing-analytics@thg-influencer.iam.gserviceaccount.com)
2026-06-20 02:53 (marketing-analytics@thg-influencer.iam.gserviceaccount.com)</t>
  </si>
  <si>
    <t>2026-06-23 23:40 (marketing-analytics@thg-influencer.iam.gserviceaccount.com)
2026-06-22 23:40 (marketing-analytics@thg-influencer.iam.gserviceaccount.com)
2026-06-21 23:40 (marketing-analytics@thg-influencer.iam.gserviceaccount.com)
2026-06-20 23:40 (marketing-analytics@thg-influencer.iam.gserviceaccount.com)
2026-06-19 23:40 (marketing-analytics@thg-influencer.iam.gserviceaccount.com)</t>
  </si>
  <si>
    <t>chatbot_conversations_staging</t>
  </si>
  <si>
    <t>Chatbot conversations (staging) — user inputs and LLM responses captured by the ADK BigQueryAgentAnalyticsPlugin.</t>
  </si>
  <si>
    <t>2026-06-23 19:44 (assistant-console@thg-ml-dev.iam.gserviceaccount.com)
2026-06-23 16:43 (assistant-console@thg-ml-dev.iam.gserviceaccount.com)
2026-06-23 13:18 (assistant-console@thg-ml-dev.iam.gserviceaccount.com)
2026-06-23 13:18 (assistant-console@thg-ml-dev.iam.gserviceaccount.com)
2026-06-23 13:07 (assistant-console@thg-ml-dev.iam.gserviceaccount.com)</t>
  </si>
  <si>
    <t>2026-06-22 10:46 (chatbot-adk-app@thg-ml-dev.iam.gserviceaccount.com)
2026-06-22 10:46 (chatbot-adk-app@thg-ml-dev.iam.gserviceaccount.com)
2026-06-22 10:46 (chatbot-adk-app@thg-ml-dev.iam.gserviceaccount.com)
2026-06-22 10:46 (chatbot-adk-app@thg-ml-dev.iam.gserviceaccount.com)
2026-06-22 10:46 (chatbot-adk-app@thg-ml-dev.iam.gserviceaccount.com)</t>
  </si>
  <si>
    <t>Adverity_AwinPublisher</t>
  </si>
  <si>
    <t>2026-06-24 01:30 (stringerc@thehutgroup.com)
2026-06-24 01:30 (stringerc@thehutgroup.com)
2026-06-24 00:30 (stringerc@thehutgroup.com)
2026-06-24 00:30 (stringerc@thehutgroup.com)
2026-06-23 01:30 (stringerc@thehutgroup.com)</t>
  </si>
  <si>
    <t>2026-05-19 14:56 (nutrition-data-bq@agile-bonbon-662.iam.gserviceaccount.com)
2026-05-15 14:26 (nutrition-data-bq@agile-bonbon-662.iam.gserviceaccount.com)
2026-04-29 10:10 (ingersolla@thehutgroup.com)
2026-02-10 15:34 (konstantinoun@thehutgroup.com)
2026-02-10 11:23 (konstantinoun@thehutgroup.com)</t>
  </si>
  <si>
    <t>2026-06-24 05:25 (thg-adverity@agile-bonbon-662.iam.gserviceaccount.com)
2026-06-24 05:18 (thg-adverity@agile-bonbon-662.iam.gserviceaccount.com)
2026-06-24 04:11 (thg-adverity@agile-bonbon-662.iam.gserviceaccount.com)
2026-06-24 03:17 (thg-adverity@agile-bonbon-662.iam.gserviceaccount.com)
2026-06-24 02:41 (thg-adverity@agile-bonbon-662.iam.gserviceaccount.com)</t>
  </si>
  <si>
    <t>2026-06-24 05:25 (thg-adverity@agile-bonbon-662.iam.gserviceaccount.com)
2026-06-24 05:25 (thg-adverity@agile-bonbon-662.iam.gserviceaccount.com)
2026-06-24 05:18 (thg-adverity@agile-bonbon-662.iam.gserviceaccount.com)
2026-06-24 05:18 (thg-adverity@agile-bonbon-662.iam.gserviceaccount.com)
2026-06-24 04:11 (thg-adverity@agile-bonbon-662.iam.gserviceaccount.com)</t>
  </si>
  <si>
    <t>PPD_Hair_Collaboration</t>
  </si>
  <si>
    <t>2026-05-19 14:56 (nutrition-data-bq@agile-bonbon-662.iam.gserviceaccount.com)
2026-05-15 14:26 (nutrition-data-bq@agile-bonbon-662.iam.gserviceaccount.com)
2026-05-01 07:37 (konstantinoun@thehutgroup.com)
2026-04-30 14:57 (konstantinoun@thehutgroup.com)
2026-04-30 14:12 (konstantinoun@thehutgroup.com)</t>
  </si>
  <si>
    <t>Store_Analytics</t>
  </si>
  <si>
    <t>2026-06-24 05:30 (ravi.subramaniam04@thehutgroup.com)
2026-06-24 05:30 (ravi.subramaniam04@thehutgroup.com)
2026-06-23 05:30 (ravi.subramaniam04@thehutgroup.com)
2026-06-23 05:30 (ravi.subramaniam04@thehutgroup.com)
2026-06-22 05:30 (ravi.subramaniam04@thehutgroup.com)</t>
  </si>
  <si>
    <t>Nutrition_Data_Experimentation</t>
  </si>
  <si>
    <t>2026-06-24 04:00 (jamie.atkinson98@thehutgroup.com)
2026-06-24 03:21 (nutrition-data-bq@agile-bonbon-662.iam.gserviceaccount.com)
2026-06-23 04:00 (jamie.atkinson98@thehutgroup.com)
2026-06-23 03:21 (nutrition-data-bq@agile-bonbon-662.iam.gserviceaccount.com)
2026-06-22 04:00 (jamie.atkinson98@thehutgroup.com)</t>
  </si>
  <si>
    <t>2026-06-24 04:00 (jamie.atkinson98@thehutgroup.com)
2026-06-24 03:49 (nutrition-data-bq@agile-bonbon-662.iam.gserviceaccount.com)
2026-06-24 03:49 (nutrition-data-bq@agile-bonbon-662.iam.gserviceaccount.com)
2026-06-24 03:49 (nutrition-data-bq@agile-bonbon-662.iam.gserviceaccount.com)
2026-06-24 03:49 (nutrition-data-bq@agile-bonbon-662.iam.gserviceaccount.com)</t>
  </si>
  <si>
    <t>US_Merch_Comp</t>
  </si>
  <si>
    <t>2026-06-24 09:46 (beauty-data@agile-bonbon-662.iam.gserviceaccount.com)
2026-06-24 02:51 (sa-bpswcbdsql01@thg-beauty.iam.gserviceaccount.com)
2026-06-24 02:51 (sa-bpswcbdsql01@thg-beauty.iam.gserviceaccount.com)
2026-06-23 22:01 (jasmin.cengeloglu96@thehutgroup.com)
2026-06-23 09:45 (beauty-data@agile-bonbon-662.iam.gserviceaccount.com)</t>
  </si>
  <si>
    <t>2026-06-24 02:51 (sa-bpswcbdsql01@thg-beauty.iam.gserviceaccount.com)
2026-06-23 22:01 (jasmin.cengeloglu96@thehutgroup.com)
2026-06-23 03:05 (sa-bpswcbdsql01@thg-beauty.iam.gserviceaccount.com)
2026-06-22 22:01 (jasmin.cengeloglu96@thehutgroup.com)
2026-06-22 02:55 (sa-bpswcbdsql01@thg-beauty.iam.gserviceaccount.com)</t>
  </si>
  <si>
    <t>Mobile_App_Analysis</t>
  </si>
  <si>
    <t>2026-06-23 12:40 (superset-elysium-event-aggrega@the-hut-group.iam.gserviceaccount.com)
2026-06-22 12:40 (superset-elysium-event-aggrega@the-hut-group.iam.gserviceaccount.com)
2026-06-21 12:40 (superset-elysium-event-aggrega@the-hut-group.iam.gserviceaccount.com)
2026-06-20 12:40 (superset-elysium-event-aggrega@the-hut-group.iam.gserviceaccount.com)
2026-06-19 12:40 (superset-elysium-event-aggrega@the-hut-group.iam.gserviceaccount.com)</t>
  </si>
  <si>
    <t>New_Biz_Data</t>
  </si>
  <si>
    <t>2026-06-24 07:02 (beauty-data@agile-bonbon-662.iam.gserviceaccount.com)
2026-06-24 07:02 (beauty-data@agile-bonbon-662.iam.gserviceaccount.com)
2026-06-24 07:02 (beauty-data@agile-bonbon-662.iam.gserviceaccount.com)
2026-06-24 07:01 (beauty-data@agile-bonbon-662.iam.gserviceaccount.com)
2026-06-24 07:01 (beauty-data@agile-bonbon-662.iam.gserviceaccount.com)</t>
  </si>
  <si>
    <t>2026-06-24 02:51 (sa-bpswcbdsql01@thg-beauty.iam.gserviceaccount.com)
2026-06-24 02:51 (sa-bpswcbdsql01@thg-beauty.iam.gserviceaccount.com)
2026-06-24 02:51 (sa-bpswcbdsql01@thg-beauty.iam.gserviceaccount.com)
2026-06-24 02:51 (sa-bpswcbdsql01@thg-beauty.iam.gserviceaccount.com)
2026-06-24 02:51 (sa-bpswcbdsql01@thg-beauty.iam.gserviceaccount.com)</t>
  </si>
  <si>
    <t>Ingenuity_Customer_Behaviour</t>
  </si>
  <si>
    <t>2026-06-24 02:28 (marketing-analytics@thg-influencer.iam.gserviceaccount.com)
2026-06-24 02:28 (marketing-analytics@thg-influencer.iam.gserviceaccount.com)
2026-06-23 20:28 (marketing-analytics@thg-influencer.iam.gserviceaccount.com)
2026-06-23 20:28 (marketing-analytics@thg-influencer.iam.gserviceaccount.com)
2026-06-23 19:29 (marketing-analytics@thg-influencer.iam.gserviceaccount.com)</t>
  </si>
  <si>
    <t>CreatorIQ_API</t>
  </si>
  <si>
    <t>2026-06-24 02:51 (marketing-analytics@thg-influencer.iam.gserviceaccount.com)
2026-06-24 00:03 (marketing-analytics@thg-influencer.iam.gserviceaccount.com)
2026-06-23 02:54 (marketing-analytics@thg-influencer.iam.gserviceaccount.com)
2026-06-23 00:04 (marketing-analytics@thg-influencer.iam.gserviceaccount.com)
2026-06-22 02:53 (marketing-analytics@thg-influencer.iam.gserviceaccount.com)</t>
  </si>
  <si>
    <t>2026-06-24 10:04 (marketing-analytics@thg-influencer.iam.gserviceaccount.com)
2026-06-24 09:05 (marketing-analytics@thg-influencer.iam.gserviceaccount.com)
2026-06-24 08:04 (marketing-analytics@thg-influencer.iam.gserviceaccount.com)
2026-06-24 07:07 (marketing-analytics@thg-influencer.iam.gserviceaccount.com)
2026-06-24 06:05 (marketing-analytics@thg-influencer.iam.gserviceaccount.com)</t>
  </si>
  <si>
    <t>Nutrition_Data_Loyalty_Scheme</t>
  </si>
  <si>
    <t>2026-06-23 06:17 (nutrition-data-bq@agile-bonbon-662.iam.gserviceaccount.com)
2026-06-23 06:17 (nutrition-data-bq@agile-bonbon-662.iam.gserviceaccount.com)
2026-06-23 06:17 (nutrition-data-bq@agile-bonbon-662.iam.gserviceaccount.com)
2026-06-23 06:17 (nutrition-data-bq@agile-bonbon-662.iam.gserviceaccount.com)
2026-06-23 06:17 (nutrition-data-bq@agile-bonbon-662.iam.gserviceaccount.com)</t>
  </si>
  <si>
    <t>2026-06-24 04:45 (nutrition-data-bq@agile-bonbon-662.iam.gserviceaccount.com)
2026-06-23 04:45 (nutrition-data-bq@agile-bonbon-662.iam.gserviceaccount.com)
2026-06-22 04:45 (nutrition-data-bq@agile-bonbon-662.iam.gserviceaccount.com)
2026-06-21 04:45 (nutrition-data-bq@agile-bonbon-662.iam.gserviceaccount.com)
2026-06-20 04:45 (nutrition-data-bq@agile-bonbon-662.iam.gserviceaccount.com)</t>
  </si>
  <si>
    <t>Nutrition_Data_Lead_Generation</t>
  </si>
  <si>
    <t>2026-06-24 10:01 (nutrition-data-bq@agile-bonbon-662.iam.gserviceaccount.com)
2026-06-24 09:22 (nutrition-data-bq@agile-bonbon-662.iam.gserviceaccount.com)
2026-06-24 09:22 (nutrition-data-bq@agile-bonbon-662.iam.gserviceaccount.com)
2026-06-24 09:22 (nutrition-data-bq@agile-bonbon-662.iam.gserviceaccount.com)
2026-06-23 10:01 (nutrition-data-bq@agile-bonbon-662.iam.gserviceaccount.com)</t>
  </si>
  <si>
    <t>2026-06-24 09:24 (nutrition-data-bq@agile-bonbon-662.iam.gserviceaccount.com)
2026-06-24 09:22 (nutrition-data-bq@agile-bonbon-662.iam.gserviceaccount.com)
2026-06-24 09:22 (nutrition-data-bq@agile-bonbon-662.iam.gserviceaccount.com)
2026-06-24 09:22 (nutrition-data-bq@agile-bonbon-662.iam.gserviceaccount.com)
2026-06-24 09:22 (nutrition-data-bq@agile-bonbon-662.iam.gserviceaccount.com)</t>
  </si>
  <si>
    <t>2026-06-24 10:50 (elysium2-merger@the-hut-group.iam.gserviceaccount.com)
2026-06-24 10:45 (elysium2-merger@the-hut-group.iam.gserviceaccount.com)
2026-06-24 10:40 (elysium2-merger@the-hut-group.iam.gserviceaccount.com)
2026-06-24 10:35 (elysium2-merger@the-hut-group.iam.gserviceaccount.com)
2026-06-24 10:30 (elysium2-merger@the-hut-group.iam.gserviceaccount.com)</t>
  </si>
  <si>
    <t>2026-05-02 08:10 (elysium2-merger@the-hut-group.iam.gserviceaccount.com)
2026-05-02 08:10 (elysium2-merger@the-hut-group.iam.gserviceaccount.com)
2026-05-02 08:05 (elysium2-merger@the-hut-group.iam.gserviceaccount.com)
2026-05-02 08:05 (elysium2-merger@the-hut-group.iam.gserviceaccount.com)
2026-05-02 08:01 (elysium2-merger@the-hut-group.iam.gserviceaccount.com)</t>
  </si>
  <si>
    <t>Adverity_Pinterest</t>
  </si>
  <si>
    <t>2026-06-24 10:26 (central-marketing-credentials@thg-central-marketing.iam.gserviceaccount.com)
2026-06-24 10:26 (central-marketing-credentials@thg-central-marketing.iam.gserviceaccount.com)
2026-06-24 10:26 (central-marketing-credentials@thg-central-marketing.iam.gserviceaccount.com)
2026-06-24 10:26 (central-marketing-credentials@thg-central-marketing.iam.gserviceaccount.com)
2026-06-24 10:26 (central-marketing-credentials@thg-central-marketing.iam.gserviceaccount.com)</t>
  </si>
  <si>
    <t>2026-06-24 10:25 (thg-adverity@agile-bonbon-662.iam.gserviceaccount.com)
2026-06-24 10:25 (thg-adverity@agile-bonbon-662.iam.gserviceaccount.com)
2026-06-24 10:21 (thg-adverity@agile-bonbon-662.iam.gserviceaccount.com)
2026-06-24 10:21 (thg-adverity@agile-bonbon-662.iam.gserviceaccount.com)
2026-06-24 10:06 (thg-adverity@agile-bonbon-662.iam.gserviceaccount.com)</t>
  </si>
  <si>
    <t>dns_migration_analytics</t>
  </si>
  <si>
    <t>DNS Migration Analytics</t>
  </si>
  <si>
    <t>2026-02-03 13:29 (vrabiem@thehutgroup.com)
2026-02-03 13:24 (vrabiem@thehutgroup.com)
2026-02-03 13:24 (vrabiem@thehutgroup.com)
2026-02-03 13:20 (vrabiem@thehutgroup.com)
2026-02-03 13:20 (vrabiem@thehutgroup.com)</t>
  </si>
  <si>
    <t>2026-06-24 03:03 (logistics@thg-ml-live.iam.gserviceaccount.com)
2026-06-23 03:07 (logistics@thg-ml-live.iam.gserviceaccount.com)
2026-06-20 03:03 (logistics@thg-ml-live.iam.gserviceaccount.com)
2026-06-19 03:03 (logistics@thg-ml-live.iam.gserviceaccount.com)
2026-06-18 03:02 (logistics@thg-ml-live.iam.gserviceaccount.com)</t>
  </si>
  <si>
    <t>0_Grace</t>
  </si>
  <si>
    <t>2026-06-24 06:16 (nutrition-data-bq@agile-bonbon-662.iam.gserviceaccount.com)
2026-06-23 06:16 (nutrition-data-bq@agile-bonbon-662.iam.gserviceaccount.com)
2026-06-22 06:16 (nutrition-data-bq@agile-bonbon-662.iam.gserviceaccount.com)
2026-06-21 06:16 (nutrition-data-bq@agile-bonbon-662.iam.gserviceaccount.com)
2026-06-20 06:17 (nutrition-data-bq@agile-bonbon-662.iam.gserviceaccount.com)</t>
  </si>
  <si>
    <t>recs_search_impact</t>
  </si>
  <si>
    <t>2026-04-29 09:19 (ingersolla@thehutgroup.com)
2026-04-14 13:17 (darrenjbigqueryreader@the-hut-group.iam.gserviceaccount.com)
2026-04-14 13:17 (darrenjbigqueryreader@the-hut-group.iam.gserviceaccount.com)
2026-04-14 13:17 (darrenjbigqueryreader@the-hut-group.iam.gserviceaccount.com)
2026-04-14 13:17 (darrenjbigqueryreader@the-hut-group.iam.gserviceaccount.com)</t>
  </si>
  <si>
    <t>2026-06-24 05:00 (recs-performance-calculation@the-hut-group.iam.gserviceaccount.com)
2026-06-23 05:00 (recs-performance-calculation@the-hut-group.iam.gserviceaccount.com)
2026-06-22 05:00 (recs-performance-calculation@the-hut-group.iam.gserviceaccount.com)
2026-06-21 05:00 (recs-performance-calculation@the-hut-group.iam.gserviceaccount.com)
2026-06-20 05:00 (recs-performance-calculation@the-hut-group.iam.gserviceaccount.com)</t>
  </si>
  <si>
    <t>ditto_hqdw_staging</t>
  </si>
  <si>
    <t>2026-06-24 10:45 (ditto-transactions-thg@the-hut-group.iam.gserviceaccount.com)
2026-06-24 10:45 (dittwo@the-hut-group.iam.gserviceaccount.com)
2026-06-24 10:30 (dittwo@the-hut-group.iam.gserviceaccount.com)
2026-06-24 10:30 (ditto-transactions-thg@the-hut-group.iam.gserviceaccount.com)
2026-06-24 10:30 (dittwo@the-hut-group.iam.gserviceaccount.com)</t>
  </si>
  <si>
    <t>2026-05-19 14:29 (nutrition-data-bq@agile-bonbon-662.iam.gserviceaccount.com)
2026-05-15 13:56 (nutrition-data-bq@agile-bonbon-662.iam.gserviceaccount.com)
2026-04-29 10:03 (ingersolla@thehutgroup.com)
2026-02-02 13:42 (oksana.zherebetska23@thg.com)
2026-02-02 13:42 (oksana.zherebetska23@thg.com)</t>
  </si>
  <si>
    <t>2026-06-24 01:30 (stringerc@thehutgroup.com)
2026-06-24 01:00 (stringerc@thehutgroup.com)
2026-06-24 01:00 (stringerc@thehutgroup.com)
2026-06-24 01:00 (stringerc@thehutgroup.com)
2026-06-24 00:40 (stringerc@thehutgroup.com)</t>
  </si>
  <si>
    <t>Adverity_Rakuten_Marketing</t>
  </si>
  <si>
    <t>2026-06-24 01:33 (thg-adverity@agile-bonbon-662.iam.gserviceaccount.com)
2026-06-23 01:32 (thg-adverity@agile-bonbon-662.iam.gserviceaccount.com)
2026-06-22 01:33 (thg-adverity@agile-bonbon-662.iam.gserviceaccount.com)
2026-06-21 01:33 (thg-adverity@agile-bonbon-662.iam.gserviceaccount.com)
2026-06-21 01:32 (nutrition-data-bq@agile-bonbon-662.iam.gserviceaccount.com)</t>
  </si>
  <si>
    <t>2026-06-24 01:33 (thg-adverity@agile-bonbon-662.iam.gserviceaccount.com)
2026-06-24 01:33 (thg-adverity@agile-bonbon-662.iam.gserviceaccount.com)
2026-06-24 01:32 (thg-adverity@agile-bonbon-662.iam.gserviceaccount.com)
2026-06-23 01:33 (thg-adverity@agile-bonbon-662.iam.gserviceaccount.com)
2026-06-23 01:32 (thg-adverity@agile-bonbon-662.iam.gserviceaccount.com)</t>
  </si>
  <si>
    <t>PLC_Marketing</t>
  </si>
  <si>
    <t>2026-06-24 05:37 (central-marketing-credentials@thg-central-marketing.iam.gserviceaccount.com)
2026-06-24 05:37 (central-marketing-credentials@thg-central-marketing.iam.gserviceaccount.com)
2026-06-24 05:36 (central-marketing-credentials@thg-central-marketing.iam.gserviceaccount.com)
2026-06-24 05:36 (central-marketing-credentials@thg-central-marketing.iam.gserviceaccount.com)
2026-06-24 05:35 (central-marketing-credentials@thg-central-marketing.iam.gserviceaccount.com)</t>
  </si>
  <si>
    <t>2026-06-24 00:20 (nutrition-data-bq@agile-bonbon-662.iam.gserviceaccount.com)
2026-06-24 00:20 (nutrition-data-bq@agile-bonbon-662.iam.gserviceaccount.com)
2026-06-24 00:16 (nutrition-data-bq@agile-bonbon-662.iam.gserviceaccount.com)
2026-06-24 00:16 (nutrition-data-bq@agile-bonbon-662.iam.gserviceaccount.com)
2026-06-23 00:20 (nutrition-data-bq@agile-bonbon-662.iam.gserviceaccount.com)</t>
  </si>
  <si>
    <t>Adverity_SnapchatAds</t>
  </si>
  <si>
    <t>2026-06-24 05:19 (nutrition-data-bq@agile-bonbon-662.iam.gserviceaccount.com)
2026-06-24 05:17 (nutrition-data-bq@agile-bonbon-662.iam.gserviceaccount.com)
2026-06-23 05:19 (nutrition-data-bq@agile-bonbon-662.iam.gserviceaccount.com)
2026-06-23 05:18 (nutrition-data-bq@agile-bonbon-662.iam.gserviceaccount.com)
2026-06-22 05:19 (nutrition-data-bq@agile-bonbon-662.iam.gserviceaccount.com)</t>
  </si>
  <si>
    <t>2026-06-24 01:30 (stringerc@thehutgroup.com)
2026-06-24 01:30 (stringerc@thehutgroup.com)
2026-06-23 01:30 (stringerc@thehutgroup.com)
2026-06-23 01:30 (stringerc@thehutgroup.com)
2026-06-22 01:30 (stringerc@thehutgroup.com)</t>
  </si>
  <si>
    <t>2026-06-24 10:26 (central-marketing-credentials@thg-central-marketing.iam.gserviceaccount.com)
2026-06-24 10:26 (central-marketing-credentials@thg-central-marketing.iam.gserviceaccount.com)
2026-06-24 10:25 (thg-adverity@agile-bonbon-662.iam.gserviceaccount.com)
2026-06-24 10:22 (central-marketing-credentials@thg-central-marketing.iam.gserviceaccount.com)
2026-06-24 10:22 (central-marketing-credentials@thg-central-marketing.iam.gserviceaccount.com)</t>
  </si>
  <si>
    <t>2026-06-24 10:25 (thg-adverity@agile-bonbon-662.iam.gserviceaccount.com)
2026-06-24 10:25 (thg-adverity@agile-bonbon-662.iam.gserviceaccount.com)
2026-06-24 10:04 (thg-adverity@agile-bonbon-662.iam.gserviceaccount.com)
2026-06-24 10:03 (thg-adverity@agile-bonbon-662.iam.gserviceaccount.com)
2026-06-24 09:26 (thg-adverity@agile-bonbon-662.iam.gserviceaccount.com)</t>
  </si>
  <si>
    <t>Beauty_Premier</t>
  </si>
  <si>
    <t>2026-06-24 06:18 (shilpa.veedu03@thg.com)
2026-06-24 04:31 (beauty-data@agile-bonbon-662.iam.gserviceaccount.com)
2026-06-24 04:31 (beauty-data@agile-bonbon-662.iam.gserviceaccount.com)
2026-06-24 04:31 (beauty-data@agile-bonbon-662.iam.gserviceaccount.com)
2026-06-24 04:31 (beauty-data@agile-bonbon-662.iam.gserviceaccount.com)</t>
  </si>
  <si>
    <t>2026-06-24 02:50 (sa-bpswcbdsql01@thg-beauty.iam.gserviceaccount.com)
2026-06-24 02:50 (sa-bpswcbdsql01@thg-beauty.iam.gserviceaccount.com)
2026-06-24 02:50 (sa-bpswcbdsql01@thg-beauty.iam.gserviceaccount.com)
2026-06-24 02:50 (sa-bpswcbdsql01@thg-beauty.iam.gserviceaccount.com)
2026-06-24 02:50 (sa-bpswcbdsql01@thg-beauty.iam.gserviceaccount.com)</t>
  </si>
  <si>
    <t>Nutrition_Data_Targets</t>
  </si>
  <si>
    <t>2026-06-24 10:03 (nutrition-data-category-bq@agile-bonbon-662.iam.gserviceaccount.com)
2026-06-24 10:02 (nutrition-data-category-bq@agile-bonbon-662.iam.gserviceaccount.com)
2026-06-24 09:03 (nutrition-data-category-bq@agile-bonbon-662.iam.gserviceaccount.com)
2026-06-24 09:03 (nutrition-data-category-bq@agile-bonbon-662.iam.gserviceaccount.com)
2026-06-24 08:09 (nutrition-data-bq@agile-bonbon-662.iam.gserviceaccount.com)</t>
  </si>
  <si>
    <t>2026-06-24 07:00 (jamie.atkinson98@thehutgroup.com)
2026-06-24 05:45 (jamie.atkinson98@thehutgroup.com)
2026-06-24 04:00 (jamie.atkinson98@thehutgroup.com)
2026-06-23 05:45 (jamie.atkinson98@thehutgroup.com)
2026-06-22 07:00 (jamie.atkinson98@thehutgroup.com)</t>
  </si>
  <si>
    <t>Adverity_LineAds</t>
  </si>
  <si>
    <t>2026-06-24 05:19 (nutrition-data-bq@agile-bonbon-662.iam.gserviceaccount.com)
2026-06-23 05:19 (nutrition-data-bq@agile-bonbon-662.iam.gserviceaccount.com)
2026-06-22 05:19 (nutrition-data-bq@agile-bonbon-662.iam.gserviceaccount.com)
2026-06-21 05:19 (nutrition-data-bq@agile-bonbon-662.iam.gserviceaccount.com)
2026-06-20 05:19 (nutrition-data-bq@agile-bonbon-662.iam.gserviceaccount.com)</t>
  </si>
  <si>
    <t>2026-06-24 01:00 (stringerc@thehutgroup.com)
2026-06-23 01:00 (stringerc@thehutgroup.com)
2026-06-22 01:00 (stringerc@thehutgroup.com)
2026-06-21 01:00 (stringerc@thehutgroup.com)
2026-06-20 01:00 (stringerc@thehutgroup.com)</t>
  </si>
  <si>
    <t>2026-06-24 10:26 (central-marketing-credentials@thg-central-marketing.iam.gserviceaccount.com)
2026-06-24 10:22 (central-marketing-credentials@thg-central-marketing.iam.gserviceaccount.com)
2026-06-24 09:25 (central-marketing-credentials@thg-central-marketing.iam.gserviceaccount.com)
2026-06-24 09:22 (central-marketing-credentials@thg-central-marketing.iam.gserviceaccount.com)
2026-06-24 08:25 (central-marketing-credentials@thg-central-marketing.iam.gserviceaccount.com)</t>
  </si>
  <si>
    <t>2026-06-24 09:00 (RobinsonJa@thehutgroup.com)
2026-06-24 09:00 (RobinsonJa@thehutgroup.com)
2026-06-24 09:00 (RobinsonJa@thehutgroup.com)
2026-06-24 09:00 (RobinsonJa@thehutgroup.com)
2026-06-24 09:00 (RobinsonJa@thehutgroup.com)</t>
  </si>
  <si>
    <t>Adverity_YahooJPN</t>
  </si>
  <si>
    <t>Nutrition_Data_SendGrid</t>
  </si>
  <si>
    <t>2026-06-24 01:16 (nutrition-data-bq@agile-bonbon-662.iam.gserviceaccount.com)
2026-06-23 01:17 (nutrition-data-bq@agile-bonbon-662.iam.gserviceaccount.com)
2026-06-22 01:16 (nutrition-data-bq@agile-bonbon-662.iam.gserviceaccount.com)
2026-06-21 01:16 (nutrition-data-bq@agile-bonbon-662.iam.gserviceaccount.com)
2026-06-20 01:16 (nutrition-data-bq@agile-bonbon-662.iam.gserviceaccount.com)</t>
  </si>
  <si>
    <t>2026-06-24 00:31 (nutrition-data-bq@agile-bonbon-662.iam.gserviceaccount.com)
2026-06-24 00:31 (nutrition-data-bq@agile-bonbon-662.iam.gserviceaccount.com)
2026-06-24 00:31 (nutrition-data-bq@agile-bonbon-662.iam.gserviceaccount.com)
2026-06-24 00:31 (nutrition-data-bq@agile-bonbon-662.iam.gserviceaccount.com)
2026-06-24 00:31 (nutrition-data-bq@agile-bonbon-662.iam.gserviceaccount.com)</t>
  </si>
  <si>
    <t>2026-06-24 10:26 (central-marketing-credentials@thg-central-marketing.iam.gserviceaccount.com)
2026-06-24 10:26 (central-marketing-credentials@thg-central-marketing.iam.gserviceaccount.com)
2026-06-24 10:23 (central-marketing-credentials@thg-central-marketing.iam.gserviceaccount.com)
2026-06-24 10:23 (central-marketing-credentials@thg-central-marketing.iam.gserviceaccount.com)
2026-06-24 09:25 (central-marketing-credentials@thg-central-marketing.iam.gserviceaccount.com)</t>
  </si>
  <si>
    <t>2026-06-24 00:16 (thg-adverity@agile-bonbon-662.iam.gserviceaccount.com)
2026-06-24 00:16 (thg-adverity@agile-bonbon-662.iam.gserviceaccount.com)
2026-06-23 00:15 (thg-adverity@agile-bonbon-662.iam.gserviceaccount.com)
2026-06-23 00:15 (thg-adverity@agile-bonbon-662.iam.gserviceaccount.com)
2026-06-22 00:16 (thg-adverity@agile-bonbon-662.iam.gserviceaccount.com)</t>
  </si>
  <si>
    <t>Pentland_Uploads</t>
  </si>
  <si>
    <t>2026-06-24 04:26 (central-marketing-credentials@thg-central-marketing.iam.gserviceaccount.com)
2026-06-23 19:15 (tableau-bq-ingenuity-sa@thg-ingenuity.iam.gserviceaccount.com)
2026-06-23 04:31 (central-marketing-credentials@thg-central-marketing.iam.gserviceaccount.com)
2026-06-22 19:15 (tableau-bq-ingenuity-sa@thg-ingenuity.iam.gserviceaccount.com)
2026-06-22 04:25 (central-marketing-credentials@thg-central-marketing.iam.gserviceaccount.com)</t>
  </si>
  <si>
    <t>Ingenuity_Marketing_Only</t>
  </si>
  <si>
    <t>2026-06-24 02:20 (central-marketing-credentials@thg-central-marketing.iam.gserviceaccount.com)
2026-06-23 02:20 (central-marketing-credentials@thg-central-marketing.iam.gserviceaccount.com)
2026-06-22 02:20 (central-marketing-credentials@thg-central-marketing.iam.gserviceaccount.com)
2026-06-21 02:20 (central-marketing-credentials@thg-central-marketing.iam.gserviceaccount.com)
2026-06-20 02:20 (central-marketing-credentials@thg-central-marketing.iam.gserviceaccount.com)</t>
  </si>
  <si>
    <t>Central_Paid_Media</t>
  </si>
  <si>
    <t>2026-05-19 14:32 (nutrition-data-bq@agile-bonbon-662.iam.gserviceaccount.com)
2026-05-15 13:59 (nutrition-data-bq@agile-bonbon-662.iam.gserviceaccount.com)
2026-04-29 10:03 (ingersolla@thehutgroup.com)</t>
  </si>
  <si>
    <t>2026-06-24 02:15 (stringerc@thehutgroup.com)
2026-06-24 02:15 (stringerc@thehutgroup.com)
2026-06-24 02:15 (stringerc@thehutgroup.com)
2026-06-24 02:15 (stringerc@thehutgroup.com)
2026-06-24 02:15 (stringerc@thehutgroup.com)</t>
  </si>
  <si>
    <t>Adverity_TwitterAds</t>
  </si>
  <si>
    <t>2026-06-24 03:15 (stringerc@thehutgroup.com)
2026-06-23 03:15 (stringerc@thehutgroup.com)
2026-06-22 03:15 (stringerc@thehutgroup.com)
2026-06-21 03:15 (stringerc@thehutgroup.com)
2026-06-20 03:15 (stringerc@thehutgroup.com)</t>
  </si>
  <si>
    <t>Adverity_AppleSearchAds</t>
  </si>
  <si>
    <t>2026-06-24 10:26 (central-marketing-credentials@thg-central-marketing.iam.gserviceaccount.com)
2026-06-24 10:22 (central-marketing-credentials@thg-central-marketing.iam.gserviceaccount.com)
2026-06-24 10:11 (thg-adverity@agile-bonbon-662.iam.gserviceaccount.com)
2026-06-24 09:25 (central-marketing-credentials@thg-central-marketing.iam.gserviceaccount.com)
2026-06-24 09:22 (central-marketing-credentials@thg-central-marketing.iam.gserviceaccount.com)</t>
  </si>
  <si>
    <t>2026-06-24 10:11 (thg-adverity@agile-bonbon-662.iam.gserviceaccount.com)
2026-06-24 10:11 (thg-adverity@agile-bonbon-662.iam.gserviceaccount.com)
2026-06-24 09:11 (thg-adverity@agile-bonbon-662.iam.gserviceaccount.com)
2026-06-24 09:11 (thg-adverity@agile-bonbon-662.iam.gserviceaccount.com)
2026-06-24 08:12 (thg-adverity@agile-bonbon-662.iam.gserviceaccount.com)</t>
  </si>
  <si>
    <t>Customer_Care</t>
  </si>
  <si>
    <t>2026-06-24 07:00 (clare.isakson58@thehutgroup.com)
2026-06-24 02:31 (sa-bpswcbdsql01@thg-beauty.iam.gserviceaccount.com)
2026-06-24 02:29 (sa-bpswcbdsql01@thg-beauty.iam.gserviceaccount.com)
2026-06-24 02:29 (sa-bpswcbdsql01@thg-beauty.iam.gserviceaccount.com)
2026-06-24 02:29 (sa-bpswcbdsql01@thg-beauty.iam.gserviceaccount.com)</t>
  </si>
  <si>
    <t>2026-06-24 02:31 (sa-bpswcbdsql01@thg-beauty.iam.gserviceaccount.com)
2026-06-24 02:29 (sa-bpswcbdsql01@thg-beauty.iam.gserviceaccount.com)
2026-06-23 02:35 (sa-bpswcbdsql01@thg-beauty.iam.gserviceaccount.com)
2026-06-23 02:35 (sa-bpswcbdsql01@thg-beauty.iam.gserviceaccount.com)
2026-06-22 02:32 (sa-bpswcbdsql01@thg-beauty.iam.gserviceaccount.com)</t>
  </si>
  <si>
    <t>Ingenuity_Traffic</t>
  </si>
  <si>
    <t>2026-06-24 10:42 (marketing-analytics@thg-influencer.iam.gserviceaccount.com)
2026-06-24 10:00 (marketing-analytics@thg-influencer.iam.gserviceaccount.com)
2026-06-24 09:42 (marketing-analytics@thg-influencer.iam.gserviceaccount.com)
2026-06-24 09:00 (marketing-analytics@thg-influencer.iam.gserviceaccount.com)
2026-06-24 08:41 (marketing-analytics@thg-influencer.iam.gserviceaccount.com)</t>
  </si>
  <si>
    <t>2026-05-21 10:20 (marketing-analytics@thg-influencer.iam.gserviceaccount.com)
2026-05-21 10:20 (marketing-analytics@thg-influencer.iam.gserviceaccount.com)
2026-05-21 09:21 (marketing-analytics@thg-influencer.iam.gserviceaccount.com)
2026-05-21 09:20 (marketing-analytics@thg-influencer.iam.gserviceaccount.com)
2026-05-21 09:20 (marketing-analytics@thg-influencer.iam.gserviceaccount.com)</t>
  </si>
  <si>
    <t>v2_Ingenuity_Costs</t>
  </si>
  <si>
    <t>2026-05-20 19:03 (marketing-analytics@thg-influencer.iam.gserviceaccount.com)
2026-05-20 19:01 (marketing-analytics@thg-influencer.iam.gserviceaccount.com)
2026-05-20 18:05 (marketing-analytics@thg-influencer.iam.gserviceaccount.com)
2026-05-20 18:04 (marketing-analytics@thg-influencer.iam.gserviceaccount.com)
2026-05-20 18:01 (marketing-analytics@thg-influencer.iam.gserviceaccount.com)</t>
  </si>
  <si>
    <t>Free_Item_Tracker</t>
  </si>
  <si>
    <t>2026-06-24 03:02 (nutrition-data-bq@agile-bonbon-662.iam.gserviceaccount.com)
2026-06-24 03:02 (nutrition-data-bq@agile-bonbon-662.iam.gserviceaccount.com)
2026-06-24 03:01 (nutrition-data-bq@agile-bonbon-662.iam.gserviceaccount.com)
2026-06-24 03:01 (nutrition-data-bq@agile-bonbon-662.iam.gserviceaccount.com)
2026-06-23 03:01 (nutrition-data-bq@agile-bonbon-662.iam.gserviceaccount.com)</t>
  </si>
  <si>
    <t>2026-06-24 02:18 (nutrition-data-bq@agile-bonbon-662.iam.gserviceaccount.com)
2026-06-24 02:17 (nutrition-data-bq@agile-bonbon-662.iam.gserviceaccount.com)
2026-06-24 02:17 (nutrition-data-bq@agile-bonbon-662.iam.gserviceaccount.com)
2026-06-24 02:17 (nutrition-data-bq@agile-bonbon-662.iam.gserviceaccount.com)
2026-06-24 02:17 (nutrition-data-bq@agile-bonbon-662.iam.gserviceaccount.com)</t>
  </si>
  <si>
    <t>Hermes_Dropdown_Values</t>
  </si>
  <si>
    <t>2026-06-24 07:54 (ecrm-segmentation-bigquery@thg-data-personify.iam.gserviceaccount.com)
2026-06-24 07:54 (ecrm-segmentation-bigquery@thg-data-personify.iam.gserviceaccount.com)
2026-06-24 07:54 (ecrm-segmentation-bigquery@thg-data-personify.iam.gserviceaccount.com)
2026-06-24 07:54 (ecrm-segmentation-bigquery@thg-data-personify.iam.gserviceaccount.com)
2026-06-24 07:54 (ecrm-segmentation-bigquery@thg-data-personify.iam.gserviceaccount.com)</t>
  </si>
  <si>
    <t>2026-06-24 06:15 (RaatzT@thehutgroup.com)
2026-06-24 06:15 (RaatzT@thehutgroup.com)
2026-06-24 06:15 (RaatzT@thehutgroup.com)
2026-06-24 06:15 (RaatzT@thehutgroup.com)
2026-06-24 06:15 (RaatzT@thehutgroup.com)</t>
  </si>
  <si>
    <t>2026-06-24 10:53 (390610214280-compute@developer.gserviceaccount.com)
2026-06-24 10:53 (390610214280-compute@developer.gserviceaccount.com)
2026-06-24 10:53 (390610214280-compute@developer.gserviceaccount.com)
2026-06-24 10:53 (390610214280-compute@developer.gserviceaccount.com)
2026-06-24 10:45 (bigquery-pipeline-manager@the-hut-group.iam.gserviceaccount.com)</t>
  </si>
  <si>
    <t>2026-06-24 10:45 (bigquery-pipeline-manager@the-hut-group.iam.gserviceaccount.com)
2026-06-24 10:45 (bigquery-pipeline-manager@the-hut-group.iam.gserviceaccount.com)
2026-06-24 10:30 (bigquery-pipeline-manager@the-hut-group.iam.gserviceaccount.com)
2026-06-24 10:30 (bigquery-pipeline-manager@the-hut-group.iam.gserviceaccount.com)
2026-06-24 10:15 (bigquery-pipeline-manager@the-hut-group.iam.gserviceaccount.com)</t>
  </si>
  <si>
    <t>recommendation_performance_analysis</t>
  </si>
  <si>
    <t>2026-06-24 09:58 (darrenjbigqueryreader@the-hut-group.iam.gserviceaccount.com)
2026-06-24 09:58 (darrenjbigqueryreader@the-hut-group.iam.gserviceaccount.com)
2026-06-24 09:58 (darrenjbigqueryreader@the-hut-group.iam.gserviceaccount.com)
2026-06-24 09:58 (darrenjbigqueryreader@the-hut-group.iam.gserviceaccount.com)
2026-06-24 09:58 (darrenjbigqueryreader@the-hut-group.iam.gserviceaccount.com)</t>
  </si>
  <si>
    <t>2026-06-24 00:30 (recs-performance-calculation@the-hut-group.iam.gserviceaccount.com)
2026-06-23 00:30 (recs-performance-calculation@the-hut-group.iam.gserviceaccount.com)
2026-06-22 00:30 (recs-performance-calculation@the-hut-group.iam.gserviceaccount.com)
2026-06-21 00:30 (recs-performance-calculation@the-hut-group.iam.gserviceaccount.com)
2026-06-20 00:30 (recs-performance-calculation@the-hut-group.iam.gserviceaccount.com)</t>
  </si>
  <si>
    <t>Adverity_ImpactPublisher</t>
  </si>
  <si>
    <t>2026-06-24 04:41 (thg-adverity@agile-bonbon-662.iam.gserviceaccount.com)
2026-06-24 04:20 (thg-adverity@agile-bonbon-662.iam.gserviceaccount.com)
2026-06-24 04:11 (thg-adverity@agile-bonbon-662.iam.gserviceaccount.com)
2026-06-24 04:10 (thg-adverity@agile-bonbon-662.iam.gserviceaccount.com)
2026-06-24 04:08 (thg-adverity@agile-bonbon-662.iam.gserviceaccount.com)</t>
  </si>
  <si>
    <t>2026-06-24 04:41 (thg-adverity@agile-bonbon-662.iam.gserviceaccount.com)
2026-06-24 04:41 (thg-adverity@agile-bonbon-662.iam.gserviceaccount.com)
2026-06-24 04:20 (thg-adverity@agile-bonbon-662.iam.gserviceaccount.com)
2026-06-24 04:20 (thg-adverity@agile-bonbon-662.iam.gserviceaccount.com)
2026-06-24 04:11 (thg-adverity@agile-bonbon-662.iam.gserviceaccount.com)</t>
  </si>
  <si>
    <t>Ingenuity_Costs</t>
  </si>
  <si>
    <t>2026-06-24 10:43 (marketing-analytics@thg-influencer.iam.gserviceaccount.com)
2026-06-24 10:42 (marketing-analytics@thg-influencer.iam.gserviceaccount.com)
2026-06-24 10:41 (marketing-analytics@thg-influencer.iam.gserviceaccount.com)
2026-06-24 10:23 (marketing-analytics@thg-influencer.iam.gserviceaccount.com)
2026-06-24 10:23 (marketing-analytics@thg-influencer.iam.gserviceaccount.com)</t>
  </si>
  <si>
    <t>2026-06-24 10:23 (marketing-analytics@thg-influencer.iam.gserviceaccount.com)
2026-06-24 10:22 (marketing-analytics@thg-influencer.iam.gserviceaccount.com)
2026-06-24 09:23 (marketing-analytics@thg-influencer.iam.gserviceaccount.com)
2026-06-24 09:23 (marketing-analytics@thg-influencer.iam.gserviceaccount.com)
2026-06-24 08:28 (marketing-analytics@thg-influencer.iam.gserviceaccount.com)</t>
  </si>
  <si>
    <t>THG_Misc</t>
  </si>
  <si>
    <t>2026-06-24 10:40 (marketing-analytics@thg-influencer.iam.gserviceaccount.com)
2026-06-24 10:30 (central-marketing-credentials@thg-central-marketing.iam.gserviceaccount.com)
2026-06-24 10:30 (central-marketing-credentials@thg-central-marketing.iam.gserviceaccount.com)
2026-06-24 09:40 (marketing-analytics@thg-influencer.iam.gserviceaccount.com)
2026-06-24 09:30 (central-marketing-credentials@thg-central-marketing.iam.gserviceaccount.com)</t>
  </si>
  <si>
    <t>2026-06-24 00:02 (marketing-analytics@thg-influencer.iam.gserviceaccount.com)
2026-06-24 00:02 (marketing-analytics@thg-influencer.iam.gserviceaccount.com)
2026-06-24 00:02 (marketing-analytics@thg-influencer.iam.gserviceaccount.com)
2026-06-23 00:02 (marketing-analytics@thg-influencer.iam.gserviceaccount.com)
2026-06-23 00:02 (marketing-analytics@thg-influencer.iam.gserviceaccount.com)</t>
  </si>
  <si>
    <t>2026-06-24 10:45 (p-g-metadata@the-hut-group.iam.gserviceaccount.com)
2026-06-24 10:45 (p-g-metadata@the-hut-group.iam.gserviceaccount.com)
2026-06-24 10:32 (pg-segment-pipeline@the-hut-group.iam.gserviceaccount.com)
2026-06-24 10:32 (pg-segment-pipeline@the-hut-group.iam.gserviceaccount.com)
2026-06-24 10:31 (pg-segment-pipeline@the-hut-group.iam.gserviceaccount.com)</t>
  </si>
  <si>
    <t>2026-06-24 10:45 (p-g-metadata@the-hut-group.iam.gserviceaccount.com)
2026-06-24 10:30 (p-g-metadata@the-hut-group.iam.gserviceaccount.com)
2026-06-24 10:15 (p-g-metadata@the-hut-group.iam.gserviceaccount.com)
2026-06-24 10:00 (p-g-metadata@the-hut-group.iam.gserviceaccount.com)
2026-06-24 09:30 (p-g-metadata@the-hut-group.iam.gserviceaccount.com)</t>
  </si>
  <si>
    <t>0_Anya</t>
  </si>
  <si>
    <t>2026-06-24 07:20 (jamie.atkinson98@thehutgroup.com)
2026-06-24 07:20 (jamie.atkinson98@thehutgroup.com)
2026-06-24 06:02 (nutrition-data-bq@agile-bonbon-662.iam.gserviceaccount.com)
2026-06-24 05:52 (nutrition-data-bq@agile-bonbon-662.iam.gserviceaccount.com)
2026-06-24 05:47 (nutrition-data-bq@agile-bonbon-662.iam.gserviceaccount.com)</t>
  </si>
  <si>
    <t>2026-06-10 10:49 (anya.treadwellmidd75@thg.com)
2026-06-10 07:48 (anya.treadwellmidd75@thg.com)
2026-06-10 07:31 (anya.treadwellmidd75@thg.com)
2026-06-10 07:25 (anya.treadwellmidd75@thg.com)
2026-06-09 13:54 (anya.treadwellmidd75@thg.com)</t>
  </si>
  <si>
    <t>Arrow_Films</t>
  </si>
  <si>
    <t>2026-05-19 14:30 (nutrition-data-bq@agile-bonbon-662.iam.gserviceaccount.com)
2026-05-15 13:57 (nutrition-data-bq@agile-bonbon-662.iam.gserviceaccount.com)
2026-04-29 10:03 (ingersolla@thehutgroup.com)</t>
  </si>
  <si>
    <t>2026-06-24 05:28 (central-marketing-credentials@thg-central-marketing.iam.gserviceaccount.com)
2026-06-24 05:28 (central-marketing-credentials@thg-central-marketing.iam.gserviceaccount.com)
2026-06-24 05:27 (central-marketing-credentials@thg-central-marketing.iam.gserviceaccount.com)
2026-06-24 05:27 (central-marketing-credentials@thg-central-marketing.iam.gserviceaccount.com)
2026-06-24 05:11 (central-marketing-credentials@thg-central-marketing.iam.gserviceaccount.com)</t>
  </si>
  <si>
    <t>Adverity_Baidu</t>
  </si>
  <si>
    <t>Adverity_SproutSocial</t>
  </si>
  <si>
    <t>2026-06-24 00:10 (nutrition-data-bq@agile-bonbon-662.iam.gserviceaccount.com)
2026-06-23 00:09 (nutrition-data-bq@agile-bonbon-662.iam.gserviceaccount.com)
2026-06-22 00:10 (nutrition-data-bq@agile-bonbon-662.iam.gserviceaccount.com)
2026-06-21 00:08 (nutrition-data-bq@agile-bonbon-662.iam.gserviceaccount.com)
2026-06-20 00:09 (nutrition-data-bq@agile-bonbon-662.iam.gserviceaccount.com)</t>
  </si>
  <si>
    <t>2026-06-24 00:10 (nutrition-data-bq@agile-bonbon-662.iam.gserviceaccount.com)
2026-06-24 00:10 (nutrition-data-bq@agile-bonbon-662.iam.gserviceaccount.com)
2026-06-23 00:09 (nutrition-data-bq@agile-bonbon-662.iam.gserviceaccount.com)
2026-06-23 00:09 (nutrition-data-bq@agile-bonbon-662.iam.gserviceaccount.com)
2026-06-22 00:10 (nutrition-data-bq@agile-bonbon-662.iam.gserviceaccount.com)</t>
  </si>
  <si>
    <t>coop_analytics</t>
  </si>
  <si>
    <t>2026-05-22 12:20 (nutrition-data-bq@agile-bonbon-662.iam.gserviceaccount.com)
2026-05-19 14:56 (nutrition-data-bq@agile-bonbon-662.iam.gserviceaccount.com)
2026-05-15 14:26 (nutrition-data-bq@agile-bonbon-662.iam.gserviceaccount.com)
2026-04-29 10:10 (ingersolla@thehutgroup.com)</t>
  </si>
  <si>
    <t>Nutrion_Influencer_Cost</t>
  </si>
  <si>
    <t>2026-06-24 05:47 (nutrition-data-bq@agile-bonbon-662.iam.gserviceaccount.com)
2026-06-24 03:00 (jamie.atkinson98@thehutgroup.com)
2026-06-23 05:47 (nutrition-data-bq@agile-bonbon-662.iam.gserviceaccount.com)
2026-06-23 03:00 (jamie.atkinson98@thehutgroup.com)
2026-06-22 05:46 (nutrition-data-bq@agile-bonbon-662.iam.gserviceaccount.com)</t>
  </si>
  <si>
    <t>2026-02-27 16:59 (GunawanF@thehutgroup.com)
2026-02-27 15:59 (GunawanF@thehutgroup.com)
2026-02-27 14:59 (GunawanF@thehutgroup.com)
2026-02-27 13:59 (GunawanF@thehutgroup.com)
2026-02-27 12:59 (GunawanF@thehutgroup.com)</t>
  </si>
  <si>
    <t>Weekly_Business_Health_Report</t>
  </si>
  <si>
    <t>2026-06-24 02:43 (sa-bpswcbdsql01@thg-beauty.iam.gserviceaccount.com)
2026-06-23 02:52 (sa-bpswcbdsql01@thg-beauty.iam.gserviceaccount.com)
2026-06-22 02:47 (sa-bpswcbdsql01@thg-beauty.iam.gserviceaccount.com)
2026-06-21 02:45 (sa-bpswcbdsql01@thg-beauty.iam.gserviceaccount.com)
2026-06-20 02:58 (sa-bpswcbdsql01@thg-beauty.iam.gserviceaccount.com)</t>
  </si>
  <si>
    <t>2026-06-24 02:43 (sa-bpswcbdsql01@thg-beauty.iam.gserviceaccount.com)
2026-06-23 02:52 (sa-bpswcbdsql01@thg-beauty.iam.gserviceaccount.com)
2026-06-22 05:30 (Liam.Lim79@thg.com)
2026-06-22 02:47 (sa-bpswcbdsql01@thg-beauty.iam.gserviceaccount.com)
2026-06-21 02:45 (sa-bpswcbdsql01@thg-beauty.iam.gserviceaccount.com)</t>
  </si>
  <si>
    <t>Human_Kind</t>
  </si>
  <si>
    <t>2026-06-24 09:00 (sa-bpswcbdsql01@thg-beauty.iam.gserviceaccount.com)
2026-06-24 09:00 (sa-bpswcbdsql01@thg-beauty.iam.gserviceaccount.com)
2026-06-24 09:00 (sa-bpswcbdsql01@thg-beauty.iam.gserviceaccount.com)
2026-06-23 09:00 (sa-bpswcbdsql01@thg-beauty.iam.gserviceaccount.com)
2026-06-23 09:00 (sa-bpswcbdsql01@thg-beauty.iam.gserviceaccount.com)</t>
  </si>
  <si>
    <t>v2_Ingenuity_Site_Details</t>
  </si>
  <si>
    <t>2026-06-24 10:42 (marketing-analytics@thg-influencer.iam.gserviceaccount.com)
2026-06-24 10:42 (marketing-analytics@thg-influencer.iam.gserviceaccount.com)
2026-06-24 09:42 (marketing-analytics@thg-influencer.iam.gserviceaccount.com)
2026-06-24 09:42 (marketing-analytics@thg-influencer.iam.gserviceaccount.com)
2026-06-24 08:41 (marketing-analytics@thg-influencer.iam.gserviceaccount.com)</t>
  </si>
  <si>
    <t>2026-06-24 00:10 (marketing-analytics@thg-influencer.iam.gserviceaccount.com)
2026-06-24 00:03 (marketing-analytics@thg-influencer.iam.gserviceaccount.com)
2026-06-23 00:10 (marketing-analytics@thg-influencer.iam.gserviceaccount.com)
2026-06-23 00:03 (marketing-analytics@thg-influencer.iam.gserviceaccount.com)
2026-06-22 00:10 (marketing-analytics@thg-influencer.iam.gserviceaccount.com)</t>
  </si>
  <si>
    <t>v2_Ingenuity_Influencer_Details</t>
  </si>
  <si>
    <t>2026-06-24 00:18 (marketing-analytics@thg-influencer.iam.gserviceaccount.com)
2026-06-23 23:31 (marketing-analytics@thg-influencer.iam.gserviceaccount.com)
2026-06-23 00:18 (marketing-analytics@thg-influencer.iam.gserviceaccount.com)
2026-06-22 23:31 (marketing-analytics@thg-influencer.iam.gserviceaccount.com)
2026-06-22 00:19 (marketing-analytics@thg-influencer.iam.gserviceaccount.com)</t>
  </si>
  <si>
    <t>2026-06-24 00:22 (marketing-analytics@thg-influencer.iam.gserviceaccount.com)
2026-06-24 00:22 (marketing-analytics@thg-influencer.iam.gserviceaccount.com)
2026-06-24 00:16 (marketing-analytics@thg-influencer.iam.gserviceaccount.com)
2026-06-23 00:23 (marketing-analytics@thg-influencer.iam.gserviceaccount.com)
2026-06-23 00:22 (marketing-analytics@thg-influencer.iam.gserviceaccount.com)</t>
  </si>
  <si>
    <t>PnG_Data_staging</t>
  </si>
  <si>
    <t>Nutrition_Data_Influencer_Code_Commission</t>
  </si>
  <si>
    <t>2026-06-24 05:46 (nutrition-data-bq@agile-bonbon-662.iam.gserviceaccount.com)
2026-06-24 05:46 (nutrition-data-bq@agile-bonbon-662.iam.gserviceaccount.com)
2026-06-24 05:15 (nutrition-data-bq@agile-bonbon-662.iam.gserviceaccount.com)
2026-06-24 05:15 (nutrition-data-bq@agile-bonbon-662.iam.gserviceaccount.com)
2026-06-24 05:15 (nutrition-data-bq@agile-bonbon-662.iam.gserviceaccount.com)</t>
  </si>
  <si>
    <t>2026-06-24 05:16 (nutrition-data-bq@agile-bonbon-662.iam.gserviceaccount.com)
2026-06-24 05:16 (nutrition-data-bq@agile-bonbon-662.iam.gserviceaccount.com)
2026-06-24 05:16 (nutrition-data-bq@agile-bonbon-662.iam.gserviceaccount.com)
2026-06-24 05:16 (nutrition-data-bq@agile-bonbon-662.iam.gserviceaccount.com)
2026-06-24 05:16 (nutrition-data-bq@agile-bonbon-662.iam.gserviceaccount.com)</t>
  </si>
  <si>
    <t>Static_Tables_For_MMM_Pipeline</t>
  </si>
  <si>
    <t>2026-06-24 06:02 (nutrition-data-bq@agile-bonbon-662.iam.gserviceaccount.com)
2026-06-24 05:37 (nutrition-data-bq@agile-bonbon-662.iam.gserviceaccount.com)
2026-06-24 05:34 (nutrition-data-bq@agile-bonbon-662.iam.gserviceaccount.com)
2026-06-24 05:19 (nutrition-data-bq@agile-bonbon-662.iam.gserviceaccount.com)
2026-06-24 05:19 (nutrition-data-bq@agile-bonbon-662.iam.gserviceaccount.com)</t>
  </si>
  <si>
    <t>2026-06-02 12:19 (anya.treadwellmidd75@thg.com)
2026-05-29 09:42 (anya.treadwellmidd75@thg.com)
2026-05-05 14:56 (anya.treadwellmidd75@thg.com)
2026-05-05 10:41 (anya.treadwellmidd75@thg.com)
2026-05-01 09:47 (anya.treadwellmidd75@thg.com)</t>
  </si>
  <si>
    <t>RTB_House_Nutrition</t>
  </si>
  <si>
    <t>2026-06-24 06:02 (nutrition-data-bq@agile-bonbon-662.iam.gserviceaccount.com)
2026-06-24 05:19 (nutrition-data-bq@agile-bonbon-662.iam.gserviceaccount.com)
2026-06-23 06:02 (nutrition-data-bq@agile-bonbon-662.iam.gserviceaccount.com)
2026-06-23 05:19 (nutrition-data-bq@agile-bonbon-662.iam.gserviceaccount.com)
2026-06-22 06:02 (nutrition-data-bq@agile-bonbon-662.iam.gserviceaccount.com)</t>
  </si>
  <si>
    <t>2026-02-10 03:15 (nutrition-data-bq@agile-bonbon-662.iam.gserviceaccount.com)
2026-02-10 03:15 (nutrition-data-bq@agile-bonbon-662.iam.gserviceaccount.com)
2026-02-10 03:15 (nutrition-data-bq@agile-bonbon-662.iam.gserviceaccount.com)
2026-02-09 03:15 (nutrition-data-bq@agile-bonbon-662.iam.gserviceaccount.com)
2026-02-09 03:15 (nutrition-data-bq@agile-bonbon-662.iam.gserviceaccount.com)</t>
  </si>
  <si>
    <t>2026-06-24 10:45 (ditto-transactions-agilebonbon@agile-bonbon-662.iam.gserviceaccount.com)
2026-06-24 10:30 (ditto-transactions-agilebonbon@agile-bonbon-662.iam.gserviceaccount.com)
2026-06-24 10:18 (dittwo@agile-bonbon-662.iam.gserviceaccount.com)
2026-06-24 10:17 (dittwo@agile-bonbon-662.iam.gserviceaccount.com)
2026-06-24 10:16 (dittwo@agile-bonbon-662.iam.gserviceaccount.com)</t>
  </si>
  <si>
    <t>Nutrition_Data_Records</t>
  </si>
  <si>
    <t>2026-06-24 10:31 (nutrition-data-bq@agile-bonbon-662.iam.gserviceaccount.com)
2026-06-24 10:25 (nutrition-data-bq@agile-bonbon-662.iam.gserviceaccount.com)
2026-06-24 10:25 (nutrition-data-bq@agile-bonbon-662.iam.gserviceaccount.com)
2026-06-24 09:30 (nutrition-data-bq@agile-bonbon-662.iam.gserviceaccount.com)
2026-06-24 09:25 (nutrition-data-bq@agile-bonbon-662.iam.gserviceaccount.com)</t>
  </si>
  <si>
    <t>2026-06-24 10:25 (nutrition-data-bq@agile-bonbon-662.iam.gserviceaccount.com)
2026-06-24 09:25 (nutrition-data-bq@agile-bonbon-662.iam.gserviceaccount.com)
2026-06-24 08:25 (nutrition-data-bq@agile-bonbon-662.iam.gserviceaccount.com)
2026-06-24 07:25 (nutrition-data-bq@agile-bonbon-662.iam.gserviceaccount.com)
2026-06-24 06:25 (nutrition-data-bq@agile-bonbon-662.iam.gserviceaccount.com)</t>
  </si>
  <si>
    <t>Adverity_AmazonDSP</t>
  </si>
  <si>
    <t>2026-06-24 04:00 (jamie.atkinson98@thehutgroup.com)
2026-06-24 04:00 (jamie.atkinson98@thehutgroup.com)
2026-06-24 00:09 (nutrition-data-bq@agile-bonbon-662.iam.gserviceaccount.com)
2026-06-24 00:09 (nutrition-data-bq@agile-bonbon-662.iam.gserviceaccount.com)
2026-06-23 04:00 (jamie.atkinson98@thehutgroup.com)</t>
  </si>
  <si>
    <t>2026-06-24 00:09 (nutrition-data-bq@agile-bonbon-662.iam.gserviceaccount.com)
2026-06-24 00:09 (nutrition-data-bq@agile-bonbon-662.iam.gserviceaccount.com)
2026-06-24 00:09 (nutrition-data-bq@agile-bonbon-662.iam.gserviceaccount.com)
2026-06-24 00:09 (nutrition-data-bq@agile-bonbon-662.iam.gserviceaccount.com)
2026-06-23 00:09 (nutrition-data-bq@agile-bonbon-662.iam.gserviceaccount.com)</t>
  </si>
  <si>
    <t>recent_site_traffic</t>
  </si>
  <si>
    <t>2026-06-24 10:50 (elysium2-merger@the-hut-group.iam.gserviceaccount.com)
2026-06-24 10:50 (elysium2-merger@the-hut-group.iam.gserviceaccount.com)
2026-06-24 10:45 (elysium2-merger@the-hut-group.iam.gserviceaccount.com)
2026-06-24 10:45 (elysium2-merger@the-hut-group.iam.gserviceaccount.com)
2026-06-24 10:40 (elysium2-merger@the-hut-group.iam.gserviceaccount.com)</t>
  </si>
  <si>
    <t>2026-04-27 07:44 (konstantinoun@thehutgroup.com)
2026-04-27 07:43 (konstantinoun@thehutgroup.com)
2026-04-27 07:42 (konstantinoun@thehutgroup.com)</t>
  </si>
  <si>
    <t>2026-06-24 05:36 (thg-adverity@agile-bonbon-662.iam.gserviceaccount.com)
2026-06-24 05:34 (thg-adverity@agile-bonbon-662.iam.gserviceaccount.com)
2026-06-24 05:26 (thg-adverity@agile-bonbon-662.iam.gserviceaccount.com)
2026-06-24 05:20 (thg-adverity@agile-bonbon-662.iam.gserviceaccount.com)
2026-06-24 05:19 (thg-adverity@agile-bonbon-662.iam.gserviceaccount.com)</t>
  </si>
  <si>
    <t>2026-06-24 05:36 (thg-adverity@agile-bonbon-662.iam.gserviceaccount.com)
2026-06-24 05:36 (thg-adverity@agile-bonbon-662.iam.gserviceaccount.com)
2026-06-24 05:34 (thg-adverity@agile-bonbon-662.iam.gserviceaccount.com)
2026-06-24 05:34 (thg-adverity@agile-bonbon-662.iam.gserviceaccount.com)
2026-06-24 05:26 (thg-adverity@agile-bonbon-662.iam.gserviceaccount.com)</t>
  </si>
  <si>
    <t>Adverity_LinkedIn</t>
  </si>
  <si>
    <t>2026-06-24 01:14 (thg-adverity@agile-bonbon-662.iam.gserviceaccount.com)
2026-06-23 01:13 (thg-adverity@agile-bonbon-662.iam.gserviceaccount.com)
2026-06-22 01:14 (thg-adverity@agile-bonbon-662.iam.gserviceaccount.com)
2026-06-21 01:13 (thg-adverity@agile-bonbon-662.iam.gserviceaccount.com)
2026-06-20 01:24 (thg-adverity@agile-bonbon-662.iam.gserviceaccount.com)</t>
  </si>
  <si>
    <t>2026-06-24 01:14 (thg-adverity@agile-bonbon-662.iam.gserviceaccount.com)
2026-06-24 01:14 (thg-adverity@agile-bonbon-662.iam.gserviceaccount.com)
2026-06-23 01:13 (thg-adverity@agile-bonbon-662.iam.gserviceaccount.com)
2026-06-23 01:13 (thg-adverity@agile-bonbon-662.iam.gserviceaccount.com)
2026-06-22 01:14 (thg-adverity@agile-bonbon-662.iam.gserviceaccount.com)</t>
  </si>
  <si>
    <t>ctcl_registry</t>
  </si>
  <si>
    <t>2026-06-23 11:03 (ChunYen.Tay15@thehutgroup.com)
2026-06-23 11:02 (ChunYen.Tay15@thehutgroup.com)
2026-06-23 11:02 (ChunYen.Tay15@thehutgroup.com)
2026-06-23 11:01 (ChunYen.Tay15@thehutgroup.com)
2026-06-23 11:01 (ChunYen.Tay15@thehutgroup.com)</t>
  </si>
  <si>
    <t>2026-06-15 10:33 (ChunYen.Tay15@thehutgroup.com)
2026-06-10 12:47 (ChunYen.Tay15@thehutgroup.com)
2026-06-04 12:29 (ChunYen.Tay15@thehutgroup.com)
2026-06-01 08:13 (ChunYen.Tay15@thehutgroup.com)
2026-06-01 08:13 (ChunYen.Tay15@thehutgroup.com)</t>
  </si>
  <si>
    <t>ctcl_features</t>
  </si>
  <si>
    <t>2026-06-24 10:07 (ChunYen.Tay15@thehutgroup.com)
2026-06-24 10:07 (ChunYen.Tay15@thehutgroup.com)
2026-06-24 10:06 (ChunYen.Tay15@thehutgroup.com)
2026-06-24 10:06 (ChunYen.Tay15@thehutgroup.com)
2026-06-24 10:06 (ChunYen.Tay15@thehutgroup.com)</t>
  </si>
  <si>
    <t>dataform_assertions</t>
  </si>
  <si>
    <t>2026-06-24 07:00 (sa-bpswcbdsql01@thg-beauty.iam.gserviceaccount.com)
2026-06-24 07:00 (sa-bpswcbdsql01@thg-beauty.iam.gserviceaccount.com)
2026-06-24 07:00 (sa-bpswcbdsql01@thg-beauty.iam.gserviceaccount.com)
2026-06-23 07:00 (sa-bpswcbdsql01@thg-beauty.iam.gserviceaccount.com)
2026-06-23 07:00 (sa-bpswcbdsql01@thg-beauty.iam.gserviceaccount.com)</t>
  </si>
  <si>
    <t>RLS</t>
  </si>
  <si>
    <t>2026-06-24 09:34 (tableau-bq-ingenuity-sa@thg-ingenuity.iam.gserviceaccount.com)
2026-06-24 02:35 (tableau-bq-ingenuity-sa@thg-ingenuity.iam.gserviceaccount.com)
2026-06-23 09:34 (tableau-bq-ingenuity-sa@thg-ingenuity.iam.gserviceaccount.com)
2026-06-23 02:35 (tableau-bq-ingenuity-sa@thg-ingenuity.iam.gserviceaccount.com)
2026-06-22 09:33 (tableau-bq-ingenuity-sa@thg-ingenuity.iam.gserviceaccount.com)</t>
  </si>
  <si>
    <t>2026-06-24 06:03 (tableau-bq-ingenuity-sa@thg-ingenuity.iam.gserviceaccount.com)
2026-06-24 05:41 (tableau-bq-ingenuity-sa@thg-ingenuity.iam.gserviceaccount.com)
2026-06-24 05:08 (tableau-bq-ingenuity-sa@thg-ingenuity.iam.gserviceaccount.com)
2026-06-24 04:59 (tableau-bq-ingenuity-sa@thg-ingenuity.iam.gserviceaccount.com)
2026-06-24 04:56 (tableau-bq-ingenuity-sa@thg-ingenuity.iam.gserviceaccount.com)</t>
  </si>
  <si>
    <t>2026-06-24 02:15 (dittwo@thg-ingenuity.iam.gserviceaccount.com)
2026-06-24 02:15 (dittwo@thg-ingenuity.iam.gserviceaccount.com)
2026-06-23 02:15 (dittwo@thg-ingenuity.iam.gserviceaccount.com)
2026-06-23 02:15 (dittwo@thg-ingenuity.iam.gserviceaccount.com)
2026-06-22 02:15 (dittwo@thg-ingenuity.iam.gserviceaccount.com)</t>
  </si>
  <si>
    <t>ICS_Control</t>
  </si>
  <si>
    <t>v2_THG_Site_Details</t>
  </si>
  <si>
    <t>2026-06-24 10:42 (marketing-analytics@thg-influencer.iam.gserviceaccount.com)
2026-06-24 10:22 (marketing-analytics@thg-influencer.iam.gserviceaccount.com)
2026-06-24 10:01 (marketing-analytics@thg-influencer.iam.gserviceaccount.com)
2026-06-24 10:00 (marketing-analytics@thg-influencer.iam.gserviceaccount.com)
2026-06-24 09:42 (marketing-analytics@thg-influencer.iam.gserviceaccount.com)</t>
  </si>
  <si>
    <t>2026-06-24 00:03 (marketing-analytics@thg-influencer.iam.gserviceaccount.com)
2026-06-24 00:03 (marketing-analytics@thg-influencer.iam.gserviceaccount.com)
2026-06-24 00:02 (marketing-analytics@thg-influencer.iam.gserviceaccount.com)
2026-06-23 00:04 (marketing-analytics@thg-influencer.iam.gserviceaccount.com)
2026-06-23 00:03 (marketing-analytics@thg-influencer.iam.gserviceaccount.com)</t>
  </si>
  <si>
    <t>THG_Society</t>
  </si>
  <si>
    <t>2026-06-24 10:20 (marketing-analytics@thg-influencer.iam.gserviceaccount.com)
2026-06-24 09:20 (marketing-analytics@thg-influencer.iam.gserviceaccount.com)
2026-06-24 08:20 (marketing-analytics@thg-influencer.iam.gserviceaccount.com)
2026-06-24 07:20 (marketing-analytics@thg-influencer.iam.gserviceaccount.com)
2026-06-24 06:20 (marketing-analytics@thg-influencer.iam.gserviceaccount.com)</t>
  </si>
  <si>
    <t>altitude_fastly_logs</t>
  </si>
  <si>
    <t>2026-06-24 10:54 (altitude-platform-grafana@vibrant-map-107910.iam.gserviceaccount.com)
2026-06-24 10:54 (prometheus-bigquery-exporter-a@vibrant-map-107910.iam.gserviceaccount.com)
2026-06-24 10:54 (prometheus-bigquery-exporter-a@vibrant-map-107910.iam.gserviceaccount.com)
2026-06-24 10:54 (prometheus-bigquery-exporter-a@vibrant-map-107910.iam.gserviceaccount.com)
2026-06-24 10:54 (prometheus-bigquery-exporter-a@vibrant-map-107910.iam.gserviceaccount.com)</t>
  </si>
  <si>
    <t>2026-01-21 20:17 (naheed.tayab36@thgingenuity.com)</t>
  </si>
  <si>
    <t>Hermes</t>
  </si>
  <si>
    <t>2026-06-24 10:55 (ecrm-segmentation-bigquery@thg-data-personify.iam.gserviceaccount.com)
2026-06-24 10:55 (ecrm-segmentation-bigquery@thg-data-personify.iam.gserviceaccount.com)
2026-06-24 10:55 (ecrm-segmentation-bigquery@thg-data-personify.iam.gserviceaccount.com)
2026-06-24 10:55 (ecrm-segmentation-bigquery@thg-data-personify.iam.gserviceaccount.com)
2026-06-24 10:55 (ecrm-segmentation-bigquery@thg-data-personify.iam.gserviceaccount.com)</t>
  </si>
  <si>
    <t>2026-06-24 10:51 (RaatzT@thehutgroup.com)
2026-06-24 10:51 (RaatzT@thehutgroup.com)
2026-06-24 10:36 (RaatzT@thehutgroup.com)
2026-06-24 10:36 (RaatzT@thehutgroup.com)
2026-06-24 10:28 (personify-pipeline@thg-data-personify.iam.gserviceaccount.com)</t>
  </si>
  <si>
    <t>Datawarehouse</t>
  </si>
  <si>
    <t>2026-06-24 10:54 (bigquery-adminbot@system.gserviceaccount.com)
2026-06-24 10:54 (bigquery-adminbot@system.gserviceaccount.com)
2026-06-24 10:54 (bigquery-adminbot@system.gserviceaccount.com)
2026-06-24 10:54 (bigquery-adminbot@system.gserviceaccount.com)
2026-06-24 10:54 (bigquery-adminbot@system.gserviceaccount.com)</t>
  </si>
  <si>
    <t>horizon-on-the-edge</t>
  </si>
  <si>
    <t>2026-06-24 10:58 (fastly-bigquery@horizon-on-the-edge.iam.gserviceaccount.com)
2026-06-24 10:58 (fastly-bigquery@horizon-on-the-edge.iam.gserviceaccount.com)
2026-06-24 10:58 (fastly-bigquery@horizon-on-the-edge.iam.gserviceaccount.com)
2026-06-24 10:57 (fastly-bigquery@horizon-on-the-edge.iam.gserviceaccount.com)
2026-06-24 10:57 (fastly-bigquery@horizon-on-the-edge.iam.gserviceaccount.com)</t>
  </si>
  <si>
    <t>analytics_376116958</t>
  </si>
  <si>
    <t>2026-06-24 10:56 (firebase-measurement@system.gserviceaccount.com)
2026-06-23 13:51 (firebase-measurement@system.gserviceaccount.com)
2026-06-23 12:38 (firebase-measurement@system.gserviceaccount.com)
2026-06-23 12:37 (firebase-measurement@system.gserviceaccount.com)
2026-06-22 12:51 (firebase-measurement@system.gserviceaccount.com)</t>
  </si>
  <si>
    <t>Personify</t>
  </si>
  <si>
    <t>2026-06-24 10:54 (bigquery-adminbot@system.gserviceaccount.com)
2026-06-24 10:53 (bigquery-adminbot@system.gserviceaccount.com)
2026-06-24 10:53 (bigquery-adminbot@system.gserviceaccount.com)
2026-06-24 10:52 (bigquery-adminbot@system.gserviceaccount.com)
2026-06-24 10:51 (bigquery-adminbot@system.gserviceaccount.com)</t>
  </si>
  <si>
    <t>Costing</t>
  </si>
  <si>
    <t>2026-06-24 10:55 (personify-pipeline@thg-data-personify.iam.gserviceaccount.com)
2026-06-24 10:55 (prometheus-exporter@thg-data-personify.iam.gserviceaccount.com)
2026-06-24 10:54 (personify-pipeline@thg-data-personify.iam.gserviceaccount.com)
2026-06-24 10:53 (personify-pipeline@thg-data-personify.iam.gserviceaccount.com)
2026-06-24 10:52 (personify-pipeline@thg-data-personify.iam.gserviceaccount.com)</t>
  </si>
  <si>
    <t>2026-06-24 10:55 (personify-pipeline@thg-data-personify.iam.gserviceaccount.com)
2026-06-24 10:54 (personify-pipeline@thg-data-personify.iam.gserviceaccount.com)
2026-06-24 10:53 (personify-pipeline@thg-data-personify.iam.gserviceaccount.com)
2026-06-24 10:52 (personify-pipeline@thg-data-personify.iam.gserviceaccount.com)
2026-06-24 10:51 (personify-pipeline@thg-data-personify.iam.gserviceaccount.com)</t>
  </si>
  <si>
    <t>chatbot_conversations_prod</t>
  </si>
  <si>
    <t>Chatbot conversations (prod) — user inputs and LLM responses captured by the ADK BigQueryAgentAnalyticsPlugin.</t>
  </si>
  <si>
    <t>2026-06-24 10:57 (lupuletic@thehutgroup.com)
2026-06-24 10:57 (lupuletic@thehutgroup.com)
2026-06-24 10:57 (lupuletic@thehutgroup.com)
2026-06-24 10:57 (lupuletic@thehutgroup.com)
2026-06-24 10:57 (lupuletic@thehutgroup.com)</t>
  </si>
  <si>
    <t>2026-06-24 10:01 (chatbot-adk-app@thg-ml-dev.iam.gserviceaccount.com)
2026-06-24 10:01 (chatbot-adk-app@thg-ml-dev.iam.gserviceaccount.com)
2026-06-24 10:01 (chatbot-adk-app@thg-ml-dev.iam.gserviceaccount.com)
2026-06-24 10:01 (chatbot-adk-app@thg-ml-dev.iam.gserviceaccount.com)
2026-06-24 10:01 (chatbot-adk-app@thg-ml-dev.iam.gserviceaccount.com)</t>
  </si>
  <si>
    <t>2026-06-24 10:54 (lupuletic@thehutgroup.com)
2026-06-23 08:03 (lupuletic@thehutgroup.com)
2026-06-22 08:03 (lupuletic@thehutgroup.com)
2026-06-21 08:03 (lupuletic@thehutgroup.com)
2026-06-20 08:21 (lupuletic@thehutgroup.com)</t>
  </si>
  <si>
    <t>2026-06-24 06:30 (central-marketing-credentials@thg-central-marketing.iam.gserviceaccount.com)
2026-06-24 05:31 (tableau-bq-ingenuity-sa@thg-ingenuity.iam.gserviceaccount.com)
2026-06-24 05:31 (tableau-bq-ingenuity-sa@thg-ingenuity.iam.gserviceaccount.com)
2026-06-24 05:31 (raia@thehutgroup.com)
2026-06-24 05:30 (raia@thehutgroup.com)</t>
  </si>
  <si>
    <t>2026-06-24 10:55 (central-marketing-credentials@thg-central-marketing.iam.gserviceaccount.com)
2026-06-24 09:55 (central-marketing-credentials@thg-central-marketing.iam.gserviceaccount.com)
2026-06-24 08:55 (central-marketing-credentials@thg-central-marketing.iam.gserviceaccount.com)
2026-06-24 07:55 (central-marketing-credentials@thg-central-marketing.iam.gserviceaccount.com)
2026-06-24 06:55 (central-marketing-credentials@thg-central-marketing.iam.gserviceaccount.com)</t>
  </si>
  <si>
    <t>ctcl_monitoring</t>
  </si>
  <si>
    <t>ctcl_predictions</t>
  </si>
  <si>
    <t>Pilot prediction logs (shadow predictions, future endpoint logs)</t>
  </si>
  <si>
    <t>fastly_io_log</t>
  </si>
  <si>
    <t>elasticity</t>
  </si>
  <si>
    <t>mmm_vendor_dataset</t>
  </si>
  <si>
    <t>Lux</t>
  </si>
  <si>
    <t>Loyalty_Brand_Category</t>
  </si>
  <si>
    <t>Segment_Repository</t>
  </si>
  <si>
    <t>Perricone_Customers</t>
  </si>
  <si>
    <t>delete</t>
  </si>
  <si>
    <t>Sampl</t>
  </si>
  <si>
    <t>CustomerInsights_Deepdive_Loyalty</t>
  </si>
  <si>
    <t>Trade_Promotions_Profitability</t>
  </si>
  <si>
    <t>CustomerInsights_OnSiteBehaviour_PageDeepdive</t>
  </si>
  <si>
    <t>Marketing_Social_Commerce</t>
  </si>
  <si>
    <t>Trade_SitePerformance_ReturnsCancellations</t>
  </si>
  <si>
    <t>0_Maria_EU</t>
  </si>
  <si>
    <t>awin_exports</t>
  </si>
  <si>
    <t>281008859</t>
  </si>
  <si>
    <t>Marketing_PaidMedia_Overall</t>
  </si>
  <si>
    <t>49821984</t>
  </si>
  <si>
    <t>Marketing_Affiliate</t>
  </si>
  <si>
    <t>google_ads_data</t>
  </si>
  <si>
    <t>Marketing_PaidMedia_Social</t>
  </si>
  <si>
    <t>Marketing_CRM_Push</t>
  </si>
  <si>
    <t>google_ads_ing_data_transgers</t>
  </si>
  <si>
    <t>158767354</t>
  </si>
  <si>
    <t>Trade_Promotions_GWP</t>
  </si>
  <si>
    <t>Trade_SitePerformance_BrandHealth</t>
  </si>
  <si>
    <t>266071537</t>
  </si>
  <si>
    <t>Marketing_CRM_SMS</t>
  </si>
  <si>
    <t>245098043</t>
  </si>
  <si>
    <t>Trade_Category_Subscriptions</t>
  </si>
  <si>
    <t>01_Charlie_J</t>
  </si>
  <si>
    <t>CustomerInsights_OnSiteBehaviour_ConversionFunnels</t>
  </si>
  <si>
    <t>code8</t>
  </si>
  <si>
    <t>Marketing_Influencer</t>
  </si>
  <si>
    <t>CustomerInsights_Deepdive_Profile</t>
  </si>
  <si>
    <t>Singe_Customer_View</t>
  </si>
  <si>
    <t>GA4_Sessions_Level_1_Backup</t>
  </si>
  <si>
    <t>243785117</t>
  </si>
  <si>
    <t>Marketing_Social_Organic</t>
  </si>
  <si>
    <t>Marketing_SEO</t>
  </si>
  <si>
    <t>Trade_SitePerformance_App</t>
  </si>
  <si>
    <t>Marketing_PaidMedia_Display</t>
  </si>
  <si>
    <t>Marketing_PaidMedia_Search</t>
  </si>
  <si>
    <t>Marketing_CRM_Email</t>
  </si>
  <si>
    <t>google_ads_data_transfers</t>
  </si>
  <si>
    <t>vertex_ai_audit</t>
  </si>
  <si>
    <t>billing_export_cud</t>
  </si>
  <si>
    <t>outfit_recommendation_copy3</t>
  </si>
  <si>
    <t>looker_views</t>
  </si>
  <si>
    <t>dashboard_cache</t>
  </si>
  <si>
    <t>Ingenuity_Content_Details</t>
  </si>
  <si>
    <t>Ingenuity_Match_Maker</t>
  </si>
  <si>
    <t>THG_Match_Maker</t>
  </si>
  <si>
    <t>V2_Ingenuity_Tracking_Sheets</t>
  </si>
  <si>
    <t>v2_THG_Customer_Behaviour</t>
  </si>
  <si>
    <t>v2_THG_Social</t>
  </si>
  <si>
    <t>Marketing_Costs</t>
  </si>
  <si>
    <t>Blog_Report_Test</t>
  </si>
  <si>
    <t>Tranche 1.1: Abandoned Test/Temp (&gt;1yr)</t>
  </si>
  <si>
    <t>Critical</t>
  </si>
  <si>
    <t>ads_funnel_test</t>
  </si>
  <si>
    <t>funnel_export_ingenuity_test</t>
  </si>
  <si>
    <t>94238480_test</t>
  </si>
  <si>
    <t>temp_staging</t>
  </si>
  <si>
    <t>temp</t>
  </si>
  <si>
    <t>featurestore_poc</t>
  </si>
  <si>
    <t>DELETE</t>
  </si>
  <si>
    <t>influ_forecast__temp</t>
  </si>
  <si>
    <t>chunchao_test</t>
  </si>
  <si>
    <t>test_search</t>
  </si>
  <si>
    <t>2026-01-23 09:35 (github-ci-sa@thg-ml-dev.iam.gserviceaccount.com)
2026-01-23 09:35 (github-ci-sa@thg-ml-dev.iam.gserviceaccount.com)
2026-01-23 09:35 (github-ci-sa@thg-ml-dev.iam.gserviceaccount.com)
2026-01-23 09:35 (github-ci-sa@thg-ml-dev.iam.gserviceaccount.com)
2026-01-23 09:35 (github-ci-sa@thg-ml-dev.iam.gserviceaccount.com)</t>
  </si>
  <si>
    <t>archived_temp_reviews</t>
  </si>
  <si>
    <t>Superset_Temp</t>
  </si>
  <si>
    <t>test_customer_recently_viewed</t>
  </si>
  <si>
    <t>darrenj_test_productvisit_events</t>
  </si>
  <si>
    <t>ditto_memory_test</t>
  </si>
  <si>
    <t>archived_ecrm_user_clustering_test</t>
  </si>
  <si>
    <t>TestDataset2024</t>
  </si>
  <si>
    <t>cos_googleadwords_test</t>
  </si>
  <si>
    <t>2026-05-07 08:42 (babenkon@thehutgroup.com)
2026-04-29 09:17 (ingersolla@thehutgroup.com)</t>
  </si>
  <si>
    <t>2026-05-19 14:57 (nutrition-data-bq@agile-bonbon-662.iam.gserviceaccount.com)
2026-05-15 14:26 (nutrition-data-bq@agile-bonbon-662.iam.gserviceaccount.com)
2026-04-29 10:10 (ingersolla@thehutgroup.com)</t>
  </si>
  <si>
    <t>2026-05-19 14:58 (nutrition-data-bq@agile-bonbon-662.iam.gserviceaccount.com)
2026-05-19 14:57 (nutrition-data-bq@agile-bonbon-662.iam.gserviceaccount.com)
2026-05-15 14:27 (nutrition-data-bq@agile-bonbon-662.iam.gserviceaccount.com)
2026-05-15 14:27 (nutrition-data-bq@agile-bonbon-662.iam.gserviceaccount.com)
2026-04-29 10:10 (ingersolla@thehutgroup.com)</t>
  </si>
  <si>
    <t>2026-05-19 14:56 (nutrition-data-bq@agile-bonbon-662.iam.gserviceaccount.com)
2026-05-15 14:26 (nutrition-data-bq@agile-bonbon-662.iam.gserviceaccount.com)
2026-04-29 10:10 (ingersolla@thehutgroup.com)</t>
  </si>
  <si>
    <t>2026-05-19 14:58 (nutrition-data-bq@agile-bonbon-662.iam.gserviceaccount.com)
2026-05-15 14:27 (nutrition-data-bq@agile-bonbon-662.iam.gserviceaccount.com)
2026-04-29 10:10 (ingersolla@thehutgroup.com)</t>
  </si>
  <si>
    <t>archived_Samples_Testing</t>
  </si>
  <si>
    <t>2026-05-19 14:55 (nutrition-data-bq@agile-bonbon-662.iam.gserviceaccount.com)
2026-05-15 14:25 (nutrition-data-bq@agile-bonbon-662.iam.gserviceaccount.com)
2026-04-29 10:09 (ingersolla@thehutgroup.com)</t>
  </si>
  <si>
    <t>archived_Temp_External_Site_Info</t>
  </si>
  <si>
    <t>2026-05-19 14:56 (nutrition-data-bq@agile-bonbon-662.iam.gserviceaccount.com)
2026-05-15 14:25 (nutrition-data-bq@agile-bonbon-662.iam.gserviceaccount.com)
2026-04-29 10:09 (ingersolla@thehutgroup.com)</t>
  </si>
  <si>
    <t>FreeDelivery_Testing</t>
  </si>
  <si>
    <t>archived_Data_AB_Test_Output</t>
  </si>
  <si>
    <t>2026-05-19 14:55 (nutrition-data-bq@agile-bonbon-662.iam.gserviceaccount.com)
2026-05-15 14:24 (nutrition-data-bq@agile-bonbon-662.iam.gserviceaccount.com)
2026-04-29 10:09 (ingersolla@thehutgroup.com)</t>
  </si>
  <si>
    <t>archived_TestHarry</t>
  </si>
  <si>
    <t>mk_test</t>
  </si>
  <si>
    <t>archived_Samples_Testing_EU</t>
  </si>
  <si>
    <t>FreeDelivery_Testing_EU</t>
  </si>
  <si>
    <t>test_SA360</t>
  </si>
  <si>
    <t>Archive_Performance</t>
  </si>
  <si>
    <t>Tranche 2.1: Abandoned Large Prod (&gt;1yr)</t>
  </si>
  <si>
    <t>89368616</t>
  </si>
  <si>
    <t>89047573</t>
  </si>
  <si>
    <t>53124688</t>
  </si>
  <si>
    <t>225651448</t>
  </si>
  <si>
    <t>46872320</t>
  </si>
  <si>
    <t>242751479</t>
  </si>
  <si>
    <t>87337408</t>
  </si>
  <si>
    <t>192265883</t>
  </si>
  <si>
    <t>201052449</t>
  </si>
  <si>
    <t>Integration</t>
  </si>
  <si>
    <t>analytics_372461848</t>
  </si>
  <si>
    <t>analytics_349598407</t>
  </si>
  <si>
    <t>analytics_349653580</t>
  </si>
  <si>
    <t>analytics_372694570</t>
  </si>
  <si>
    <t>analytics_372639542</t>
  </si>
  <si>
    <t>analytics_372623168</t>
  </si>
  <si>
    <t>analytics_329535681</t>
  </si>
  <si>
    <t>analytics_295144074</t>
  </si>
  <si>
    <t>analytics_329550098</t>
  </si>
  <si>
    <t>analytics_329550348</t>
  </si>
  <si>
    <t>01_Maria</t>
  </si>
  <si>
    <t>2026-06-21 07:09 (tableau-bq-ingenuity-sa@thg-ingenuity.iam.gserviceaccount.com)
2026-06-21 07:09 (tableau-bq-ingenuity-sa@thg-ingenuity.iam.gserviceaccount.com)
2026-06-21 07:09 (tableau-bq-ingenuity-sa@thg-ingenuity.iam.gserviceaccount.com)
2026-06-21 07:09 (tableau-bq-ingenuity-sa@thg-ingenuity.iam.gserviceaccount.com)
2026-06-21 07:09 (tableau-bq-ingenuity-sa@thg-ingenuity.iam.gserviceaccount.com)</t>
  </si>
  <si>
    <t>Edit_Reporting</t>
  </si>
  <si>
    <t>email_TnC</t>
  </si>
  <si>
    <t>recs__permanent</t>
  </si>
  <si>
    <t>Customer_Emails</t>
  </si>
  <si>
    <t>22/06/2021: Deprecated</t>
  </si>
  <si>
    <t>ECRM User Engagement Applier</t>
  </si>
  <si>
    <t>2026-04-29 09:57 (ingersolla@thehutgroup.com)
2026-02-20 11:22 (dittwo@vibrant-map-107910.iam.gserviceaccount.com)</t>
  </si>
  <si>
    <t>2026-05-19 14:27 (nutrition-data-bq@agile-bonbon-662.iam.gserviceaccount.com)
2026-05-19 14:27 (nutrition-data-bq@agile-bonbon-662.iam.gserviceaccount.com)
2026-05-15 13:53 (nutrition-data-bq@agile-bonbon-662.iam.gserviceaccount.com)
2026-05-15 13:53 (nutrition-data-bq@agile-bonbon-662.iam.gserviceaccount.com)
2026-04-29 10:02 (ingersolla@thehutgroup.com)</t>
  </si>
  <si>
    <t>2026-05-19 14:40 (nutrition-data-bq@agile-bonbon-662.iam.gserviceaccount.com)
2026-05-15 14:08 (nutrition-data-bq@agile-bonbon-662.iam.gserviceaccount.com)
2026-04-29 10:05 (ingersolla@thehutgroup.com)</t>
  </si>
  <si>
    <t>2026-05-19 14:41 (nutrition-data-bq@agile-bonbon-662.iam.gserviceaccount.com)
2026-05-19 14:41 (nutrition-data-bq@agile-bonbon-662.iam.gserviceaccount.com)
2026-05-15 14:10 (nutrition-data-bq@agile-bonbon-662.iam.gserviceaccount.com)
2026-05-15 14:09 (nutrition-data-bq@agile-bonbon-662.iam.gserviceaccount.com)
2026-04-29 10:05 (ingersolla@thehutgroup.com)</t>
  </si>
  <si>
    <t>2026-05-19 14:11 (nutrition-data-bq@agile-bonbon-662.iam.gserviceaccount.com)
2026-05-15 13:39 (nutrition-data-bq@agile-bonbon-662.iam.gserviceaccount.com)
2026-04-29 10:00 (ingersolla@thehutgroup.com)
2026-01-01 06:40 (beauty-data@agile-bonbon-662.iam.gserviceaccount.com)</t>
  </si>
  <si>
    <t>2026-05-19 14:25 (nutrition-data-bq@agile-bonbon-662.iam.gserviceaccount.com)
2026-05-15 13:51 (nutrition-data-bq@agile-bonbon-662.iam.gserviceaccount.com)
2026-04-29 10:02 (ingersolla@thehutgroup.com)</t>
  </si>
  <si>
    <t>2026-05-19 14:22 (nutrition-data-bq@agile-bonbon-662.iam.gserviceaccount.com)
2026-05-15 13:49 (nutrition-data-bq@agile-bonbon-662.iam.gserviceaccount.com)
2026-04-29 10:02 (ingersolla@thehutgroup.com)</t>
  </si>
  <si>
    <t>2026-05-19 14:09 (nutrition-data-bq@agile-bonbon-662.iam.gserviceaccount.com)
2026-05-15 13:36 (nutrition-data-bq@agile-bonbon-662.iam.gserviceaccount.com)
2026-04-29 10:00 (ingersolla@thehutgroup.com)</t>
  </si>
  <si>
    <t>2026-05-19 14:07 (nutrition-data-bq@agile-bonbon-662.iam.gserviceaccount.com)
2026-05-15 13:34 (nutrition-data-bq@agile-bonbon-662.iam.gserviceaccount.com)
2026-04-29 09:59 (ingersolla@thehutgroup.com)</t>
  </si>
  <si>
    <t>2026-05-19 14:57 (nutrition-data-bq@agile-bonbon-662.iam.gserviceaccount.com)
2026-05-19 14:57 (nutrition-data-bq@agile-bonbon-662.iam.gserviceaccount.com)
2026-05-15 14:26 (nutrition-data-bq@agile-bonbon-662.iam.gserviceaccount.com)
2026-05-15 14:26 (nutrition-data-bq@agile-bonbon-662.iam.gserviceaccount.com)
2026-04-29 10:10 (ingersolla@thehutgroup.com)</t>
  </si>
  <si>
    <t>2026-05-19 14:13 (nutrition-data-bq@agile-bonbon-662.iam.gserviceaccount.com)
2026-05-15 13:40 (nutrition-data-bq@agile-bonbon-662.iam.gserviceaccount.com)
2026-04-29 10:00 (ingersolla@thehutgroup.com)</t>
  </si>
  <si>
    <t>2026-05-19 14:30 (nutrition-data-bq@agile-bonbon-662.iam.gserviceaccount.com)
2026-05-15 13:56 (nutrition-data-bq@agile-bonbon-662.iam.gserviceaccount.com)
2026-04-29 10:03 (ingersolla@thehutgroup.com)</t>
  </si>
  <si>
    <t>2026-05-19 14:21 (nutrition-data-bq@agile-bonbon-662.iam.gserviceaccount.com)
2026-05-15 13:48 (nutrition-data-bq@agile-bonbon-662.iam.gserviceaccount.com)
2026-04-29 10:02 (ingersolla@thehutgroup.com)</t>
  </si>
  <si>
    <t>2026-05-19 14:18 (nutrition-data-bq@agile-bonbon-662.iam.gserviceaccount.com)
2026-05-15 13:45 (nutrition-data-bq@agile-bonbon-662.iam.gserviceaccount.com)
2026-04-29 10:01 (ingersolla@thehutgroup.com)</t>
  </si>
  <si>
    <t>2026-05-19 14:08 (nutrition-data-bq@agile-bonbon-662.iam.gserviceaccount.com)
2026-05-15 13:35 (nutrition-data-bq@agile-bonbon-662.iam.gserviceaccount.com)
2026-04-29 09:59 (ingersolla@thehutgroup.com)</t>
  </si>
  <si>
    <t>2026-05-19 14:17 (nutrition-data-bq@agile-bonbon-662.iam.gserviceaccount.com)
2026-05-15 13:45 (nutrition-data-bq@agile-bonbon-662.iam.gserviceaccount.com)
2026-04-29 10:01 (ingersolla@thehutgroup.com)</t>
  </si>
  <si>
    <t>2026-05-19 14:19 (nutrition-data-bq@agile-bonbon-662.iam.gserviceaccount.com)
2026-05-15 13:46 (nutrition-data-bq@agile-bonbon-662.iam.gserviceaccount.com)
2026-04-29 10:02 (ingersolla@thehutgroup.com)</t>
  </si>
  <si>
    <t>2026-05-19 14:18 (nutrition-data-bq@agile-bonbon-662.iam.gserviceaccount.com)
2026-05-15 13:46 (nutrition-data-bq@agile-bonbon-662.iam.gserviceaccount.com)
2026-04-29 10:02 (ingersolla@thehutgroup.com)</t>
  </si>
  <si>
    <t>2026-05-19 14:06 (nutrition-data-bq@agile-bonbon-662.iam.gserviceaccount.com)
2026-05-15 13:33 (nutrition-data-bq@agile-bonbon-662.iam.gserviceaccount.com)
2026-04-29 09:59 (ingersolla@thehutgroup.com)</t>
  </si>
  <si>
    <t>2026-05-19 14:03 (nutrition-data-bq@agile-bonbon-662.iam.gserviceaccount.com)
2026-05-15 13:29 (nutrition-data-bq@agile-bonbon-662.iam.gserviceaccount.com)
2026-04-29 09:59 (ingersolla@thehutgroup.com)</t>
  </si>
  <si>
    <t>2026-05-19 14:23 (nutrition-data-bq@agile-bonbon-662.iam.gserviceaccount.com)
2026-05-15 13:50 (nutrition-data-bq@agile-bonbon-662.iam.gserviceaccount.com)
2026-04-29 10:02 (ingersolla@thehutgroup.com)</t>
  </si>
  <si>
    <t>2026-05-19 14:20 (nutrition-data-bq@agile-bonbon-662.iam.gserviceaccount.com)
2026-05-15 13:47 (nutrition-data-bq@agile-bonbon-662.iam.gserviceaccount.com)
2026-04-29 10:02 (ingersolla@thehutgroup.com)</t>
  </si>
  <si>
    <t>2026-05-19 14:01 (nutrition-data-bq@agile-bonbon-662.iam.gserviceaccount.com)
2026-05-15 13:27 (nutrition-data-bq@agile-bonbon-662.iam.gserviceaccount.com)
2026-04-29 09:59 (ingersolla@thehutgroup.com)</t>
  </si>
  <si>
    <t>2026-05-19 14:11 (nutrition-data-bq@agile-bonbon-662.iam.gserviceaccount.com)
2026-05-15 13:38 (nutrition-data-bq@agile-bonbon-662.iam.gserviceaccount.com)
2026-04-29 10:00 (ingersolla@thehutgroup.com)</t>
  </si>
  <si>
    <t>2026-05-19 14:26 (nutrition-data-bq@agile-bonbon-662.iam.gserviceaccount.com)
2026-05-15 13:52 (nutrition-data-bq@agile-bonbon-662.iam.gserviceaccount.com)
2026-04-29 10:02 (ingersolla@thehutgroup.com)</t>
  </si>
  <si>
    <t>2026-05-19 14:25 (nutrition-data-bq@agile-bonbon-662.iam.gserviceaccount.com)
2026-05-15 13:52 (nutrition-data-bq@agile-bonbon-662.iam.gserviceaccount.com)
2026-04-29 10:02 (ingersolla@thehutgroup.com)</t>
  </si>
  <si>
    <t>2026-05-19 14:03 (nutrition-data-bq@agile-bonbon-662.iam.gserviceaccount.com)
2026-05-15 13:30 (nutrition-data-bq@agile-bonbon-662.iam.gserviceaccount.com)
2026-04-29 09:59 (ingersolla@thehutgroup.com)</t>
  </si>
  <si>
    <t>2026-05-19 13:58 (nutrition-data-bq@agile-bonbon-662.iam.gserviceaccount.com)
2026-05-15 13:25 (nutrition-data-bq@agile-bonbon-662.iam.gserviceaccount.com)
2026-04-29 09:58 (ingersolla@thehutgroup.com)</t>
  </si>
  <si>
    <t>2026-05-19 13:59 (nutrition-data-bq@agile-bonbon-662.iam.gserviceaccount.com)
2026-05-15 13:25 (nutrition-data-bq@agile-bonbon-662.iam.gserviceaccount.com)
2026-04-29 09:59 (ingersolla@thehutgroup.com)</t>
  </si>
  <si>
    <t>2026-05-19 14:08 (nutrition-data-bq@agile-bonbon-662.iam.gserviceaccount.com)
2026-05-15 13:35 (nutrition-data-bq@agile-bonbon-662.iam.gserviceaccount.com)
2026-04-29 10:00 (ingersolla@thehutgroup.com)</t>
  </si>
  <si>
    <t>2026-05-19 14:29 (nutrition-data-bq@agile-bonbon-662.iam.gserviceaccount.com)
2026-05-15 13:55 (nutrition-data-bq@agile-bonbon-662.iam.gserviceaccount.com)
2026-04-29 10:03 (ingersolla@thehutgroup.com)</t>
  </si>
  <si>
    <t>2026-05-19 14:17 (nutrition-data-bq@agile-bonbon-662.iam.gserviceaccount.com)
2026-05-15 13:44 (nutrition-data-bq@agile-bonbon-662.iam.gserviceaccount.com)
2026-04-29 10:01 (ingersolla@thehutgroup.com)</t>
  </si>
  <si>
    <t>2026-05-19 14:27 (nutrition-data-bq@agile-bonbon-662.iam.gserviceaccount.com)
2026-05-15 13:53 (nutrition-data-bq@agile-bonbon-662.iam.gserviceaccount.com)
2026-04-29 10:02 (ingersolla@thehutgroup.com)</t>
  </si>
  <si>
    <t>2026-05-19 14:24 (nutrition-data-bq@agile-bonbon-662.iam.gserviceaccount.com)
2026-05-15 13:51 (nutrition-data-bq@agile-bonbon-662.iam.gserviceaccount.com)
2026-04-29 10:02 (ingersolla@thehutgroup.com)</t>
  </si>
  <si>
    <t>2026-05-19 14:04 (nutrition-data-bq@agile-bonbon-662.iam.gserviceaccount.com)
2026-05-15 13:31 (nutrition-data-bq@agile-bonbon-662.iam.gserviceaccount.com)
2026-04-29 09:59 (ingersolla@thehutgroup.com)</t>
  </si>
  <si>
    <t>2026-05-19 13:57 (nutrition-data-bq@agile-bonbon-662.iam.gserviceaccount.com)
2026-05-15 13:24 (nutrition-data-bq@agile-bonbon-662.iam.gserviceaccount.com)
2026-04-29 09:58 (ingersolla@thehutgroup.com)</t>
  </si>
  <si>
    <t>2026-05-19 14:42 (nutrition-data-bq@agile-bonbon-662.iam.gserviceaccount.com)
2026-05-19 14:42 (nutrition-data-bq@agile-bonbon-662.iam.gserviceaccount.com)
2026-05-19 14:42 (nutrition-data-bq@agile-bonbon-662.iam.gserviceaccount.com)
2026-05-19 14:41 (nutrition-data-bq@agile-bonbon-662.iam.gserviceaccount.com)
2026-05-15 14:10 (nutrition-data-bq@agile-bonbon-662.iam.gserviceaccount.com)</t>
  </si>
  <si>
    <t>2026-05-19 14:54 (nutrition-data-bq@agile-bonbon-662.iam.gserviceaccount.com)
2026-05-15 14:24 (nutrition-data-bq@agile-bonbon-662.iam.gserviceaccount.com)
2026-04-29 10:09 (ingersolla@thehutgroup.com)</t>
  </si>
  <si>
    <t>2026-05-19 14:26 (nutrition-data-bq@agile-bonbon-662.iam.gserviceaccount.com)
2026-05-15 13:53 (nutrition-data-bq@agile-bonbon-662.iam.gserviceaccount.com)
2026-04-29 10:02 (ingersolla@thehutgroup.com)</t>
  </si>
  <si>
    <t>2026-05-19 14:00 (nutrition-data-bq@agile-bonbon-662.iam.gserviceaccount.com)
2026-05-15 13:27 (nutrition-data-bq@agile-bonbon-662.iam.gserviceaccount.com)
2026-04-29 09:59 (ingersolla@thehutgroup.com)</t>
  </si>
  <si>
    <t>2026-05-19 13:59 (nutrition-data-bq@agile-bonbon-662.iam.gserviceaccount.com)
2026-05-15 13:26 (nutrition-data-bq@agile-bonbon-662.iam.gserviceaccount.com)
2026-04-29 09:59 (ingersolla@thehutgroup.com)</t>
  </si>
  <si>
    <t>2026-05-19 13:57 (nutrition-data-bq@agile-bonbon-662.iam.gserviceaccount.com)
2026-05-15 13:23 (nutrition-data-bq@agile-bonbon-662.iam.gserviceaccount.com)
2026-05-15 12:52 (nutrition-data-bq@agile-bonbon-662.iam.gserviceaccount.com)
2026-05-15 12:51 (nutrition-data-bq@agile-bonbon-662.iam.gserviceaccount.com)
2026-05-15 12:51 (nutrition-data-bq@agile-bonbon-662.iam.gserviceaccount.com)</t>
  </si>
  <si>
    <t>2026-05-19 13:57 (nutrition-data-bq@agile-bonbon-662.iam.gserviceaccount.com)
2026-05-15 13:24 (nutrition-data-bq@agile-bonbon-662.iam.gserviceaccount.com)
2026-05-15 12:52 (nutrition-data-bq@agile-bonbon-662.iam.gserviceaccount.com)
2026-05-15 12:52 (nutrition-data-bq@agile-bonbon-662.iam.gserviceaccount.com)
2026-05-15 12:52 (nutrition-data-bq@agile-bonbon-662.iam.gserviceaccount.com)</t>
  </si>
  <si>
    <t>2026-05-19 14:02 (nutrition-data-bq@agile-bonbon-662.iam.gserviceaccount.com)
2026-05-15 13:29 (nutrition-data-bq@agile-bonbon-662.iam.gserviceaccount.com)
2026-04-29 09:59 (ingersolla@thehutgroup.com)</t>
  </si>
  <si>
    <t>2026-05-19 14:04 (nutrition-data-bq@agile-bonbon-662.iam.gserviceaccount.com)
2026-05-15 13:30 (nutrition-data-bq@agile-bonbon-662.iam.gserviceaccount.com)
2026-04-29 09:59 (ingersolla@thehutgroup.com)</t>
  </si>
  <si>
    <t>2026-05-19 14:05 (nutrition-data-bq@agile-bonbon-662.iam.gserviceaccount.com)
2026-05-15 13:32 (nutrition-data-bq@agile-bonbon-662.iam.gserviceaccount.com)
2026-04-29 09:59 (ingersolla@thehutgroup.com)</t>
  </si>
  <si>
    <t>2026-05-19 13:58 (nutrition-data-bq@agile-bonbon-662.iam.gserviceaccount.com)
2026-05-15 13:25 (nutrition-data-bq@agile-bonbon-662.iam.gserviceaccount.com)
2026-04-29 09:59 (ingersolla@thehutgroup.com)</t>
  </si>
  <si>
    <t>2026-05-19 14:00 (nutrition-data-bq@agile-bonbon-662.iam.gserviceaccount.com)
2026-05-15 13:26 (nutrition-data-bq@agile-bonbon-662.iam.gserviceaccount.com)
2026-04-29 09:59 (ingersolla@thehutgroup.com)</t>
  </si>
  <si>
    <t>2026-05-19 14:23 (nutrition-data-bq@agile-bonbon-662.iam.gserviceaccount.com)
2026-05-15 13:49 (nutrition-data-bq@agile-bonbon-662.iam.gserviceaccount.com)
2026-04-29 10:02 (ingersolla@thehutgroup.com)</t>
  </si>
  <si>
    <t>2026-05-19 13:58 (nutrition-data-bq@agile-bonbon-662.iam.gserviceaccount.com)
2026-05-15 13:24 (nutrition-data-bq@agile-bonbon-662.iam.gserviceaccount.com)
2026-04-29 09:58 (ingersolla@thehutgroup.com)</t>
  </si>
  <si>
    <t>2026-05-19 14:58 (nutrition-data-bq@agile-bonbon-662.iam.gserviceaccount.com)
2026-05-19 14:58 (nutrition-data-bq@agile-bonbon-662.iam.gserviceaccount.com)
2026-05-19 14:58 (nutrition-data-bq@agile-bonbon-662.iam.gserviceaccount.com)
2026-05-19 14:58 (nutrition-data-bq@agile-bonbon-662.iam.gserviceaccount.com)
2026-05-19 14:58 (nutrition-data-bq@agile-bonbon-662.iam.gserviceaccount.com)</t>
  </si>
  <si>
    <t>2026-05-19 14:01 (nutrition-data-bq@agile-bonbon-662.iam.gserviceaccount.com)
2026-05-15 13:28 (nutrition-data-bq@agile-bonbon-662.iam.gserviceaccount.com)
2026-04-29 09:59 (ingersolla@thehutgroup.com)</t>
  </si>
  <si>
    <t>2026-05-19 14:10 (nutrition-data-bq@agile-bonbon-662.iam.gserviceaccount.com)
2026-05-15 13:37 (nutrition-data-bq@agile-bonbon-662.iam.gserviceaccount.com)
2026-04-29 10:00 (ingersolla@thehutgroup.com)</t>
  </si>
  <si>
    <t>2026-05-19 14:12 (nutrition-data-bq@agile-bonbon-662.iam.gserviceaccount.com)
2026-05-15 13:39 (nutrition-data-bq@agile-bonbon-662.iam.gserviceaccount.com)
2026-04-29 10:00 (ingersolla@thehutgroup.com)</t>
  </si>
  <si>
    <t>2026-05-19 14:02 (nutrition-data-bq@agile-bonbon-662.iam.gserviceaccount.com)
2026-05-15 13:28 (nutrition-data-bq@agile-bonbon-662.iam.gserviceaccount.com)
2026-04-29 09:59 (ingersolla@thehutgroup.com)</t>
  </si>
  <si>
    <t>2026-06-15 08:07 (dean.chouit54@thg.com)
2026-06-09 14:54 (tahmina.choudhury68@thg.com)
2026-05-19 14:33 (nutrition-data-bq@agile-bonbon-662.iam.gserviceaccount.com)
2026-05-18 07:04 (sam.atkin98@thehutgroup.com)
2026-05-18 07:03 (sam.atkin98@thehutgroup.com)</t>
  </si>
  <si>
    <t>2026-06-20 03:00 (beauty-data@agile-bonbon-662.iam.gserviceaccount.com)
2026-06-20 03:00 (beauty-data@agile-bonbon-662.iam.gserviceaccount.com)
2026-06-18 03:00 (beauty-data@agile-bonbon-662.iam.gserviceaccount.com)
2026-06-18 03:00 (beauty-data@agile-bonbon-662.iam.gserviceaccount.com)
2026-06-16 03:00 (beauty-data@agile-bonbon-662.iam.gserviceaccount.com)</t>
  </si>
  <si>
    <t>2026-06-24 10:12 (central-marketing-credentials@thg-central-marketing.iam.gserviceaccount.com)
2026-06-24 09:11 (central-marketing-credentials@thg-central-marketing.iam.gserviceaccount.com)
2026-06-24 08:14 (central-marketing-credentials@thg-central-marketing.iam.gserviceaccount.com)
2026-06-24 07:20 (central-marketing-credentials@thg-central-marketing.iam.gserviceaccount.com)
2026-06-24 06:14 (central-marketing-credentials@thg-central-marketing.iam.gserviceaccount.com)</t>
  </si>
  <si>
    <t>2026-06-24 09:35 (sam.atkin98@thehutgroup.com)
2026-06-24 08:56 (sam.atkin98@thehutgroup.com)
2026-06-24 08:56 (sam.atkin98@thehutgroup.com)
2026-06-23 14:34 (sam.atkin98@thehutgroup.com)
2026-06-23 07:53 (sam.atkin98@thehutgroup.com)</t>
  </si>
  <si>
    <t>Product_Category</t>
  </si>
  <si>
    <t>225112377</t>
  </si>
  <si>
    <t>Tranche 3.1: Abandoned Small Prod (&gt;1yr)</t>
  </si>
  <si>
    <t>High</t>
  </si>
  <si>
    <t>222908222</t>
  </si>
  <si>
    <t>01_Hugh</t>
  </si>
  <si>
    <t>01_Shentao</t>
  </si>
  <si>
    <t>6810147</t>
  </si>
  <si>
    <t>179134497</t>
  </si>
  <si>
    <t>No7_Customer_D</t>
  </si>
  <si>
    <t>222913237</t>
  </si>
  <si>
    <t>Archive_Details</t>
  </si>
  <si>
    <t>Archive_Black_Friday</t>
  </si>
  <si>
    <t>Archive_Predictions</t>
  </si>
  <si>
    <t>Archive_Ingenuity</t>
  </si>
  <si>
    <t>171827423</t>
  </si>
  <si>
    <t>BF_Intraday_COS_Report</t>
  </si>
  <si>
    <t>235225137</t>
  </si>
  <si>
    <t>0_Suraj_EU</t>
  </si>
  <si>
    <t>222945880</t>
  </si>
  <si>
    <t>239958069</t>
  </si>
  <si>
    <t>Events</t>
  </si>
  <si>
    <t>246172394</t>
  </si>
  <si>
    <t>THG_Duplication</t>
  </si>
  <si>
    <t>Antipodes_PCR</t>
  </si>
  <si>
    <t>products_report</t>
  </si>
  <si>
    <t>FB_Data_Sample</t>
  </si>
  <si>
    <t>price_competitiveness_data</t>
  </si>
  <si>
    <t>Ingenuity_Google_Search</t>
  </si>
  <si>
    <t>241426599</t>
  </si>
  <si>
    <t>244133623</t>
  </si>
  <si>
    <t>01_Antonia</t>
  </si>
  <si>
    <t>222949519</t>
  </si>
  <si>
    <t>No7_Cost_Backup</t>
  </si>
  <si>
    <t>222837135</t>
  </si>
  <si>
    <t>219477564</t>
  </si>
  <si>
    <t>225787344</t>
  </si>
  <si>
    <t>223988167</t>
  </si>
  <si>
    <t>ing_ads_1891506550</t>
  </si>
  <si>
    <t>ads_funnel</t>
  </si>
  <si>
    <t>awin_exports_ing</t>
  </si>
  <si>
    <t>fb_ads_funnel_exports</t>
  </si>
  <si>
    <t>ingenuity_linkedin_data</t>
  </si>
  <si>
    <t>tiktok_exports</t>
  </si>
  <si>
    <t>yandex_funnel_exports</t>
  </si>
  <si>
    <t>test</t>
  </si>
  <si>
    <t>238740529</t>
  </si>
  <si>
    <t>220938436</t>
  </si>
  <si>
    <t>227693636</t>
  </si>
  <si>
    <t>Beth</t>
  </si>
  <si>
    <t>232006731</t>
  </si>
  <si>
    <t>GA4</t>
  </si>
  <si>
    <t>225807656</t>
  </si>
  <si>
    <t>225751576</t>
  </si>
  <si>
    <t>231587487</t>
  </si>
  <si>
    <t>235593092</t>
  </si>
  <si>
    <t>246282419</t>
  </si>
  <si>
    <t>254799465</t>
  </si>
  <si>
    <t>244644321</t>
  </si>
  <si>
    <t>249221114</t>
  </si>
  <si>
    <t>94238480_restored</t>
  </si>
  <si>
    <t>253204879</t>
  </si>
  <si>
    <t>251587710</t>
  </si>
  <si>
    <t>231771198</t>
  </si>
  <si>
    <t>202251151</t>
  </si>
  <si>
    <t>230957899</t>
  </si>
  <si>
    <t>ads_words_all_accounts</t>
  </si>
  <si>
    <t>222101328</t>
  </si>
  <si>
    <t>219008897</t>
  </si>
  <si>
    <t>202739649</t>
  </si>
  <si>
    <t>261270362</t>
  </si>
  <si>
    <t>279585795</t>
  </si>
  <si>
    <t>269050991</t>
  </si>
  <si>
    <t>226388966</t>
  </si>
  <si>
    <t>analytics_318991978</t>
  </si>
  <si>
    <t>246155138</t>
  </si>
  <si>
    <t>247302891</t>
  </si>
  <si>
    <t>analytics_330580105</t>
  </si>
  <si>
    <t>analytics_330132304</t>
  </si>
  <si>
    <t>250416938</t>
  </si>
  <si>
    <t>226097974</t>
  </si>
  <si>
    <t>242569508</t>
  </si>
  <si>
    <t>267422384</t>
  </si>
  <si>
    <t>analytics_331607177</t>
  </si>
  <si>
    <t>239014393</t>
  </si>
  <si>
    <t>189372072</t>
  </si>
  <si>
    <t>243786823</t>
  </si>
  <si>
    <t>243780788</t>
  </si>
  <si>
    <t>263177384</t>
  </si>
  <si>
    <t>analytics_331135128</t>
  </si>
  <si>
    <t>analytics_331115897</t>
  </si>
  <si>
    <t>187313478</t>
  </si>
  <si>
    <t>analytics_315914399</t>
  </si>
  <si>
    <t>242554215</t>
  </si>
  <si>
    <t>01_George</t>
  </si>
  <si>
    <t>analytics_271666557</t>
  </si>
  <si>
    <t>analytics_351407288</t>
  </si>
  <si>
    <t>246208262</t>
  </si>
  <si>
    <t>241721735</t>
  </si>
  <si>
    <t>analytics_265053593</t>
  </si>
  <si>
    <t>255450878</t>
  </si>
  <si>
    <t>analytics_331107522</t>
  </si>
  <si>
    <t>267816687</t>
  </si>
  <si>
    <t>248679741</t>
  </si>
  <si>
    <t>analytics_331109237</t>
  </si>
  <si>
    <t>analytics_333994977</t>
  </si>
  <si>
    <t>206693428</t>
  </si>
  <si>
    <t>analytics_351400919</t>
  </si>
  <si>
    <t>254450674</t>
  </si>
  <si>
    <t>230348903</t>
  </si>
  <si>
    <t>245086783</t>
  </si>
  <si>
    <t>analytics_276174874</t>
  </si>
  <si>
    <t>analytics_323929010</t>
  </si>
  <si>
    <t>analytics_315289358</t>
  </si>
  <si>
    <t>analytics_359800874</t>
  </si>
  <si>
    <t>analytics_372699972</t>
  </si>
  <si>
    <t>245775318</t>
  </si>
  <si>
    <t>analytics_372640843</t>
  </si>
  <si>
    <t>94238480</t>
  </si>
  <si>
    <t>18675912</t>
  </si>
  <si>
    <t>276273886</t>
  </si>
  <si>
    <t>142123446</t>
  </si>
  <si>
    <t>269897160</t>
  </si>
  <si>
    <t>analytics_320670303</t>
  </si>
  <si>
    <t>261272190</t>
  </si>
  <si>
    <t>analytics_304272092</t>
  </si>
  <si>
    <t>analytics_351413409</t>
  </si>
  <si>
    <t>266860284</t>
  </si>
  <si>
    <t>226386925</t>
  </si>
  <si>
    <t>analytics_315313749</t>
  </si>
  <si>
    <t>ML_Match_Maker</t>
  </si>
  <si>
    <t>221201383</t>
  </si>
  <si>
    <t>analytics_376288377</t>
  </si>
  <si>
    <t>analytics_333656021</t>
  </si>
  <si>
    <t>243117320</t>
  </si>
  <si>
    <t>249490902</t>
  </si>
  <si>
    <t>analytics_330139525</t>
  </si>
  <si>
    <t>261880587</t>
  </si>
  <si>
    <t>173856738</t>
  </si>
  <si>
    <t>analytics_251456423</t>
  </si>
  <si>
    <t>269036459</t>
  </si>
  <si>
    <t>277902239</t>
  </si>
  <si>
    <t>analytics_320991339</t>
  </si>
  <si>
    <t>analytics_331074532</t>
  </si>
  <si>
    <t>222341244</t>
  </si>
  <si>
    <t>275181166</t>
  </si>
  <si>
    <t>analytics_379524288</t>
  </si>
  <si>
    <t>281033030</t>
  </si>
  <si>
    <t>217555736</t>
  </si>
  <si>
    <t>237442640</t>
  </si>
  <si>
    <t>Price_Competitor_Tool</t>
  </si>
  <si>
    <t>238091205</t>
  </si>
  <si>
    <t>analytics_331566587</t>
  </si>
  <si>
    <t>236489223</t>
  </si>
  <si>
    <t>238140772</t>
  </si>
  <si>
    <t>analytics_374114213</t>
  </si>
  <si>
    <t>264175356</t>
  </si>
  <si>
    <t>279478216</t>
  </si>
  <si>
    <t>61241944</t>
  </si>
  <si>
    <t>20689038</t>
  </si>
  <si>
    <t>analytics_419645180</t>
  </si>
  <si>
    <t>254346540</t>
  </si>
  <si>
    <t>204076279</t>
  </si>
  <si>
    <t>analytics_372639469</t>
  </si>
  <si>
    <t>analytics_331064995</t>
  </si>
  <si>
    <t>249913114</t>
  </si>
  <si>
    <t>271212726</t>
  </si>
  <si>
    <t>236855096</t>
  </si>
  <si>
    <t>241635826</t>
  </si>
  <si>
    <t>76895446</t>
  </si>
  <si>
    <t>237453074</t>
  </si>
  <si>
    <t>203274276</t>
  </si>
  <si>
    <t>analytics_330709404</t>
  </si>
  <si>
    <t>analytics_329805550</t>
  </si>
  <si>
    <t>222933062</t>
  </si>
  <si>
    <t>analytics_340447462</t>
  </si>
  <si>
    <t>261267548</t>
  </si>
  <si>
    <t>243628936</t>
  </si>
  <si>
    <t>243656997</t>
  </si>
  <si>
    <t>243626621</t>
  </si>
  <si>
    <t>198184396</t>
  </si>
  <si>
    <t>248684172</t>
  </si>
  <si>
    <t>analytics_323509428</t>
  </si>
  <si>
    <t>230423841</t>
  </si>
  <si>
    <t>228423870</t>
  </si>
  <si>
    <t>220240759</t>
  </si>
  <si>
    <t>243845608</t>
  </si>
  <si>
    <t>PnG_Uploads</t>
  </si>
  <si>
    <t>analytics_329529406</t>
  </si>
  <si>
    <t>215563785</t>
  </si>
  <si>
    <t>50403209</t>
  </si>
  <si>
    <t>204338099</t>
  </si>
  <si>
    <t>50398569</t>
  </si>
  <si>
    <t>230038466</t>
  </si>
  <si>
    <t>analytics_328253662</t>
  </si>
  <si>
    <t>61242032</t>
  </si>
  <si>
    <t>226425218</t>
  </si>
  <si>
    <t>247732925</t>
  </si>
  <si>
    <t>200193006</t>
  </si>
  <si>
    <t>239965013</t>
  </si>
  <si>
    <t>254346834</t>
  </si>
  <si>
    <t>199359628</t>
  </si>
  <si>
    <t>216715161</t>
  </si>
  <si>
    <t>254384146</t>
  </si>
  <si>
    <t>233656108</t>
  </si>
  <si>
    <t>199791694</t>
  </si>
  <si>
    <t>91105048</t>
  </si>
  <si>
    <t>236957004</t>
  </si>
  <si>
    <t>141753313</t>
  </si>
  <si>
    <t>141543763</t>
  </si>
  <si>
    <t>35780781</t>
  </si>
  <si>
    <t>226060613</t>
  </si>
  <si>
    <t>231177304</t>
  </si>
  <si>
    <t>234165456</t>
  </si>
  <si>
    <t>225659904</t>
  </si>
  <si>
    <t>210248540</t>
  </si>
  <si>
    <t>211680289</t>
  </si>
  <si>
    <t>227273845</t>
  </si>
  <si>
    <t>237512352</t>
  </si>
  <si>
    <t>232099138</t>
  </si>
  <si>
    <t>213342285</t>
  </si>
  <si>
    <t>228634758</t>
  </si>
  <si>
    <t>218472589</t>
  </si>
  <si>
    <t>215543301</t>
  </si>
  <si>
    <t>249842904</t>
  </si>
  <si>
    <t>237800200</t>
  </si>
  <si>
    <t>226423080</t>
  </si>
  <si>
    <t>114902429</t>
  </si>
  <si>
    <t>248661944</t>
  </si>
  <si>
    <t>220546969</t>
  </si>
  <si>
    <t>227447044</t>
  </si>
  <si>
    <t>226084227</t>
  </si>
  <si>
    <t>225664950</t>
  </si>
  <si>
    <t>250918996</t>
  </si>
  <si>
    <t>234235494</t>
  </si>
  <si>
    <t>276297818</t>
  </si>
  <si>
    <t>228369056</t>
  </si>
  <si>
    <t>234234767</t>
  </si>
  <si>
    <t>226386012</t>
  </si>
  <si>
    <t>245913150</t>
  </si>
  <si>
    <t>171841712</t>
  </si>
  <si>
    <t>254367795</t>
  </si>
  <si>
    <t>226096259</t>
  </si>
  <si>
    <t>254484717</t>
  </si>
  <si>
    <t>204122299</t>
  </si>
  <si>
    <t>81549751</t>
  </si>
  <si>
    <t>276300296</t>
  </si>
  <si>
    <t>244652895</t>
  </si>
  <si>
    <t>229655358</t>
  </si>
  <si>
    <t>177894108</t>
  </si>
  <si>
    <t>177902090</t>
  </si>
  <si>
    <t>244624642</t>
  </si>
  <si>
    <t>269233408</t>
  </si>
  <si>
    <t>233602549</t>
  </si>
  <si>
    <t>269040690</t>
  </si>
  <si>
    <t>233089274</t>
  </si>
  <si>
    <t>231006812</t>
  </si>
  <si>
    <t>275152394</t>
  </si>
  <si>
    <t>245905185</t>
  </si>
  <si>
    <t>229934762</t>
  </si>
  <si>
    <t>247735271</t>
  </si>
  <si>
    <t>248650133</t>
  </si>
  <si>
    <t>226419161</t>
  </si>
  <si>
    <t>analytics_376078606</t>
  </si>
  <si>
    <t>268143683</t>
  </si>
  <si>
    <t>249907347</t>
  </si>
  <si>
    <t>248658332</t>
  </si>
  <si>
    <t>264989765</t>
  </si>
  <si>
    <t>232354736</t>
  </si>
  <si>
    <t>264989663</t>
  </si>
  <si>
    <t>276253659</t>
  </si>
  <si>
    <t>244627752</t>
  </si>
  <si>
    <t>211810438</t>
  </si>
  <si>
    <t>244650964</t>
  </si>
  <si>
    <t>262187753</t>
  </si>
  <si>
    <t>178054880</t>
  </si>
  <si>
    <t>226432067</t>
  </si>
  <si>
    <t>271204077</t>
  </si>
  <si>
    <t>274813762</t>
  </si>
  <si>
    <t>238151917</t>
  </si>
  <si>
    <t>274075517</t>
  </si>
  <si>
    <t>278124916</t>
  </si>
  <si>
    <t>254388889</t>
  </si>
  <si>
    <t>220226380</t>
  </si>
  <si>
    <t>18738699</t>
  </si>
  <si>
    <t>150368072</t>
  </si>
  <si>
    <t>62315386</t>
  </si>
  <si>
    <t>277598104</t>
  </si>
  <si>
    <t>220197378</t>
  </si>
  <si>
    <t>116373039</t>
  </si>
  <si>
    <t>150425927</t>
  </si>
  <si>
    <t>253848190</t>
  </si>
  <si>
    <t>233630856</t>
  </si>
  <si>
    <t>215212025</t>
  </si>
  <si>
    <t>279025404</t>
  </si>
  <si>
    <t>203773847</t>
  </si>
  <si>
    <t>268136002</t>
  </si>
  <si>
    <t>207252976</t>
  </si>
  <si>
    <t>269543467</t>
  </si>
  <si>
    <t>269042612</t>
  </si>
  <si>
    <t>249536324</t>
  </si>
  <si>
    <t>278839872</t>
  </si>
  <si>
    <t>analytics_331607326</t>
  </si>
  <si>
    <t>01_Roy</t>
  </si>
  <si>
    <t>analytics_376076998</t>
  </si>
  <si>
    <t>analytics_315279305</t>
  </si>
  <si>
    <t>analytics_331576340</t>
  </si>
  <si>
    <t>analytics_376167512</t>
  </si>
  <si>
    <t>analytics_328944711</t>
  </si>
  <si>
    <t>analytics_331131061</t>
  </si>
  <si>
    <t>Attribution_Models</t>
  </si>
  <si>
    <t>01_Jasmine</t>
  </si>
  <si>
    <t>analytics_376072725</t>
  </si>
  <si>
    <t>analytics_351399600</t>
  </si>
  <si>
    <t>analytics_331607098</t>
  </si>
  <si>
    <t>analytics_336455254</t>
  </si>
  <si>
    <t>Metadata</t>
  </si>
  <si>
    <t>analytics_372482668</t>
  </si>
  <si>
    <t>analytics_295109181</t>
  </si>
  <si>
    <t>analytics_295101600</t>
  </si>
  <si>
    <t>analytics_374129269</t>
  </si>
  <si>
    <t>analytics_315314156</t>
  </si>
  <si>
    <t>analytics_372468604</t>
  </si>
  <si>
    <t>analytics_351346010</t>
  </si>
  <si>
    <t>analytics_330076009</t>
  </si>
  <si>
    <t>analytics_331064994</t>
  </si>
  <si>
    <t>analytics_352707363</t>
  </si>
  <si>
    <t>analytics_331108866</t>
  </si>
  <si>
    <t>analytics_330655434</t>
  </si>
  <si>
    <t>analytics_372469565</t>
  </si>
  <si>
    <t>analytics_376197397</t>
  </si>
  <si>
    <t>analytics_376250401</t>
  </si>
  <si>
    <t>analytics_407104807</t>
  </si>
  <si>
    <t>analytics_351414988</t>
  </si>
  <si>
    <t>analytics_376102874</t>
  </si>
  <si>
    <t>analytics_407086312</t>
  </si>
  <si>
    <t>analytics_329855222</t>
  </si>
  <si>
    <t>analytics_317454980</t>
  </si>
  <si>
    <t>analytics_372700055</t>
  </si>
  <si>
    <t>analytics_317433741</t>
  </si>
  <si>
    <t>analytics_376222623</t>
  </si>
  <si>
    <t>analytics_277560624</t>
  </si>
  <si>
    <t>analytics_376228441</t>
  </si>
  <si>
    <t>analytics_372697683</t>
  </si>
  <si>
    <t>analytics_374122675</t>
  </si>
  <si>
    <t>analytics_374112498</t>
  </si>
  <si>
    <t>analytics_372479548</t>
  </si>
  <si>
    <t>analytics_276147304</t>
  </si>
  <si>
    <t>analytics_318969140</t>
  </si>
  <si>
    <t>analytics_320122932</t>
  </si>
  <si>
    <t>analytics_331300115</t>
  </si>
  <si>
    <t>analytics_374117593</t>
  </si>
  <si>
    <t>analytics_419464499</t>
  </si>
  <si>
    <t>analytics_331256319</t>
  </si>
  <si>
    <t>analytics_318957545</t>
  </si>
  <si>
    <t>analytics_295132494</t>
  </si>
  <si>
    <t>analytics_374100800</t>
  </si>
  <si>
    <t>Data_Transfer_SA360_Campaign</t>
  </si>
  <si>
    <t>Data_Freshness</t>
  </si>
  <si>
    <t>Data_Store</t>
  </si>
  <si>
    <t>01_Xiaoyu</t>
  </si>
  <si>
    <t>2026-01-13 04:15 (tableau-bq-ingenuity-sa@thg-ingenuity.iam.gserviceaccount.com)
2026-01-12 04:16 (tableau-bq-ingenuity-sa@thg-ingenuity.iam.gserviceaccount.com)
2026-01-11 04:16 (tableau-bq-ingenuity-sa@thg-ingenuity.iam.gserviceaccount.com)
2026-01-10 04:15 (tableau-bq-ingenuity-sa@thg-ingenuity.iam.gserviceaccount.com)
2026-01-09 04:16 (tableau-bq-ingenuity-sa@thg-ingenuity.iam.gserviceaccount.com)</t>
  </si>
  <si>
    <t>2026-05-05 04:37 (parkinsong@thehutgroup.com)
2026-05-05 04:33 (central-marketing-credentials@thg-central-marketing.iam.gserviceaccount.com)
2026-05-04 04:37 (parkinsong@thehutgroup.com)
2026-05-04 04:33 (central-marketing-credentials@thg-central-marketing.iam.gserviceaccount.com)
2026-05-03 04:38 (parkinsong@thehutgroup.com)</t>
  </si>
  <si>
    <t>THG_Traffic</t>
  </si>
  <si>
    <t>2026-06-24 10:26 (central-marketing-credentials@thg-central-marketing.iam.gserviceaccount.com)
2026-06-24 09:25 (central-marketing-credentials@thg-central-marketing.iam.gserviceaccount.com)
2026-06-24 08:25 (central-marketing-credentials@thg-central-marketing.iam.gserviceaccount.com)
2026-06-24 07:25 (central-marketing-credentials@thg-central-marketing.iam.gserviceaccount.com)
2026-06-24 06:26 (central-marketing-credentials@thg-central-marketing.iam.gserviceaccount.com)</t>
  </si>
  <si>
    <t>pinterest_funnel_exports</t>
  </si>
  <si>
    <t>Data_Copy</t>
  </si>
  <si>
    <t>PnG_data_transfers</t>
  </si>
  <si>
    <t>Design</t>
  </si>
  <si>
    <t>PrintOnDemand</t>
  </si>
  <si>
    <t>semantic_search</t>
  </si>
  <si>
    <t>analytics_331334180</t>
  </si>
  <si>
    <t>Trading</t>
  </si>
  <si>
    <t>analytics_351512987</t>
  </si>
  <si>
    <t>hackathonqa_sessions</t>
  </si>
  <si>
    <t>hackathonqa_sam</t>
  </si>
  <si>
    <t>vertex_product_attribution</t>
  </si>
  <si>
    <t>destiny</t>
  </si>
  <si>
    <t>recs_dc</t>
  </si>
  <si>
    <t>recs</t>
  </si>
  <si>
    <t>feedback</t>
  </si>
  <si>
    <t>recommendations</t>
  </si>
  <si>
    <t>anomaly_detection</t>
  </si>
  <si>
    <t>product_metadata_generator</t>
  </si>
  <si>
    <t>Rokt_Historics</t>
  </si>
  <si>
    <t>outfit_recommendation</t>
  </si>
  <si>
    <t>influ_forecast__permanent</t>
  </si>
  <si>
    <t>outfit_recs__permanent</t>
  </si>
  <si>
    <t>Address_D</t>
  </si>
  <si>
    <t>analytics_387074613</t>
  </si>
  <si>
    <t>influencer_revenue_forecasting</t>
  </si>
  <si>
    <t>ml_spaces</t>
  </si>
  <si>
    <t>dataform</t>
  </si>
  <si>
    <t>Cosmos</t>
  </si>
  <si>
    <t>Lead_Ingestor</t>
  </si>
  <si>
    <t>data_analyst_agent</t>
  </si>
  <si>
    <t>site_salami</t>
  </si>
  <si>
    <t>OHW</t>
  </si>
  <si>
    <t>CRO</t>
  </si>
  <si>
    <t>2026-04-29 09:56 (ingersolla@thehutgroup.com)
2026-03-23 17:38 (ingersolla@thehutgroup.com)
2026-03-23 13:10 (ingersolla@thehutgroup.com)
2026-03-23 13:10 (ingersolla@thehutgroup.com)</t>
  </si>
  <si>
    <t>This dataset has been deprecated (30/07/2020). Please use the `ditto` dataset instead.</t>
  </si>
  <si>
    <t>darrenj_recs_analysis</t>
  </si>
  <si>
    <t>nexus</t>
  </si>
  <si>
    <t>ditto_airflow</t>
  </si>
  <si>
    <t>archived_unity_staging</t>
  </si>
  <si>
    <t>ecrmEvent_external_backup</t>
  </si>
  <si>
    <t>page_prediction</t>
  </si>
  <si>
    <t>archived_subscription_churn_prediction</t>
  </si>
  <si>
    <t>appexperiments</t>
  </si>
  <si>
    <t>archived_ingenuity</t>
  </si>
  <si>
    <t>archived_glossybox_churn_prediction</t>
  </si>
  <si>
    <t>archived_uk2_snapshots</t>
  </si>
  <si>
    <t>fraud</t>
  </si>
  <si>
    <t>archived_blackfriday</t>
  </si>
  <si>
    <t>grafana_dashboards</t>
  </si>
  <si>
    <t>archived_special_offers</t>
  </si>
  <si>
    <t>archived_fraudulent_orders</t>
  </si>
  <si>
    <t>Customer_Service_Data</t>
  </si>
  <si>
    <t>pricing_bot_request_analysis</t>
  </si>
  <si>
    <t>channel_attribution</t>
  </si>
  <si>
    <t>SEO_Reporting_Ahrefs</t>
  </si>
  <si>
    <t>ga4_data_eng</t>
  </si>
  <si>
    <t>data_eng_release_backups_13_05_2025</t>
  </si>
  <si>
    <t>perception</t>
  </si>
  <si>
    <t>archived_reference_data</t>
  </si>
  <si>
    <t>archived_product_clustering</t>
  </si>
  <si>
    <t>archived_199791694</t>
  </si>
  <si>
    <t>cost_of_sale</t>
  </si>
  <si>
    <t>bqml_tutorial</t>
  </si>
  <si>
    <t>darrenJBQML</t>
  </si>
  <si>
    <t>orders_streaming</t>
  </si>
  <si>
    <t>Partnerize_Data</t>
  </si>
  <si>
    <t>Cost_Of_Sales</t>
  </si>
  <si>
    <t>2026-04-29 09:56 (ingersolla@thehutgroup.com)
2026-03-04 09:11 (konstantinoun@thehutgroup.com)</t>
  </si>
  <si>
    <t>dittwo_staging</t>
  </si>
  <si>
    <t>PG_Metadata_v2</t>
  </si>
  <si>
    <t>value_based_bidding</t>
  </si>
  <si>
    <t>Sessions_Site_Keys</t>
  </si>
  <si>
    <t>search_analyser</t>
  </si>
  <si>
    <t>2026-05-15 10:27 (gowdap@thehutgroup.com)
2026-03-10 13:01 (gowdap@thehutgroup.com)</t>
  </si>
  <si>
    <t>2026-05-19 14:30 (nutrition-data-bq@agile-bonbon-662.iam.gserviceaccount.com)
2026-05-19 14:30 (nutrition-data-bq@agile-bonbon-662.iam.gserviceaccount.com)
2026-05-15 13:57 (nutrition-data-bq@agile-bonbon-662.iam.gserviceaccount.com)
2026-05-15 13:57 (nutrition-data-bq@agile-bonbon-662.iam.gserviceaccount.com)
2026-04-29 10:03 (ingersolla@thehutgroup.com)</t>
  </si>
  <si>
    <t>2026-05-19 13:55 (nutrition-data-bq@agile-bonbon-662.iam.gserviceaccount.com)
2026-05-15 13:21 (nutrition-data-bq@agile-bonbon-662.iam.gserviceaccount.com)
2026-05-15 13:13 (nutrition-data-bq@agile-bonbon-662.iam.gserviceaccount.com)
2026-05-15 12:43 (nutrition-data-bq@agile-bonbon-662.iam.gserviceaccount.com)
2026-04-29 09:58 (ingersolla@thehutgroup.com)</t>
  </si>
  <si>
    <t>2026-05-19 14:15 (nutrition-data-bq@agile-bonbon-662.iam.gserviceaccount.com)
2026-05-15 13:42 (nutrition-data-bq@agile-bonbon-662.iam.gserviceaccount.com)
2026-04-29 10:01 (ingersolla@thehutgroup.com)
2026-01-12 03:31 (nutrition-data-bq@agile-bonbon-662.iam.gserviceaccount.com)
2026-01-11 03:31 (nutrition-data-bq@agile-bonbon-662.iam.gserviceaccount.com)</t>
  </si>
  <si>
    <t>2026-05-19 13:54 (nutrition-data-bq@agile-bonbon-662.iam.gserviceaccount.com)
2026-05-15 14:29 (nutrition-data-bq@agile-bonbon-662.iam.gserviceaccount.com)
2026-05-15 13:19 (nutrition-data-bq@agile-bonbon-662.iam.gserviceaccount.com)
2026-05-15 13:11 (nutrition-data-bq@agile-bonbon-662.iam.gserviceaccount.com)
2026-05-15 13:07 (nutrition-data-bq@agile-bonbon-662.iam.gserviceaccount.com)</t>
  </si>
  <si>
    <t>2026-05-19 14:40 (nutrition-data-bq@agile-bonbon-662.iam.gserviceaccount.com)
2026-05-15 14:09 (nutrition-data-bq@agile-bonbon-662.iam.gserviceaccount.com)
2026-04-29 10:05 (ingersolla@thehutgroup.com)</t>
  </si>
  <si>
    <t>2026-05-19 13:57 (nutrition-data-bq@agile-bonbon-662.iam.gserviceaccount.com)
2026-05-15 13:23 (nutrition-data-bq@agile-bonbon-662.iam.gserviceaccount.com)
2026-05-15 12:51 (nutrition-data-bq@agile-bonbon-662.iam.gserviceaccount.com)
2026-05-15 12:51 (nutrition-data-bq@agile-bonbon-662.iam.gserviceaccount.com)
2026-05-15 12:51 (nutrition-data-bq@agile-bonbon-662.iam.gserviceaccount.com)</t>
  </si>
  <si>
    <t>2026-05-19 14:14 (nutrition-data-bq@agile-bonbon-662.iam.gserviceaccount.com)
2026-05-15 13:41 (nutrition-data-bq@agile-bonbon-662.iam.gserviceaccount.com)
2026-04-29 10:01 (ingersolla@thehutgroup.com)</t>
  </si>
  <si>
    <t>2026-05-19 14:38 (nutrition-data-bq@agile-bonbon-662.iam.gserviceaccount.com)
2026-05-15 14:07 (nutrition-data-bq@agile-bonbon-662.iam.gserviceaccount.com)
2026-04-29 10:05 (ingersolla@thehutgroup.com)</t>
  </si>
  <si>
    <t>2026-05-19 14:16 (nutrition-data-bq@agile-bonbon-662.iam.gserviceaccount.com)
2026-05-15 13:43 (nutrition-data-bq@agile-bonbon-662.iam.gserviceaccount.com)
2026-04-29 10:01 (ingersolla@thehutgroup.com)</t>
  </si>
  <si>
    <t>2026-05-19 14:12 (nutrition-data-bq@agile-bonbon-662.iam.gserviceaccount.com)
2026-05-15 13:40 (nutrition-data-bq@agile-bonbon-662.iam.gserviceaccount.com)
2026-04-29 10:00 (ingersolla@thehutgroup.com)</t>
  </si>
  <si>
    <t>2026-05-19 14:40 (nutrition-data-bq@agile-bonbon-662.iam.gserviceaccount.com)
2026-05-19 14:40 (nutrition-data-bq@agile-bonbon-662.iam.gserviceaccount.com)
2026-05-15 14:08 (nutrition-data-bq@agile-bonbon-662.iam.gserviceaccount.com)
2026-05-15 14:08 (nutrition-data-bq@agile-bonbon-662.iam.gserviceaccount.com)
2026-04-29 10:05 (ingersolla@thehutgroup.com)</t>
  </si>
  <si>
    <t>2026-05-19 14:14 (nutrition-data-bq@agile-bonbon-662.iam.gserviceaccount.com)
2026-05-15 13:42 (nutrition-data-bq@agile-bonbon-662.iam.gserviceaccount.com)
2026-04-29 10:01 (ingersolla@thehutgroup.com)</t>
  </si>
  <si>
    <t>2026-05-19 14:33 (nutrition-data-bq@agile-bonbon-662.iam.gserviceaccount.com)
2026-05-15 13:59 (nutrition-data-bq@agile-bonbon-662.iam.gserviceaccount.com)
2026-04-29 10:04 (ingersolla@thehutgroup.com)</t>
  </si>
  <si>
    <t>2026-05-19 14:56 (nutrition-data-bq@agile-bonbon-662.iam.gserviceaccount.com)
2026-05-15 14:25 (nutrition-data-bq@agile-bonbon-662.iam.gserviceaccount.com)
2026-04-29 10:10 (ingersolla@thehutgroup.com)</t>
  </si>
  <si>
    <t>2026-05-19 14:39 (nutrition-data-bq@agile-bonbon-662.iam.gserviceaccount.com)
2026-05-15 14:07 (nutrition-data-bq@agile-bonbon-662.iam.gserviceaccount.com)
2026-04-29 10:05 (ingersolla@thehutgroup.com)</t>
  </si>
  <si>
    <t>2026-05-19 14:34 (nutrition-data-bq@agile-bonbon-662.iam.gserviceaccount.com)
2026-05-15 14:01 (nutrition-data-bq@agile-bonbon-662.iam.gserviceaccount.com)
2026-04-29 10:04 (ingersolla@thehutgroup.com)</t>
  </si>
  <si>
    <t>2026-05-19 14:30 (nutrition-data-bq@agile-bonbon-662.iam.gserviceaccount.com)
2026-05-19 14:30 (nutrition-data-bq@agile-bonbon-662.iam.gserviceaccount.com)
2026-05-15 13:56 (nutrition-data-bq@agile-bonbon-662.iam.gserviceaccount.com)
2026-05-15 13:56 (nutrition-data-bq@agile-bonbon-662.iam.gserviceaccount.com)
2026-04-29 10:03 (ingersolla@thehutgroup.com)</t>
  </si>
  <si>
    <t>2026-05-19 14:05 (nutrition-data-bq@agile-bonbon-662.iam.gserviceaccount.com)
2026-05-15 13:31 (nutrition-data-bq@agile-bonbon-662.iam.gserviceaccount.com)
2026-04-29 09:59 (ingersolla@thehutgroup.com)</t>
  </si>
  <si>
    <t>2026-05-19 14:13 (nutrition-data-bq@agile-bonbon-662.iam.gserviceaccount.com)
2026-05-15 13:41 (nutrition-data-bq@agile-bonbon-662.iam.gserviceaccount.com)
2026-04-29 10:00 (ingersolla@thehutgroup.com)</t>
  </si>
  <si>
    <t>2026-05-19 13:57 (nutrition-data-bq@agile-bonbon-662.iam.gserviceaccount.com)
2026-05-15 13:22 (nutrition-data-bq@agile-bonbon-662.iam.gserviceaccount.com)
2026-05-15 12:49 (nutrition-data-bq@agile-bonbon-662.iam.gserviceaccount.com)
2026-04-29 09:58 (ingersolla@thehutgroup.com)</t>
  </si>
  <si>
    <t>2026-05-19 13:55 (nutrition-data-bq@agile-bonbon-662.iam.gserviceaccount.com)
2026-05-15 13:20 (nutrition-data-bq@agile-bonbon-662.iam.gserviceaccount.com)
2026-05-15 13:12 (nutrition-data-bq@agile-bonbon-662.iam.gserviceaccount.com)
2026-05-15 13:08 (nutrition-data-bq@agile-bonbon-662.iam.gserviceaccount.com)
2026-05-15 13:08 (nutrition-data-bq@agile-bonbon-662.iam.gserviceaccount.com)</t>
  </si>
  <si>
    <t>2026-05-19 14:44 (nutrition-data-bq@agile-bonbon-662.iam.gserviceaccount.com)
2026-05-15 14:13 (nutrition-data-bq@agile-bonbon-662.iam.gserviceaccount.com)
2026-04-29 10:06 (ingersolla@thehutgroup.com)</t>
  </si>
  <si>
    <t>2026-05-19 14:33 (nutrition-data-bq@agile-bonbon-662.iam.gserviceaccount.com)
2026-05-15 13:59 (nutrition-data-bq@agile-bonbon-662.iam.gserviceaccount.com)
2026-04-29 10:03 (ingersolla@thehutgroup.com)</t>
  </si>
  <si>
    <t>183683224</t>
  </si>
  <si>
    <t>17979866</t>
  </si>
  <si>
    <t>analytics_295040954</t>
  </si>
  <si>
    <t>125425410</t>
  </si>
  <si>
    <t>Emag_Reporting</t>
  </si>
  <si>
    <t>2026-05-19 14:34 (nutrition-data-bq@agile-bonbon-662.iam.gserviceaccount.com)
2026-05-15 14:00 (nutrition-data-bq@agile-bonbon-662.iam.gserviceaccount.com)
2026-04-29 10:04 (ingersolla@thehutgroup.com)
2026-01-07 03:31 (nutrition-data-bq@agile-bonbon-662.iam.gserviceaccount.com)
2026-01-06 03:31 (nutrition-data-bq@agile-bonbon-662.iam.gserviceaccount.com)</t>
  </si>
  <si>
    <t>analytics_294924700</t>
  </si>
  <si>
    <t>84965972</t>
  </si>
  <si>
    <t>2026-05-19 14:24 (nutrition-data-bq@agile-bonbon-662.iam.gserviceaccount.com)
2026-05-15 13:50 (nutrition-data-bq@agile-bonbon-662.iam.gserviceaccount.com)
2026-04-29 10:02 (ingersolla@thehutgroup.com)</t>
  </si>
  <si>
    <t>analytics_301172220</t>
  </si>
  <si>
    <t>2026-05-19 14:51 (nutrition-data-bq@agile-bonbon-662.iam.gserviceaccount.com)
2026-05-15 14:21 (nutrition-data-bq@agile-bonbon-662.iam.gserviceaccount.com)
2026-04-29 10:08 (ingersolla@thehutgroup.com)</t>
  </si>
  <si>
    <t>PR_Reporting</t>
  </si>
  <si>
    <t>analytics_294911345</t>
  </si>
  <si>
    <t>archived_BingCosts</t>
  </si>
  <si>
    <t>239945043</t>
  </si>
  <si>
    <t>2026-05-19 14:15 (nutrition-data-bq@agile-bonbon-662.iam.gserviceaccount.com)
2026-05-15 13:43 (nutrition-data-bq@agile-bonbon-662.iam.gserviceaccount.com)
2026-04-29 10:01 (ingersolla@thehutgroup.com)</t>
  </si>
  <si>
    <t>248171322</t>
  </si>
  <si>
    <t>2026-05-19 14:16 (nutrition-data-bq@agile-bonbon-662.iam.gserviceaccount.com)
2026-05-15 13:44 (nutrition-data-bq@agile-bonbon-662.iam.gserviceaccount.com)
2026-04-29 10:01 (ingersolla@thehutgroup.com)</t>
  </si>
  <si>
    <t>analytics_301154052</t>
  </si>
  <si>
    <t>analytics_295034698</t>
  </si>
  <si>
    <t>analytics_301499504</t>
  </si>
  <si>
    <t>z_staging_eu</t>
  </si>
  <si>
    <t>Used by various R functions for intermediate results. This dataset may be empty! This DOES NOT mean it's unused! - Alex</t>
  </si>
  <si>
    <t>analytics_301525597</t>
  </si>
  <si>
    <t>2026-05-19 14:53 (nutrition-data-bq@agile-bonbon-662.iam.gserviceaccount.com)
2026-05-15 14:23 (nutrition-data-bq@agile-bonbon-662.iam.gserviceaccount.com)
2026-04-29 10:09 (ingersolla@thehutgroup.com)</t>
  </si>
  <si>
    <t>13241582</t>
  </si>
  <si>
    <t>0_Syed_US</t>
  </si>
  <si>
    <t>108601686</t>
  </si>
  <si>
    <t>245733880</t>
  </si>
  <si>
    <t>analytics_301141956</t>
  </si>
  <si>
    <t>analytics_301122016</t>
  </si>
  <si>
    <t>analytics_301500425</t>
  </si>
  <si>
    <t>118307258</t>
  </si>
  <si>
    <t>analytics_301490006</t>
  </si>
  <si>
    <t>veryneko_us_backup</t>
  </si>
  <si>
    <t>veryneko_us</t>
  </si>
  <si>
    <t>251316854</t>
  </si>
  <si>
    <t>140387464</t>
  </si>
  <si>
    <t>125407066</t>
  </si>
  <si>
    <t>2026-05-19 14:06 (nutrition-data-bq@agile-bonbon-662.iam.gserviceaccount.com)
2026-05-15 13:32 (nutrition-data-bq@agile-bonbon-662.iam.gserviceaccount.com)
2026-04-29 09:59 (ingersolla@thehutgroup.com)</t>
  </si>
  <si>
    <t>161510593</t>
  </si>
  <si>
    <t>analytics_295051034</t>
  </si>
  <si>
    <t>46696201</t>
  </si>
  <si>
    <t>analytics_301139283</t>
  </si>
  <si>
    <t>analytics_295039046</t>
  </si>
  <si>
    <t>252104424</t>
  </si>
  <si>
    <t>211948495</t>
  </si>
  <si>
    <t>analytics_294897380</t>
  </si>
  <si>
    <t>158081485</t>
  </si>
  <si>
    <t>51087544</t>
  </si>
  <si>
    <t>249571255</t>
  </si>
  <si>
    <t>197461008</t>
  </si>
  <si>
    <t>87051935</t>
  </si>
  <si>
    <t>0_Donovan</t>
  </si>
  <si>
    <t>2026-05-19 13:55 (nutrition-data-bq@agile-bonbon-662.iam.gserviceaccount.com)
2026-05-15 13:20 (nutrition-data-bq@agile-bonbon-662.iam.gserviceaccount.com)
2026-05-15 13:12 (nutrition-data-bq@agile-bonbon-662.iam.gserviceaccount.com)
2026-05-15 13:08 (nutrition-data-bq@agile-bonbon-662.iam.gserviceaccount.com)
2026-05-15 12:41 (nutrition-data-bq@agile-bonbon-662.iam.gserviceaccount.com)</t>
  </si>
  <si>
    <t>236523710</t>
  </si>
  <si>
    <t>analytics_294912501</t>
  </si>
  <si>
    <t>177882714</t>
  </si>
  <si>
    <t>0_Maisie</t>
  </si>
  <si>
    <t>2026-05-19 13:56 (nutrition-data-bq@agile-bonbon-662.iam.gserviceaccount.com)
2026-05-15 13:21 (nutrition-data-bq@agile-bonbon-662.iam.gserviceaccount.com)
2026-05-15 12:45 (nutrition-data-bq@agile-bonbon-662.iam.gserviceaccount.com)
2026-05-15 12:45 (nutrition-data-bq@agile-bonbon-662.iam.gserviceaccount.com)
2026-04-29 09:58 (ingersolla@thehutgroup.com)</t>
  </si>
  <si>
    <t>36002350</t>
  </si>
  <si>
    <t>215582969</t>
  </si>
  <si>
    <t>2026-05-19 14:14 (nutrition-data-bq@agile-bonbon-662.iam.gserviceaccount.com)
2026-05-15 13:41 (nutrition-data-bq@agile-bonbon-662.iam.gserviceaccount.com)
2026-04-29 10:00 (ingersolla@thehutgroup.com)</t>
  </si>
  <si>
    <t>archived_Programmatic_CRM</t>
  </si>
  <si>
    <t>220892781</t>
  </si>
  <si>
    <t>0_Jeanne</t>
  </si>
  <si>
    <t>125424104</t>
  </si>
  <si>
    <t>241638748</t>
  </si>
  <si>
    <t>0_Neo_EU</t>
  </si>
  <si>
    <t>2026-05-19 13:56 (nutrition-data-bq@agile-bonbon-662.iam.gserviceaccount.com)
2026-05-15 13:22 (nutrition-data-bq@agile-bonbon-662.iam.gserviceaccount.com)
2026-05-15 12:47 (nutrition-data-bq@agile-bonbon-662.iam.gserviceaccount.com)
2026-05-15 12:47 (nutrition-data-bq@agile-bonbon-662.iam.gserviceaccount.com)
2026-05-15 12:47 (nutrition-data-bq@agile-bonbon-662.iam.gserviceaccount.com)</t>
  </si>
  <si>
    <t>Category_Search_Trends</t>
  </si>
  <si>
    <t>2026-05-19 14:31 (nutrition-data-bq@agile-bonbon-662.iam.gserviceaccount.com)
2026-05-15 13:57 (nutrition-data-bq@agile-bonbon-662.iam.gserviceaccount.com)
2026-04-29 10:03 (ingersolla@thehutgroup.com)</t>
  </si>
  <si>
    <t>118513778</t>
  </si>
  <si>
    <t>analytics_295019363</t>
  </si>
  <si>
    <t>21218049</t>
  </si>
  <si>
    <t>231129461</t>
  </si>
  <si>
    <t>analytics_295031359</t>
  </si>
  <si>
    <t>analytics_314032241</t>
  </si>
  <si>
    <t>125031849</t>
  </si>
  <si>
    <t>236145258</t>
  </si>
  <si>
    <t>102761237</t>
  </si>
  <si>
    <t>2026-05-19 13:57 (nutrition-data-bq@agile-bonbon-662.iam.gserviceaccount.com)
2026-05-15 13:23 (nutrition-data-bq@agile-bonbon-662.iam.gserviceaccount.com)
2026-05-15 12:50 (nutrition-data-bq@agile-bonbon-662.iam.gserviceaccount.com)
2026-05-15 12:50 (nutrition-data-bq@agile-bonbon-662.iam.gserviceaccount.com)
2026-05-15 12:50 (nutrition-data-bq@agile-bonbon-662.iam.gserviceaccount.com)</t>
  </si>
  <si>
    <t>analytics_294914726</t>
  </si>
  <si>
    <t>analytics_294905862</t>
  </si>
  <si>
    <t>Delivery_Options_Tracking</t>
  </si>
  <si>
    <t>analytics_301114137</t>
  </si>
  <si>
    <t>analytics_295045308</t>
  </si>
  <si>
    <t>Liveramp_EU</t>
  </si>
  <si>
    <t>2026-05-19 14:34 (nutrition-data-bq@agile-bonbon-662.iam.gserviceaccount.com)
2026-05-15 14:01 (nutrition-data-bq@agile-bonbon-662.iam.gserviceaccount.com)
2026-04-29 10:04 (ingersolla@thehutgroup.com)
2026-04-01 07:00 (beauty-data@agile-bonbon-662.iam.gserviceaccount.com)
2026-03-31 07:00 (beauty-data@agile-bonbon-662.iam.gserviceaccount.com)</t>
  </si>
  <si>
    <t>analytics_301511563</t>
  </si>
  <si>
    <t>244115752</t>
  </si>
  <si>
    <t>90044841</t>
  </si>
  <si>
    <t>analytics_301147462</t>
  </si>
  <si>
    <t>0_Chante_EU</t>
  </si>
  <si>
    <t>2026-05-19 13:54 (nutrition-data-bq@agile-bonbon-662.iam.gserviceaccount.com)
2026-05-15 14:37 (nutrition-data-bq@agile-bonbon-662.iam.gserviceaccount.com)
2026-05-15 13:19 (nutrition-data-bq@agile-bonbon-662.iam.gserviceaccount.com)
2026-05-15 13:12 (nutrition-data-bq@agile-bonbon-662.iam.gserviceaccount.com)
2026-05-15 13:07 (nutrition-data-bq@agile-bonbon-662.iam.gserviceaccount.com)</t>
  </si>
  <si>
    <t>Nutrition_Data_Archived_Tables</t>
  </si>
  <si>
    <t>2026-05-19 14:36 (nutrition-data-bq@agile-bonbon-662.iam.gserviceaccount.com)
2026-05-15 14:04 (nutrition-data-bq@agile-bonbon-662.iam.gserviceaccount.com)
2026-04-29 10:04 (ingersolla@thehutgroup.com)</t>
  </si>
  <si>
    <t>196517056</t>
  </si>
  <si>
    <t>Product_Repurchasing</t>
  </si>
  <si>
    <t>226397289</t>
  </si>
  <si>
    <t>archived_0_Laura_EU</t>
  </si>
  <si>
    <t>0_Andranik</t>
  </si>
  <si>
    <t>2026-05-19 13:54 (nutrition-data-bq@agile-bonbon-662.iam.gserviceaccount.com)
2026-05-15 14:31 (nutrition-data-bq@agile-bonbon-662.iam.gserviceaccount.com)
2026-05-15 13:19 (nutrition-data-bq@agile-bonbon-662.iam.gserviceaccount.com)
2026-05-15 13:12 (nutrition-data-bq@agile-bonbon-662.iam.gserviceaccount.com)
2026-05-15 13:07 (nutrition-data-bq@agile-bonbon-662.iam.gserviceaccount.com)</t>
  </si>
  <si>
    <t>analytics_301096456</t>
  </si>
  <si>
    <t>117958512</t>
  </si>
  <si>
    <t>analytics_295003269</t>
  </si>
  <si>
    <t>Operations</t>
  </si>
  <si>
    <t>analytics_301515471</t>
  </si>
  <si>
    <t>30151402</t>
  </si>
  <si>
    <t>analytics_301142722</t>
  </si>
  <si>
    <t>2026-05-19 14:50 (nutrition-data-bq@agile-bonbon-662.iam.gserviceaccount.com)
2026-05-15 14:20 (nutrition-data-bq@agile-bonbon-662.iam.gserviceaccount.com)
2026-04-29 10:08 (ingersolla@thehutgroup.com)</t>
  </si>
  <si>
    <t>analytics_301527321</t>
  </si>
  <si>
    <t>215585882</t>
  </si>
  <si>
    <t>140540029</t>
  </si>
  <si>
    <t>128576889</t>
  </si>
  <si>
    <t>Ben_W</t>
  </si>
  <si>
    <t>analytics_301483556</t>
  </si>
  <si>
    <t>Perricone_UK_Copy</t>
  </si>
  <si>
    <t>0_Faisal_EU</t>
  </si>
  <si>
    <t>2026-05-19 13:55 (nutrition-data-bq@agile-bonbon-662.iam.gserviceaccount.com)
2026-05-15 13:20 (nutrition-data-bq@agile-bonbon-662.iam.gserviceaccount.com)
2026-05-15 13:12 (nutrition-data-bq@agile-bonbon-662.iam.gserviceaccount.com)
2026-05-15 12:43 (nutrition-data-bq@agile-bonbon-662.iam.gserviceaccount.com)
2026-04-29 09:58 (ingersolla@thehutgroup.com)</t>
  </si>
  <si>
    <t>analytics_295041561</t>
  </si>
  <si>
    <t>analytics_301129594</t>
  </si>
  <si>
    <t>118722880</t>
  </si>
  <si>
    <t>118758519</t>
  </si>
  <si>
    <t>analytics_301507276</t>
  </si>
  <si>
    <t>analytics_301086073</t>
  </si>
  <si>
    <t>0_George</t>
  </si>
  <si>
    <t>analytics_294938868</t>
  </si>
  <si>
    <t>archived_HQdatapack</t>
  </si>
  <si>
    <t>analytics_295008146</t>
  </si>
  <si>
    <t>analytics_294931804</t>
  </si>
  <si>
    <t>245833297</t>
  </si>
  <si>
    <t>248171938</t>
  </si>
  <si>
    <t>125027694</t>
  </si>
  <si>
    <t>analytics_301111636</t>
  </si>
  <si>
    <t>127539606</t>
  </si>
  <si>
    <t>23157969</t>
  </si>
  <si>
    <t>SEO_Reporting_PPC</t>
  </si>
  <si>
    <t>analytics_301499008</t>
  </si>
  <si>
    <t>analytics_301093764</t>
  </si>
  <si>
    <t>archived_0_Panos_EU</t>
  </si>
  <si>
    <t>171260243</t>
  </si>
  <si>
    <t>104624871</t>
  </si>
  <si>
    <t>Supply_Chain</t>
  </si>
  <si>
    <t>2026-05-19 14:41 (nutrition-data-bq@agile-bonbon-662.iam.gserviceaccount.com)
2026-05-15 14:09 (nutrition-data-bq@agile-bonbon-662.iam.gserviceaccount.com)
2026-04-29 10:05 (ingersolla@thehutgroup.com)</t>
  </si>
  <si>
    <t>analytics_295005189</t>
  </si>
  <si>
    <t>Delivery_Option_Anomaly_Detection</t>
  </si>
  <si>
    <t>266452541</t>
  </si>
  <si>
    <t>234156122</t>
  </si>
  <si>
    <t>analytics_294939515</t>
  </si>
  <si>
    <t>51092509</t>
  </si>
  <si>
    <t>archived_0_JosephD_EU</t>
  </si>
  <si>
    <t>analytics_301143347</t>
  </si>
  <si>
    <t>Central_Paid_Social</t>
  </si>
  <si>
    <t>236158370</t>
  </si>
  <si>
    <t>125084596</t>
  </si>
  <si>
    <t>analytics_301175053</t>
  </si>
  <si>
    <t>241653868</t>
  </si>
  <si>
    <t>NPD_EU</t>
  </si>
  <si>
    <t>123360024</t>
  </si>
  <si>
    <t>analytics_295016472</t>
  </si>
  <si>
    <t>analytics_301499732</t>
  </si>
  <si>
    <t>archived_0_Rachel</t>
  </si>
  <si>
    <t>253240570</t>
  </si>
  <si>
    <t>Nutrition_Wishlists</t>
  </si>
  <si>
    <t>2026-05-19 14:38 (nutrition-data-bq@agile-bonbon-662.iam.gserviceaccount.com)
2026-05-15 14:06 (nutrition-data-bq@agile-bonbon-662.iam.gserviceaccount.com)
2026-04-29 10:05 (ingersolla@thehutgroup.com)</t>
  </si>
  <si>
    <t>0_Dom</t>
  </si>
  <si>
    <t>2026-05-19 13:55 (nutrition-data-bq@agile-bonbon-662.iam.gserviceaccount.com)
2026-05-15 13:20 (nutrition-data-bq@agile-bonbon-662.iam.gserviceaccount.com)
2026-05-15 13:12 (nutrition-data-bq@agile-bonbon-662.iam.gserviceaccount.com)
2026-05-15 13:08 (nutrition-data-bq@agile-bonbon-662.iam.gserviceaccount.com)
2026-05-15 12:40 (nutrition-data-bq@agile-bonbon-662.iam.gserviceaccount.com)</t>
  </si>
  <si>
    <t>analytics_294918716</t>
  </si>
  <si>
    <t>2026-05-19 14:47 (nutrition-data-bq@agile-bonbon-662.iam.gserviceaccount.com)
2026-05-15 14:16 (nutrition-data-bq@agile-bonbon-662.iam.gserviceaccount.com)
2026-04-29 10:06 (ingersolla@thehutgroup.com)
2026-01-27 08:47 (RaatzT@thehutgroup.com)</t>
  </si>
  <si>
    <t>LookupTables</t>
  </si>
  <si>
    <t>2026-05-19 14:34 (nutrition-data-bq@agile-bonbon-662.iam.gserviceaccount.com)
2026-05-15 14:01 (nutrition-data-bq@agile-bonbon-662.iam.gserviceaccount.com)
2026-04-29 10:04 (ingersolla@thehutgroup.com)
2026-03-02 09:26 (james.lloyd34@thg.com)
2026-01-26 14:46 (dean.chouit54@thg.com)</t>
  </si>
  <si>
    <t>FX_Reporting</t>
  </si>
  <si>
    <t>109792019</t>
  </si>
  <si>
    <t>240855040</t>
  </si>
  <si>
    <t>analytics_294932132</t>
  </si>
  <si>
    <t>analytics_301149507</t>
  </si>
  <si>
    <t>123950877</t>
  </si>
  <si>
    <t>125419333</t>
  </si>
  <si>
    <t>160751902</t>
  </si>
  <si>
    <t>MyproteinReportData</t>
  </si>
  <si>
    <t>228267550</t>
  </si>
  <si>
    <t>analytics_294897034</t>
  </si>
  <si>
    <t>110563727</t>
  </si>
  <si>
    <t>analytics_301519733</t>
  </si>
  <si>
    <t>archived_SEO_Reporting_Deepcrawl</t>
  </si>
  <si>
    <t>234175813</t>
  </si>
  <si>
    <t>Clothing_Exposure</t>
  </si>
  <si>
    <t>archived_0_Rich_EU</t>
  </si>
  <si>
    <t>123981344</t>
  </si>
  <si>
    <t>analytics_301165466</t>
  </si>
  <si>
    <t>0_Thomas_EU</t>
  </si>
  <si>
    <t>2026-05-19 13:57 (nutrition-data-bq@agile-bonbon-662.iam.gserviceaccount.com)
2026-05-15 13:23 (nutrition-data-bq@agile-bonbon-662.iam.gserviceaccount.com)
2026-05-15 12:49 (nutrition-data-bq@agile-bonbon-662.iam.gserviceaccount.com)
2026-05-05 15:22 (luke.goodwin38@thg.com)
2026-05-05 12:40 (luke.goodwin38@thg.com)</t>
  </si>
  <si>
    <t>47453614</t>
  </si>
  <si>
    <t>analytics_301095252</t>
  </si>
  <si>
    <t>97862266</t>
  </si>
  <si>
    <t>2026-05-19 14:27 (nutrition-data-bq@agile-bonbon-662.iam.gserviceaccount.com)
2026-05-15 13:54 (nutrition-data-bq@agile-bonbon-662.iam.gserviceaccount.com)
2026-04-29 10:03 (ingersolla@thehutgroup.com)</t>
  </si>
  <si>
    <t>analytics_301141426</t>
  </si>
  <si>
    <t>analytics_301130593</t>
  </si>
  <si>
    <t>analytics_301091808</t>
  </si>
  <si>
    <t>Engagement_Tracking</t>
  </si>
  <si>
    <t>97866638</t>
  </si>
  <si>
    <t>2026-05-19 14:28 (nutrition-data-bq@agile-bonbon-662.iam.gserviceaccount.com)
2026-05-15 13:55 (nutrition-data-bq@agile-bonbon-662.iam.gserviceaccount.com)
2026-04-29 10:03 (ingersolla@thehutgroup.com)</t>
  </si>
  <si>
    <t>analytics_294930873</t>
  </si>
  <si>
    <t>97861996</t>
  </si>
  <si>
    <t>2026-05-19 14:27 (nutrition-data-bq@agile-bonbon-662.iam.gserviceaccount.com)
2026-05-15 13:54 (nutrition-data-bq@agile-bonbon-662.iam.gserviceaccount.com)
2026-04-29 10:02 (ingersolla@thehutgroup.com)</t>
  </si>
  <si>
    <t>archived_Social_attribution_ad_hoc_analysis</t>
  </si>
  <si>
    <t>web_analytics</t>
  </si>
  <si>
    <t>161507135</t>
  </si>
  <si>
    <t>Perricone_DE_Copy</t>
  </si>
  <si>
    <t>Perricone_IT_Copy</t>
  </si>
  <si>
    <t>analytics_301526394</t>
  </si>
  <si>
    <t>196522794</t>
  </si>
  <si>
    <t>236811513</t>
  </si>
  <si>
    <t>archived_Predictive_LTV</t>
  </si>
  <si>
    <t>97867744</t>
  </si>
  <si>
    <t>archived_Customer_Service_Data</t>
  </si>
  <si>
    <t>analytics_294909205</t>
  </si>
  <si>
    <t>125798994</t>
  </si>
  <si>
    <t>97864565</t>
  </si>
  <si>
    <t>2026-05-19 14:28 (nutrition-data-bq@agile-bonbon-662.iam.gserviceaccount.com)
2026-05-15 13:54 (nutrition-data-bq@agile-bonbon-662.iam.gserviceaccount.com)
2026-04-29 10:03 (ingersolla@thehutgroup.com)</t>
  </si>
  <si>
    <t>97867134</t>
  </si>
  <si>
    <t>analytics_301484750</t>
  </si>
  <si>
    <t>archived_0_Chris_EU</t>
  </si>
  <si>
    <t>analytics_276363608</t>
  </si>
  <si>
    <t>analytics_301150282</t>
  </si>
  <si>
    <t>97861396</t>
  </si>
  <si>
    <t>161559909</t>
  </si>
  <si>
    <t>143305249</t>
  </si>
  <si>
    <t>97867037</t>
  </si>
  <si>
    <t>analytics_301180336</t>
  </si>
  <si>
    <t>1608004</t>
  </si>
  <si>
    <t>110549462</t>
  </si>
  <si>
    <t>archived_0_Boaz_EU</t>
  </si>
  <si>
    <t>analytics_296617950</t>
  </si>
  <si>
    <t>Direct_Mail</t>
  </si>
  <si>
    <t>2026-05-19 14:33 (nutrition-data-bq@agile-bonbon-662.iam.gserviceaccount.com)
2026-05-15 14:00 (nutrition-data-bq@agile-bonbon-662.iam.gserviceaccount.com)
2026-04-29 10:04 (ingersolla@thehutgroup.com)
2026-03-06 15:44 (nutrition-data-bq@agile-bonbon-662.iam.gserviceaccount.com)</t>
  </si>
  <si>
    <t>illama_de_backup_2</t>
  </si>
  <si>
    <t>analytics_301160723</t>
  </si>
  <si>
    <t>illama_de_backup</t>
  </si>
  <si>
    <t>analytics_301513340</t>
  </si>
  <si>
    <t>115212934</t>
  </si>
  <si>
    <t>0_Larry_TT</t>
  </si>
  <si>
    <t>2026-05-19 13:56 (nutrition-data-bq@agile-bonbon-662.iam.gserviceaccount.com)
2026-05-15 13:21 (nutrition-data-bq@agile-bonbon-662.iam.gserviceaccount.com)
2026-05-15 13:13 (nutrition-data-bq@agile-bonbon-662.iam.gserviceaccount.com)
2026-05-15 12:45 (nutrition-data-bq@agile-bonbon-662.iam.gserviceaccount.com)
2026-05-15 12:45 (nutrition-data-bq@agile-bonbon-662.iam.gserviceaccount.com)</t>
  </si>
  <si>
    <t>85526623</t>
  </si>
  <si>
    <t>97867136</t>
  </si>
  <si>
    <t>analytics_301164578</t>
  </si>
  <si>
    <t>Lead_Gen_Reporting</t>
  </si>
  <si>
    <t>110546359</t>
  </si>
  <si>
    <t>App_Rewards</t>
  </si>
  <si>
    <t>89907716</t>
  </si>
  <si>
    <t>97865248</t>
  </si>
  <si>
    <t>0_Syed</t>
  </si>
  <si>
    <t>2026-05-19 13:57 (nutrition-data-bq@agile-bonbon-662.iam.gserviceaccount.com)
2026-05-15 13:23 (nutrition-data-bq@agile-bonbon-662.iam.gserviceaccount.com)
2026-05-15 12:49 (nutrition-data-bq@agile-bonbon-662.iam.gserviceaccount.com)
2026-05-15 12:49 (nutrition-data-bq@agile-bonbon-662.iam.gserviceaccount.com)
2026-04-29 09:58 (ingersolla@thehutgroup.com)</t>
  </si>
  <si>
    <t>analytics_301161996</t>
  </si>
  <si>
    <t>97866550</t>
  </si>
  <si>
    <t>analytics_301143029</t>
  </si>
  <si>
    <t>analytics_301122154</t>
  </si>
  <si>
    <t>238788672</t>
  </si>
  <si>
    <t>Cyber_Month_2021</t>
  </si>
  <si>
    <t>247045709</t>
  </si>
  <si>
    <t>archived_0_PaulM_EU</t>
  </si>
  <si>
    <t>247027320</t>
  </si>
  <si>
    <t>analytics_301528400</t>
  </si>
  <si>
    <t>analytics_301151500</t>
  </si>
  <si>
    <t>97862184</t>
  </si>
  <si>
    <t>analytics_301512454</t>
  </si>
  <si>
    <t>analytics_301130206</t>
  </si>
  <si>
    <t>analytics_301518745</t>
  </si>
  <si>
    <t>247048738</t>
  </si>
  <si>
    <t>analytics_301091943</t>
  </si>
  <si>
    <t>97864760</t>
  </si>
  <si>
    <t>analytics_301163327</t>
  </si>
  <si>
    <t>Hale_CC</t>
  </si>
  <si>
    <t>archived_0_Kate</t>
  </si>
  <si>
    <t>12208597</t>
  </si>
  <si>
    <t>archived_0_Keanu_EU</t>
  </si>
  <si>
    <t>247020148</t>
  </si>
  <si>
    <t>analytics_301496521</t>
  </si>
  <si>
    <t>97868526</t>
  </si>
  <si>
    <t>97864169</t>
  </si>
  <si>
    <t>US_Reports</t>
  </si>
  <si>
    <t>2026-05-19 14:41 (nutrition-data-bq@agile-bonbon-662.iam.gserviceaccount.com)
2026-05-15 14:10 (nutrition-data-bq@agile-bonbon-662.iam.gserviceaccount.com)
2026-04-29 10:05 (ingersolla@thehutgroup.com)
2026-04-28 08:38 (ryan.sanderson80@thehutgroup.com)
2026-04-28 08:38 (ryan.sanderson80@thehutgroup.com)</t>
  </si>
  <si>
    <t>analytics_301176329</t>
  </si>
  <si>
    <t>0_Talha</t>
  </si>
  <si>
    <t>analytics_301171971</t>
  </si>
  <si>
    <t>analytics_301166144</t>
  </si>
  <si>
    <t>analytics_301100524</t>
  </si>
  <si>
    <t>96685002</t>
  </si>
  <si>
    <t>112122241</t>
  </si>
  <si>
    <t>118000627</t>
  </si>
  <si>
    <t>97870113</t>
  </si>
  <si>
    <t>0_Gabi</t>
  </si>
  <si>
    <t>analytics_301103605</t>
  </si>
  <si>
    <t>97867746</t>
  </si>
  <si>
    <t>Z_Logistics_Staging</t>
  </si>
  <si>
    <t>Staging Tables used in updating Logistics Reporting Pipelines</t>
  </si>
  <si>
    <t>archived_0_Ben_EU</t>
  </si>
  <si>
    <t>analytics_301102307</t>
  </si>
  <si>
    <t>archived_0_Oscar_EU</t>
  </si>
  <si>
    <t>analytics_295010905</t>
  </si>
  <si>
    <t>97863865</t>
  </si>
  <si>
    <t>analytics_301098691</t>
  </si>
  <si>
    <t>analytics_276354709</t>
  </si>
  <si>
    <t>97866065</t>
  </si>
  <si>
    <t>53534652</t>
  </si>
  <si>
    <t>241804124</t>
  </si>
  <si>
    <t>Event_Reporting</t>
  </si>
  <si>
    <t>analytics_301172217</t>
  </si>
  <si>
    <t>249576398</t>
  </si>
  <si>
    <t>249296323</t>
  </si>
  <si>
    <t>97864758</t>
  </si>
  <si>
    <t>Nutrition_Data_Just_Pay_Postage</t>
  </si>
  <si>
    <t>2026-05-19 14:37 (nutrition-data-bq@agile-bonbon-662.iam.gserviceaccount.com)
2026-05-15 14:05 (nutrition-data-bq@agile-bonbon-662.iam.gserviceaccount.com)
2026-04-29 10:04 (ingersolla@thehutgroup.com)</t>
  </si>
  <si>
    <t>analytics_301160379</t>
  </si>
  <si>
    <t>97861873</t>
  </si>
  <si>
    <t>analytics_283601155</t>
  </si>
  <si>
    <t>archived_LivePerson</t>
  </si>
  <si>
    <t>analytics_301119393</t>
  </si>
  <si>
    <t>97865668</t>
  </si>
  <si>
    <t>161566318</t>
  </si>
  <si>
    <t>97866544</t>
  </si>
  <si>
    <t>Video_on_Demand</t>
  </si>
  <si>
    <t>2026-05-19 14:41 (nutrition-data-bq@agile-bonbon-662.iam.gserviceaccount.com)
2026-05-15 14:10 (nutrition-data-bq@agile-bonbon-662.iam.gserviceaccount.com)
2026-04-29 10:05 (ingersolla@thehutgroup.com)</t>
  </si>
  <si>
    <t>87580304</t>
  </si>
  <si>
    <t>archived_MypOffers</t>
  </si>
  <si>
    <t>0_Faith</t>
  </si>
  <si>
    <t>Myprotein_Tmall_Datasets</t>
  </si>
  <si>
    <t>analytics_288558289</t>
  </si>
  <si>
    <t>241670726</t>
  </si>
  <si>
    <t>97864960</t>
  </si>
  <si>
    <t>analytics_301108409</t>
  </si>
  <si>
    <t>Central_Social</t>
  </si>
  <si>
    <t>analytics_301162695</t>
  </si>
  <si>
    <t>0_Aom_EU</t>
  </si>
  <si>
    <t>Free_Item_Campaigns</t>
  </si>
  <si>
    <t>archived_SankeyNetworkData</t>
  </si>
  <si>
    <t>97863576</t>
  </si>
  <si>
    <t>252310500</t>
  </si>
  <si>
    <t>0_Abbie</t>
  </si>
  <si>
    <t>analytics_301479238</t>
  </si>
  <si>
    <t>archived_NaverCosts</t>
  </si>
  <si>
    <t>97865961</t>
  </si>
  <si>
    <t>97867046</t>
  </si>
  <si>
    <t>archived_BaiduCosts</t>
  </si>
  <si>
    <t>118710061</t>
  </si>
  <si>
    <t>84961881</t>
  </si>
  <si>
    <t>197933315</t>
  </si>
  <si>
    <t>archived_YandexCosts</t>
  </si>
  <si>
    <t>archived_NPD_Beauty</t>
  </si>
  <si>
    <t>TheRange</t>
  </si>
  <si>
    <t>Customer_Service_Pipelines</t>
  </si>
  <si>
    <t>archived_0_Marcos_EU</t>
  </si>
  <si>
    <t>159868309</t>
  </si>
  <si>
    <t>archived_TwitterCosts</t>
  </si>
  <si>
    <t>analytics_301505903</t>
  </si>
  <si>
    <t>0_Emma_EU</t>
  </si>
  <si>
    <t>Central_Livestreaming</t>
  </si>
  <si>
    <t>2026-05-19 14:31 (nutrition-data-bq@agile-bonbon-662.iam.gserviceaccount.com)
2026-05-15 13:58 (nutrition-data-bq@agile-bonbon-662.iam.gserviceaccount.com)
2026-04-29 10:03 (ingersolla@thehutgroup.com)</t>
  </si>
  <si>
    <t>archived_SwitchReport</t>
  </si>
  <si>
    <t>Nutrition_Data_BYOB</t>
  </si>
  <si>
    <t>97865952</t>
  </si>
  <si>
    <t>archived_OpenxReport</t>
  </si>
  <si>
    <t>108612969</t>
  </si>
  <si>
    <t>archived_PinterestCosts</t>
  </si>
  <si>
    <t>archived_Qihoo360Costs</t>
  </si>
  <si>
    <t>97865564</t>
  </si>
  <si>
    <t>MP_Clothing</t>
  </si>
  <si>
    <t>Nutrition_Data_Goal_Selector</t>
  </si>
  <si>
    <t>121497760</t>
  </si>
  <si>
    <t>97865062</t>
  </si>
  <si>
    <t>archived_CriteoCosts</t>
  </si>
  <si>
    <t>Range_Retention</t>
  </si>
  <si>
    <t>0_tols_EU</t>
  </si>
  <si>
    <t>Myprotein_VIP_FB_Group</t>
  </si>
  <si>
    <t>archived_TmallCosts</t>
  </si>
  <si>
    <t>archived_RubiconReport</t>
  </si>
  <si>
    <t>archived_OfflineCosts</t>
  </si>
  <si>
    <t>archived_Budgets_HnB</t>
  </si>
  <si>
    <t>archived_DoubleclickReport</t>
  </si>
  <si>
    <t>archived_Commercial_Model_Data_Sources</t>
  </si>
  <si>
    <t>Bundle</t>
  </si>
  <si>
    <t>analytics_295000292</t>
  </si>
  <si>
    <t>248863473</t>
  </si>
  <si>
    <t>239965963</t>
  </si>
  <si>
    <t>Customer_Experience</t>
  </si>
  <si>
    <t>archived_0_Chris_B_EU</t>
  </si>
  <si>
    <t>archived_TechPlatform</t>
  </si>
  <si>
    <t>Will_Harvey</t>
  </si>
  <si>
    <t>archived_0_Rory</t>
  </si>
  <si>
    <t>analytics_294997385</t>
  </si>
  <si>
    <t>0_Oksana</t>
  </si>
  <si>
    <t>2026-05-19 13:56 (nutrition-data-bq@agile-bonbon-662.iam.gserviceaccount.com)
2026-05-15 13:22 (nutrition-data-bq@agile-bonbon-662.iam.gserviceaccount.com)
2026-05-15 12:47 (nutrition-data-bq@agile-bonbon-662.iam.gserviceaccount.com)
2026-04-29 09:58 (ingersolla@thehutgroup.com)</t>
  </si>
  <si>
    <t>archived_Retention_Dashboard</t>
  </si>
  <si>
    <t>archived_0_Nic_EU</t>
  </si>
  <si>
    <t>darrenj_crminvestigation</t>
  </si>
  <si>
    <t>2026-05-28 13:23 (s2s-facebook-events-handler@vibrant-map-107910.iam.gserviceaccount.com)
2026-04-29 09:57 (ingersolla@thehutgroup.com)
2026-04-19 00:43 (s2s-facebook-events-handler@vibrant-map-107910.iam.gserviceaccount.com)
2026-03-28 14:03 (s2s-facebook-events-handler@vibrant-map-107910.iam.gserviceaccount.com)
2026-01-17 04:18 (s2s-facebook-events-handler@vibrant-map-107910.iam.gserviceaccount.com)</t>
  </si>
  <si>
    <t>Single_Customer_View</t>
  </si>
  <si>
    <t>Finance_Reporting_NewDW</t>
  </si>
  <si>
    <t>2026-06-12 13:45 (ingersolla@thehutgroup.com)
2026-02-05 11:00 (LambA@thehutgroup.com)
2026-02-05 11:00 (LambA@thehutgroup.com)
2026-01-19 15:51 (ranya.darwash86@thg.com)</t>
  </si>
  <si>
    <t>0_Calvin</t>
  </si>
  <si>
    <t>2026-06-12 13:45 (ingersolla@thehutgroup.com)</t>
  </si>
  <si>
    <t>0_Alex_T</t>
  </si>
  <si>
    <t>2026-06-21 15:25 (talbota@thehutgroup.com)
2026-06-21 15:23 (talbota@thehutgroup.com)
2026-06-21 15:23 (talbota@thehutgroup.com)
2026-06-21 15:23 (talbota@thehutgroup.com)
2026-06-21 15:23 (talbota@thehutgroup.com)</t>
  </si>
  <si>
    <t>2026-06-24 10:00 (bi-basket-adds@agile-bonbon-662.iam.gserviceaccount.com)
2026-06-24 09:00 (bi-basket-adds@agile-bonbon-662.iam.gserviceaccount.com)
2026-06-24 08:00 (bi-basket-adds@agile-bonbon-662.iam.gserviceaccount.com)
2026-06-24 06:00 (bi-basket-adds@agile-bonbon-662.iam.gserviceaccount.com)
2026-06-24 05:00 (bi-basket-adds@agile-bonbon-662.iam.gserviceaccount.com)</t>
  </si>
  <si>
    <t>2026-06-24 08:24 (personify-pipeline@thg-data-personify.iam.gserviceaccount.com)
2026-06-24 05:24 (personify-pipeline@thg-data-personify.iam.gserviceaccount.com)
2026-06-24 02:24 (personify-pipeline@thg-data-personify.iam.gserviceaccount.com)
2026-06-23 23:24 (personify-pipeline@thg-data-personify.iam.gserviceaccount.com)
2026-06-23 20:24 (personify-pipeline@thg-data-personify.iam.gserviceaccount.com)</t>
  </si>
  <si>
    <t>analytics_360717571</t>
  </si>
  <si>
    <t>2026-06-24 05:45 (id-thg-media-commerce@thg-media-commerce.iam.gserviceaccount.com)
2026-06-23 05:45 (id-thg-media-commerce@thg-media-commerce.iam.gserviceaccount.com)
2026-06-22 05:45 (id-thg-media-commerce@thg-media-commerce.iam.gserviceaccount.com)
2026-06-21 05:45 (id-thg-media-commerce@thg-media-commerce.iam.gserviceaccount.com)
2026-06-20 05:45 (id-thg-media-commerce@thg-media-commerce.iam.gserviceaccount.com)</t>
  </si>
  <si>
    <t>Adhoc_Commercial_Marketing</t>
  </si>
  <si>
    <t>Adverity</t>
  </si>
  <si>
    <t>UK_Crossover</t>
  </si>
  <si>
    <t>Site_Segmentation</t>
  </si>
  <si>
    <t>Liveramp</t>
  </si>
  <si>
    <t>lf_gmc_price_comp</t>
  </si>
  <si>
    <t>Cross_sell</t>
  </si>
  <si>
    <t>EC_SPA</t>
  </si>
  <si>
    <t>qubit</t>
  </si>
  <si>
    <t>Aus_Crossover</t>
  </si>
  <si>
    <t>AI_Content_Project</t>
  </si>
  <si>
    <t>SKU_Retention</t>
  </si>
  <si>
    <t>Global_Forecast</t>
  </si>
  <si>
    <t>2026-04-07 08:38 (clare.isakson58@thehutgroup.com)</t>
  </si>
  <si>
    <t>Tranche 4.1: Stale (No Access 180d, No Write &gt;6mo)</t>
  </si>
  <si>
    <t>Medium</t>
  </si>
  <si>
    <t>analytics_372643818</t>
  </si>
  <si>
    <t>data_mart_test</t>
  </si>
  <si>
    <t>analytics_333883361</t>
  </si>
  <si>
    <t>analytics_407064810</t>
  </si>
  <si>
    <t>ellis_test_dataset_wif</t>
  </si>
  <si>
    <t>analytics_372637116</t>
  </si>
  <si>
    <t>analytics_277545702</t>
  </si>
  <si>
    <t>Testing</t>
  </si>
  <si>
    <t>analytics_372468116</t>
  </si>
  <si>
    <t>analytics_323393177</t>
  </si>
  <si>
    <t>analytics_372702218</t>
  </si>
  <si>
    <t>analytics_372700933</t>
  </si>
  <si>
    <t>analytics_295130983</t>
  </si>
  <si>
    <t>analytics_372648861</t>
  </si>
  <si>
    <t>analytics_372702450</t>
  </si>
  <si>
    <t>AUDIT</t>
  </si>
  <si>
    <t>Imagination</t>
  </si>
  <si>
    <t>MerchantCenter_Products</t>
  </si>
  <si>
    <t>search_dashboard</t>
  </si>
  <si>
    <t>sam_data_pipeline_test</t>
  </si>
  <si>
    <t>cloud_billing_data</t>
  </si>
  <si>
    <t>matt_test</t>
  </si>
  <si>
    <t>Data_POC</t>
  </si>
  <si>
    <t>influ_forecast__permanent_copy</t>
  </si>
  <si>
    <t>product_gen__temp</t>
  </si>
  <si>
    <t>chris_test2</t>
  </si>
  <si>
    <t>outfit_recommendation_backup_manual</t>
  </si>
  <si>
    <t>Loyalty</t>
  </si>
  <si>
    <t>Delivery_Upsell</t>
  </si>
  <si>
    <t>Marketplace_Fuzzy_Match</t>
  </si>
  <si>
    <t>AOV_Analysis</t>
  </si>
  <si>
    <t>NC_RC_Email</t>
  </si>
  <si>
    <t>Tranche 5.1: Active Test (Housekeeping)</t>
  </si>
  <si>
    <t>Temp_Data_Platform</t>
  </si>
  <si>
    <t>2026-02-03 01:06 (central-marketing-credentials@thg-central-marketing.iam.gserviceaccount.com)
2026-02-03 01:06 (central-marketing-credentials@thg-central-marketing.iam.gserviceaccount.com)
2026-02-02 01:06 (central-marketing-credentials@thg-central-marketing.iam.gserviceaccount.com)
2026-02-02 01:06 (central-marketing-credentials@thg-central-marketing.iam.gserviceaccount.com)
2026-02-01 01:06 (central-marketing-credentials@thg-central-marketing.iam.gserviceaccount.com)</t>
  </si>
  <si>
    <t>Looker_Temp_Dataset</t>
  </si>
  <si>
    <t>2026-06-24 10:53 (central-marketing-credentials@thg-central-marketing.iam.gserviceaccount.com)
2026-06-24 10:53 (central-marketing-credentials@thg-central-marketing.iam.gserviceaccount.com)
2026-06-24 10:53 (central-marketing-credentials@thg-central-marketing.iam.gserviceaccount.com)
2026-06-24 10:53 (central-marketing-credentials@thg-central-marketing.iam.gserviceaccount.com)
2026-06-24 10:53 (central-marketing-credentials@thg-central-marketing.iam.gserviceaccount.com)</t>
  </si>
  <si>
    <t>2026-06-24 10:28 (central-marketing-credentials@thg-central-marketing.iam.gserviceaccount.com)
2026-06-24 10:27 (central-marketing-credentials@thg-central-marketing.iam.gserviceaccount.com)
2026-06-24 10:27 (central-marketing-credentials@thg-central-marketing.iam.gserviceaccount.com)
2026-06-24 10:26 (central-marketing-credentials@thg-central-marketing.iam.gserviceaccount.com)
2026-06-24 10:25 (central-marketing-credentials@thg-central-marketing.iam.gserviceaccount.com)</t>
  </si>
  <si>
    <t>01_Tom_Testing</t>
  </si>
  <si>
    <t>logistics__temp</t>
  </si>
  <si>
    <t>2026-01-05 09:09 (logistics@thg-ml-dev.iam.gserviceaccount.com)
2026-01-05 09:03 (logistics@thg-ml-dev.iam.gserviceaccount.com)
2026-01-05 09:03 (logistics@thg-ml-dev.iam.gserviceaccount.com)
2026-01-05 08:47 (logistics@thg-ml-dev.iam.gserviceaccount.com)</t>
  </si>
  <si>
    <t>search__temp</t>
  </si>
  <si>
    <t>2026-03-27 12:02 (marije.vanhattum74@thehutgroup.com)
2026-03-27 12:01 (marije.vanhattum74@thehutgroup.com)
2026-03-27 11:59 (marije.vanhattum74@thehutgroup.com)
2026-03-19 12:17 (marije.vanhattum74@thehutgroup.com)
2026-03-19 12:15 (marije.vanhattum74@thehutgroup.com)</t>
  </si>
  <si>
    <t>2026-03-27 12:01 (marije.vanhattum74@thehutgroup.com)
2026-03-27 11:53 (marije.vanhattum74@thehutgroup.com)
2026-03-19 10:20 (secera@thehutgroup.com)
2026-03-19 10:19 (secera@thehutgroup.com)
2026-03-19 10:11 (secera@thehutgroup.com)</t>
  </si>
  <si>
    <t>fraud__temp</t>
  </si>
  <si>
    <t>2026-04-09 15:10 (fraud-sa@thg-machine-learning-fraud.iam.gserviceaccount.com)
2026-04-09 13:24 (fraud-sa@thg-machine-learning-fraud.iam.gserviceaccount.com)
2026-04-09 10:31 (fraud-sa@thg-machine-learning-fraud.iam.gserviceaccount.com)
2026-04-09 09:07 (fraud-sa@thg-machine-learning-fraud.iam.gserviceaccount.com)
2026-04-09 08:12 (fraud-sa@thg-machine-learning-fraud.iam.gserviceaccount.com)</t>
  </si>
  <si>
    <t>AS_TEST</t>
  </si>
  <si>
    <t>2026-04-29 09:17 (ingersolla@thehutgroup.com)
2026-02-27 12:55 (blackgraphs@the-hut-group.iam.gserviceaccount.com)
2026-02-27 12:55 (blackgraphs@the-hut-group.iam.gserviceaccount.com)
2026-02-27 11:55 (blackgraphs@the-hut-group.iam.gserviceaccount.com)
2026-02-27 11:55 (blackgraphs@the-hut-group.iam.gserviceaccount.com)</t>
  </si>
  <si>
    <t>2026-02-27 12:55 (blackgraphs@the-hut-group.iam.gserviceaccount.com)
2026-02-27 11:55 (blackgraphs@the-hut-group.iam.gserviceaccount.com)
2026-02-27 10:55 (blackgraphs@the-hut-group.iam.gserviceaccount.com)
2026-02-27 09:55 (blackgraphs@the-hut-group.iam.gserviceaccount.com)
2026-02-27 08:55 (blackgraphs@the-hut-group.iam.gserviceaccount.com)</t>
  </si>
  <si>
    <t>data_transfer_test</t>
  </si>
  <si>
    <t>gnTestData</t>
  </si>
  <si>
    <t>0_Test</t>
  </si>
  <si>
    <t>data_eng_test</t>
  </si>
  <si>
    <t>archived_mssql_extracts_tmp</t>
  </si>
  <si>
    <t>metrics_tmp</t>
  </si>
  <si>
    <t>abtest_integration_testing</t>
  </si>
  <si>
    <t>ditto_load_test_staging</t>
  </si>
  <si>
    <t>abtest_results_testing</t>
  </si>
  <si>
    <t>abtest_recent</t>
  </si>
  <si>
    <t>archived_Channel_Improvements_Test</t>
  </si>
  <si>
    <t>0_Tom_Testing</t>
  </si>
  <si>
    <t>ditto_memory_test_staging</t>
  </si>
  <si>
    <t>Vertex_POC</t>
  </si>
  <si>
    <t>2026-05-11 22:23 (lupuletic@thehutgroup.com)
2026-05-11 22:23 (lupuletic@thehutgroup.com)
2026-02-27 17:23 (diogo.matos39@thehutgroup.com)
2026-02-27 17:23 (diogo.matos39@thehutgroup.com)
2026-02-27 17:23 (diogo.matos39@thehutgroup.com)</t>
  </si>
  <si>
    <t>2026-02-27 17:23 (diogo.matos39@thehutgroup.com)
2026-02-27 17:23 (diogo.matos39@thehutgroup.com)
2026-02-27 17:23 (diogo.matos39@thehutgroup.com)
2026-02-27 17:23 (diogo.matos39@thehutgroup.com)
2026-02-27 17:23 (diogo.matos39@thehutgroup.com)</t>
  </si>
  <si>
    <t>experimentation_sessions_testing</t>
  </si>
  <si>
    <t>2026-05-19 14:44 (exp-session-table-builder@the-hut-group.iam.gserviceaccount.com)
2026-05-19 14:44 (exp-session-table-builder@the-hut-group.iam.gserviceaccount.com)
2026-05-19 14:44 (exp-session-table-builder@the-hut-group.iam.gserviceaccount.com)
2026-05-19 14:44 (exp-session-table-builder@the-hut-group.iam.gserviceaccount.com)
2026-05-19 14:42 (exp-session-table-builder@the-hut-group.iam.gserviceaccount.com)</t>
  </si>
  <si>
    <t>2026-05-19 14:42 (exp-session-table-builder@the-hut-group.iam.gserviceaccount.com)
2026-05-19 14:38 (exp-session-table-builder@the-hut-group.iam.gserviceaccount.com)
2026-05-19 14:37 (exp-session-table-builder@the-hut-group.iam.gserviceaccount.com)
2026-05-19 14:27 (exp-session-table-builder@the-hut-group.iam.gserviceaccount.com)
2026-05-19 14:20 (exp-session-table-builder@the-hut-group.iam.gserviceaccount.com)</t>
  </si>
  <si>
    <t>All tables here will be automatically deleted after 1 week</t>
  </si>
  <si>
    <t>2026-05-11 22:37 (lupuletic@thehutgroup.com)
2026-04-29 09:19 (ingersolla@thehutgroup.com)
2026-03-25 03:00 (customer-cookie-mapping@the-hut-group.iam.gserviceaccount.com)
2026-03-25 03:00 (customer-cookie-mapping@the-hut-group.iam.gserviceaccount.com)
2026-03-24 03:00 (customer-cookie-mapping@the-hut-group.iam.gserviceaccount.com)</t>
  </si>
  <si>
    <t>2026-05-22 06:37 (sharad.mishra61@thgingenuity.com)
2026-05-22 06:37 (sharad.mishra61@thgingenuity.com)
2026-05-22 06:37 (sharad.mishra61@thgingenuity.com)
2026-05-22 06:37 (sharad.mishra61@thgingenuity.com)
2026-05-22 06:37 (sharad.mishra61@thgingenuity.com)</t>
  </si>
  <si>
    <t>2026-05-27 03:00 (dittocloudv3-sandbox@vibrant-map-107910.iam.gserviceaccount.com)
2026-05-27 03:00 (dittocloudv3-sandbox@vibrant-map-107910.iam.gserviceaccount.com)
2026-05-26 03:00 (dittocloudv3-sandbox@vibrant-map-107910.iam.gserviceaccount.com)
2026-05-26 03:00 (dittocloudv3-sandbox@vibrant-map-107910.iam.gserviceaccount.com)
2026-05-25 03:00 (dittocloudv3-sandbox@vibrant-map-107910.iam.gserviceaccount.com)</t>
  </si>
  <si>
    <t>2026-05-27 04:00 (niall.murray06@thehutgroup.com)
2026-05-27 03:00 (dittocloudv3-sandbox@vibrant-map-107910.iam.gserviceaccount.com)
2026-05-27 02:57 (niall.murray06@thehutgroup.com)
2026-05-26 04:00 (niall.murray06@thehutgroup.com)
2026-05-26 03:00 (dittocloudv3-sandbox@vibrant-map-107910.iam.gserviceaccount.com)</t>
  </si>
  <si>
    <t>recommender__temp</t>
  </si>
  <si>
    <t>2026-05-28 14:22 (savannah.wilding62@thehutgroup.com)
2026-05-28 14:22 (savannah.wilding62@thehutgroup.com)
2026-05-28 14:22 (savannah.wilding62@thehutgroup.com)
2026-05-28 14:21 (savannah.wilding62@thehutgroup.com)
2026-05-28 14:21 (savannah.wilding62@thehutgroup.com)</t>
  </si>
  <si>
    <t>2026-06-19 07:33 (central-marketing-credentials@thg-central-marketing.iam.gserviceaccount.com)
2026-06-19 07:33 (central-marketing-credentials@thg-central-marketing.iam.gserviceaccount.com)
2026-06-19 07:33 (central-marketing-credentials@thg-central-marketing.iam.gserviceaccount.com)
2026-06-19 07:28 (central-marketing-credentials@thg-central-marketing.iam.gserviceaccount.com)
2026-06-19 07:28 (central-marketing-credentials@thg-central-marketing.iam.gserviceaccount.com)</t>
  </si>
  <si>
    <t>2026-06-19 07:33 (central-marketing-credentials@thg-central-marketing.iam.gserviceaccount.com)
2026-06-19 07:28 (central-marketing-credentials@thg-central-marketing.iam.gserviceaccount.com)
2026-06-19 07:23 (central-marketing-credentials@thg-central-marketing.iam.gserviceaccount.com)
2026-06-19 07:18 (central-marketing-credentials@thg-central-marketing.iam.gserviceaccount.com)
2026-06-19 07:13 (central-marketing-credentials@thg-central-marketing.iam.gserviceaccount.com)</t>
  </si>
  <si>
    <t>Looker_Temp_Dataset_EW2</t>
  </si>
  <si>
    <t>2026-06-19 00:05 (central-marketing-credentials@thg-central-marketing.iam.gserviceaccount.com)
2026-06-19 00:05 (central-marketing-credentials@thg-central-marketing.iam.gserviceaccount.com)
2026-06-19 00:00 (central-marketing-credentials@thg-central-marketing.iam.gserviceaccount.com)
2026-06-18 23:11 (central-marketing-credentials@thg-central-marketing.iam.gserviceaccount.com)
2026-06-18 23:06 (central-marketing-credentials@thg-central-marketing.iam.gserviceaccount.com)</t>
  </si>
  <si>
    <t>2026-06-19 00:00 (central-marketing-credentials@thg-central-marketing.iam.gserviceaccount.com)
2026-06-17 23:58 (central-marketing-credentials@thg-central-marketing.iam.gserviceaccount.com)
2026-06-16 23:54 (central-marketing-credentials@thg-central-marketing.iam.gserviceaccount.com)
2026-06-15 23:50 (central-marketing-credentials@thg-central-marketing.iam.gserviceaccount.com)
2026-06-14 23:47 (central-marketing-credentials@thg-central-marketing.iam.gserviceaccount.com)</t>
  </si>
  <si>
    <t>2026-06-22 03:02 (logistics@thg-ml-staging.iam.gserviceaccount.com)
2026-06-15 03:01 (logistics@thg-ml-staging.iam.gserviceaccount.com)
2026-06-08 03:02 (logistics@thg-ml-staging.iam.gserviceaccount.com)
2026-06-01 03:02 (logistics@thg-ml-staging.iam.gserviceaccount.com)
2026-05-25 03:01 (logistics@thg-ml-staging.iam.gserviceaccount.com)</t>
  </si>
  <si>
    <t>ctcl_temp</t>
  </si>
  <si>
    <t>Pilot temp BQ tables (transient — generated by WorkspaceHandler.temp_table during extract steps; deleted post-extract). Routed here via extraction.temp_dataset_override to keep pilot writes inside the ctcl_* namespace.</t>
  </si>
  <si>
    <t>2026-06-23 09:53 (897857138595-compute@developer.gserviceaccount.com)
2026-06-23 09:52 (897857138595-compute@developer.gserviceaccount.com)
2026-06-23 09:52 (897857138595-compute@developer.gserviceaccount.com)
2026-06-22 12:17 (897857138595-compute@developer.gserviceaccount.com)
2026-06-22 12:16 (897857138595-compute@developer.gserviceaccount.com)</t>
  </si>
  <si>
    <t>2026-06-19 10:00 (fraud-data-sa@thg-fraud-data.iam.gserviceaccount.com)
2026-06-18 09:54 (fraud-data-sa@thg-fraud-data.iam.gserviceaccount.com)
2026-06-18 09:39 (fraud-data-sa@thg-fraud-data.iam.gserviceaccount.com)
2026-06-18 09:18 (Harry.Lyons94@thehutgroup.com)
2026-06-18 09:16 (Harry.Lyons94@thehutgroup.com)</t>
  </si>
  <si>
    <t>2026-02-27 16:34 (Harry.Lyons94@thehutgroup.com)
2026-02-27 15:58 (Harry.Lyons94@thehutgroup.com)
2026-02-27 14:13 (Harry.Lyons94@thehutgroup.com)
2026-02-27 13:32 (Harry.Lyons94@thehutgroup.com)
2026-02-27 12:45 (Harry.Lyons94@thehutgroup.com)</t>
  </si>
  <si>
    <t>2026-06-24 03:01 (recommender@thg-ml-live.iam.gserviceaccount.com)
2026-06-24 03:01 (recommender@thg-ml-live.iam.gserviceaccount.com)
2026-06-24 03:01 (recommender@thg-ml-live.iam.gserviceaccount.com)
2026-06-24 03:01 (recommender@thg-ml-live.iam.gserviceaccount.com)
2026-06-24 02:06 (recommender@thg-ml-live.iam.gserviceaccount.com)</t>
  </si>
  <si>
    <t>2026-06-24 05:09 (recommender@thg-ml-live.iam.gserviceaccount.com)
2026-06-24 03:01 (recommender@thg-ml-live.iam.gserviceaccount.com)
2026-06-24 03:01 (recommender@thg-ml-live.iam.gserviceaccount.com)
2026-06-24 03:01 (recommender@thg-ml-live.iam.gserviceaccount.com)
2026-06-24 02:06 (recommender@thg-ml-live.iam.gserviceaccount.com)</t>
  </si>
  <si>
    <t>2026-06-21 03:01 (recommender@thg-ml-staging.iam.gserviceaccount.com)
2026-06-21 03:01 (recommender@thg-ml-staging.iam.gserviceaccount.com)
2026-06-21 03:01 (recommender@thg-ml-staging.iam.gserviceaccount.com)
2026-06-21 03:01 (recommender@thg-ml-staging.iam.gserviceaccount.com)
2026-06-21 02:08 (recommender@thg-ml-staging.iam.gserviceaccount.com)</t>
  </si>
  <si>
    <t>2026-06-24 01:01 (recommender@thg-ml-staging.iam.gserviceaccount.com)
2026-06-23 01:01 (recommender@thg-ml-staging.iam.gserviceaccount.com)
2026-06-22 01:01 (recommender@thg-ml-staging.iam.gserviceaccount.com)
2026-06-21 05:06 (recommender@thg-ml-staging.iam.gserviceaccount.com)
2026-06-21 03:01 (recommender@thg-ml-staging.iam.gserviceaccount.com)</t>
  </si>
  <si>
    <t>applications_tmp</t>
  </si>
  <si>
    <t>2026-06-24 09:09 (ecrm-service@the-hut-group.iam.gserviceaccount.com)
2026-06-24 09:01 (ecrm-service@the-hut-group.iam.gserviceaccount.com)
2026-06-23 12:41 (ecrm-service@the-hut-group.iam.gserviceaccount.com)
2026-06-23 12:17 (ecrm-service@the-hut-group.iam.gserviceaccount.com)
2026-06-23 09:09 (ecrm-service@the-hut-group.iam.gserviceaccount.com)</t>
  </si>
  <si>
    <t>2026-06-24 03:01 (logistics@thg-ml-live.iam.gserviceaccount.com)
2026-06-23 03:01 (logistics@thg-ml-live.iam.gserviceaccount.com)
2026-06-22 03:02 (logistics@thg-ml-live.iam.gserviceaccount.com)
2026-06-21 03:01 (logistics@thg-ml-live.iam.gserviceaccount.com)
2026-06-20 03:02 (logistics@thg-ml-live.iam.gserviceaccount.com)</t>
  </si>
  <si>
    <t>AWIN_test</t>
  </si>
  <si>
    <t>2026-02-27 18:40 (Liam.Lim79@thg.com)
2026-01-06 13:44 (john.funtanilla75@thg.com)
2026-01-06 13:38 (john.funtanilla75@thg.com)
2026-01-06 10:08 (john.funtanilla75@thg.com)
2026-01-06 09:46 (john.funtanilla75@thg.com)</t>
  </si>
  <si>
    <t>refunds__temp</t>
  </si>
  <si>
    <t>data_drift__temp</t>
  </si>
  <si>
    <t>live_temp</t>
  </si>
  <si>
    <t>ecrm__temp</t>
  </si>
  <si>
    <t>recs__temp</t>
  </si>
  <si>
    <t>ml_experiments__temp</t>
  </si>
  <si>
    <t>Bucket</t>
  </si>
  <si>
    <t>Location</t>
  </si>
  <si>
    <t>Storage Class</t>
  </si>
  <si>
    <t>Versioning</t>
  </si>
  <si>
    <t>Has Lifecycle</t>
  </si>
  <si>
    <t>Recommended Action</t>
  </si>
  <si>
    <t>artifacts.the-hut-group.appspot.com</t>
  </si>
  <si>
    <t>US</t>
  </si>
  <si>
    <t>STANDARD</t>
  </si>
  <si>
    <t>RISK: NO LIFECYCLE</t>
  </si>
  <si>
    <t>Add lifecycle rule.</t>
  </si>
  <si>
    <t>bqs_orders_test</t>
  </si>
  <si>
    <t>EUROPE-WEST2</t>
  </si>
  <si>
    <t>clickhouse_cloud_data</t>
  </si>
  <si>
    <t>EU</t>
  </si>
  <si>
    <t>clickhouse_gcs_stream_test</t>
  </si>
  <si>
    <t>cloud-ai-platform-be9aaac7-ebac-4901-9c07-8487b2c30bfb</t>
  </si>
  <si>
    <t>EUROPE-WEST1</t>
  </si>
  <si>
    <t>REGIONAL</t>
  </si>
  <si>
    <t>darrenj-sessiondata-export</t>
  </si>
  <si>
    <t>dataflow-relay</t>
  </si>
  <si>
    <t>MULTI_REGIONAL</t>
  </si>
  <si>
    <t>dataflow-staging-europe-west1-390610214280</t>
  </si>
  <si>
    <t>dataflow-staging-europe-west1-9edc3aa7800950551b618234e035d9f0</t>
  </si>
  <si>
    <t>dataflow-staging-us-central1-390610214280</t>
  </si>
  <si>
    <t>US-CENTRAL1</t>
  </si>
  <si>
    <t>dataplexcatalog-demo-390610214280</t>
  </si>
  <si>
    <t>dataproc-bf2def14-44e7-41a3-9bea-7cd47f0ec148-eu</t>
  </si>
  <si>
    <t>eu.artifacts.the-hut-group.appspot.com</t>
  </si>
  <si>
    <t>experimentation-bucket-live</t>
  </si>
  <si>
    <t>gcf-v2-sources-390610214280-europe-west2</t>
  </si>
  <si>
    <t>COST: VERSIONING ENABLED</t>
  </si>
  <si>
    <t>Review if needed.</t>
  </si>
  <si>
    <t>gcf-v2-uploads-390610214280.europe-west2.cloudfunctions.appspot.com</t>
  </si>
  <si>
    <t>OPTIMAL</t>
  </si>
  <si>
    <t>None</t>
  </si>
  <si>
    <t>jvdb_promotest</t>
  </si>
  <si>
    <t>jvdb_promotest2</t>
  </si>
  <si>
    <t>morgant-test</t>
  </si>
  <si>
    <t>nevinc-dataflow</t>
  </si>
  <si>
    <t>run-sources-the-hut-group-europe-west2</t>
  </si>
  <si>
    <t>shaun-test</t>
  </si>
  <si>
    <t>NEARLINE</t>
  </si>
  <si>
    <t>staging.the-hut-group.appspot.com</t>
  </si>
  <si>
    <t>temp_transfer_61242032</t>
  </si>
  <si>
    <t>the-hut-group-backup</t>
  </si>
  <si>
    <t>the-hut-group-cloud-functions</t>
  </si>
  <si>
    <t>the-hut-group-data-science</t>
  </si>
  <si>
    <t>the-hut-group-dataflow</t>
  </si>
  <si>
    <t>the-hut-group-ecrm</t>
  </si>
  <si>
    <t>the-hut-group-legacy</t>
  </si>
  <si>
    <t>the-hut-group-tmp</t>
  </si>
  <si>
    <t>the-hut-group-tmp-hdfs</t>
  </si>
  <si>
    <t>the-hut-group.appspot.com</t>
  </si>
  <si>
    <t>the-hut-group_cloudbuild</t>
  </si>
  <si>
    <t>the-hut-group_infra_manager_staging</t>
  </si>
  <si>
    <t>thg-bigquery-backup</t>
  </si>
  <si>
    <t>ARCHIVE</t>
  </si>
  <si>
    <t>vm-config.the-hut-group.appspot.com</t>
  </si>
  <si>
    <t>vm-containers.the-hut-group.appspot.com</t>
  </si>
  <si>
    <t>wiz-inv63b8d662-b532-58a7-98d5-1a6e40338ebf-eu</t>
  </si>
  <si>
    <t>wiz-inv63b8d662-b532-58a7-98d5-1a6e40338ebf-europe-west1</t>
  </si>
  <si>
    <t>wiz-inv63b8d662-b532-58a7-98d5-1a6e40338ebf-europe-west2</t>
  </si>
  <si>
    <t>wiz-inv63b8d662-b532-58a7-98d5-1a6e40338ebf-us</t>
  </si>
  <si>
    <t>wiz-inv63b8d662-b532-58a7-98d5-1a6e40338ebf-us-central1</t>
  </si>
  <si>
    <t>0_alex</t>
  </si>
  <si>
    <t>0_andranik</t>
  </si>
  <si>
    <t>EUR4</t>
  </si>
  <si>
    <t>0_ck_gcp</t>
  </si>
  <si>
    <t>4s_data</t>
  </si>
  <si>
    <t>alex_bq_us_to_eu</t>
  </si>
  <si>
    <t>amcel</t>
  </si>
  <si>
    <t>artifacts.agile-bonbon-662.appspot.com</t>
  </si>
  <si>
    <t>ben_eu</t>
  </si>
  <si>
    <t>ben_w</t>
  </si>
  <si>
    <t>bens_test_01</t>
  </si>
  <si>
    <t>billy_cole</t>
  </si>
  <si>
    <t>bq_billing</t>
  </si>
  <si>
    <t>chante</t>
  </si>
  <si>
    <t>clv-revenue-predictions</t>
  </si>
  <si>
    <t>EUROPE-NORTH1</t>
  </si>
  <si>
    <t>cubed_ecrm</t>
  </si>
  <si>
    <t>customer_attribution</t>
  </si>
  <si>
    <t>customer_d_eu</t>
  </si>
  <si>
    <t>customer_experience_migration</t>
  </si>
  <si>
    <t>dataprep-staging-d1b18ce9-8628-4401-934b-7f9334916566</t>
  </si>
  <si>
    <t>deanc</t>
  </si>
  <si>
    <t>ds_glossybox_churn_project</t>
  </si>
  <si>
    <t>ecrm</t>
  </si>
  <si>
    <t>ecrmeudata</t>
  </si>
  <si>
    <t>eddie_stoker</t>
  </si>
  <si>
    <t>email_customer_segmentation</t>
  </si>
  <si>
    <t>faithh1</t>
  </si>
  <si>
    <t>gcf-sources-721518884778-europe-west2</t>
  </si>
  <si>
    <t>james_bonner</t>
  </si>
  <si>
    <t>kostas_test_1</t>
  </si>
  <si>
    <t>live_person_reporting</t>
  </si>
  <si>
    <t>nicola_j</t>
  </si>
  <si>
    <t>nlp-training-set</t>
  </si>
  <si>
    <t>panos_test</t>
  </si>
  <si>
    <t>panos_test_eu</t>
  </si>
  <si>
    <t>paulm-test</t>
  </si>
  <si>
    <t>pengfei_ji</t>
  </si>
  <si>
    <t>programmatic_crm</t>
  </si>
  <si>
    <t>rachel_fox</t>
  </si>
  <si>
    <t>rich_bucket</t>
  </si>
  <si>
    <t>rich_eu</t>
  </si>
  <si>
    <t>sde-ingenuity</t>
  </si>
  <si>
    <t>sde-ingenuity-amik2</t>
  </si>
  <si>
    <t>sde-ingenuity-amika</t>
  </si>
  <si>
    <t>sde-ingenuity-bitest</t>
  </si>
  <si>
    <t>sde-ingenuity-dev</t>
  </si>
  <si>
    <t>sde-ingenuity-heinz</t>
  </si>
  <si>
    <t>sde-ingenuity-maide</t>
  </si>
  <si>
    <t>sde-ingenuity-matln</t>
  </si>
  <si>
    <t>sde-ingenuity-range</t>
  </si>
  <si>
    <t>sde-ingenuity-range2</t>
  </si>
  <si>
    <t>sde-ingenuity-test</t>
  </si>
  <si>
    <t>sde_maiden_bucket</t>
  </si>
  <si>
    <t>surajunni</t>
  </si>
  <si>
    <t>suzy_shaw</t>
  </si>
  <si>
    <t>temp_backup_elysium_orders</t>
  </si>
  <si>
    <t>test_commercial</t>
  </si>
  <si>
    <t>thg-bq-migration-2019-july</t>
  </si>
  <si>
    <t>thg-gmc-archive</t>
  </si>
  <si>
    <t>thg-ingenuity-client-a</t>
  </si>
  <si>
    <t>thg-machine-learning</t>
  </si>
  <si>
    <t>thg-search-snapshot</t>
  </si>
  <si>
    <t>thgdoubleclick</t>
  </si>
  <si>
    <t>vlad_jiman_eu</t>
  </si>
  <si>
    <t>vm-config.agile-bonbon-662.appspot.com</t>
  </si>
  <si>
    <t>vm-containers.agile-bonbon-662.appspot.com</t>
  </si>
  <si>
    <t>wiz-invb224944b-0c34-5a48-b296-2c90f792bda6-eu</t>
  </si>
  <si>
    <t>wiz-invb224944b-0c34-5a48-b296-2c90f792bda6-eur4</t>
  </si>
  <si>
    <t>wiz-invb224944b-0c34-5a48-b296-2c90f792bda6-europe-north1</t>
  </si>
  <si>
    <t>wiz-invb224944b-0c34-5a48-b296-2c90f792bda6-europe-west1</t>
  </si>
  <si>
    <t>wiz-invb224944b-0c34-5a48-b296-2c90f792bda6-europe-west2</t>
  </si>
  <si>
    <t>wiz-invb224944b-0c34-5a48-b296-2c90f792bda6-us</t>
  </si>
  <si>
    <t>wiz-invb224944b-0c34-5a48-b296-2c90f792bda6-us-central1</t>
  </si>
  <si>
    <t>artifacts.vibrant-map-107910.appspot.com</t>
  </si>
  <si>
    <t>bq-source-bucket-484f55e1-5e30-4da5-9751-bc52ffeac971</t>
  </si>
  <si>
    <t>bq-source-bucket-4aa2f50f-f54e-4977-830d-94b1ff06a576</t>
  </si>
  <si>
    <t>bq-source-bucket-94082c6b-1d47-4b14-9855-52e9c87befa4</t>
  </si>
  <si>
    <t>bq-source-bucket-f38371fe-cfcb-4e07-bef1-940ceaa433a6</t>
  </si>
  <si>
    <t>competitor-puppeteer</t>
  </si>
  <si>
    <t>competitor-screenshots</t>
  </si>
  <si>
    <t>confluent-sde-test-bucket</t>
  </si>
  <si>
    <t>data-engineering-test-0</t>
  </si>
  <si>
    <t>data-engineering-test-1</t>
  </si>
  <si>
    <t>dataflow-staging-europe-west1-1031480918691</t>
  </si>
  <si>
    <t>dataflow-staging-europe-west1-2ef8a291bda2ec0e56128d92c0556e51</t>
  </si>
  <si>
    <t>dataflow-staging-europe-west2-1031480918691</t>
  </si>
  <si>
    <t>dataflow-staging-us-central1-1031480918691</t>
  </si>
  <si>
    <t>dataplexcatalog-demo-1031480918691</t>
  </si>
  <si>
    <t>dataproc-staging-europe-west2-1031480918691-mxd4rclr</t>
  </si>
  <si>
    <t>dataproc-temp-europe-west2-1031480918691-qisxdzr8</t>
  </si>
  <si>
    <t>ditto_ing_pentland</t>
  </si>
  <si>
    <t>eu.artifacts.vibrant-map-107910.appspot.com</t>
  </si>
  <si>
    <t>experimentation-bucket-st</t>
  </si>
  <si>
    <t>gcf-sources-1031480918691-europe-west2</t>
  </si>
  <si>
    <t>gcf-sources-1031480918691-us-central1</t>
  </si>
  <si>
    <t>gcf-v2-sources-1031480918691-europe-west2</t>
  </si>
  <si>
    <t>gcf-v2-sources-1031480918691-us-central1</t>
  </si>
  <si>
    <t>gcf-v2-uploads-1031480918691-europe-west2</t>
  </si>
  <si>
    <t>gcf-v2-uploads-1031480918691-us-central1</t>
  </si>
  <si>
    <t>gcf-v2-uploads-1031480918691.us-central1.cloudfunctions.appspot.com</t>
  </si>
  <si>
    <t>ha-jenkins</t>
  </si>
  <si>
    <t>ih-bazel-cache</t>
  </si>
  <si>
    <t>ingenuity-hosting-helm-charts</t>
  </si>
  <si>
    <t>lighthouse-raw-reports</t>
  </si>
  <si>
    <t>python-dataflow-poc</t>
  </si>
  <si>
    <t>rendering-reports</t>
  </si>
  <si>
    <t>research-development-charts</t>
  </si>
  <si>
    <t>run-sources-vibrant-map-107910-europe-west2</t>
  </si>
  <si>
    <t>sde-ingenuity-optif</t>
  </si>
  <si>
    <t>spin-a8c7f1b5-8e47-44d2-85e4-d328535d3990</t>
  </si>
  <si>
    <t>spin-canary-analysis</t>
  </si>
  <si>
    <t>staging.vibrant-map-107910.appspot.com</t>
  </si>
  <si>
    <t>terraform-test-dittocloud</t>
  </si>
  <si>
    <t>terraform-test-nm</t>
  </si>
  <si>
    <t>test_bucket_commercial</t>
  </si>
  <si>
    <t>the-hut-group-test-tmp</t>
  </si>
  <si>
    <t>thg</t>
  </si>
  <si>
    <t>us.artifacts.vibrant-map-107910.appspot.com</t>
  </si>
  <si>
    <t>ux-longfont</t>
  </si>
  <si>
    <t>ux-site-screenshots</t>
  </si>
  <si>
    <t>value-based-bidding-gcs-bucket</t>
  </si>
  <si>
    <t>vibrant-map-107910-atlas</t>
  </si>
  <si>
    <t>vibrant-map-107910.appspot.com</t>
  </si>
  <si>
    <t>vibrant-map-107910_cloudbuild</t>
  </si>
  <si>
    <t>vibrant-map-backups</t>
  </si>
  <si>
    <t>vibrant-map-dataflow</t>
  </si>
  <si>
    <t>vibrant-map-manifests</t>
  </si>
  <si>
    <t>vm-config.vibrant-map-107910.appspot.com</t>
  </si>
  <si>
    <t>vm-containers.vibrant-map-107910.appspot.com</t>
  </si>
  <si>
    <t>wiz-inv6c3bcc0e-f656-531d-92bf-986f500f679d-eu</t>
  </si>
  <si>
    <t>wiz-inv6c3bcc0e-f656-531d-92bf-986f500f679d-europe-north1</t>
  </si>
  <si>
    <t>wiz-inv6c3bcc0e-f656-531d-92bf-986f500f679d-europe-west1</t>
  </si>
  <si>
    <t>wiz-inv6c3bcc0e-f656-531d-92bf-986f500f679d-europe-west2</t>
  </si>
  <si>
    <t>wiz-inv6c3bcc0e-f656-531d-92bf-986f500f679d-us</t>
  </si>
  <si>
    <t>wiz-inv6c3bcc0e-f656-531d-92bf-986f500f679d-us-central1</t>
  </si>
  <si>
    <t>run-sources-thg-data-personify-europe-west2</t>
  </si>
  <si>
    <t>test-sde-ingenuity-range</t>
  </si>
  <si>
    <t>tmp_data_load</t>
  </si>
  <si>
    <t>tmp_data_load_2</t>
  </si>
  <si>
    <t>voyagerdataimport</t>
  </si>
  <si>
    <t>wiz-inv4ed55b24-345d-508c-97a6-d1a714a5834d-eu</t>
  </si>
  <si>
    <t>wiz-inv4ed55b24-345d-508c-97a6-d1a714a5834d-europe-west2</t>
  </si>
  <si>
    <t>wiz-inv4ed55b24-345d-508c-97a6-d1a714a5834d-us</t>
  </si>
  <si>
    <t>funnel-staging-eu-df7cb1e7b257f10a351558c5fa220071</t>
  </si>
  <si>
    <t>test_playstore</t>
  </si>
  <si>
    <t>wiz-inv6028fe88-00be-5a4a-8dcb-07c70aca5dbd-eu</t>
  </si>
  <si>
    <t>Subscription</t>
  </si>
  <si>
    <t>Topic</t>
  </si>
  <si>
    <t>ecrm-bigquery-relay</t>
  </si>
  <si>
    <t>ecrm-events</t>
  </si>
  <si>
    <t>PULL SUBSCRIPTION</t>
  </si>
  <si>
    <t>Verify if consumer is alive.</t>
  </si>
  <si>
    <t>order-events-expanded-bigquery-relay</t>
  </si>
  <si>
    <t>order-events-expanded</t>
  </si>
  <si>
    <t>order-expander</t>
  </si>
  <si>
    <t>order-events</t>
  </si>
  <si>
    <t>frontend-elysium-perf-data-bigquery-relay</t>
  </si>
  <si>
    <t>frontend-elysium-perf-data</t>
  </si>
  <si>
    <t>frontend-checkout-events-bigquery-relay</t>
  </si>
  <si>
    <t>frontend-checkout-events</t>
  </si>
  <si>
    <t>frontend-checkout-perf-data-bigquery-relay</t>
  </si>
  <si>
    <t>frontend-checkout-perf-data</t>
  </si>
  <si>
    <t>frontend-elysium-events-bigquery-relay</t>
  </si>
  <si>
    <t>frontend-elysium-events</t>
  </si>
  <si>
    <t>uic-cassandra-test</t>
  </si>
  <si>
    <t>product-page-events</t>
  </si>
  <si>
    <t>lighthouse-us</t>
  </si>
  <si>
    <t>lighthouse-topic</t>
  </si>
  <si>
    <t>lighthouse-asia</t>
  </si>
  <si>
    <t>lighthouse-eu</t>
  </si>
  <si>
    <t>elysium2-backend-relay</t>
  </si>
  <si>
    <t>elysium2-backend-events</t>
  </si>
  <si>
    <t>elysium2-frontend-relay</t>
  </si>
  <si>
    <t>elysium2-frontend-enriched</t>
  </si>
  <si>
    <t>elysium2-frontend-enrichment</t>
  </si>
  <si>
    <t>elysium2-frontend-events</t>
  </si>
  <si>
    <t>email-segmentation</t>
  </si>
  <si>
    <t>cron-1day</t>
  </si>
  <si>
    <t>order-expander-dead-letters</t>
  </si>
  <si>
    <t>s2s-facebook-purchase-events</t>
  </si>
  <si>
    <t>purchase-events</t>
  </si>
  <si>
    <t>msg-bg-data-hutalytics-relay</t>
  </si>
  <si>
    <t>hutalytics-expanded</t>
  </si>
  <si>
    <t>msg-bg-data-ely2-be-relay</t>
  </si>
  <si>
    <t>msg-bg-data-ely2-fe-relay</t>
  </si>
  <si>
    <t>msg-bg-data-order-events-relay</t>
  </si>
  <si>
    <t>login_events-sub</t>
  </si>
  <si>
    <t>login_events</t>
  </si>
  <si>
    <t>checkout-pageviews-sub</t>
  </si>
  <si>
    <t>checkout-pageviews</t>
  </si>
  <si>
    <t>fraud-labels-sub</t>
  </si>
  <si>
    <t>fraud-labels</t>
  </si>
  <si>
    <t>fraud-events-sub</t>
  </si>
  <si>
    <t>fraud-events</t>
  </si>
  <si>
    <t>msg-bg-data-fe-checkout-events-relay</t>
  </si>
  <si>
    <t>msg-bg-data-fe-perf-relay</t>
  </si>
  <si>
    <t>push-activity-dlq-sub</t>
  </si>
  <si>
    <t>push-activity-dlq</t>
  </si>
  <si>
    <t>push-activity-pull</t>
  </si>
  <si>
    <t>push-activity</t>
  </si>
  <si>
    <t>checkout-orders-sub</t>
  </si>
  <si>
    <t>checkout-orders</t>
  </si>
  <si>
    <t>ecrm-events-aether</t>
  </si>
  <si>
    <t>Check monitoring for activity.</t>
  </si>
  <si>
    <t>frontend-checkout-events-aether</t>
  </si>
  <si>
    <t>frontend-checkout-events-bigquery-relay__df_internal2b234ef179f93181</t>
  </si>
  <si>
    <t>lakehouse-dlq</t>
  </si>
  <si>
    <t>checkout-orders-lakehouse</t>
  </si>
  <si>
    <t>order-events-expanded-bigquery-relay__df_internal1b48b0c67721bae6</t>
  </si>
  <si>
    <t>frontend-elysium-events-bigquery-relay__df_internal349458331cb70fb2</t>
  </si>
  <si>
    <t>frontend-checkout-perf-data-bigquery-relay__df_internalf69c4e4dca24f3da</t>
  </si>
  <si>
    <t>experimentation-create-experiment-dead-letter-subscription</t>
  </si>
  <si>
    <t>experimentation-create-experiment-dead-letter-topic</t>
  </si>
  <si>
    <t>experimentation-create-experiment-subscription</t>
  </si>
  <si>
    <t>experimentation-create-experiment-topic</t>
  </si>
  <si>
    <t>order-events-expanded-lakehouse</t>
  </si>
  <si>
    <t>experimentation-update-experiment-dead-letter-subscription</t>
  </si>
  <si>
    <t>experimentation-update-experiment-dead-letter-topic</t>
  </si>
  <si>
    <t>experimentation-update-experiment-subscription</t>
  </si>
  <si>
    <t>experimentation-update-experiment-topic</t>
  </si>
  <si>
    <t>hutalytics-expanded-lakehouse</t>
  </si>
  <si>
    <t>lakehouse-frontend-elysium-perf-data</t>
  </si>
  <si>
    <t>clickhouse-ely2-enriched</t>
  </si>
  <si>
    <t>clickhouse</t>
  </si>
  <si>
    <t>clickhouse-ely2-backend-events</t>
  </si>
  <si>
    <t>frontend-elysium-perf-data-bigquery-relay__df_internal3a00b63a232b9e68</t>
  </si>
  <si>
    <t>login_events_siem</t>
  </si>
  <si>
    <t>checkout-orders-sub__df_internal2d84c6c1ac8907a</t>
  </si>
  <si>
    <t>ecrm-bigquery-relay__df_internalaa468bcecd64e633</t>
  </si>
  <si>
    <t>elysium2-frontend-relay__df_internal57aa6d38cf6a9707</t>
  </si>
  <si>
    <t>checkout-pageviews-sub__df_internal899e0dd00cb7763c</t>
  </si>
  <si>
    <t>cashboard-orders-k28ft-black-friday-dashboard-feed</t>
  </si>
  <si>
    <t>elysium2-backend-relay__df_internalb6a4743bf3103494</t>
  </si>
  <si>
    <t>cashboard-orders-ddxzc-black-friday-dashboard-feed</t>
  </si>
  <si>
    <t>cashboard-orders-g497n-black-friday-dashboard-feed</t>
  </si>
  <si>
    <t>cashboard-orders-5q8vd-black-friday-dashboard-feed</t>
  </si>
  <si>
    <t>cashboard-orders-7mmjq-black-friday-dashboard-feed</t>
  </si>
  <si>
    <t>cashboard-orders-8bsql-black-friday-dashboard-feed</t>
  </si>
  <si>
    <t>cashboard-orders-fw95q-black-friday-dashboard-feed</t>
  </si>
  <si>
    <t>cashboard-orders-2bd7n-black-friday-dashboard-feed</t>
  </si>
  <si>
    <t>cashboard-orders-jjlzq-black-friday-dashboard-feed</t>
  </si>
  <si>
    <t>cashboard-orders-76pkv-black-friday-dashboard-feed</t>
  </si>
  <si>
    <t>cashboard-orders-bmkd6-black-friday-dashboard-feed</t>
  </si>
  <si>
    <t>cashboard-orders-2kvdh-black-friday-dashboard-feed</t>
  </si>
  <si>
    <t>cashboard-orders-gkfw5-black-friday-dashboard-feed</t>
  </si>
  <si>
    <t>cashboard-orders-48cfz-black-friday-dashboard-feed</t>
  </si>
  <si>
    <t>cashboard-orders-wcpq2-black-friday-dashboard-feed</t>
  </si>
  <si>
    <t>cashboard-orders-47dxq-black-friday-dashboard-feed</t>
  </si>
  <si>
    <t>cashboard-orders-rn5wd-black-friday-dashboard-feed</t>
  </si>
  <si>
    <t>cashboard-orders-jjrrb-black-friday-dashboard-feed</t>
  </si>
  <si>
    <t>cashboard-orders-ths2s-black-friday-dashboard-feed</t>
  </si>
  <si>
    <t>cashboard-orders-6cblm-black-friday-dashboard-feed</t>
  </si>
  <si>
    <t>cashboard-orders-pc7h9-black-friday-dashboard-feed</t>
  </si>
  <si>
    <t>cashboard-orders-4b5hj-black-friday-dashboard-feed</t>
  </si>
  <si>
    <t>cashboard-orders-r7lxb-black-friday-dashboard-feed</t>
  </si>
  <si>
    <t>cashboard-orders-rlhds-black-friday-dashboard-feed</t>
  </si>
  <si>
    <t>cashboard-orders-6hnl9-black-friday-dashboard-feed</t>
  </si>
  <si>
    <t>cashboard-orders-j7p28-black-friday-dashboard-feed</t>
  </si>
  <si>
    <t>cashboard-orders-7k2wl-black-friday-dashboard-feed</t>
  </si>
  <si>
    <t>cashboard-orders-55jwb-black-friday-dashboard-feed</t>
  </si>
  <si>
    <t>cashboard-orders-t48zm-black-friday-dashboard-feed</t>
  </si>
  <si>
    <t>cashboard-orders-5fxx2-black-friday-dashboard-feed</t>
  </si>
  <si>
    <t>cashboard-orders-jqz4n-black-friday-dashboard-feed</t>
  </si>
  <si>
    <t>cashboard-orders-vtwzq-black-friday-dashboard-feed</t>
  </si>
  <si>
    <t>cashboard-orders-7mbh4-black-friday-dashboard-feed</t>
  </si>
  <si>
    <t>cashboard-orders-hjl8m-black-friday-dashboard-feed</t>
  </si>
  <si>
    <t>cashboard-orders-hqxxv-black-friday-dashboard-feed</t>
  </si>
  <si>
    <t>cashboard-orders-26x4x-black-friday-dashboard-feed</t>
  </si>
  <si>
    <t>cashboard-orders-5fqgz-black-friday-dashboard-feed</t>
  </si>
  <si>
    <t>cashboard-orders-rn7s7-black-friday-dashboard-feed</t>
  </si>
  <si>
    <t>cashboard-orders-t6pgv-black-friday-dashboard-feed</t>
  </si>
  <si>
    <t>cashboard-orders-zx747-black-friday-dashboard-feed</t>
  </si>
  <si>
    <t>cashboard-orders-tq5bb-black-friday-dashboard-feed</t>
  </si>
  <si>
    <t>cashboard-orders-ps6xp-black-friday-dashboard-feed</t>
  </si>
  <si>
    <t>cashboard-orders-c8f9h-black-friday-dashboard-feed</t>
  </si>
  <si>
    <t>cashboard-orders-x7td2-black-friday-dashboard-feed</t>
  </si>
  <si>
    <t>cashboard-orders-znsx5-black-friday-dashboard-feed</t>
  </si>
  <si>
    <t>cashboard-orders-2cstn-black-friday-dashboard-feed</t>
  </si>
  <si>
    <t>cashboard-orders-8d6sg-black-friday-dashboard-feed</t>
  </si>
  <si>
    <t>cashboard-orders-h4fsx-black-friday-dashboard-feed</t>
  </si>
  <si>
    <t>cashboard-orders-8clsq-black-friday-dashboard-feed</t>
  </si>
  <si>
    <t>cashboard-orders-kn4wm-black-friday-dashboard-feed</t>
  </si>
  <si>
    <t>cashboard-orders-f8ssj-black-friday-dashboard-feed</t>
  </si>
  <si>
    <t>cashboard-orders-4q9vr-black-friday-dashboard-feed</t>
  </si>
  <si>
    <t>cashboard-orders-bsd9z-black-friday-dashboard-feed</t>
  </si>
  <si>
    <t>cashboard-orders-vmfh8-black-friday-dashboard-feed</t>
  </si>
  <si>
    <t>cashboard-orders-zf88c-black-friday-dashboard-feed</t>
  </si>
  <si>
    <t>cashboard-orders-8dtgg-black-friday-dashboard-feed</t>
  </si>
  <si>
    <t>cashboard-orders-knbmk-black-friday-dashboard-feed</t>
  </si>
  <si>
    <t>cashboard-orders-dnjqv-black-friday-dashboard-feed</t>
  </si>
  <si>
    <t>cashboard-orders-fpr8f-black-friday-dashboard-feed</t>
  </si>
  <si>
    <t>cashboard-orders-8b7hs-black-friday-dashboard-feed</t>
  </si>
  <si>
    <t>cashboard-orders-dp24r-black-friday-dashboard-feed</t>
  </si>
  <si>
    <t>cashboard-orders-tzjtd-black-friday-dashboard-feed</t>
  </si>
  <si>
    <t>cashboard-orders-8cfxx-black-friday-dashboard-feed</t>
  </si>
  <si>
    <t>cashboard-orders-qknql-black-friday-dashboard-feed</t>
  </si>
  <si>
    <t>cashboard-orders-v58vv-black-friday-dashboard-feed</t>
  </si>
  <si>
    <t>cashboard-orders-r5dxh-black-friday-dashboard-feed</t>
  </si>
  <si>
    <t>cashboard-orders-rwcgd-black-friday-dashboard-feed</t>
  </si>
  <si>
    <t>cashboard-orders-wks5v-black-friday-dashboard-feed</t>
  </si>
  <si>
    <t>cashboard-orders-w5lgs-black-friday-dashboard-feed</t>
  </si>
  <si>
    <t>cashboard-orders-hv7f7-black-friday-dashboard-feed</t>
  </si>
  <si>
    <t>cashboard-orders-jgqg7-black-friday-dashboard-feed</t>
  </si>
  <si>
    <t>cashboard-orders-fjn8q-black-friday-dashboard-feed</t>
  </si>
  <si>
    <t>cashboard-orders-tw5v9-black-friday-dashboard-feed</t>
  </si>
  <si>
    <t>cashboard-orders-fn5bl-black-friday-dashboard-feed</t>
  </si>
  <si>
    <t>cashboard-orders-6vqsz-black-friday-dashboard-feed</t>
  </si>
  <si>
    <t>cashboard-orders-cjwnf-black-friday-dashboard-feed</t>
  </si>
  <si>
    <t>cashboard-orders-mhjf2-black-friday-dashboard-feed</t>
  </si>
  <si>
    <t>cashboard-orders-vj2k8-black-friday-dashboard-feed</t>
  </si>
  <si>
    <t>cashboard-orders-5zwvn-black-friday-dashboard-feed</t>
  </si>
  <si>
    <t>cashboard-orders-s56q8-black-friday-dashboard-feed</t>
  </si>
  <si>
    <t>cashboard-orders-4pf57-black-friday-dashboard-feed</t>
  </si>
  <si>
    <t>cashboard-orders-hgxvx-black-friday-dashboard-feed</t>
  </si>
  <si>
    <t>cashboard-orders-m5pfq-black-friday-dashboard-feed</t>
  </si>
  <si>
    <t>cashboard-orders-86hq2-black-friday-dashboard-feed</t>
  </si>
  <si>
    <t>cashboard-orders-v5vbl-black-friday-dashboard-feed</t>
  </si>
  <si>
    <t>cashboard-orders-467k5-black-friday-dashboard-feed</t>
  </si>
  <si>
    <t>cashboard-orders-gcjs8-black-friday-dashboard-feed</t>
  </si>
  <si>
    <t>cashboard-orders-bxwt8-black-friday-dashboard-feed</t>
  </si>
  <si>
    <t>cashboard-orders-7nwst-black-friday-dashboard-feed</t>
  </si>
  <si>
    <t>cashboard-orders-ckgj2-black-friday-dashboard-feed</t>
  </si>
  <si>
    <t>cashboard-orders-bkxrv-black-friday-dashboard-feed</t>
  </si>
  <si>
    <t>cashboard-orders-szzzv-black-friday-dashboard-feed</t>
  </si>
  <si>
    <t>cashboard-orders-59kbl-black-friday-dashboard-feed</t>
  </si>
  <si>
    <t>cashboard-orders-7v6j7-black-friday-dashboard-feed</t>
  </si>
  <si>
    <t>cashboard-orders-fsgxn-black-friday-dashboard-feed</t>
  </si>
  <si>
    <t>cashboard-orders-z7b4s-black-friday-dashboard-feed</t>
  </si>
  <si>
    <t>cashboard-orders-r922b-black-friday-dashboard-feed</t>
  </si>
  <si>
    <t>cashboard-orders-jtmkc-black-friday-dashboard-feed</t>
  </si>
  <si>
    <t>cashboard-orders-pkwxd-black-friday-dashboard-feed</t>
  </si>
  <si>
    <t>cashboard-orders-s2bx5-black-friday-dashboard-feed</t>
  </si>
  <si>
    <t>cashboard-orders-gz2bw-black-friday-dashboard-feed</t>
  </si>
  <si>
    <t>cashboard-orders-88vhw-black-friday-dashboard-feed</t>
  </si>
  <si>
    <t>cashboard-orders-kpvpp-black-friday-dashboard-feed</t>
  </si>
  <si>
    <t>cashboard-orders-prc9c-black-friday-dashboard-feed</t>
  </si>
  <si>
    <t>cashboard-orders-rscgc-black-friday-dashboard-feed</t>
  </si>
  <si>
    <t>cashboard-orders-pfp7k-black-friday-dashboard-feed</t>
  </si>
  <si>
    <t>cashboard-orders-npt77-black-friday-dashboard-feed</t>
  </si>
  <si>
    <t>cashboard-orders-mgvc6-black-friday-dashboard-feed</t>
  </si>
  <si>
    <t>cashboard-orders-vlksl-black-friday-dashboard-feed</t>
  </si>
  <si>
    <t>cashboard-orders-96nqj-black-friday-dashboard-feed</t>
  </si>
  <si>
    <t>cashboard-orders-wljhv-black-friday-dashboard-feed</t>
  </si>
  <si>
    <t>cashboard-orders-d62cw-black-friday-dashboard-feed</t>
  </si>
  <si>
    <t>cashboard-orders-wb9bj-black-friday-dashboard-feed</t>
  </si>
  <si>
    <t>cashboard-orders-jp4lm-black-friday-dashboard-feed</t>
  </si>
  <si>
    <t>cashboard-orders-rh6lt-black-friday-dashboard-feed</t>
  </si>
  <si>
    <t>cashboard-orders-l8jnh-black-friday-dashboard-feed</t>
  </si>
  <si>
    <t>cashboard-orders-8tvdt-black-friday-dashboard-feed</t>
  </si>
  <si>
    <t>cashboard-orders-qrlsg-black-friday-dashboard-feed</t>
  </si>
  <si>
    <t>cashboard-orders-2s6hk-black-friday-dashboard-feed</t>
  </si>
  <si>
    <t>cashboard-orders-642w5-black-friday-dashboard-feed</t>
  </si>
  <si>
    <t>cashboard-orders-zg95f-black-friday-dashboard-feed</t>
  </si>
  <si>
    <t>cashboard-orders-rtlbv-black-friday-dashboard-feed</t>
  </si>
  <si>
    <t>cashboard-orders-c8wr6-black-friday-dashboard-feed</t>
  </si>
  <si>
    <t>cashboard-orders-gg6wv-black-friday-dashboard-feed</t>
  </si>
  <si>
    <t>cashboard-orders-jnfzf-black-friday-dashboard-feed</t>
  </si>
  <si>
    <t>cashboard-orders-ckhq5-black-friday-dashboard-feed</t>
  </si>
  <si>
    <t>cashboard-orders-5mj7h-black-friday-dashboard-feed</t>
  </si>
  <si>
    <t>cashboard-orders-8zhhj-black-friday-dashboard-feed</t>
  </si>
  <si>
    <t>cashboard-orders-xb729-black-friday-dashboard-feed</t>
  </si>
  <si>
    <t>cashboard-orders-w2cdn-black-friday-dashboard-feed</t>
  </si>
  <si>
    <t>cashboard-orders-bsnr6-black-friday-dashboard-feed</t>
  </si>
  <si>
    <t>cashboard-orders-k9wvd-black-friday-dashboard-feed</t>
  </si>
  <si>
    <t>cashboard-orders-ws9gv-black-friday-dashboard-feed</t>
  </si>
  <si>
    <t>cashboard-orders-645pv-black-friday-dashboard-feed</t>
  </si>
  <si>
    <t>cashboard-orders-nx7h7-black-friday-dashboard-feed</t>
  </si>
  <si>
    <t>cashboard-orders-2c6kp-black-friday-dashboard-feed</t>
  </si>
  <si>
    <t>cashboard-orders-xh27f-black-friday-dashboard-feed</t>
  </si>
  <si>
    <t>cashboard-orders-ns9d5-black-friday-dashboard-feed</t>
  </si>
  <si>
    <t>cashboard-orders-w7jrc-black-friday-dashboard-feed</t>
  </si>
  <si>
    <t>cashboard-orders-vvntl-black-friday-dashboard-feed</t>
  </si>
  <si>
    <t>cashboard-orders-k2jkx-black-friday-dashboard-feed</t>
  </si>
  <si>
    <t>cashboard-orders-wtzvr-black-friday-dashboard-feed</t>
  </si>
  <si>
    <t>cashboard-orders-v52pc-black-friday-dashboard-feed</t>
  </si>
  <si>
    <t>cashboard-orders-rr4rk-black-friday-dashboard-feed</t>
  </si>
  <si>
    <t>cashboard-orders-zrhnt-black-friday-dashboard-feed</t>
  </si>
  <si>
    <t>cashboard-orders-jq4ht-black-friday-dashboard-feed</t>
  </si>
  <si>
    <t>cashboard-orders-xq4hd-black-friday-dashboard-feed</t>
  </si>
  <si>
    <t>cashboard-orders-v68vl-black-friday-dashboard-feed</t>
  </si>
  <si>
    <t>cashboard-orders-5jd2p-black-friday-dashboard-feed</t>
  </si>
  <si>
    <t>cashboard-orders-245sh-black-friday-dashboard-feed</t>
  </si>
  <si>
    <t>cashboard-orders-rfwtg-black-friday-dashboard-feed</t>
  </si>
  <si>
    <t>cashboard-orders-vjgs6-black-friday-dashboard-feed</t>
  </si>
  <si>
    <t>cashboard-orders-rmbz5-black-friday-dashboard-feed</t>
  </si>
  <si>
    <t>cashboard-orders-4cdbw-black-friday-dashboard-feed</t>
  </si>
  <si>
    <t>cashboard-orders-9jzt4-black-friday-dashboard-feed</t>
  </si>
  <si>
    <t>cashboard-orders-9rh2z-black-friday-dashboard-feed</t>
  </si>
  <si>
    <t>cashboard-orders-944jp-black-friday-dashboard-feed</t>
  </si>
  <si>
    <t>cashboard-orders-rjmr4-black-friday-dashboard-feed</t>
  </si>
  <si>
    <t>cashboard-orders-vrz8p-black-friday-dashboard-feed</t>
  </si>
  <si>
    <t>cashboard-orders-gtqr6-black-friday-dashboard-feed</t>
  </si>
  <si>
    <t>cashboard-orders-t8hvm-black-friday-dashboard-feed</t>
  </si>
  <si>
    <t>cashboard-orders-f8s5k-black-friday-dashboard-feed</t>
  </si>
  <si>
    <t>cashboard-orders-mqhqq-black-friday-dashboard-feed</t>
  </si>
  <si>
    <t>cashboard-orders-sjhgj-black-friday-dashboard-feed</t>
  </si>
  <si>
    <t>cashboard-orders-jg597-black-friday-dashboard-feed</t>
  </si>
  <si>
    <t>cashboard-orders-bk57l-black-friday-dashboard-feed</t>
  </si>
  <si>
    <t>cashboard-orders-qxl2z-black-friday-dashboard-feed</t>
  </si>
  <si>
    <t>cashboard-orders-jdzvp-black-friday-dashboard-feed</t>
  </si>
  <si>
    <t>cashboard-orders-9czxm-black-friday-dashboard-feed</t>
  </si>
  <si>
    <t>cashboard-orders-fmhzp-black-friday-dashboard-feed</t>
  </si>
  <si>
    <t>ecrm-bigquery-relay-test</t>
  </si>
  <si>
    <t>elysium-expanded-bigquery-relay</t>
  </si>
  <si>
    <t>elysium-expander-test</t>
  </si>
  <si>
    <t>hutalytics</t>
  </si>
  <si>
    <t>frontend-elysium-dead-letters-inspect</t>
  </si>
  <si>
    <t>frontend-elysium-dead-letters</t>
  </si>
  <si>
    <t>elysium2-frontend-event-dead-letters-relay</t>
  </si>
  <si>
    <t>elysium2-frontend-event-dead-letters</t>
  </si>
  <si>
    <t>s2s-facebook-page-visit-events</t>
  </si>
  <si>
    <t>demux-page-visit-events</t>
  </si>
  <si>
    <t>s2s-facebook-product-visit-events</t>
  </si>
  <si>
    <t>demux-product-visit-events</t>
  </si>
  <si>
    <t>s2s-facebook-basket-add-events</t>
  </si>
  <si>
    <t>demux-basket-add-events</t>
  </si>
  <si>
    <t>elysium-demux</t>
  </si>
  <si>
    <t>order-cdc-events-dlq-sub</t>
  </si>
  <si>
    <t>order-cdc-events-dlq</t>
  </si>
  <si>
    <t>test-topic-sub</t>
  </si>
  <si>
    <t>test-topic</t>
  </si>
  <si>
    <t>fraud-labels-relay</t>
  </si>
  <si>
    <t>fraud-events-relay</t>
  </si>
  <si>
    <t>elysium2-frontend-enrichment-shadow</t>
  </si>
  <si>
    <t>elysium2-frontend-events-shadow</t>
  </si>
  <si>
    <t>elysium2-backend-relay-shadow</t>
  </si>
  <si>
    <t>elysium2-backend-events-shadow</t>
  </si>
  <si>
    <t>frontend-elysium-events-bigquery-relay-shadow</t>
  </si>
  <si>
    <t>elysium2-frontend-enriched-shadow</t>
  </si>
  <si>
    <t>elysium2-backend-relay__df_internal336b92d9a59920f5</t>
  </si>
  <si>
    <t>elysium2-frontend-relay__df_internal50bad7d992926f2b</t>
  </si>
  <si>
    <t>order-events-expanded-bigquery-relay__df_internale5599815bca790dd</t>
  </si>
  <si>
    <t>Service</t>
  </si>
  <si>
    <t>Error Detail</t>
  </si>
  <si>
    <t>Required Role (Inferred)</t>
  </si>
  <si>
    <t>thg-prod-cloud-dw</t>
  </si>
  <si>
    <t>BigQuery (region-europe-west2)</t>
  </si>
  <si>
    <t xml:space="preserve">403 POST https://bigquery.googleapis.com/bigquery/v2/projects/thg-prod-cloud-dw/jobs?prettyPrint=false: Access Denied: Project thg-prod-cloud-dw: User does not have bigquery.jobs.create permission in </t>
  </si>
  <si>
    <t>roles/bigquery.metadataViewer</t>
  </si>
  <si>
    <t>BigQuery (region-eu)</t>
  </si>
  <si>
    <t>Cloud Storage</t>
  </si>
  <si>
    <t>403 GET https://storage.googleapis.com/storage/v1/b?project=thg-prod-cloud-dw&amp;projection=noAcl&amp;prettyPrint=false: alan.dodd82@thgingenuity.com does not have storage.buckets.list access to the Google C</t>
  </si>
  <si>
    <t>roles/storage.objectViewer</t>
  </si>
  <si>
    <t>Pub/Sub</t>
  </si>
  <si>
    <t>403 User not authorized to perform this action. [reason: "IAM_PERMISSION_DENIED"
domain: "iam.googleapis.com"
metadata {
  key: "troubleshooter_url"
  value: "https://console.cloud.google.com/iam-admi</t>
  </si>
  <si>
    <t>roles/pubsub.viewer</t>
  </si>
  <si>
    <t>thg-prod-aether</t>
  </si>
  <si>
    <t>403 POST https://bigquery.googleapis.com/bigquery/v2/projects/thg-prod-aether/jobs?prettyPrint=false: Access Denied: Project thg-prod-aether: User does not have bigquery.jobs.create permission in proj</t>
  </si>
  <si>
    <t>403 GET https://storage.googleapis.com/storage/v1/b?project=thg-prod-aether&amp;projection=noAcl&amp;prettyPrint=false: alan.dodd82@thgingenuity.com does not have storage.buckets.list access to the Google 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</si>
</sst>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"/>
    <numFmt numFmtId="165" formatCode="#,##0.0&quot; TB&quot;"/>
    <numFmt numFmtId="166" formatCode="&quot;£&quot;#,##0"/>
    <numFmt numFmtId="167" formatCode="[$$-409]#,##0"/>
    <numFmt numFmtId="168" formatCode="#,##0.0"/>
    <numFmt numFmtId="169" formatCode="[$$-409]#,##0.00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</font>
    <font>
      <b/>
      <sz val="18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54823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theme="1"/>
      <name val="Calibri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EDED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auto="1"/>
      </right>
      <top/>
      <bottom style="thin">
        <color rgb="FFD9D9D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/>
    <xf numFmtId="0" fontId="4" fillId="0" borderId="0" xfId="0" applyFont="1"/>
    <xf numFmtId="164" fontId="0" fillId="0" borderId="0" xfId="0" applyNumberFormat="1"/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6" fillId="3" borderId="0" xfId="0" applyFont="1" applyFill="1"/>
    <xf numFmtId="0" fontId="7" fillId="0" borderId="0" xfId="0" applyFont="1"/>
    <xf numFmtId="0" fontId="1" fillId="0" borderId="0" xfId="0" applyFont="1"/>
    <xf numFmtId="166" fontId="0" fillId="0" borderId="0" xfId="0" applyNumberFormat="1"/>
    <xf numFmtId="0" fontId="1" fillId="5" borderId="4" xfId="0" applyFont="1" applyFill="1" applyBorder="1"/>
    <xf numFmtId="3" fontId="9" fillId="0" borderId="5" xfId="0" applyNumberFormat="1" applyFont="1" applyBorder="1"/>
    <xf numFmtId="0" fontId="1" fillId="5" borderId="6" xfId="0" applyFont="1" applyFill="1" applyBorder="1"/>
    <xf numFmtId="3" fontId="9" fillId="0" borderId="7" xfId="0" applyNumberFormat="1" applyFont="1" applyBorder="1"/>
    <xf numFmtId="165" fontId="9" fillId="0" borderId="7" xfId="0" applyNumberFormat="1" applyFont="1" applyBorder="1"/>
    <xf numFmtId="3" fontId="11" fillId="0" borderId="7" xfId="0" applyNumberFormat="1" applyFont="1" applyBorder="1"/>
    <xf numFmtId="0" fontId="1" fillId="5" borderId="8" xfId="0" applyFont="1" applyFill="1" applyBorder="1"/>
    <xf numFmtId="3" fontId="9" fillId="0" borderId="9" xfId="0" applyNumberFormat="1" applyFont="1" applyBorder="1"/>
    <xf numFmtId="0" fontId="1" fillId="5" borderId="10" xfId="0" applyFont="1" applyFill="1" applyBorder="1" applyAlignment="1">
      <alignment horizontal="right"/>
    </xf>
    <xf numFmtId="0" fontId="1" fillId="5" borderId="5" xfId="0" applyFont="1" applyFill="1" applyBorder="1" applyAlignment="1">
      <alignment horizontal="right"/>
    </xf>
    <xf numFmtId="0" fontId="0" fillId="0" borderId="6" xfId="0" applyBorder="1"/>
    <xf numFmtId="3" fontId="0" fillId="0" borderId="11" xfId="0" applyNumberFormat="1" applyBorder="1"/>
    <xf numFmtId="0" fontId="1" fillId="6" borderId="8" xfId="0" applyFont="1" applyFill="1" applyBorder="1"/>
    <xf numFmtId="3" fontId="1" fillId="6" borderId="12" xfId="0" applyNumberFormat="1" applyFont="1" applyFill="1" applyBorder="1"/>
    <xf numFmtId="0" fontId="1" fillId="5" borderId="4" xfId="0" applyFont="1" applyFill="1" applyBorder="1" applyAlignment="1">
      <alignment horizontal="center"/>
    </xf>
    <xf numFmtId="0" fontId="1" fillId="5" borderId="10" xfId="0" applyFont="1" applyFill="1" applyBorder="1"/>
    <xf numFmtId="0" fontId="1" fillId="5" borderId="10" xfId="0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11" xfId="0" applyBorder="1"/>
    <xf numFmtId="0" fontId="12" fillId="0" borderId="11" xfId="0" applyFont="1" applyBorder="1"/>
    <xf numFmtId="0" fontId="0" fillId="0" borderId="11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12" xfId="0" applyBorder="1"/>
    <xf numFmtId="0" fontId="12" fillId="0" borderId="12" xfId="0" applyFont="1" applyBorder="1"/>
    <xf numFmtId="0" fontId="0" fillId="0" borderId="12" xfId="0" applyBorder="1" applyAlignment="1">
      <alignment horizontal="center"/>
    </xf>
    <xf numFmtId="3" fontId="0" fillId="0" borderId="12" xfId="0" applyNumberFormat="1" applyBorder="1"/>
    <xf numFmtId="167" fontId="10" fillId="0" borderId="7" xfId="0" applyNumberFormat="1" applyFont="1" applyBorder="1"/>
    <xf numFmtId="167" fontId="0" fillId="0" borderId="11" xfId="0" applyNumberFormat="1" applyBorder="1"/>
    <xf numFmtId="167" fontId="0" fillId="0" borderId="7" xfId="0" applyNumberFormat="1" applyBorder="1"/>
    <xf numFmtId="167" fontId="1" fillId="6" borderId="12" xfId="0" applyNumberFormat="1" applyFont="1" applyFill="1" applyBorder="1"/>
    <xf numFmtId="167" fontId="1" fillId="6" borderId="9" xfId="0" applyNumberFormat="1" applyFont="1" applyFill="1" applyBorder="1"/>
    <xf numFmtId="167" fontId="0" fillId="0" borderId="12" xfId="0" applyNumberFormat="1" applyBorder="1"/>
    <xf numFmtId="167" fontId="0" fillId="0" borderId="9" xfId="0" applyNumberFormat="1" applyBorder="1"/>
    <xf numFmtId="0" fontId="3" fillId="2" borderId="2" xfId="0" applyFont="1" applyFill="1" applyBorder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0" fillId="7" borderId="0" xfId="0" applyFill="1"/>
    <xf numFmtId="0" fontId="0" fillId="7" borderId="0" xfId="0" applyFill="1" applyAlignment="1">
      <alignment wrapText="1"/>
    </xf>
    <xf numFmtId="164" fontId="0" fillId="7" borderId="0" xfId="0" applyNumberFormat="1" applyFill="1"/>
    <xf numFmtId="3" fontId="1" fillId="8" borderId="11" xfId="0" applyNumberFormat="1" applyFont="1" applyFill="1" applyBorder="1"/>
    <xf numFmtId="167" fontId="1" fillId="8" borderId="11" xfId="0" applyNumberFormat="1" applyFont="1" applyFill="1" applyBorder="1"/>
    <xf numFmtId="167" fontId="1" fillId="8" borderId="7" xfId="0" applyNumberFormat="1" applyFont="1" applyFill="1" applyBorder="1"/>
    <xf numFmtId="0" fontId="1" fillId="5" borderId="13" xfId="0" applyFont="1" applyFill="1" applyBorder="1"/>
    <xf numFmtId="0" fontId="1" fillId="5" borderId="14" xfId="0" applyFont="1" applyFill="1" applyBorder="1" applyAlignment="1">
      <alignment horizontal="right"/>
    </xf>
    <xf numFmtId="0" fontId="1" fillId="5" borderId="15" xfId="0" applyFont="1" applyFill="1" applyBorder="1" applyAlignment="1">
      <alignment horizontal="right"/>
    </xf>
    <xf numFmtId="3" fontId="1" fillId="5" borderId="11" xfId="0" applyNumberFormat="1" applyFont="1" applyFill="1" applyBorder="1" applyAlignment="1">
      <alignment horizontal="right"/>
    </xf>
    <xf numFmtId="167" fontId="1" fillId="5" borderId="11" xfId="0" applyNumberFormat="1" applyFont="1" applyFill="1" applyBorder="1" applyAlignment="1">
      <alignment horizontal="right"/>
    </xf>
    <xf numFmtId="167" fontId="1" fillId="5" borderId="7" xfId="0" applyNumberFormat="1" applyFont="1" applyFill="1" applyBorder="1" applyAlignment="1">
      <alignment horizontal="right"/>
    </xf>
    <xf numFmtId="0" fontId="1" fillId="8" borderId="6" xfId="0" applyFont="1" applyFill="1" applyBorder="1"/>
    <xf numFmtId="0" fontId="13" fillId="4" borderId="4" xfId="0" applyFont="1" applyFill="1" applyBorder="1"/>
    <xf numFmtId="0" fontId="0" fillId="4" borderId="10" xfId="0" applyFill="1" applyBorder="1"/>
    <xf numFmtId="0" fontId="0" fillId="4" borderId="5" xfId="0" applyFill="1" applyBorder="1"/>
    <xf numFmtId="0" fontId="14" fillId="5" borderId="6" xfId="0" applyFont="1" applyFill="1" applyBorder="1"/>
    <xf numFmtId="0" fontId="14" fillId="5" borderId="11" xfId="0" applyFont="1" applyFill="1" applyBorder="1" applyAlignment="1">
      <alignment horizontal="right"/>
    </xf>
    <xf numFmtId="0" fontId="14" fillId="5" borderId="7" xfId="0" applyFont="1" applyFill="1" applyBorder="1" applyAlignment="1">
      <alignment horizontal="right"/>
    </xf>
    <xf numFmtId="0" fontId="1" fillId="5" borderId="0" xfId="0" applyFont="1" applyFill="1"/>
    <xf numFmtId="0" fontId="15" fillId="6" borderId="8" xfId="0" applyFont="1" applyFill="1" applyBorder="1"/>
    <xf numFmtId="0" fontId="8" fillId="4" borderId="3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/>
    </xf>
    <xf numFmtId="1" fontId="8" fillId="4" borderId="6" xfId="0" applyNumberFormat="1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right"/>
    </xf>
    <xf numFmtId="0" fontId="16" fillId="5" borderId="11" xfId="0" applyFont="1" applyFill="1" applyBorder="1" applyAlignment="1">
      <alignment horizontal="right"/>
    </xf>
    <xf numFmtId="3" fontId="1" fillId="5" borderId="11" xfId="0" applyNumberFormat="1" applyFont="1" applyFill="1" applyBorder="1"/>
    <xf numFmtId="1" fontId="17" fillId="0" borderId="6" xfId="0" applyNumberFormat="1" applyFont="1" applyBorder="1" applyAlignment="1">
      <alignment horizontal="center"/>
    </xf>
    <xf numFmtId="168" fontId="0" fillId="0" borderId="11" xfId="0" applyNumberFormat="1" applyBorder="1"/>
    <xf numFmtId="169" fontId="12" fillId="0" borderId="11" xfId="0" applyNumberFormat="1" applyFont="1" applyBorder="1"/>
    <xf numFmtId="167" fontId="0" fillId="0" borderId="11" xfId="0" applyNumberFormat="1" applyBorder="1" applyAlignment="1">
      <alignment horizontal="center"/>
    </xf>
    <xf numFmtId="1" fontId="18" fillId="0" borderId="6" xfId="0" applyNumberFormat="1" applyFont="1" applyBorder="1" applyAlignment="1">
      <alignment horizontal="center"/>
    </xf>
    <xf numFmtId="1" fontId="19" fillId="0" borderId="6" xfId="0" applyNumberFormat="1" applyFont="1" applyBorder="1" applyAlignment="1">
      <alignment horizontal="center"/>
    </xf>
    <xf numFmtId="1" fontId="1" fillId="8" borderId="6" xfId="0" applyNumberFormat="1" applyFont="1" applyFill="1" applyBorder="1" applyAlignment="1">
      <alignment horizontal="center"/>
    </xf>
    <xf numFmtId="168" fontId="1" fillId="8" borderId="11" xfId="0" applyNumberFormat="1" applyFont="1" applyFill="1" applyBorder="1"/>
    <xf numFmtId="169" fontId="16" fillId="8" borderId="11" xfId="0" applyNumberFormat="1" applyFont="1" applyFill="1" applyBorder="1"/>
    <xf numFmtId="167" fontId="1" fillId="8" borderId="11" xfId="0" applyNumberFormat="1" applyFont="1" applyFill="1" applyBorder="1" applyAlignment="1">
      <alignment horizontal="center"/>
    </xf>
    <xf numFmtId="1" fontId="20" fillId="0" borderId="6" xfId="0" applyNumberFormat="1" applyFont="1" applyBorder="1" applyAlignment="1">
      <alignment horizontal="center"/>
    </xf>
    <xf numFmtId="0" fontId="8" fillId="4" borderId="0" xfId="0" applyFont="1" applyFill="1"/>
    <xf numFmtId="0" fontId="1" fillId="5" borderId="0" xfId="0" applyFont="1" applyFill="1" applyAlignment="1">
      <alignment horizontal="right"/>
    </xf>
    <xf numFmtId="0" fontId="21" fillId="0" borderId="0" xfId="0" applyFont="1"/>
    <xf numFmtId="3" fontId="0" fillId="0" borderId="0" xfId="0" applyNumberFormat="1"/>
    <xf numFmtId="168" fontId="0" fillId="0" borderId="0" xfId="0" applyNumberFormat="1"/>
    <xf numFmtId="169" fontId="0" fillId="0" borderId="0" xfId="0" applyNumberFormat="1"/>
    <xf numFmtId="167" fontId="0" fillId="0" borderId="0" xfId="0" applyNumberFormat="1"/>
    <xf numFmtId="0" fontId="1" fillId="8" borderId="0" xfId="0" applyFont="1" applyFill="1"/>
    <xf numFmtId="3" fontId="1" fillId="8" borderId="0" xfId="0" applyNumberFormat="1" applyFont="1" applyFill="1"/>
    <xf numFmtId="168" fontId="1" fillId="8" borderId="0" xfId="0" applyNumberFormat="1" applyFont="1" applyFill="1"/>
    <xf numFmtId="169" fontId="1" fillId="8" borderId="0" xfId="0" applyNumberFormat="1" applyFont="1" applyFill="1"/>
    <xf numFmtId="167" fontId="1" fillId="8" borderId="0" xfId="0" applyNumberFormat="1" applyFont="1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8CBAD"/>
        </patternFill>
      </fill>
    </dxf>
    <dxf>
      <font>
        <color rgb="FF1F3864"/>
      </font>
      <fill>
        <patternFill patternType="solid">
          <fgColor indexed="64"/>
          <bgColor rgb="FFBDD7E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1F3864"/>
      </font>
      <fill>
        <patternFill patternType="solid">
          <fgColor indexed="64"/>
          <bgColor rgb="FFBDD7EE"/>
        </patternFill>
      </fill>
    </dxf>
    <dxf>
      <font>
        <b/>
        <i val="0"/>
        <color rgb="FF9C0006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Cost ($) by Tranche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Dashboard!$T$4</c:f>
              <c:strCache>
                <c:ptCount val="1"/>
                <c:pt idx="0">
                  <c:v>Short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Dashboard!$S$5:$S$10</c:f>
              <c:strCache>
                <c:ptCount val="6"/>
                <c:pt idx="0">
                  <c:v>Tranche 1: Abandoned Test/Temp (&gt;1yr)</c:v>
                </c:pt>
                <c:pt idx="1">
                  <c:v>  Tranche 1.1: Abandoned Test/Temp (&gt;1yr)</c:v>
                </c:pt>
                <c:pt idx="2">
                  <c:v>Tranche 2: Abandoned Large Prod (&gt;1yr)</c:v>
                </c:pt>
                <c:pt idx="3">
                  <c:v>  Tranche 2.1: Abandoned Large Prod (&gt;1yr)</c:v>
                </c:pt>
                <c:pt idx="4">
                  <c:v>Tranche 3: Abandoned Small Prod (&gt;1yr)</c:v>
                </c:pt>
                <c:pt idx="5">
                  <c:v>  Tranche 3.1: Abandoned Small Prod (&gt;1yr)</c:v>
                </c:pt>
              </c:strCache>
            </c:strRef>
          </c:cat>
          <c:val>
            <c:numRef>
              <c:f>Dashboard!$T$5:$T$10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8-4A60-B9AF-EFBCD3F7A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653832"/>
        <c:axId val="32670216"/>
      </c:barChart>
      <c:catAx>
        <c:axId val="32653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0216"/>
        <c:crosses val="autoZero"/>
        <c:auto val="1"/>
        <c:lblAlgn val="ctr"/>
        <c:lblOffset val="100"/>
        <c:noMultiLvlLbl val="0"/>
      </c:catAx>
      <c:valAx>
        <c:axId val="32670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3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Cost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Dashboard!$T$12</c:f>
              <c:strCache>
                <c:ptCount val="1"/>
                <c:pt idx="0">
                  <c:v>T4.1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3F-4E53-88A7-4F42A7A0A3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3F-4E53-88A7-4F42A7A0A3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3F-4E53-88A7-4F42A7A0A3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3F-4E53-88A7-4F42A7A0A37B}"/>
              </c:ext>
            </c:extLst>
          </c:dPt>
          <c:cat>
            <c:strRef>
              <c:f>Dashboard!$S$13:$S$16</c:f>
              <c:strCache>
                <c:ptCount val="4"/>
                <c:pt idx="0">
                  <c:v>Tranche 5: Active Test (Housekeeping)</c:v>
                </c:pt>
                <c:pt idx="1">
                  <c:v>  Tranche 5.1: Active Test (Housekeeping)</c:v>
                </c:pt>
                <c:pt idx="2">
                  <c:v>Active</c:v>
                </c:pt>
                <c:pt idx="3">
                  <c:v>Low</c:v>
                </c:pt>
              </c:strCache>
            </c:strRef>
          </c:cat>
          <c:val>
            <c:numRef>
              <c:f>Dashboard!$T$13:$T$16</c:f>
              <c:numCache>
                <c:formatCode>"£"#,##0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6-4DA1-9935-531D19D5A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Projects by Monthly Cost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Dashboard!$T$18</c:f>
              <c:strCache>
                <c:ptCount val="1"/>
                <c:pt idx="0">
                  <c:v>Monthly $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Dashboard!$S$19:$S$29</c:f>
              <c:strCache>
                <c:ptCount val="11"/>
                <c:pt idx="0">
                  <c:v>agile-bonbon-662</c:v>
                </c:pt>
                <c:pt idx="1">
                  <c:v>thg-ingenuity</c:v>
                </c:pt>
                <c:pt idx="2">
                  <c:v>the-hut-group</c:v>
                </c:pt>
                <c:pt idx="3">
                  <c:v>vibrant-map-107910</c:v>
                </c:pt>
                <c:pt idx="4">
                  <c:v>thg-beauty</c:v>
                </c:pt>
                <c:pt idx="5">
                  <c:v>thg-ml-dev</c:v>
                </c:pt>
                <c:pt idx="6">
                  <c:v>thg-central-marketing</c:v>
                </c:pt>
                <c:pt idx="7">
                  <c:v>thg-influencer</c:v>
                </c:pt>
                <c:pt idx="8">
                  <c:v>thg-content</c:v>
                </c:pt>
                <c:pt idx="9">
                  <c:v>thg-seoclarity</c:v>
                </c:pt>
                <c:pt idx="10">
                  <c:v>All Others</c:v>
                </c:pt>
              </c:strCache>
            </c:strRef>
          </c:cat>
          <c:val>
            <c:numRef>
              <c:f>Dashboard!$T$19:$T$29</c:f>
              <c:numCache>
                <c:formatCode>"£"#,##0</c:formatCode>
                <c:ptCount val="11"/>
                <c:pt idx="0">
                  <c:v>14855.310000000036</c:v>
                </c:pt>
                <c:pt idx="1">
                  <c:v>890.71999999999912</c:v>
                </c:pt>
                <c:pt idx="2">
                  <c:v>15712.670000000002</c:v>
                </c:pt>
                <c:pt idx="3">
                  <c:v>2953.0299999999997</c:v>
                </c:pt>
                <c:pt idx="4">
                  <c:v>953.11999999999955</c:v>
                </c:pt>
                <c:pt idx="5">
                  <c:v>252.36</c:v>
                </c:pt>
                <c:pt idx="6">
                  <c:v>3501.61</c:v>
                </c:pt>
                <c:pt idx="7">
                  <c:v>32.520000000000003</c:v>
                </c:pt>
                <c:pt idx="8">
                  <c:v>70.52000000000001</c:v>
                </c:pt>
                <c:pt idx="9">
                  <c:v>45.7</c:v>
                </c:pt>
                <c:pt idx="10">
                  <c:v>-39115.020000000033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6-42AD-85D6-2A3026933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4277384"/>
        <c:axId val="1036020232"/>
      </c:barChart>
      <c:catAx>
        <c:axId val="1034277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20232"/>
        <c:crosses val="autoZero"/>
        <c:auto val="1"/>
        <c:lblAlgn val="ctr"/>
        <c:lblOffset val="100"/>
        <c:noMultiLvlLbl val="0"/>
      </c:catAx>
      <c:valAx>
        <c:axId val="103602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277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829EF-63FE-1769-1996-361CA2ECC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F5602-068D-74BC-D068-38C7BB97D1F0}"/>
            </a:ext>
            <a:ext uri="{147F2762-F138-4A5C-976F-8EAC2B608ADB}">
              <a16:predDERef xmlns:a16="http://schemas.microsoft.com/office/drawing/2014/main" pred="{97B829EF-63FE-1769-1996-361CA2ECC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17</xdr:col>
      <xdr:colOff>0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93E1EF-F61C-3737-BE8F-E0D930D9DE98}"/>
            </a:ext>
            <a:ext uri="{147F2762-F138-4A5C-976F-8EAC2B608ADB}">
              <a16:predDERef xmlns:a16="http://schemas.microsoft.com/office/drawing/2014/main" pred="{375F5602-068D-74BC-D068-38C7BB97D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7BF6D1-308A-42AE-8824-6FC6771431BA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f3df9618-5729-4405-bdf1-086c9cddbec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B18" sqref="B18"/>
    </sheetView>
  </sheetViews>
  <sheetFormatPr defaultRowHeight="15.75"/>
  <cols>
    <col min="1" max="1" width="27.7109375" style="1" bestFit="1" customWidth="1"/>
    <col min="2" max="2" width="118.85546875" style="1" bestFit="1" customWidth="1"/>
    <col min="3" max="3" width="94.42578125" style="1" bestFit="1" customWidth="1"/>
    <col min="4" max="4" width="9.140625" style="1" customWidth="1"/>
    <col min="5" max="16384" width="9.140625" style="1"/>
  </cols>
  <sheetData>
    <row r="1" spans="1:3">
      <c r="A1" s="45" t="s">
        <v>0</v>
      </c>
      <c r="B1" s="45" t="s">
        <v>1</v>
      </c>
    </row>
    <row r="2" spans="1:3">
      <c r="A2" s="1" t="s">
        <v>2</v>
      </c>
      <c r="B2" s="1" t="s">
        <v>3</v>
      </c>
    </row>
    <row r="3" spans="1:3">
      <c r="A3" s="1" t="s">
        <v>4</v>
      </c>
      <c r="B3" s="1" t="s">
        <v>5</v>
      </c>
    </row>
    <row r="4" spans="1:3">
      <c r="A4" s="1" t="s">
        <v>6</v>
      </c>
      <c r="B4" s="1" t="s">
        <v>7</v>
      </c>
    </row>
    <row r="5" spans="1:3">
      <c r="A5" s="1" t="s">
        <v>8</v>
      </c>
      <c r="B5" s="1" t="s">
        <v>9</v>
      </c>
    </row>
    <row r="6" spans="1:3">
      <c r="A6" s="1" t="s">
        <v>10</v>
      </c>
      <c r="B6" s="1" t="s">
        <v>11</v>
      </c>
    </row>
    <row r="9" spans="1:3">
      <c r="A9" s="45" t="s">
        <v>12</v>
      </c>
      <c r="B9" s="3" t="s">
        <v>13</v>
      </c>
      <c r="C9" s="3" t="s">
        <v>1</v>
      </c>
    </row>
    <row r="10" spans="1:3">
      <c r="A10" s="4" t="s">
        <v>14</v>
      </c>
      <c r="B10" s="4" t="s">
        <v>15</v>
      </c>
      <c r="C10" s="4" t="s">
        <v>16</v>
      </c>
    </row>
    <row r="11" spans="1:3">
      <c r="A11" s="4" t="s">
        <v>17</v>
      </c>
      <c r="B11" s="4" t="s">
        <v>18</v>
      </c>
      <c r="C11" s="4" t="s">
        <v>19</v>
      </c>
    </row>
    <row r="12" spans="1:3">
      <c r="A12" s="4" t="s">
        <v>20</v>
      </c>
      <c r="B12" s="4" t="s">
        <v>21</v>
      </c>
      <c r="C12" s="4" t="s">
        <v>22</v>
      </c>
    </row>
    <row r="13" spans="1:3">
      <c r="A13" s="4" t="s">
        <v>23</v>
      </c>
      <c r="B13" s="4" t="s">
        <v>24</v>
      </c>
      <c r="C13" s="4" t="s">
        <v>25</v>
      </c>
    </row>
    <row r="14" spans="1:3">
      <c r="A14" s="4" t="s">
        <v>26</v>
      </c>
      <c r="B14" s="4" t="s">
        <v>27</v>
      </c>
      <c r="C14" s="4" t="s">
        <v>28</v>
      </c>
    </row>
    <row r="15" spans="1:3">
      <c r="A15" s="4" t="s">
        <v>29</v>
      </c>
      <c r="B15" s="4" t="s">
        <v>30</v>
      </c>
      <c r="C15" s="4" t="s">
        <v>31</v>
      </c>
    </row>
    <row r="16" spans="1:3">
      <c r="A16" s="4" t="s">
        <v>32</v>
      </c>
      <c r="B16" s="4" t="s">
        <v>33</v>
      </c>
      <c r="C16" s="4" t="s">
        <v>34</v>
      </c>
    </row>
    <row r="17" spans="1:3">
      <c r="A17" t="s">
        <v>35</v>
      </c>
      <c r="B17" t="s">
        <v>36</v>
      </c>
      <c r="C17" t="s">
        <v>37</v>
      </c>
    </row>
    <row r="18" spans="1:3">
      <c r="A18" t="s">
        <v>38</v>
      </c>
      <c r="B18" t="s">
        <v>36</v>
      </c>
      <c r="C18" t="s">
        <v>37</v>
      </c>
    </row>
    <row r="19" spans="1:3">
      <c r="A19" t="s">
        <v>39</v>
      </c>
      <c r="B19" t="s">
        <v>36</v>
      </c>
      <c r="C19" t="s">
        <v>37</v>
      </c>
    </row>
    <row r="20" spans="1:3">
      <c r="A20" t="s">
        <v>40</v>
      </c>
      <c r="B20" t="s">
        <v>36</v>
      </c>
      <c r="C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1053-7750-45A1-92DF-EC4D762CA63A}">
  <dimension ref="A1:T68"/>
  <sheetViews>
    <sheetView workbookViewId="0">
      <pane ySplit="3" topLeftCell="A43" activePane="bottomLeft" state="frozen"/>
      <selection pane="bottomLeft" activeCell="B19" sqref="B19"/>
    </sheetView>
  </sheetViews>
  <sheetFormatPr defaultRowHeight="15" outlineLevelCol="1"/>
  <cols>
    <col min="1" max="1" width="65" bestFit="1" customWidth="1"/>
    <col min="2" max="2" width="28.5703125" customWidth="1"/>
    <col min="3" max="3" width="41.85546875" customWidth="1"/>
    <col min="4" max="4" width="45.7109375" customWidth="1"/>
    <col min="5" max="5" width="18.140625" customWidth="1"/>
    <col min="6" max="6" width="17.140625" customWidth="1"/>
    <col min="7" max="7" width="21" customWidth="1"/>
    <col min="8" max="8" width="18.140625" customWidth="1"/>
    <col min="9" max="9" width="2.28515625" customWidth="1"/>
    <col min="10" max="17" width="18.140625" customWidth="1"/>
    <col min="19" max="20" width="9.140625" customWidth="1" outlineLevel="1"/>
  </cols>
  <sheetData>
    <row r="1" spans="1:20" ht="23.25">
      <c r="A1" s="8" t="s">
        <v>41</v>
      </c>
    </row>
    <row r="2" spans="1:20">
      <c r="A2" s="9" t="s">
        <v>42</v>
      </c>
    </row>
    <row r="4" spans="1:20" ht="15.75">
      <c r="A4" s="70" t="s">
        <v>43</v>
      </c>
      <c r="B4" s="70"/>
      <c r="C4" s="70"/>
      <c r="D4" s="61" t="s">
        <v>44</v>
      </c>
      <c r="E4" s="62"/>
      <c r="F4" s="62"/>
      <c r="G4" s="62"/>
      <c r="H4" s="63"/>
      <c r="S4" s="67" t="s">
        <v>45</v>
      </c>
      <c r="T4" s="67" t="s">
        <v>46</v>
      </c>
    </row>
    <row r="5" spans="1:20" ht="18.75">
      <c r="A5" s="12" t="s">
        <v>47</v>
      </c>
      <c r="B5" s="13">
        <f>COUNTA('BQ-added-Data'!A2:A2098)</f>
        <v>2097</v>
      </c>
      <c r="D5" s="64" t="s">
        <v>48</v>
      </c>
      <c r="E5" s="65" t="s">
        <v>49</v>
      </c>
      <c r="F5" s="65" t="s">
        <v>50</v>
      </c>
      <c r="G5" s="65" t="s">
        <v>51</v>
      </c>
      <c r="H5" s="66" t="s">
        <v>52</v>
      </c>
      <c r="S5" t="str">
        <f>D6</f>
        <v>Tranche 1: Abandoned Test/Temp (&gt;1yr)</v>
      </c>
      <c r="T5" t="s">
        <v>53</v>
      </c>
    </row>
    <row r="6" spans="1:20" ht="18.75">
      <c r="A6" s="14" t="s">
        <v>54</v>
      </c>
      <c r="B6" s="15">
        <f>SUM('BQ-added-Data'!E2:E2098)</f>
        <v>2164100.1899999906</v>
      </c>
      <c r="D6" s="22" t="s">
        <v>55</v>
      </c>
      <c r="E6" s="23">
        <f>COUNTIF('BQ-added-Data'!G:G,D6)</f>
        <v>30</v>
      </c>
      <c r="F6" s="23">
        <f>SUMIF('BQ-added-Data'!G:G,D6,'BQ-added-Data'!E:E)</f>
        <v>27106.86</v>
      </c>
      <c r="G6" s="39">
        <f>SUMIF('BQ-added-Data'!G:G,D6,'BQ-added-Data'!F:F)</f>
        <v>542.14999999999986</v>
      </c>
      <c r="H6" s="40">
        <f t="shared" ref="H6:H22" si="0">G6*12</f>
        <v>6505.7999999999984</v>
      </c>
      <c r="S6" t="str">
        <f>D7</f>
        <v xml:space="preserve">  Tranche 1.1: Abandoned Test/Temp (&gt;1yr)</v>
      </c>
      <c r="T6" t="s">
        <v>56</v>
      </c>
    </row>
    <row r="7" spans="1:20" ht="18.75">
      <c r="A7" s="14" t="s">
        <v>57</v>
      </c>
      <c r="B7" s="16">
        <f>B6/1024</f>
        <v>2113.3790917968659</v>
      </c>
      <c r="D7" s="22" t="s">
        <v>58</v>
      </c>
      <c r="E7" s="23">
        <f>COUNTIF('BQ-added-Data'!G:G,"Tranche 1.1: Abandoned Test/Temp (&gt;1yr)")</f>
        <v>7</v>
      </c>
      <c r="F7" s="23">
        <f>SUMIF('BQ-added-Data'!G:G,"Tranche 1.1: Abandoned Test/Temp (&gt;1yr)",'BQ-added-Data'!E:E)</f>
        <v>387.33000000000004</v>
      </c>
      <c r="G7" s="39">
        <f>SUMIF('BQ-added-Data'!G:G,"Tranche 1.1: Abandoned Test/Temp (&gt;1yr)",'BQ-added-Data'!F:F)</f>
        <v>7.75</v>
      </c>
      <c r="H7" s="40">
        <f t="shared" si="0"/>
        <v>93</v>
      </c>
      <c r="S7" t="str">
        <f>D9</f>
        <v>Tranche 2: Abandoned Large Prod (&gt;1yr)</v>
      </c>
      <c r="T7" t="s">
        <v>59</v>
      </c>
    </row>
    <row r="8" spans="1:20" ht="18.75">
      <c r="A8" s="14" t="s">
        <v>51</v>
      </c>
      <c r="B8" s="38">
        <f>SUM('BQ-added-Data'!F2:F2098)</f>
        <v>43281.690000000031</v>
      </c>
      <c r="D8" s="60" t="s">
        <v>60</v>
      </c>
      <c r="E8" s="51">
        <f>SUM(E6:E7)</f>
        <v>37</v>
      </c>
      <c r="F8" s="51">
        <f>SUM(F6:F7)</f>
        <v>27494.190000000002</v>
      </c>
      <c r="G8" s="52">
        <f>SUM(G6:G7)</f>
        <v>549.89999999999986</v>
      </c>
      <c r="H8" s="53">
        <f t="shared" si="0"/>
        <v>6598.7999999999984</v>
      </c>
      <c r="S8" t="str">
        <f>D10</f>
        <v xml:space="preserve">  Tranche 2.1: Abandoned Large Prod (&gt;1yr)</v>
      </c>
      <c r="T8" t="s">
        <v>61</v>
      </c>
    </row>
    <row r="9" spans="1:20" ht="18.75">
      <c r="A9" s="14" t="s">
        <v>62</v>
      </c>
      <c r="B9" s="38">
        <f>B8*12</f>
        <v>519380.28000000038</v>
      </c>
      <c r="D9" s="22" t="s">
        <v>63</v>
      </c>
      <c r="E9" s="23">
        <f>COUNTIF('BQ-added-Data'!G:G,D9)</f>
        <v>151</v>
      </c>
      <c r="F9" s="23">
        <f>SUMIF('BQ-added-Data'!G:G,D9,'BQ-added-Data'!E:E)</f>
        <v>436588.59999999986</v>
      </c>
      <c r="G9" s="39">
        <f>SUMIF('BQ-added-Data'!G:G,D9,'BQ-added-Data'!F:F)</f>
        <v>8731.7500000000018</v>
      </c>
      <c r="H9" s="40">
        <f t="shared" si="0"/>
        <v>104781.00000000003</v>
      </c>
      <c r="S9" t="str">
        <f>D12</f>
        <v>Tranche 3: Abandoned Small Prod (&gt;1yr)</v>
      </c>
      <c r="T9" t="s">
        <v>64</v>
      </c>
    </row>
    <row r="10" spans="1:20" ht="18.75">
      <c r="A10" s="14" t="s">
        <v>65</v>
      </c>
      <c r="B10" s="15">
        <f>COUNTIF('BQ-added-Data'!H2:H2098,"Critical")</f>
        <v>218</v>
      </c>
      <c r="D10" s="22" t="s">
        <v>66</v>
      </c>
      <c r="E10" s="23">
        <f>COUNTIF('BQ-added-Data'!G:G,"Tranche 2.1: Abandoned Large Prod (&gt;1yr)")</f>
        <v>23</v>
      </c>
      <c r="F10" s="23">
        <f>SUMIF('BQ-added-Data'!G:G,"Tranche 2.1: Abandoned Large Prod (&gt;1yr)",'BQ-added-Data'!E:E)</f>
        <v>9093.2199999999993</v>
      </c>
      <c r="G10" s="39">
        <f>SUMIF('BQ-added-Data'!G:G,"Tranche 2.1: Abandoned Large Prod (&gt;1yr)",'BQ-added-Data'!F:F)</f>
        <v>181.84</v>
      </c>
      <c r="H10" s="40">
        <f t="shared" si="0"/>
        <v>2182.08</v>
      </c>
      <c r="S10" t="str">
        <f>D13</f>
        <v xml:space="preserve">  Tranche 3.1: Abandoned Small Prod (&gt;1yr)</v>
      </c>
      <c r="T10" t="s">
        <v>67</v>
      </c>
    </row>
    <row r="11" spans="1:20" ht="18.75">
      <c r="A11" s="14" t="s">
        <v>68</v>
      </c>
      <c r="B11" s="17">
        <f>COUNTIF('BQ-added-Data'!P2:P2098,"CONFIRMED: NO MODS &gt; 1YR")</f>
        <v>310</v>
      </c>
      <c r="D11" s="60" t="s">
        <v>69</v>
      </c>
      <c r="E11" s="51">
        <f>SUM(E9:E10)</f>
        <v>174</v>
      </c>
      <c r="F11" s="51">
        <f>SUM(F9:F10)</f>
        <v>445681.81999999983</v>
      </c>
      <c r="G11" s="52">
        <f>SUM(G9:G10)</f>
        <v>8913.590000000002</v>
      </c>
      <c r="H11" s="53">
        <f t="shared" si="0"/>
        <v>106963.08000000002</v>
      </c>
      <c r="S11" t="str">
        <f>D15</f>
        <v>Tranche 4: Stale (No Access 180d, No Write &gt;6mo)</v>
      </c>
      <c r="T11" t="s">
        <v>70</v>
      </c>
    </row>
    <row r="12" spans="1:20" ht="18.75">
      <c r="A12" s="18" t="s">
        <v>71</v>
      </c>
      <c r="B12" s="19" cm="1">
        <f t="array" ref="B12">SUMPRODUCT((('BQ-added-Data'!A2:A2098)&lt;&gt;"")/COUNTIF('BQ-added-Data'!A2:A2098,'BQ-added-Data'!A2:A2098&amp;""))</f>
        <v>29.000000000000433</v>
      </c>
      <c r="D12" s="22" t="s">
        <v>72</v>
      </c>
      <c r="E12" s="23">
        <f>COUNTIF('BQ-added-Data'!G:G,D12)</f>
        <v>643</v>
      </c>
      <c r="F12" s="23">
        <f>SUMIF('BQ-added-Data'!G:G,D12,'BQ-added-Data'!E:E)</f>
        <v>7629.4400000000123</v>
      </c>
      <c r="G12" s="39">
        <f>SUMIF('BQ-added-Data'!G:G,D12,'BQ-added-Data'!F:F)</f>
        <v>152.53999999999994</v>
      </c>
      <c r="H12" s="40">
        <f t="shared" si="0"/>
        <v>1830.4799999999991</v>
      </c>
      <c r="S12" s="10" t="str">
        <f>D16</f>
        <v xml:space="preserve">  Tranche 4.1: Stale (No Access 180d, No Write &gt;6mo)</v>
      </c>
      <c r="T12" s="10" t="s">
        <v>73</v>
      </c>
    </row>
    <row r="13" spans="1:20">
      <c r="D13" s="22" t="s">
        <v>74</v>
      </c>
      <c r="E13" s="23">
        <f>COUNTIF('BQ-added-Data'!G:G,"Tranche 3.1: Abandoned Small Prod (&gt;1yr)")</f>
        <v>367</v>
      </c>
      <c r="F13" s="23">
        <f>SUMIF('BQ-added-Data'!G:G,"Tranche 3.1: Abandoned Small Prod (&gt;1yr)",'BQ-added-Data'!E:E)</f>
        <v>3743.3399999999997</v>
      </c>
      <c r="G13" s="39">
        <f>SUMIF('BQ-added-Data'!G:G,"Tranche 3.1: Abandoned Small Prod (&gt;1yr)",'BQ-added-Data'!F:F)</f>
        <v>74.789999999999964</v>
      </c>
      <c r="H13" s="40">
        <f t="shared" si="0"/>
        <v>897.47999999999956</v>
      </c>
      <c r="S13" t="str">
        <f>D18</f>
        <v>Tranche 5: Active Test (Housekeeping)</v>
      </c>
      <c r="T13" s="11" t="s">
        <v>75</v>
      </c>
    </row>
    <row r="14" spans="1:20">
      <c r="D14" s="60" t="s">
        <v>76</v>
      </c>
      <c r="E14" s="51">
        <f>SUM(E12:E13)</f>
        <v>1010</v>
      </c>
      <c r="F14" s="51">
        <f>SUM(F12:F13)</f>
        <v>11372.780000000012</v>
      </c>
      <c r="G14" s="52">
        <f>SUM(G12:G13)</f>
        <v>227.3299999999999</v>
      </c>
      <c r="H14" s="53">
        <f t="shared" si="0"/>
        <v>2727.9599999999987</v>
      </c>
      <c r="S14" t="str">
        <f>D19</f>
        <v xml:space="preserve">  Tranche 5.1: Active Test (Housekeeping)</v>
      </c>
      <c r="T14" s="11" t="s">
        <v>77</v>
      </c>
    </row>
    <row r="15" spans="1:20">
      <c r="D15" s="22" t="s">
        <v>78</v>
      </c>
      <c r="E15" s="57">
        <f>COUNTIF('BQ-added-Data'!G:G,D15)</f>
        <v>20</v>
      </c>
      <c r="F15" s="57">
        <f>SUMIF('BQ-added-Data'!G:G,D15,'BQ-added-Data'!E:E)</f>
        <v>4833.92</v>
      </c>
      <c r="G15" s="58">
        <f>SUMIF('BQ-added-Data'!G:G,D15,'BQ-added-Data'!F:F)</f>
        <v>96.69</v>
      </c>
      <c r="H15" s="59">
        <f t="shared" si="0"/>
        <v>1160.28</v>
      </c>
      <c r="S15" t="str">
        <f>D21</f>
        <v>Active</v>
      </c>
      <c r="T15" s="11" t="s">
        <v>79</v>
      </c>
    </row>
    <row r="16" spans="1:20">
      <c r="D16" s="22" t="s">
        <v>80</v>
      </c>
      <c r="E16" s="23">
        <f>COUNTIF('BQ-added-Data'!G:G,"Tranche 4.1: Stale (No Access 180d, No Write &gt;6mo)")</f>
        <v>19</v>
      </c>
      <c r="F16" s="23">
        <f>SUMIF('BQ-added-Data'!G:G,"Tranche 4.1: Stale (No Access 180d, No Write &gt;6mo)",'BQ-added-Data'!E:E)</f>
        <v>349.04</v>
      </c>
      <c r="G16" s="39">
        <f>SUMIF('BQ-added-Data'!G:G,"Tranche 4.1: Stale (No Access 180d, No Write &gt;6mo)",'BQ-added-Data'!F:F)</f>
        <v>6.99</v>
      </c>
      <c r="H16" s="40">
        <f t="shared" si="0"/>
        <v>83.88</v>
      </c>
      <c r="S16" t="s">
        <v>81</v>
      </c>
      <c r="T16" s="11">
        <f>G19</f>
        <v>35.82</v>
      </c>
    </row>
    <row r="17" spans="4:20">
      <c r="D17" s="60" t="s">
        <v>82</v>
      </c>
      <c r="E17" s="51">
        <f>SUM(E15:E16)</f>
        <v>39</v>
      </c>
      <c r="F17" s="51">
        <f>SUM(F15:F16)</f>
        <v>5182.96</v>
      </c>
      <c r="G17" s="52">
        <f>SUM(G15:G16)</f>
        <v>103.67999999999999</v>
      </c>
      <c r="H17" s="53">
        <f t="shared" si="0"/>
        <v>1244.1599999999999</v>
      </c>
    </row>
    <row r="18" spans="4:20">
      <c r="D18" s="22" t="s">
        <v>83</v>
      </c>
      <c r="E18" s="23">
        <f>COUNTIF('BQ-added-Data'!G:G,D18)</f>
        <v>44</v>
      </c>
      <c r="F18" s="23">
        <f>SUMIF('BQ-added-Data'!G:G,D18,'BQ-added-Data'!E:E)</f>
        <v>27262.73</v>
      </c>
      <c r="G18" s="39">
        <f>SUMIF('BQ-added-Data'!G:G,D18,'BQ-added-Data'!F:F)</f>
        <v>545.25</v>
      </c>
      <c r="H18" s="40">
        <f t="shared" si="0"/>
        <v>6543</v>
      </c>
      <c r="S18" s="10" t="s">
        <v>84</v>
      </c>
      <c r="T18" s="10" t="s">
        <v>85</v>
      </c>
    </row>
    <row r="19" spans="4:20">
      <c r="D19" s="22" t="s">
        <v>86</v>
      </c>
      <c r="E19" s="23">
        <f>COUNTIF('BQ-added-Data'!G:G,"Tranche 5.1: Active Test (Housekeeping)")</f>
        <v>5</v>
      </c>
      <c r="F19" s="23">
        <f>SUMIF('BQ-added-Data'!G:G,"Tranche 5.1: Active Test (Housekeeping)",'BQ-added-Data'!E:E)</f>
        <v>1791.03</v>
      </c>
      <c r="G19" s="39">
        <f>SUMIF('BQ-added-Data'!G:G,"Tranche 5.1: Active Test (Housekeeping)",'BQ-added-Data'!F:F)</f>
        <v>35.82</v>
      </c>
      <c r="H19" s="40">
        <f t="shared" si="0"/>
        <v>429.84000000000003</v>
      </c>
      <c r="S19" t="str">
        <f t="shared" ref="S19:S28" si="1">D24</f>
        <v>agile-bonbon-662</v>
      </c>
      <c r="T19" s="11">
        <f t="shared" ref="T19:T29" si="2">G24</f>
        <v>14855.310000000036</v>
      </c>
    </row>
    <row r="20" spans="4:20">
      <c r="D20" s="60" t="s">
        <v>87</v>
      </c>
      <c r="E20" s="51">
        <f>SUM(E18:E19)</f>
        <v>49</v>
      </c>
      <c r="F20" s="51">
        <f>SUM(F18:F19)</f>
        <v>29053.759999999998</v>
      </c>
      <c r="G20" s="52">
        <f>SUM(G18:G19)</f>
        <v>581.07000000000005</v>
      </c>
      <c r="H20" s="53">
        <f t="shared" si="0"/>
        <v>6972.84</v>
      </c>
      <c r="S20" t="str">
        <f t="shared" si="1"/>
        <v>thg-ingenuity</v>
      </c>
      <c r="T20" s="11">
        <f t="shared" si="2"/>
        <v>890.71999999999912</v>
      </c>
    </row>
    <row r="21" spans="4:20">
      <c r="D21" s="22" t="s">
        <v>79</v>
      </c>
      <c r="E21" s="23">
        <f>COUNTIF('BQ-added-Data'!G:G,D21)</f>
        <v>788</v>
      </c>
      <c r="F21" s="23">
        <f>SUMIF('BQ-added-Data'!G:G,D21,'BQ-added-Data'!E:E)</f>
        <v>1645314.6800000011</v>
      </c>
      <c r="G21" s="39">
        <f>SUMIF('BQ-added-Data'!G:G,D21,'BQ-added-Data'!F:F)</f>
        <v>32906.119999999981</v>
      </c>
      <c r="H21" s="40">
        <f t="shared" si="0"/>
        <v>394873.43999999977</v>
      </c>
      <c r="S21" t="str">
        <f t="shared" si="1"/>
        <v>the-hut-group</v>
      </c>
      <c r="T21" s="11">
        <f t="shared" si="2"/>
        <v>15712.670000000002</v>
      </c>
    </row>
    <row r="22" spans="4:20" ht="15.75">
      <c r="D22" s="68" t="s">
        <v>88</v>
      </c>
      <c r="E22" s="25">
        <f>E8+E11+E14+E17+E20+E21</f>
        <v>2097</v>
      </c>
      <c r="F22" s="25">
        <f>F8+F11+F14+F17+F20+F21</f>
        <v>2164100.1900000009</v>
      </c>
      <c r="G22" s="41">
        <f>G8+G11+G14+G17+G20+G21</f>
        <v>43281.689999999981</v>
      </c>
      <c r="H22" s="42">
        <f t="shared" si="0"/>
        <v>519380.2799999998</v>
      </c>
      <c r="S22" t="str">
        <f t="shared" si="1"/>
        <v>vibrant-map-107910</v>
      </c>
      <c r="T22" s="11">
        <f t="shared" si="2"/>
        <v>2953.0299999999997</v>
      </c>
    </row>
    <row r="23" spans="4:20">
      <c r="D23" s="54" t="s">
        <v>84</v>
      </c>
      <c r="E23" s="55" t="s">
        <v>49</v>
      </c>
      <c r="F23" s="55" t="s">
        <v>50</v>
      </c>
      <c r="G23" s="55" t="s">
        <v>51</v>
      </c>
      <c r="H23" s="56" t="s">
        <v>52</v>
      </c>
      <c r="S23" t="str">
        <f t="shared" si="1"/>
        <v>thg-beauty</v>
      </c>
      <c r="T23" s="11">
        <f t="shared" si="2"/>
        <v>953.11999999999955</v>
      </c>
    </row>
    <row r="24" spans="4:20">
      <c r="D24" s="22" t="s">
        <v>89</v>
      </c>
      <c r="E24" s="23">
        <f>COUNTIF('BQ-added-Data'!A:A,D24)</f>
        <v>915</v>
      </c>
      <c r="F24" s="23">
        <f>SUMIF('BQ-added-Data'!A:A,D24,'BQ-added-Data'!E:E)</f>
        <v>742768.12000000174</v>
      </c>
      <c r="G24" s="39">
        <f>SUMIF('BQ-added-Data'!A:A,D24,'BQ-added-Data'!F:F)</f>
        <v>14855.310000000036</v>
      </c>
      <c r="H24" s="40">
        <f t="shared" ref="H24:H34" si="3">G24*12</f>
        <v>178263.72000000044</v>
      </c>
      <c r="S24" t="str">
        <f t="shared" si="1"/>
        <v>thg-ml-dev</v>
      </c>
      <c r="T24" s="11">
        <f t="shared" si="2"/>
        <v>252.36</v>
      </c>
    </row>
    <row r="25" spans="4:20">
      <c r="D25" s="22" t="s">
        <v>38</v>
      </c>
      <c r="E25" s="23">
        <f>COUNTIF('BQ-added-Data'!A:A,D25)</f>
        <v>534</v>
      </c>
      <c r="F25" s="23">
        <f>SUMIF('BQ-added-Data'!A:A,D25,'BQ-added-Data'!E:E)</f>
        <v>44539.119999999995</v>
      </c>
      <c r="G25" s="39">
        <f>SUMIF('BQ-added-Data'!A:A,D25,'BQ-added-Data'!F:F)</f>
        <v>890.71999999999912</v>
      </c>
      <c r="H25" s="40">
        <f t="shared" si="3"/>
        <v>10688.639999999989</v>
      </c>
      <c r="S25" t="str">
        <f t="shared" si="1"/>
        <v>thg-central-marketing</v>
      </c>
      <c r="T25" s="11">
        <f t="shared" si="2"/>
        <v>3501.61</v>
      </c>
    </row>
    <row r="26" spans="4:20">
      <c r="D26" s="22" t="s">
        <v>90</v>
      </c>
      <c r="E26" s="23">
        <f>COUNTIF('BQ-added-Data'!A:A,D26)</f>
        <v>114</v>
      </c>
      <c r="F26" s="23">
        <f>SUMIF('BQ-added-Data'!A:A,D26,'BQ-added-Data'!E:E)</f>
        <v>785636.05</v>
      </c>
      <c r="G26" s="39">
        <f>SUMIF('BQ-added-Data'!A:A,D26,'BQ-added-Data'!F:F)</f>
        <v>15712.670000000002</v>
      </c>
      <c r="H26" s="40">
        <f t="shared" si="3"/>
        <v>188552.04000000004</v>
      </c>
      <c r="S26" t="str">
        <f t="shared" si="1"/>
        <v>thg-influencer</v>
      </c>
      <c r="T26" s="11">
        <f t="shared" si="2"/>
        <v>32.520000000000003</v>
      </c>
    </row>
    <row r="27" spans="4:20">
      <c r="D27" s="22" t="s">
        <v>91</v>
      </c>
      <c r="E27" s="23">
        <f>COUNTIF('BQ-added-Data'!A:A,D27)</f>
        <v>79</v>
      </c>
      <c r="F27" s="23">
        <f>SUMIF('BQ-added-Data'!A:A,D27,'BQ-added-Data'!E:E)</f>
        <v>147651.32000000007</v>
      </c>
      <c r="G27" s="39">
        <f>SUMIF('BQ-added-Data'!A:A,D27,'BQ-added-Data'!F:F)</f>
        <v>2953.0299999999997</v>
      </c>
      <c r="H27" s="40">
        <f t="shared" si="3"/>
        <v>35436.36</v>
      </c>
      <c r="S27" t="str">
        <f t="shared" si="1"/>
        <v>thg-content</v>
      </c>
      <c r="T27" s="11">
        <f t="shared" si="2"/>
        <v>70.52000000000001</v>
      </c>
    </row>
    <row r="28" spans="4:20">
      <c r="D28" s="22" t="s">
        <v>92</v>
      </c>
      <c r="E28" s="23">
        <f>COUNTIF('BQ-added-Data'!A:A,D28)</f>
        <v>145</v>
      </c>
      <c r="F28" s="23">
        <f>SUMIF('BQ-added-Data'!A:A,D28,'BQ-added-Data'!E:E)</f>
        <v>47656.570000000007</v>
      </c>
      <c r="G28" s="39">
        <f>SUMIF('BQ-added-Data'!A:A,D28,'BQ-added-Data'!F:F)</f>
        <v>953.11999999999955</v>
      </c>
      <c r="H28" s="40">
        <f t="shared" si="3"/>
        <v>11437.439999999995</v>
      </c>
      <c r="S28" t="str">
        <f t="shared" si="1"/>
        <v>thg-seoclarity</v>
      </c>
      <c r="T28" s="11">
        <f t="shared" si="2"/>
        <v>45.7</v>
      </c>
    </row>
    <row r="29" spans="4:20">
      <c r="D29" s="22" t="s">
        <v>93</v>
      </c>
      <c r="E29" s="23">
        <f>COUNTIF('BQ-added-Data'!A:A,D29)</f>
        <v>60</v>
      </c>
      <c r="F29" s="23">
        <f>SUMIF('BQ-added-Data'!A:A,D29,'BQ-added-Data'!E:E)</f>
        <v>12618.190000000006</v>
      </c>
      <c r="G29" s="39">
        <f>SUMIF('BQ-added-Data'!A:A,D29,'BQ-added-Data'!F:F)</f>
        <v>252.36</v>
      </c>
      <c r="H29" s="40">
        <f t="shared" si="3"/>
        <v>3028.32</v>
      </c>
      <c r="S29" t="s">
        <v>94</v>
      </c>
      <c r="T29" s="11">
        <f t="shared" si="2"/>
        <v>-39115.020000000033</v>
      </c>
    </row>
    <row r="30" spans="4:20">
      <c r="D30" s="22" t="s">
        <v>39</v>
      </c>
      <c r="E30" s="23">
        <f>COUNTIF('BQ-added-Data'!A:A,D30)</f>
        <v>66</v>
      </c>
      <c r="F30" s="23">
        <f>SUMIF('BQ-added-Data'!A:A,D30,'BQ-added-Data'!E:E)</f>
        <v>175082.61999999994</v>
      </c>
      <c r="G30" s="39">
        <f>SUMIF('BQ-added-Data'!A:A,D30,'BQ-added-Data'!F:F)</f>
        <v>3501.61</v>
      </c>
      <c r="H30" s="40">
        <f t="shared" si="3"/>
        <v>42019.32</v>
      </c>
    </row>
    <row r="31" spans="4:20">
      <c r="D31" s="22" t="s">
        <v>35</v>
      </c>
      <c r="E31" s="23">
        <f>COUNTIF('BQ-added-Data'!A:A,D31)</f>
        <v>54</v>
      </c>
      <c r="F31" s="23">
        <f>SUMIF('BQ-added-Data'!A:A,D31,'BQ-added-Data'!E:E)</f>
        <v>1628.4100000000003</v>
      </c>
      <c r="G31" s="39">
        <f>SUMIF('BQ-added-Data'!A:A,D31,'BQ-added-Data'!F:F)</f>
        <v>32.520000000000003</v>
      </c>
      <c r="H31" s="40">
        <f t="shared" si="3"/>
        <v>390.24</v>
      </c>
    </row>
    <row r="32" spans="4:20">
      <c r="D32" s="22" t="s">
        <v>95</v>
      </c>
      <c r="E32" s="23">
        <f>COUNTIF('BQ-added-Data'!A:A,D32)</f>
        <v>5</v>
      </c>
      <c r="F32" s="23">
        <f>SUMIF('BQ-added-Data'!A:A,D32,'BQ-added-Data'!E:E)</f>
        <v>3526.35</v>
      </c>
      <c r="G32" s="39">
        <f>SUMIF('BQ-added-Data'!A:A,D32,'BQ-added-Data'!F:F)</f>
        <v>70.52000000000001</v>
      </c>
      <c r="H32" s="40">
        <f t="shared" si="3"/>
        <v>846.24000000000012</v>
      </c>
    </row>
    <row r="33" spans="1:8">
      <c r="D33" s="22" t="s">
        <v>96</v>
      </c>
      <c r="E33" s="23">
        <f>COUNTIF('BQ-added-Data'!A:A,D33)</f>
        <v>2</v>
      </c>
      <c r="F33" s="23">
        <f>SUMIF('BQ-added-Data'!A:A,D33,'BQ-added-Data'!E:E)</f>
        <v>2285.0700000000002</v>
      </c>
      <c r="G33" s="39">
        <f>SUMIF('BQ-added-Data'!A:A,D33,'BQ-added-Data'!F:F)</f>
        <v>45.7</v>
      </c>
      <c r="H33" s="40">
        <f t="shared" si="3"/>
        <v>548.40000000000009</v>
      </c>
    </row>
    <row r="34" spans="1:8">
      <c r="D34" s="22" t="s">
        <v>94</v>
      </c>
      <c r="E34" s="23">
        <f>E12-SUM(E24:E33)</f>
        <v>-1331</v>
      </c>
      <c r="F34" s="23">
        <f>F12-SUM(F24:F33)</f>
        <v>-1955762.380000002</v>
      </c>
      <c r="G34" s="39">
        <f>G12-SUM(G24:G33)</f>
        <v>-39115.020000000033</v>
      </c>
      <c r="H34" s="40">
        <f t="shared" si="3"/>
        <v>-469380.2400000004</v>
      </c>
    </row>
    <row r="35" spans="1:8">
      <c r="D35" s="24" t="s">
        <v>88</v>
      </c>
      <c r="E35" s="25">
        <f>SUM(E24:E34)</f>
        <v>643</v>
      </c>
      <c r="F35" s="25">
        <f>SUM(F24:F34)</f>
        <v>7629.4399999999441</v>
      </c>
      <c r="G35" s="41">
        <f>SUM(G24:G34)</f>
        <v>152.54000000000087</v>
      </c>
      <c r="H35" s="42">
        <f>SUM(H24:H34)</f>
        <v>1830.4800000000978</v>
      </c>
    </row>
    <row r="38" spans="1:8" ht="15.75">
      <c r="A38" s="69" t="s">
        <v>97</v>
      </c>
      <c r="B38" s="69"/>
      <c r="C38" s="69"/>
    </row>
    <row r="39" spans="1:8">
      <c r="A39" s="26" t="s">
        <v>98</v>
      </c>
      <c r="B39" s="27" t="s">
        <v>84</v>
      </c>
      <c r="C39" s="27" t="s">
        <v>99</v>
      </c>
      <c r="D39" s="27" t="s">
        <v>48</v>
      </c>
      <c r="E39" s="28" t="s">
        <v>100</v>
      </c>
      <c r="F39" s="20" t="s">
        <v>50</v>
      </c>
      <c r="G39" s="20" t="s">
        <v>85</v>
      </c>
      <c r="H39" s="21" t="s">
        <v>101</v>
      </c>
    </row>
    <row r="40" spans="1:8">
      <c r="A40" s="29">
        <v>1</v>
      </c>
      <c r="B40" s="30" t="e" cm="1">
        <f t="array" ref="B40">INDEX('BQ-added-Data'!$A:$A,MATCH(LARGE('BQ-added-Data'!#REF!-ROW('BQ-added-Data'!#REF!)/10^10,$A40),'BQ-added-Data'!#REF!-ROW('BQ-added-Data'!#REF!)/10^10,0)+1)</f>
        <v>#REF!</v>
      </c>
      <c r="C40" s="30" t="e" cm="1">
        <f t="array" ref="C40">INDEX('BQ-added-Data'!$C:$C,MATCH(LARGE('BQ-added-Data'!#REF!-ROW('BQ-added-Data'!#REF!)/10^10,$A40),'BQ-added-Data'!#REF!-ROW('BQ-added-Data'!#REF!)/10^10,0)+1)</f>
        <v>#REF!</v>
      </c>
      <c r="D40" s="31" t="e" cm="1">
        <f t="array" ref="D40">INDEX('BQ-added-Data'!$G:$G,MATCH(LARGE('BQ-added-Data'!#REF!-ROW('BQ-added-Data'!#REF!)/10^10,$A40),'BQ-added-Data'!#REF!-ROW('BQ-added-Data'!#REF!)/10^10,0)+1)</f>
        <v>#REF!</v>
      </c>
      <c r="E40" s="32" t="e" cm="1">
        <f t="array" ref="E40">INDEX('BQ-added-Data'!$H:$H,MATCH(LARGE('BQ-added-Data'!#REF!-ROW('BQ-added-Data'!#REF!)/10^10,$A40),'BQ-added-Data'!#REF!-ROW('BQ-added-Data'!#REF!)/10^10,0)+1)</f>
        <v>#REF!</v>
      </c>
      <c r="F40" s="23" t="e" cm="1">
        <f t="array" ref="F40">INDEX('BQ-added-Data'!$E:$E,MATCH(LARGE('BQ-added-Data'!#REF!-ROW('BQ-added-Data'!#REF!)/10^10,$A40),'BQ-added-Data'!#REF!-ROW('BQ-added-Data'!#REF!)/10^10,0)+1)</f>
        <v>#REF!</v>
      </c>
      <c r="G40" s="39" t="e" cm="1">
        <f t="array" ref="G40">INDEX('BQ-added-Data'!$F:$F,MATCH(LARGE('BQ-added-Data'!#REF!-ROW('BQ-added-Data'!#REF!)/10^10,$A40),'BQ-added-Data'!#REF!-ROW('BQ-added-Data'!#REF!)/10^10,0)+1)</f>
        <v>#REF!</v>
      </c>
      <c r="H40" s="40" t="e">
        <f>G40*12</f>
        <v>#REF!</v>
      </c>
    </row>
    <row r="41" spans="1:8">
      <c r="A41" s="29">
        <v>2</v>
      </c>
      <c r="B41" s="30" t="e" cm="1">
        <f t="array" ref="B41">INDEX('BQ-added-Data'!$A:$A,MATCH(LARGE('BQ-added-Data'!#REF!-ROW('BQ-added-Data'!#REF!)/10^10,$A41),'BQ-added-Data'!#REF!-ROW('BQ-added-Data'!#REF!)/10^10,0)+1)</f>
        <v>#REF!</v>
      </c>
      <c r="C41" s="30" t="e" cm="1">
        <f t="array" ref="C41">INDEX('BQ-added-Data'!$C:$C,MATCH(LARGE('BQ-added-Data'!#REF!-ROW('BQ-added-Data'!#REF!)/10^10,$A41),'BQ-added-Data'!#REF!-ROW('BQ-added-Data'!#REF!)/10^10,0)+1)</f>
        <v>#REF!</v>
      </c>
      <c r="D41" s="31" t="e" cm="1">
        <f t="array" ref="D41">INDEX('BQ-added-Data'!$G:$G,MATCH(LARGE('BQ-added-Data'!#REF!-ROW('BQ-added-Data'!#REF!)/10^10,$A41),'BQ-added-Data'!#REF!-ROW('BQ-added-Data'!#REF!)/10^10,0)+1)</f>
        <v>#REF!</v>
      </c>
      <c r="E41" s="32" t="e" cm="1">
        <f t="array" ref="E41">INDEX('BQ-added-Data'!$H:$H,MATCH(LARGE('BQ-added-Data'!#REF!-ROW('BQ-added-Data'!#REF!)/10^10,$A41),'BQ-added-Data'!#REF!-ROW('BQ-added-Data'!#REF!)/10^10,0)+1)</f>
        <v>#REF!</v>
      </c>
      <c r="F41" s="23" t="e" cm="1">
        <f t="array" ref="F41">INDEX('BQ-added-Data'!$E:$E,MATCH(LARGE('BQ-added-Data'!#REF!-ROW('BQ-added-Data'!#REF!)/10^10,$A41),'BQ-added-Data'!#REF!-ROW('BQ-added-Data'!#REF!)/10^10,0)+1)</f>
        <v>#REF!</v>
      </c>
      <c r="G41" s="39" t="e" cm="1">
        <f t="array" ref="G41">INDEX('BQ-added-Data'!$F:$F,MATCH(LARGE('BQ-added-Data'!#REF!-ROW('BQ-added-Data'!#REF!)/10^10,$A41),'BQ-added-Data'!#REF!-ROW('BQ-added-Data'!#REF!)/10^10,0)+1)</f>
        <v>#REF!</v>
      </c>
      <c r="H41" s="40" t="e">
        <f t="shared" ref="H41:H59" si="4">G41*12</f>
        <v>#REF!</v>
      </c>
    </row>
    <row r="42" spans="1:8">
      <c r="A42" s="29">
        <v>3</v>
      </c>
      <c r="B42" s="30" t="e" cm="1">
        <f t="array" ref="B42">INDEX('BQ-added-Data'!$A:$A,MATCH(LARGE('BQ-added-Data'!#REF!-ROW('BQ-added-Data'!#REF!)/10^10,$A42),'BQ-added-Data'!#REF!-ROW('BQ-added-Data'!#REF!)/10^10,0)+1)</f>
        <v>#REF!</v>
      </c>
      <c r="C42" s="30" t="e" cm="1">
        <f t="array" ref="C42">INDEX('BQ-added-Data'!$C:$C,MATCH(LARGE('BQ-added-Data'!#REF!-ROW('BQ-added-Data'!#REF!)/10^10,$A42),'BQ-added-Data'!#REF!-ROW('BQ-added-Data'!#REF!)/10^10,0)+1)</f>
        <v>#REF!</v>
      </c>
      <c r="D42" s="31" t="e" cm="1">
        <f t="array" ref="D42">INDEX('BQ-added-Data'!$G:$G,MATCH(LARGE('BQ-added-Data'!#REF!-ROW('BQ-added-Data'!#REF!)/10^10,$A42),'BQ-added-Data'!#REF!-ROW('BQ-added-Data'!#REF!)/10^10,0)+1)</f>
        <v>#REF!</v>
      </c>
      <c r="E42" s="32" t="e" cm="1">
        <f t="array" ref="E42">INDEX('BQ-added-Data'!$H:$H,MATCH(LARGE('BQ-added-Data'!#REF!-ROW('BQ-added-Data'!#REF!)/10^10,$A42),'BQ-added-Data'!#REF!-ROW('BQ-added-Data'!#REF!)/10^10,0)+1)</f>
        <v>#REF!</v>
      </c>
      <c r="F42" s="23" t="e" cm="1">
        <f t="array" ref="F42">INDEX('BQ-added-Data'!$E:$E,MATCH(LARGE('BQ-added-Data'!#REF!-ROW('BQ-added-Data'!#REF!)/10^10,$A42),'BQ-added-Data'!#REF!-ROW('BQ-added-Data'!#REF!)/10^10,0)+1)</f>
        <v>#REF!</v>
      </c>
      <c r="G42" s="39" t="e" cm="1">
        <f t="array" ref="G42">INDEX('BQ-added-Data'!$F:$F,MATCH(LARGE('BQ-added-Data'!#REF!-ROW('BQ-added-Data'!#REF!)/10^10,$A42),'BQ-added-Data'!#REF!-ROW('BQ-added-Data'!#REF!)/10^10,0)+1)</f>
        <v>#REF!</v>
      </c>
      <c r="H42" s="40" t="e">
        <f t="shared" si="4"/>
        <v>#REF!</v>
      </c>
    </row>
    <row r="43" spans="1:8">
      <c r="A43" s="29">
        <v>4</v>
      </c>
      <c r="B43" s="30" t="e" cm="1">
        <f t="array" ref="B43">INDEX('BQ-added-Data'!$A:$A,MATCH(LARGE('BQ-added-Data'!#REF!-ROW('BQ-added-Data'!#REF!)/10^10,$A43),'BQ-added-Data'!#REF!-ROW('BQ-added-Data'!#REF!)/10^10,0)+1)</f>
        <v>#REF!</v>
      </c>
      <c r="C43" s="30" t="e" cm="1">
        <f t="array" ref="C43">INDEX('BQ-added-Data'!$C:$C,MATCH(LARGE('BQ-added-Data'!#REF!-ROW('BQ-added-Data'!#REF!)/10^10,$A43),'BQ-added-Data'!#REF!-ROW('BQ-added-Data'!#REF!)/10^10,0)+1)</f>
        <v>#REF!</v>
      </c>
      <c r="D43" s="31" t="e" cm="1">
        <f t="array" ref="D43">INDEX('BQ-added-Data'!$G:$G,MATCH(LARGE('BQ-added-Data'!#REF!-ROW('BQ-added-Data'!#REF!)/10^10,$A43),'BQ-added-Data'!#REF!-ROW('BQ-added-Data'!#REF!)/10^10,0)+1)</f>
        <v>#REF!</v>
      </c>
      <c r="E43" s="32" t="e" cm="1">
        <f t="array" ref="E43">INDEX('BQ-added-Data'!$H:$H,MATCH(LARGE('BQ-added-Data'!#REF!-ROW('BQ-added-Data'!#REF!)/10^10,$A43),'BQ-added-Data'!#REF!-ROW('BQ-added-Data'!#REF!)/10^10,0)+1)</f>
        <v>#REF!</v>
      </c>
      <c r="F43" s="23" t="e" cm="1">
        <f t="array" ref="F43">INDEX('BQ-added-Data'!$E:$E,MATCH(LARGE('BQ-added-Data'!#REF!-ROW('BQ-added-Data'!#REF!)/10^10,$A43),'BQ-added-Data'!#REF!-ROW('BQ-added-Data'!#REF!)/10^10,0)+1)</f>
        <v>#REF!</v>
      </c>
      <c r="G43" s="39" t="e" cm="1">
        <f t="array" ref="G43">INDEX('BQ-added-Data'!$F:$F,MATCH(LARGE('BQ-added-Data'!#REF!-ROW('BQ-added-Data'!#REF!)/10^10,$A43),'BQ-added-Data'!#REF!-ROW('BQ-added-Data'!#REF!)/10^10,0)+1)</f>
        <v>#REF!</v>
      </c>
      <c r="H43" s="40" t="e">
        <f t="shared" si="4"/>
        <v>#REF!</v>
      </c>
    </row>
    <row r="44" spans="1:8">
      <c r="A44" s="29">
        <v>5</v>
      </c>
      <c r="B44" s="30" t="e" cm="1">
        <f t="array" ref="B44">INDEX('BQ-added-Data'!$A:$A,MATCH(LARGE('BQ-added-Data'!#REF!-ROW('BQ-added-Data'!#REF!)/10^10,$A44),'BQ-added-Data'!#REF!-ROW('BQ-added-Data'!#REF!)/10^10,0)+1)</f>
        <v>#REF!</v>
      </c>
      <c r="C44" s="30" t="e" cm="1">
        <f t="array" ref="C44">INDEX('BQ-added-Data'!$C:$C,MATCH(LARGE('BQ-added-Data'!#REF!-ROW('BQ-added-Data'!#REF!)/10^10,$A44),'BQ-added-Data'!#REF!-ROW('BQ-added-Data'!#REF!)/10^10,0)+1)</f>
        <v>#REF!</v>
      </c>
      <c r="D44" s="31" t="e" cm="1">
        <f t="array" ref="D44">INDEX('BQ-added-Data'!$G:$G,MATCH(LARGE('BQ-added-Data'!#REF!-ROW('BQ-added-Data'!#REF!)/10^10,$A44),'BQ-added-Data'!#REF!-ROW('BQ-added-Data'!#REF!)/10^10,0)+1)</f>
        <v>#REF!</v>
      </c>
      <c r="E44" s="32" t="e" cm="1">
        <f t="array" ref="E44">INDEX('BQ-added-Data'!$H:$H,MATCH(LARGE('BQ-added-Data'!#REF!-ROW('BQ-added-Data'!#REF!)/10^10,$A44),'BQ-added-Data'!#REF!-ROW('BQ-added-Data'!#REF!)/10^10,0)+1)</f>
        <v>#REF!</v>
      </c>
      <c r="F44" s="23" t="e" cm="1">
        <f t="array" ref="F44">INDEX('BQ-added-Data'!$E:$E,MATCH(LARGE('BQ-added-Data'!#REF!-ROW('BQ-added-Data'!#REF!)/10^10,$A44),'BQ-added-Data'!#REF!-ROW('BQ-added-Data'!#REF!)/10^10,0)+1)</f>
        <v>#REF!</v>
      </c>
      <c r="G44" s="39" t="e" cm="1">
        <f t="array" ref="G44">INDEX('BQ-added-Data'!$F:$F,MATCH(LARGE('BQ-added-Data'!#REF!-ROW('BQ-added-Data'!#REF!)/10^10,$A44),'BQ-added-Data'!#REF!-ROW('BQ-added-Data'!#REF!)/10^10,0)+1)</f>
        <v>#REF!</v>
      </c>
      <c r="H44" s="40" t="e">
        <f t="shared" si="4"/>
        <v>#REF!</v>
      </c>
    </row>
    <row r="45" spans="1:8">
      <c r="A45" s="29">
        <v>6</v>
      </c>
      <c r="B45" s="30" t="e" cm="1">
        <f t="array" ref="B45">INDEX('BQ-added-Data'!$A:$A,MATCH(LARGE('BQ-added-Data'!#REF!-ROW('BQ-added-Data'!#REF!)/10^10,$A45),'BQ-added-Data'!#REF!-ROW('BQ-added-Data'!#REF!)/10^10,0)+1)</f>
        <v>#REF!</v>
      </c>
      <c r="C45" s="30" t="e" cm="1">
        <f t="array" ref="C45">INDEX('BQ-added-Data'!$C:$C,MATCH(LARGE('BQ-added-Data'!#REF!-ROW('BQ-added-Data'!#REF!)/10^10,$A45),'BQ-added-Data'!#REF!-ROW('BQ-added-Data'!#REF!)/10^10,0)+1)</f>
        <v>#REF!</v>
      </c>
      <c r="D45" s="31" t="e" cm="1">
        <f t="array" ref="D45">INDEX('BQ-added-Data'!$G:$G,MATCH(LARGE('BQ-added-Data'!#REF!-ROW('BQ-added-Data'!#REF!)/10^10,$A45),'BQ-added-Data'!#REF!-ROW('BQ-added-Data'!#REF!)/10^10,0)+1)</f>
        <v>#REF!</v>
      </c>
      <c r="E45" s="32" t="e" cm="1">
        <f t="array" ref="E45">INDEX('BQ-added-Data'!$H:$H,MATCH(LARGE('BQ-added-Data'!#REF!-ROW('BQ-added-Data'!#REF!)/10^10,$A45),'BQ-added-Data'!#REF!-ROW('BQ-added-Data'!#REF!)/10^10,0)+1)</f>
        <v>#REF!</v>
      </c>
      <c r="F45" s="23" t="e" cm="1">
        <f t="array" ref="F45">INDEX('BQ-added-Data'!$E:$E,MATCH(LARGE('BQ-added-Data'!#REF!-ROW('BQ-added-Data'!#REF!)/10^10,$A45),'BQ-added-Data'!#REF!-ROW('BQ-added-Data'!#REF!)/10^10,0)+1)</f>
        <v>#REF!</v>
      </c>
      <c r="G45" s="39" t="e" cm="1">
        <f t="array" ref="G45">INDEX('BQ-added-Data'!$F:$F,MATCH(LARGE('BQ-added-Data'!#REF!-ROW('BQ-added-Data'!#REF!)/10^10,$A45),'BQ-added-Data'!#REF!-ROW('BQ-added-Data'!#REF!)/10^10,0)+1)</f>
        <v>#REF!</v>
      </c>
      <c r="H45" s="40" t="e">
        <f t="shared" si="4"/>
        <v>#REF!</v>
      </c>
    </row>
    <row r="46" spans="1:8">
      <c r="A46" s="29">
        <v>7</v>
      </c>
      <c r="B46" s="30" t="e" cm="1">
        <f t="array" ref="B46">INDEX('BQ-added-Data'!$A:$A,MATCH(LARGE('BQ-added-Data'!#REF!-ROW('BQ-added-Data'!#REF!)/10^10,$A46),'BQ-added-Data'!#REF!-ROW('BQ-added-Data'!#REF!)/10^10,0)+1)</f>
        <v>#REF!</v>
      </c>
      <c r="C46" s="30" t="e" cm="1">
        <f t="array" ref="C46">INDEX('BQ-added-Data'!$C:$C,MATCH(LARGE('BQ-added-Data'!#REF!-ROW('BQ-added-Data'!#REF!)/10^10,$A46),'BQ-added-Data'!#REF!-ROW('BQ-added-Data'!#REF!)/10^10,0)+1)</f>
        <v>#REF!</v>
      </c>
      <c r="D46" s="31" t="e" cm="1">
        <f t="array" ref="D46">INDEX('BQ-added-Data'!$G:$G,MATCH(LARGE('BQ-added-Data'!#REF!-ROW('BQ-added-Data'!#REF!)/10^10,$A46),'BQ-added-Data'!#REF!-ROW('BQ-added-Data'!#REF!)/10^10,0)+1)</f>
        <v>#REF!</v>
      </c>
      <c r="E46" s="32" t="e" cm="1">
        <f t="array" ref="E46">INDEX('BQ-added-Data'!$H:$H,MATCH(LARGE('BQ-added-Data'!#REF!-ROW('BQ-added-Data'!#REF!)/10^10,$A46),'BQ-added-Data'!#REF!-ROW('BQ-added-Data'!#REF!)/10^10,0)+1)</f>
        <v>#REF!</v>
      </c>
      <c r="F46" s="23" t="e" cm="1">
        <f t="array" ref="F46">INDEX('BQ-added-Data'!$E:$E,MATCH(LARGE('BQ-added-Data'!#REF!-ROW('BQ-added-Data'!#REF!)/10^10,$A46),'BQ-added-Data'!#REF!-ROW('BQ-added-Data'!#REF!)/10^10,0)+1)</f>
        <v>#REF!</v>
      </c>
      <c r="G46" s="39" t="e" cm="1">
        <f t="array" ref="G46">INDEX('BQ-added-Data'!$F:$F,MATCH(LARGE('BQ-added-Data'!#REF!-ROW('BQ-added-Data'!#REF!)/10^10,$A46),'BQ-added-Data'!#REF!-ROW('BQ-added-Data'!#REF!)/10^10,0)+1)</f>
        <v>#REF!</v>
      </c>
      <c r="H46" s="40" t="e">
        <f t="shared" si="4"/>
        <v>#REF!</v>
      </c>
    </row>
    <row r="47" spans="1:8" ht="15.75">
      <c r="A47" s="74" t="s">
        <v>102</v>
      </c>
      <c r="B47" s="30"/>
      <c r="C47" s="30"/>
      <c r="D47" s="31"/>
      <c r="E47" s="32"/>
      <c r="F47" s="23"/>
      <c r="G47" s="39"/>
      <c r="H47" s="40"/>
    </row>
    <row r="48" spans="1:8">
      <c r="A48" s="75" t="s">
        <v>103</v>
      </c>
      <c r="B48" s="76" t="s">
        <v>49</v>
      </c>
      <c r="C48" s="76" t="s">
        <v>50</v>
      </c>
      <c r="D48" s="77" t="s">
        <v>85</v>
      </c>
      <c r="E48" s="76" t="s">
        <v>101</v>
      </c>
      <c r="F48" s="78" t="s">
        <v>104</v>
      </c>
      <c r="G48" s="39"/>
      <c r="H48" s="40"/>
    </row>
    <row r="49" spans="1:8">
      <c r="A49" s="79" t="s">
        <v>105</v>
      </c>
      <c r="B49" s="23">
        <f>COUNTIFS('BQ-added-Data'!A:A,"agile-bonbon-662",'BQ-added-Data'!Q:Q,"DELETE")</f>
        <v>12</v>
      </c>
      <c r="C49" s="80">
        <f>SUMIFS('BQ-added-Data'!E:E,'BQ-added-Data'!A:A,"agile-bonbon-662",'BQ-added-Data'!Q:Q,"DELETE")</f>
        <v>1871.3999999999999</v>
      </c>
      <c r="D49" s="81">
        <f>SUMIFS('BQ-added-Data'!F:F,'BQ-added-Data'!A:A,"agile-bonbon-662",'BQ-added-Data'!Q:Q,"DELETE")</f>
        <v>37.430000000000007</v>
      </c>
      <c r="E49" s="82">
        <f>D49*12</f>
        <v>449.16000000000008</v>
      </c>
      <c r="F49" s="23" t="s">
        <v>106</v>
      </c>
      <c r="G49" s="39"/>
      <c r="H49" s="40"/>
    </row>
    <row r="50" spans="1:8">
      <c r="A50" s="83" t="s">
        <v>107</v>
      </c>
      <c r="B50" s="23">
        <f>COUNTIFS('BQ-added-Data'!A:A,"agile-bonbon-662",'BQ-added-Data'!Q:Q,"REVIEW — UA raw logs")</f>
        <v>340</v>
      </c>
      <c r="C50" s="80">
        <f>SUMIFS('BQ-added-Data'!E:E,'BQ-added-Data'!A:A,"agile-bonbon-662",'BQ-added-Data'!Q:Q,"REVIEW — UA raw logs")</f>
        <v>220646.51000000027</v>
      </c>
      <c r="D50" s="81">
        <f>SUMIFS('BQ-added-Data'!F:F,'BQ-added-Data'!A:A,"agile-bonbon-662",'BQ-added-Data'!Q:Q,"REVIEW — UA raw logs")</f>
        <v>4412.9500000000107</v>
      </c>
      <c r="E50" s="82">
        <f>D50*12</f>
        <v>52955.400000000125</v>
      </c>
      <c r="F50" s="23" t="s">
        <v>108</v>
      </c>
      <c r="G50" s="39"/>
      <c r="H50" s="40"/>
    </row>
    <row r="51" spans="1:8">
      <c r="A51" s="84" t="s">
        <v>109</v>
      </c>
      <c r="B51" s="23">
        <f>COUNTIFS('BQ-added-Data'!A:A,"agile-bonbon-662",'BQ-added-Data'!C:C,"Sessions_Level_1_All_Sites")</f>
        <v>1</v>
      </c>
      <c r="C51" s="80">
        <f>SUMIFS('BQ-added-Data'!E:E,'BQ-added-Data'!A:A,"agile-bonbon-662",'BQ-added-Data'!C:C,"Sessions_Level_1_All_Sites")</f>
        <v>8510.5499999999993</v>
      </c>
      <c r="D51" s="81">
        <f>SUMIFS('BQ-added-Data'!F:F,'BQ-added-Data'!A:A,"agile-bonbon-662",'BQ-added-Data'!C:C,"Sessions_Level_1_All_Sites")</f>
        <v>170.21</v>
      </c>
      <c r="E51" s="82">
        <f>D51*12</f>
        <v>2042.52</v>
      </c>
      <c r="F51" s="23" t="s">
        <v>110</v>
      </c>
      <c r="G51" s="39"/>
      <c r="H51" s="40"/>
    </row>
    <row r="52" spans="1:8">
      <c r="A52" s="84" t="s">
        <v>111</v>
      </c>
      <c r="B52" s="23">
        <f>COUNTIFS('BQ-added-Data'!A:A,"agile-bonbon-662",'BQ-added-Data'!C:C,"Emag_Reporting")</f>
        <v>1</v>
      </c>
      <c r="C52" s="80">
        <f>SUMIFS('BQ-added-Data'!E:E,'BQ-added-Data'!A:A,"agile-bonbon-662",'BQ-added-Data'!C:C,"Emag_Reporting")</f>
        <v>9.3800000000000008</v>
      </c>
      <c r="D52" s="81">
        <f>SUMIFS('BQ-added-Data'!F:F,'BQ-added-Data'!A:A,"agile-bonbon-662",'BQ-added-Data'!C:C,"Emag_Reporting")</f>
        <v>0.19</v>
      </c>
      <c r="E52" s="82">
        <f>D52*12</f>
        <v>2.2800000000000002</v>
      </c>
      <c r="F52" s="23" t="s">
        <v>112</v>
      </c>
      <c r="G52" s="39"/>
      <c r="H52" s="40"/>
    </row>
    <row r="53" spans="1:8">
      <c r="A53" s="84" t="s">
        <v>113</v>
      </c>
      <c r="B53" s="23">
        <f>COUNTIFS('BQ-added-Data'!A:A,"agile-bonbon-662",'BQ-added-Data'!C:C,"Nutrition_Data_Archived_Tables")</f>
        <v>1</v>
      </c>
      <c r="C53" s="80">
        <f>SUMIFS('BQ-added-Data'!E:E,'BQ-added-Data'!A:A,"agile-bonbon-662",'BQ-added-Data'!C:C,"Nutrition_Data_Archived_Tables")</f>
        <v>3.48</v>
      </c>
      <c r="D53" s="81">
        <f>SUMIFS('BQ-added-Data'!F:F,'BQ-added-Data'!A:A,"agile-bonbon-662",'BQ-added-Data'!C:C,"Nutrition_Data_Archived_Tables")</f>
        <v>7.0000000000000007E-2</v>
      </c>
      <c r="E53" s="82">
        <f>D53*12</f>
        <v>0.84000000000000008</v>
      </c>
      <c r="F53" s="23" t="s">
        <v>114</v>
      </c>
      <c r="G53" s="39"/>
      <c r="H53" s="40"/>
    </row>
    <row r="54" spans="1:8">
      <c r="A54" s="84" t="s">
        <v>115</v>
      </c>
      <c r="B54" s="23">
        <f>COUNTIFS('BQ-added-Data'!A:A,"agile-bonbon-662",'BQ-added-Data'!C:C,"EU_Data")</f>
        <v>1</v>
      </c>
      <c r="C54" s="80">
        <f>SUMIFS('BQ-added-Data'!E:E,'BQ-added-Data'!A:A,"agile-bonbon-662",'BQ-added-Data'!C:C,"EU_Data")</f>
        <v>72.790000000000006</v>
      </c>
      <c r="D54" s="81">
        <f>SUMIFS('BQ-added-Data'!F:F,'BQ-added-Data'!A:A,"agile-bonbon-662",'BQ-added-Data'!C:C,"EU_Data")</f>
        <v>1.46</v>
      </c>
      <c r="E54" s="82">
        <f>D54*12</f>
        <v>17.52</v>
      </c>
      <c r="F54" s="23" t="s">
        <v>116</v>
      </c>
      <c r="G54" s="39"/>
      <c r="H54" s="40"/>
    </row>
    <row r="55" spans="1:8">
      <c r="A55" s="83" t="s">
        <v>117</v>
      </c>
      <c r="B55" s="23">
        <f>COUNTIFS('BQ-added-Data'!A:A,"agile-bonbon-662",'BQ-added-Data'!Q:Q,"REVIEW")</f>
        <v>558</v>
      </c>
      <c r="C55" s="80">
        <f>SUMIFS('BQ-added-Data'!E:E,'BQ-added-Data'!A:A,"agile-bonbon-662",'BQ-added-Data'!Q:Q,"REVIEW")</f>
        <v>511635.71</v>
      </c>
      <c r="D55" s="81">
        <f>SUMIFS('BQ-added-Data'!F:F,'BQ-added-Data'!A:A,"agile-bonbon-662",'BQ-added-Data'!Q:Q,"REVIEW")</f>
        <v>10232.630000000017</v>
      </c>
      <c r="E55" s="82">
        <f>D55*12</f>
        <v>122791.5600000002</v>
      </c>
      <c r="F55" s="23" t="s">
        <v>118</v>
      </c>
      <c r="G55" s="39"/>
      <c r="H55" s="40"/>
    </row>
    <row r="56" spans="1:8">
      <c r="A56" s="85" t="s">
        <v>119</v>
      </c>
      <c r="B56" s="51">
        <f>SUM(B49:B55)</f>
        <v>914</v>
      </c>
      <c r="C56" s="86">
        <f>SUM(C49:C55)</f>
        <v>742749.8200000003</v>
      </c>
      <c r="D56" s="87">
        <f>SUM(D49:D55)</f>
        <v>14854.940000000028</v>
      </c>
      <c r="E56" s="88">
        <f>SUM(E49:E55)</f>
        <v>178259.28000000032</v>
      </c>
      <c r="F56" s="51"/>
      <c r="G56" s="39"/>
      <c r="H56" s="40"/>
    </row>
    <row r="57" spans="1:8">
      <c r="A57" s="29"/>
      <c r="B57" s="30"/>
      <c r="C57" s="30"/>
      <c r="D57" s="31"/>
      <c r="E57" s="32"/>
      <c r="F57" s="23"/>
      <c r="G57" s="39"/>
      <c r="H57" s="40"/>
    </row>
    <row r="58" spans="1:8">
      <c r="A58" s="89" t="s">
        <v>120</v>
      </c>
      <c r="B58" s="30"/>
      <c r="C58" s="30"/>
      <c r="D58" s="31"/>
      <c r="E58" s="32"/>
      <c r="F58" s="23"/>
      <c r="G58" s="39"/>
      <c r="H58" s="40"/>
    </row>
    <row r="59" spans="1:8">
      <c r="A59" s="33"/>
      <c r="B59" s="34"/>
      <c r="C59" s="34"/>
      <c r="D59" s="35"/>
      <c r="E59" s="36"/>
      <c r="F59" s="37"/>
      <c r="G59" s="43"/>
      <c r="H59" s="44"/>
    </row>
    <row r="60" spans="1:8" ht="15.75">
      <c r="A60" s="90" t="s">
        <v>121</v>
      </c>
    </row>
    <row r="61" spans="1:8">
      <c r="A61" s="67" t="s">
        <v>84</v>
      </c>
      <c r="B61" s="91" t="s">
        <v>49</v>
      </c>
      <c r="C61" s="91" t="s">
        <v>50</v>
      </c>
      <c r="D61" s="91" t="s">
        <v>85</v>
      </c>
      <c r="E61" s="91" t="s">
        <v>101</v>
      </c>
      <c r="F61" s="67" t="s">
        <v>122</v>
      </c>
    </row>
    <row r="62" spans="1:8">
      <c r="A62" s="92" t="s">
        <v>35</v>
      </c>
      <c r="B62" s="93">
        <f>COUNTIF('BQ-added-Data'!A:A,A62)</f>
        <v>54</v>
      </c>
      <c r="C62" s="94">
        <f>SUMIF('BQ-added-Data'!A:A,A62,'BQ-added-Data'!E:E)</f>
        <v>1628.4100000000003</v>
      </c>
      <c r="D62" s="95">
        <f>SUMIF('BQ-added-Data'!A:A,A62,'BQ-added-Data'!F:F)</f>
        <v>32.520000000000003</v>
      </c>
      <c r="E62" s="96">
        <f>D62*12</f>
        <v>390.24</v>
      </c>
      <c r="F62" t="s">
        <v>123</v>
      </c>
    </row>
    <row r="63" spans="1:8">
      <c r="A63" s="92" t="s">
        <v>38</v>
      </c>
      <c r="B63" s="93">
        <f>COUNTIF('BQ-added-Data'!A:A,A63)</f>
        <v>534</v>
      </c>
      <c r="C63" s="94">
        <f>SUMIF('BQ-added-Data'!A:A,A63,'BQ-added-Data'!E:E)</f>
        <v>44539.119999999995</v>
      </c>
      <c r="D63" s="95">
        <f>SUMIF('BQ-added-Data'!A:A,A63,'BQ-added-Data'!F:F)</f>
        <v>890.71999999999912</v>
      </c>
      <c r="E63" s="96">
        <f>D63*12</f>
        <v>10688.639999999989</v>
      </c>
      <c r="F63" t="s">
        <v>123</v>
      </c>
    </row>
    <row r="64" spans="1:8">
      <c r="A64" s="92" t="s">
        <v>39</v>
      </c>
      <c r="B64" s="93">
        <f>COUNTIF('BQ-added-Data'!A:A,A64)</f>
        <v>66</v>
      </c>
      <c r="C64" s="94">
        <f>SUMIF('BQ-added-Data'!A:A,A64,'BQ-added-Data'!E:E)</f>
        <v>175082.61999999994</v>
      </c>
      <c r="D64" s="95">
        <f>SUMIF('BQ-added-Data'!A:A,A64,'BQ-added-Data'!F:F)</f>
        <v>3501.61</v>
      </c>
      <c r="E64" s="96">
        <f>D64*12</f>
        <v>42019.32</v>
      </c>
      <c r="F64" t="s">
        <v>123</v>
      </c>
    </row>
    <row r="65" spans="1:6">
      <c r="A65" s="92" t="s">
        <v>96</v>
      </c>
      <c r="B65" s="93">
        <f>COUNTIF('BQ-added-Data'!A:A,A65)</f>
        <v>2</v>
      </c>
      <c r="C65" s="94">
        <f>SUMIF('BQ-added-Data'!A:A,A65,'BQ-added-Data'!E:E)</f>
        <v>2285.0700000000002</v>
      </c>
      <c r="D65" s="95">
        <f>SUMIF('BQ-added-Data'!A:A,A65,'BQ-added-Data'!F:F)</f>
        <v>45.7</v>
      </c>
      <c r="E65" s="96">
        <f>D65*12</f>
        <v>548.40000000000009</v>
      </c>
      <c r="F65" t="s">
        <v>123</v>
      </c>
    </row>
    <row r="66" spans="1:6">
      <c r="A66" s="97" t="s">
        <v>124</v>
      </c>
      <c r="B66" s="98">
        <f>SUM(B62:B65)</f>
        <v>656</v>
      </c>
      <c r="C66" s="99">
        <f>SUM(C62:C65)</f>
        <v>223535.21999999994</v>
      </c>
      <c r="D66" s="100">
        <f>SUM(D62:D65)</f>
        <v>4470.5499999999993</v>
      </c>
      <c r="E66" s="101">
        <f>SUM(E62:E65)</f>
        <v>53646.599999999991</v>
      </c>
    </row>
    <row r="68" spans="1:6">
      <c r="A68" s="9" t="s">
        <v>125</v>
      </c>
    </row>
  </sheetData>
  <mergeCells count="2">
    <mergeCell ref="A38:C38"/>
    <mergeCell ref="A4:C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4"/>
  <sheetViews>
    <sheetView workbookViewId="0">
      <selection activeCell="D53" sqref="D53"/>
    </sheetView>
  </sheetViews>
  <sheetFormatPr defaultRowHeight="15"/>
  <cols>
    <col min="1" max="1" width="16.5703125" bestFit="1" customWidth="1"/>
    <col min="2" max="2" width="20.5703125" bestFit="1" customWidth="1"/>
    <col min="3" max="3" width="38.7109375" bestFit="1" customWidth="1"/>
    <col min="4" max="4" width="33.140625" bestFit="1" customWidth="1"/>
    <col min="5" max="5" width="12.85546875" customWidth="1"/>
    <col min="6" max="6" width="13.7109375" customWidth="1"/>
    <col min="7" max="7" width="23" customWidth="1"/>
    <col min="8" max="8" width="66.28515625" bestFit="1" customWidth="1"/>
    <col min="9" max="9" width="108.85546875" style="2" customWidth="1"/>
    <col min="10" max="10" width="127.28515625" style="2" customWidth="1"/>
    <col min="11" max="11" width="24.7109375" customWidth="1"/>
    <col min="12" max="12" width="61" customWidth="1"/>
  </cols>
  <sheetData>
    <row r="1" spans="1:12">
      <c r="A1" s="46" t="s">
        <v>126</v>
      </c>
      <c r="B1" s="46" t="s">
        <v>84</v>
      </c>
      <c r="C1" s="46" t="s">
        <v>99</v>
      </c>
      <c r="D1" s="46" t="s">
        <v>127</v>
      </c>
      <c r="E1" s="46" t="s">
        <v>128</v>
      </c>
      <c r="F1" s="46" t="s">
        <v>129</v>
      </c>
      <c r="G1" s="46" t="s">
        <v>130</v>
      </c>
      <c r="H1" s="46" t="s">
        <v>131</v>
      </c>
      <c r="I1" s="47" t="s">
        <v>132</v>
      </c>
      <c r="J1" s="47" t="s">
        <v>133</v>
      </c>
      <c r="K1" s="71" t="s">
        <v>103</v>
      </c>
      <c r="L1" s="71" t="s">
        <v>134</v>
      </c>
    </row>
    <row r="2" spans="1:12" ht="45.75" customHeight="1">
      <c r="A2" t="s">
        <v>135</v>
      </c>
      <c r="B2" t="s">
        <v>91</v>
      </c>
      <c r="C2" t="s">
        <v>136</v>
      </c>
      <c r="D2" t="s">
        <v>137</v>
      </c>
      <c r="E2">
        <v>6549</v>
      </c>
      <c r="F2">
        <v>105879.22</v>
      </c>
      <c r="G2">
        <v>2117.58</v>
      </c>
      <c r="H2" t="s">
        <v>138</v>
      </c>
      <c r="I2" s="2" t="s">
        <v>139</v>
      </c>
      <c r="J2" s="2" t="s">
        <v>140</v>
      </c>
      <c r="K2" t="str" cm="1">
        <f t="array" ref="K2">_xlfn.IFS(OR($C2="abtest_results",$C2="experimentation_sessions_colour_swatch"),"DROP CONFIRMED",OR($B2="thg-influencer",$B2="thg-ingenuity",$B2="thg-central-marketing",$B2="thg-seoclarity"),"HOLD",TRUE,"REVIEW")</f>
        <v>REVIEW</v>
      </c>
      <c r="L2" t="str" cm="1">
        <f t="array" ref="L2">_xlfn.IFS(OR($C2="abtest_results",$C2="experimentation_sessions_colour_swatch"),"Experimentation team — unused, deprecated format. Safe to drop.",OR($B2="thg-influencer",$B2="thg-ingenuity",$B2="thg-central-marketing",$B2="thg-seoclarity"),"HOLD — Charlie Stringer to review before deletion",TRUE,"")</f>
        <v/>
      </c>
    </row>
    <row r="3" spans="1:12" ht="45.75" customHeight="1">
      <c r="A3" t="s">
        <v>135</v>
      </c>
      <c r="B3" t="s">
        <v>89</v>
      </c>
      <c r="C3" t="s">
        <v>141</v>
      </c>
      <c r="D3" t="s">
        <v>142</v>
      </c>
      <c r="E3">
        <v>4627</v>
      </c>
      <c r="F3">
        <v>65273.34</v>
      </c>
      <c r="G3">
        <v>1305.47</v>
      </c>
      <c r="H3" t="s">
        <v>143</v>
      </c>
      <c r="I3" s="2" t="s">
        <v>144</v>
      </c>
      <c r="J3" s="2" t="s">
        <v>145</v>
      </c>
      <c r="K3" t="str" cm="1">
        <f t="array" ref="K3">_xlfn.IFS(OR($C3="abtest_results",$C3="experimentation_sessions_colour_swatch"),"DROP CONFIRMED",OR($B3="thg-influencer",$B3="thg-ingenuity",$B3="thg-central-marketing",$B3="thg-seoclarity"),"HOLD",TRUE,"REVIEW")</f>
        <v>REVIEW</v>
      </c>
      <c r="L3" t="str" cm="1">
        <f t="array" ref="L3">_xlfn.IFS(OR($C3="abtest_results",$C3="experimentation_sessions_colour_swatch"),"Experimentation team — unused, deprecated format. Safe to drop.",OR($B3="thg-influencer",$B3="thg-ingenuity",$B3="thg-central-marketing",$B3="thg-seoclarity"),"HOLD — Charlie Stringer to review before deletion",TRUE,"")</f>
        <v/>
      </c>
    </row>
    <row r="4" spans="1:12" s="48" customFormat="1" ht="45.75" customHeight="1">
      <c r="A4" s="48" t="s">
        <v>135</v>
      </c>
      <c r="B4" s="48" t="s">
        <v>90</v>
      </c>
      <c r="C4" s="48" t="s">
        <v>146</v>
      </c>
      <c r="D4" s="48" t="s">
        <v>147</v>
      </c>
      <c r="E4" s="48">
        <v>37993</v>
      </c>
      <c r="F4" s="48">
        <v>21960.2</v>
      </c>
      <c r="G4" s="48">
        <v>439.2</v>
      </c>
      <c r="H4" s="48" t="s">
        <v>148</v>
      </c>
      <c r="I4" s="49" t="s">
        <v>149</v>
      </c>
      <c r="J4" s="49" t="s">
        <v>150</v>
      </c>
      <c r="K4" s="48" t="str" cm="1">
        <f t="array" ref="K4">_xlfn.IFS(OR($C4="abtest_results",$C4="experimentation_sessions_colour_swatch"),"DROP CONFIRMED",OR($B4="thg-influencer",$B4="thg-ingenuity",$B4="thg-central-marketing",$B4="thg-seoclarity"),"HOLD",TRUE,"REVIEW")</f>
        <v>DROP CONFIRMED</v>
      </c>
      <c r="L4" s="48" t="str" cm="1">
        <f t="array" ref="L4">_xlfn.IFS(OR($C4="abtest_results",$C4="experimentation_sessions_colour_swatch"),"Experimentation team — unused, deprecated format. Safe to drop.",OR($B4="thg-influencer",$B4="thg-ingenuity",$B4="thg-central-marketing",$B4="thg-seoclarity"),"HOLD — Charlie Stringer to review before deletion",TRUE,"")</f>
        <v>Experimentation team — unused, deprecated format. Safe to drop.</v>
      </c>
    </row>
    <row r="5" spans="1:12" ht="45.75" customHeight="1">
      <c r="A5" t="s">
        <v>135</v>
      </c>
      <c r="B5" t="s">
        <v>89</v>
      </c>
      <c r="C5" t="s">
        <v>151</v>
      </c>
      <c r="D5" t="s">
        <v>152</v>
      </c>
      <c r="E5">
        <v>1960</v>
      </c>
      <c r="F5">
        <v>21579.93</v>
      </c>
      <c r="G5">
        <v>431.6</v>
      </c>
      <c r="H5" t="s">
        <v>153</v>
      </c>
      <c r="I5" s="2" t="s">
        <v>154</v>
      </c>
      <c r="J5" s="2" t="s">
        <v>155</v>
      </c>
      <c r="K5" t="str" cm="1">
        <f t="array" ref="K5">_xlfn.IFS(OR($C5="abtest_results",$C5="experimentation_sessions_colour_swatch"),"DROP CONFIRMED",OR($B5="thg-influencer",$B5="thg-ingenuity",$B5="thg-central-marketing",$B5="thg-seoclarity"),"HOLD",TRUE,"REVIEW")</f>
        <v>REVIEW</v>
      </c>
      <c r="L5" t="str" cm="1">
        <f t="array" ref="L5">_xlfn.IFS(OR($C5="abtest_results",$C5="experimentation_sessions_colour_swatch"),"Experimentation team — unused, deprecated format. Safe to drop.",OR($B5="thg-influencer",$B5="thg-ingenuity",$B5="thg-central-marketing",$B5="thg-seoclarity"),"HOLD — Charlie Stringer to review before deletion",TRUE,"")</f>
        <v/>
      </c>
    </row>
    <row r="6" spans="1:12" ht="45.75" customHeight="1">
      <c r="A6" t="s">
        <v>135</v>
      </c>
      <c r="B6" t="s">
        <v>89</v>
      </c>
      <c r="C6" t="s">
        <v>156</v>
      </c>
      <c r="D6" t="s">
        <v>157</v>
      </c>
      <c r="E6">
        <v>5210</v>
      </c>
      <c r="F6">
        <v>20085.740000000002</v>
      </c>
      <c r="G6">
        <v>401.71</v>
      </c>
      <c r="H6" t="s">
        <v>158</v>
      </c>
      <c r="I6" s="2" t="s">
        <v>159</v>
      </c>
      <c r="J6" s="2" t="s">
        <v>160</v>
      </c>
      <c r="K6" t="str" cm="1">
        <f t="array" ref="K6">_xlfn.IFS(OR($C6="abtest_results",$C6="experimentation_sessions_colour_swatch"),"DROP CONFIRMED",OR($B6="thg-influencer",$B6="thg-ingenuity",$B6="thg-central-marketing",$B6="thg-seoclarity"),"HOLD",TRUE,"REVIEW")</f>
        <v>REVIEW</v>
      </c>
      <c r="L6" t="str" cm="1">
        <f t="array" ref="L6">_xlfn.IFS(OR($C6="abtest_results",$C6="experimentation_sessions_colour_swatch"),"Experimentation team — unused, deprecated format. Safe to drop.",OR($B6="thg-influencer",$B6="thg-ingenuity",$B6="thg-central-marketing",$B6="thg-seoclarity"),"HOLD — Charlie Stringer to review before deletion",TRUE,"")</f>
        <v/>
      </c>
    </row>
    <row r="7" spans="1:12" ht="45.75" customHeight="1">
      <c r="A7" t="s">
        <v>135</v>
      </c>
      <c r="B7" t="s">
        <v>90</v>
      </c>
      <c r="C7" t="s">
        <v>161</v>
      </c>
      <c r="D7" t="s">
        <v>162</v>
      </c>
      <c r="E7">
        <v>3672</v>
      </c>
      <c r="F7">
        <v>18031.47</v>
      </c>
      <c r="G7">
        <v>360.63</v>
      </c>
      <c r="H7" t="s">
        <v>163</v>
      </c>
      <c r="I7" s="2" t="s">
        <v>164</v>
      </c>
      <c r="J7" s="2" t="s">
        <v>165</v>
      </c>
      <c r="K7" t="str" cm="1">
        <f t="array" ref="K7">_xlfn.IFS(OR($C7="abtest_results",$C7="experimentation_sessions_colour_swatch"),"DROP CONFIRMED",OR($B7="thg-influencer",$B7="thg-ingenuity",$B7="thg-central-marketing",$B7="thg-seoclarity"),"HOLD",TRUE,"REVIEW")</f>
        <v>REVIEW</v>
      </c>
      <c r="L7" t="str" cm="1">
        <f t="array" ref="L7">_xlfn.IFS(OR($C7="abtest_results",$C7="experimentation_sessions_colour_swatch"),"Experimentation team — unused, deprecated format. Safe to drop.",OR($B7="thg-influencer",$B7="thg-ingenuity",$B7="thg-central-marketing",$B7="thg-seoclarity"),"HOLD — Charlie Stringer to review before deletion",TRUE,"")</f>
        <v/>
      </c>
    </row>
    <row r="8" spans="1:12" ht="45.75" customHeight="1">
      <c r="A8" t="s">
        <v>135</v>
      </c>
      <c r="B8" t="s">
        <v>89</v>
      </c>
      <c r="C8" t="s">
        <v>166</v>
      </c>
      <c r="D8" t="s">
        <v>142</v>
      </c>
      <c r="E8">
        <v>3834</v>
      </c>
      <c r="F8">
        <v>17344.72</v>
      </c>
      <c r="G8">
        <v>346.89</v>
      </c>
      <c r="H8" t="s">
        <v>167</v>
      </c>
      <c r="I8" s="2" t="s">
        <v>168</v>
      </c>
      <c r="J8" s="2" t="s">
        <v>169</v>
      </c>
      <c r="K8" t="str" cm="1">
        <f t="array" ref="K8">_xlfn.IFS(OR($C8="abtest_results",$C8="experimentation_sessions_colour_swatch"),"DROP CONFIRMED",OR($B8="thg-influencer",$B8="thg-ingenuity",$B8="thg-central-marketing",$B8="thg-seoclarity"),"HOLD",TRUE,"REVIEW")</f>
        <v>REVIEW</v>
      </c>
      <c r="L8" t="str" cm="1">
        <f t="array" ref="L8">_xlfn.IFS(OR($C8="abtest_results",$C8="experimentation_sessions_colour_swatch"),"Experimentation team — unused, deprecated format. Safe to drop.",OR($B8="thg-influencer",$B8="thg-ingenuity",$B8="thg-central-marketing",$B8="thg-seoclarity"),"HOLD — Charlie Stringer to review before deletion",TRUE,"")</f>
        <v/>
      </c>
    </row>
    <row r="9" spans="1:12" ht="45.75" customHeight="1">
      <c r="A9" t="s">
        <v>135</v>
      </c>
      <c r="B9" t="s">
        <v>89</v>
      </c>
      <c r="C9" t="s">
        <v>170</v>
      </c>
      <c r="D9" t="s">
        <v>142</v>
      </c>
      <c r="E9">
        <v>1231</v>
      </c>
      <c r="F9">
        <v>15588.53</v>
      </c>
      <c r="G9">
        <v>311.77</v>
      </c>
      <c r="H9" t="s">
        <v>171</v>
      </c>
      <c r="I9" s="2" t="s">
        <v>172</v>
      </c>
      <c r="J9" s="2" t="s">
        <v>173</v>
      </c>
      <c r="K9" t="str" cm="1">
        <f t="array" ref="K9">_xlfn.IFS(OR($C9="abtest_results",$C9="experimentation_sessions_colour_swatch"),"DROP CONFIRMED",OR($B9="thg-influencer",$B9="thg-ingenuity",$B9="thg-central-marketing",$B9="thg-seoclarity"),"HOLD",TRUE,"REVIEW")</f>
        <v>REVIEW</v>
      </c>
      <c r="L9" t="str" cm="1">
        <f t="array" ref="L9">_xlfn.IFS(OR($C9="abtest_results",$C9="experimentation_sessions_colour_swatch"),"Experimentation team — unused, deprecated format. Safe to drop.",OR($B9="thg-influencer",$B9="thg-ingenuity",$B9="thg-central-marketing",$B9="thg-seoclarity"),"HOLD — Charlie Stringer to review before deletion",TRUE,"")</f>
        <v/>
      </c>
    </row>
    <row r="10" spans="1:12" ht="45.75" customHeight="1">
      <c r="A10" t="s">
        <v>135</v>
      </c>
      <c r="B10" t="s">
        <v>89</v>
      </c>
      <c r="C10" t="s">
        <v>174</v>
      </c>
      <c r="D10" t="s">
        <v>142</v>
      </c>
      <c r="E10">
        <v>3837</v>
      </c>
      <c r="F10">
        <v>11641.81</v>
      </c>
      <c r="G10">
        <v>232.84</v>
      </c>
      <c r="H10" t="s">
        <v>175</v>
      </c>
      <c r="I10" s="2" t="s">
        <v>176</v>
      </c>
      <c r="J10" s="2" t="s">
        <v>177</v>
      </c>
      <c r="K10" t="str" cm="1">
        <f t="array" ref="K10">_xlfn.IFS(OR($C10="abtest_results",$C10="experimentation_sessions_colour_swatch"),"DROP CONFIRMED",OR($B10="thg-influencer",$B10="thg-ingenuity",$B10="thg-central-marketing",$B10="thg-seoclarity"),"HOLD",TRUE,"REVIEW")</f>
        <v>REVIEW</v>
      </c>
      <c r="L10" t="str" cm="1">
        <f t="array" ref="L10">_xlfn.IFS(OR($C10="abtest_results",$C10="experimentation_sessions_colour_swatch"),"Experimentation team — unused, deprecated format. Safe to drop.",OR($B10="thg-influencer",$B10="thg-ingenuity",$B10="thg-central-marketing",$B10="thg-seoclarity"),"HOLD — Charlie Stringer to review before deletion",TRUE,"")</f>
        <v/>
      </c>
    </row>
    <row r="11" spans="1:12" ht="45.75" customHeight="1">
      <c r="A11" t="s">
        <v>135</v>
      </c>
      <c r="B11" t="s">
        <v>89</v>
      </c>
      <c r="C11" t="s">
        <v>178</v>
      </c>
      <c r="D11" t="s">
        <v>179</v>
      </c>
      <c r="E11">
        <v>260</v>
      </c>
      <c r="F11">
        <v>11047.96</v>
      </c>
      <c r="G11">
        <v>220.96</v>
      </c>
      <c r="H11" t="s">
        <v>180</v>
      </c>
      <c r="I11" s="2" t="s">
        <v>181</v>
      </c>
      <c r="J11" s="2" t="s">
        <v>182</v>
      </c>
      <c r="K11" t="str" cm="1">
        <f t="array" ref="K11">_xlfn.IFS(OR($C11="abtest_results",$C11="experimentation_sessions_colour_swatch"),"DROP CONFIRMED",OR($B11="thg-influencer",$B11="thg-ingenuity",$B11="thg-central-marketing",$B11="thg-seoclarity"),"HOLD",TRUE,"REVIEW")</f>
        <v>REVIEW</v>
      </c>
      <c r="L11" t="str" cm="1">
        <f t="array" ref="L11">_xlfn.IFS(OR($C11="abtest_results",$C11="experimentation_sessions_colour_swatch"),"Experimentation team — unused, deprecated format. Safe to drop.",OR($B11="thg-influencer",$B11="thg-ingenuity",$B11="thg-central-marketing",$B11="thg-seoclarity"),"HOLD — Charlie Stringer to review before deletion",TRUE,"")</f>
        <v/>
      </c>
    </row>
    <row r="12" spans="1:12" ht="45.75" customHeight="1">
      <c r="A12" t="s">
        <v>135</v>
      </c>
      <c r="B12" t="s">
        <v>90</v>
      </c>
      <c r="C12" t="s">
        <v>183</v>
      </c>
      <c r="D12" t="s">
        <v>184</v>
      </c>
      <c r="E12">
        <v>335</v>
      </c>
      <c r="F12">
        <v>10315.790000000001</v>
      </c>
      <c r="G12">
        <v>206.32</v>
      </c>
      <c r="H12" t="s">
        <v>185</v>
      </c>
      <c r="I12" s="2" t="s">
        <v>186</v>
      </c>
      <c r="J12" s="2" t="s">
        <v>187</v>
      </c>
      <c r="K12" t="str" cm="1">
        <f t="array" ref="K12">_xlfn.IFS(OR($C12="abtest_results",$C12="experimentation_sessions_colour_swatch"),"DROP CONFIRMED",OR($B12="thg-influencer",$B12="thg-ingenuity",$B12="thg-central-marketing",$B12="thg-seoclarity"),"HOLD",TRUE,"REVIEW")</f>
        <v>REVIEW</v>
      </c>
      <c r="L12" t="str" cm="1">
        <f t="array" ref="L12">_xlfn.IFS(OR($C12="abtest_results",$C12="experimentation_sessions_colour_swatch"),"Experimentation team — unused, deprecated format. Safe to drop.",OR($B12="thg-influencer",$B12="thg-ingenuity",$B12="thg-central-marketing",$B12="thg-seoclarity"),"HOLD — Charlie Stringer to review before deletion",TRUE,"")</f>
        <v/>
      </c>
    </row>
    <row r="13" spans="1:12" ht="45.75" customHeight="1">
      <c r="A13" t="s">
        <v>135</v>
      </c>
      <c r="B13" t="s">
        <v>90</v>
      </c>
      <c r="C13" t="s">
        <v>188</v>
      </c>
      <c r="D13" t="s">
        <v>157</v>
      </c>
      <c r="E13">
        <v>5360</v>
      </c>
      <c r="F13">
        <v>8843.08</v>
      </c>
      <c r="G13">
        <v>176.86</v>
      </c>
      <c r="H13" t="s">
        <v>189</v>
      </c>
      <c r="I13" s="2" t="s">
        <v>190</v>
      </c>
      <c r="J13" s="2" t="s">
        <v>191</v>
      </c>
      <c r="K13" t="str" cm="1">
        <f t="array" ref="K13">_xlfn.IFS(OR($C13="abtest_results",$C13="experimentation_sessions_colour_swatch"),"DROP CONFIRMED",OR($B13="thg-influencer",$B13="thg-ingenuity",$B13="thg-central-marketing",$B13="thg-seoclarity"),"HOLD",TRUE,"REVIEW")</f>
        <v>REVIEW</v>
      </c>
      <c r="L13" t="str" cm="1">
        <f t="array" ref="L13">_xlfn.IFS(OR($C13="abtest_results",$C13="experimentation_sessions_colour_swatch"),"Experimentation team — unused, deprecated format. Safe to drop.",OR($B13="thg-influencer",$B13="thg-ingenuity",$B13="thg-central-marketing",$B13="thg-seoclarity"),"HOLD — Charlie Stringer to review before deletion",TRUE,"")</f>
        <v/>
      </c>
    </row>
    <row r="14" spans="1:12" ht="45.75" customHeight="1">
      <c r="A14" t="s">
        <v>135</v>
      </c>
      <c r="B14" t="s">
        <v>89</v>
      </c>
      <c r="C14" t="s">
        <v>192</v>
      </c>
      <c r="D14" t="s">
        <v>193</v>
      </c>
      <c r="E14">
        <v>2374</v>
      </c>
      <c r="F14">
        <v>8510.5499999999993</v>
      </c>
      <c r="G14">
        <v>170.21</v>
      </c>
      <c r="H14" t="s">
        <v>194</v>
      </c>
      <c r="I14" s="2" t="s">
        <v>195</v>
      </c>
      <c r="J14" s="2" t="s">
        <v>196</v>
      </c>
      <c r="K14" t="str" cm="1">
        <f t="array" ref="K14">_xlfn.IFS(OR($C14="abtest_results",$C14="experimentation_sessions_colour_swatch"),"DROP CONFIRMED",OR($B14="thg-influencer",$B14="thg-ingenuity",$B14="thg-central-marketing",$B14="thg-seoclarity"),"HOLD",TRUE,"REVIEW")</f>
        <v>REVIEW</v>
      </c>
      <c r="L14" t="str" cm="1">
        <f t="array" ref="L14">_xlfn.IFS(OR($C14="abtest_results",$C14="experimentation_sessions_colour_swatch"),"Experimentation team — unused, deprecated format. Safe to drop.",OR($B14="thg-influencer",$B14="thg-ingenuity",$B14="thg-central-marketing",$B14="thg-seoclarity"),"HOLD — Charlie Stringer to review before deletion",TRUE,"")</f>
        <v/>
      </c>
    </row>
    <row r="15" spans="1:12" ht="45.75" customHeight="1">
      <c r="A15" t="s">
        <v>135</v>
      </c>
      <c r="B15" t="s">
        <v>89</v>
      </c>
      <c r="C15" t="s">
        <v>197</v>
      </c>
      <c r="D15" t="s">
        <v>198</v>
      </c>
      <c r="E15">
        <v>1074</v>
      </c>
      <c r="F15">
        <v>6813.38</v>
      </c>
      <c r="G15">
        <v>136.27000000000001</v>
      </c>
      <c r="H15" t="s">
        <v>199</v>
      </c>
      <c r="I15" s="2" t="s">
        <v>200</v>
      </c>
      <c r="J15" s="2" t="s">
        <v>201</v>
      </c>
      <c r="K15" t="str" cm="1">
        <f t="array" ref="K15">_xlfn.IFS(OR($C15="abtest_results",$C15="experimentation_sessions_colour_swatch"),"DROP CONFIRMED",OR($B15="thg-influencer",$B15="thg-ingenuity",$B15="thg-central-marketing",$B15="thg-seoclarity"),"HOLD",TRUE,"REVIEW")</f>
        <v>REVIEW</v>
      </c>
      <c r="L15" t="str" cm="1">
        <f t="array" ref="L15">_xlfn.IFS(OR($C15="abtest_results",$C15="experimentation_sessions_colour_swatch"),"Experimentation team — unused, deprecated format. Safe to drop.",OR($B15="thg-influencer",$B15="thg-ingenuity",$B15="thg-central-marketing",$B15="thg-seoclarity"),"HOLD — Charlie Stringer to review before deletion",TRUE,"")</f>
        <v/>
      </c>
    </row>
    <row r="16" spans="1:12" ht="45.75" customHeight="1">
      <c r="A16" t="s">
        <v>135</v>
      </c>
      <c r="B16" t="s">
        <v>89</v>
      </c>
      <c r="C16" t="s">
        <v>202</v>
      </c>
      <c r="D16" t="s">
        <v>142</v>
      </c>
      <c r="E16">
        <v>2813</v>
      </c>
      <c r="F16">
        <v>6330.22</v>
      </c>
      <c r="G16">
        <v>126.6</v>
      </c>
      <c r="H16" t="s">
        <v>203</v>
      </c>
      <c r="I16" s="2" t="s">
        <v>204</v>
      </c>
      <c r="J16" s="2" t="s">
        <v>205</v>
      </c>
      <c r="K16" t="str" cm="1">
        <f t="array" ref="K16">_xlfn.IFS(OR($C16="abtest_results",$C16="experimentation_sessions_colour_swatch"),"DROP CONFIRMED",OR($B16="thg-influencer",$B16="thg-ingenuity",$B16="thg-central-marketing",$B16="thg-seoclarity"),"HOLD",TRUE,"REVIEW")</f>
        <v>REVIEW</v>
      </c>
      <c r="L16" t="str" cm="1">
        <f t="array" ref="L16">_xlfn.IFS(OR($C16="abtest_results",$C16="experimentation_sessions_colour_swatch"),"Experimentation team — unused, deprecated format. Safe to drop.",OR($B16="thg-influencer",$B16="thg-ingenuity",$B16="thg-central-marketing",$B16="thg-seoclarity"),"HOLD — Charlie Stringer to review before deletion",TRUE,"")</f>
        <v/>
      </c>
    </row>
    <row r="17" spans="1:12" ht="45.75" customHeight="1">
      <c r="A17" t="s">
        <v>135</v>
      </c>
      <c r="B17" t="s">
        <v>89</v>
      </c>
      <c r="C17" t="s">
        <v>206</v>
      </c>
      <c r="D17" t="s">
        <v>207</v>
      </c>
      <c r="E17">
        <v>9377</v>
      </c>
      <c r="F17">
        <v>6249</v>
      </c>
      <c r="G17">
        <v>124.98</v>
      </c>
      <c r="H17" t="s">
        <v>208</v>
      </c>
      <c r="I17" s="2" t="s">
        <v>209</v>
      </c>
      <c r="J17" s="2" t="s">
        <v>210</v>
      </c>
      <c r="K17" t="str" cm="1">
        <f t="array" ref="K17">_xlfn.IFS(OR($C17="abtest_results",$C17="experimentation_sessions_colour_swatch"),"DROP CONFIRMED",OR($B17="thg-influencer",$B17="thg-ingenuity",$B17="thg-central-marketing",$B17="thg-seoclarity"),"HOLD",TRUE,"REVIEW")</f>
        <v>REVIEW</v>
      </c>
      <c r="L17" t="str" cm="1">
        <f t="array" ref="L17">_xlfn.IFS(OR($C17="abtest_results",$C17="experimentation_sessions_colour_swatch"),"Experimentation team — unused, deprecated format. Safe to drop.",OR($B17="thg-influencer",$B17="thg-ingenuity",$B17="thg-central-marketing",$B17="thg-seoclarity"),"HOLD — Charlie Stringer to review before deletion",TRUE,"")</f>
        <v/>
      </c>
    </row>
    <row r="18" spans="1:12" ht="45.75" customHeight="1">
      <c r="A18" t="s">
        <v>135</v>
      </c>
      <c r="B18" t="s">
        <v>91</v>
      </c>
      <c r="C18" t="s">
        <v>211</v>
      </c>
      <c r="D18" t="s">
        <v>212</v>
      </c>
      <c r="E18">
        <v>4256</v>
      </c>
      <c r="F18">
        <v>6163.66</v>
      </c>
      <c r="G18">
        <v>123.27</v>
      </c>
      <c r="H18" t="s">
        <v>213</v>
      </c>
      <c r="I18" s="2" t="s">
        <v>214</v>
      </c>
      <c r="J18" s="2" t="s">
        <v>215</v>
      </c>
      <c r="K18" t="str" cm="1">
        <f t="array" ref="K18">_xlfn.IFS(OR($C18="abtest_results",$C18="experimentation_sessions_colour_swatch"),"DROP CONFIRMED",OR($B18="thg-influencer",$B18="thg-ingenuity",$B18="thg-central-marketing",$B18="thg-seoclarity"),"HOLD",TRUE,"REVIEW")</f>
        <v>REVIEW</v>
      </c>
      <c r="L18" t="str" cm="1">
        <f t="array" ref="L18">_xlfn.IFS(OR($C18="abtest_results",$C18="experimentation_sessions_colour_swatch"),"Experimentation team — unused, deprecated format. Safe to drop.",OR($B18="thg-influencer",$B18="thg-ingenuity",$B18="thg-central-marketing",$B18="thg-seoclarity"),"HOLD — Charlie Stringer to review before deletion",TRUE,"")</f>
        <v/>
      </c>
    </row>
    <row r="19" spans="1:12" ht="45.75" customHeight="1">
      <c r="A19" t="s">
        <v>135</v>
      </c>
      <c r="B19" t="s">
        <v>89</v>
      </c>
      <c r="C19" t="s">
        <v>216</v>
      </c>
      <c r="D19" t="s">
        <v>217</v>
      </c>
      <c r="E19">
        <v>52</v>
      </c>
      <c r="F19">
        <v>5686.31</v>
      </c>
      <c r="G19">
        <v>113.73</v>
      </c>
      <c r="H19" t="s">
        <v>218</v>
      </c>
      <c r="I19" s="2" t="s">
        <v>219</v>
      </c>
      <c r="J19" s="2" t="s">
        <v>220</v>
      </c>
      <c r="K19" t="str" cm="1">
        <f t="array" ref="K19">_xlfn.IFS(OR($C19="abtest_results",$C19="experimentation_sessions_colour_swatch"),"DROP CONFIRMED",OR($B19="thg-influencer",$B19="thg-ingenuity",$B19="thg-central-marketing",$B19="thg-seoclarity"),"HOLD",TRUE,"REVIEW")</f>
        <v>REVIEW</v>
      </c>
      <c r="L19" t="str" cm="1">
        <f t="array" ref="L19">_xlfn.IFS(OR($C19="abtest_results",$C19="experimentation_sessions_colour_swatch"),"Experimentation team — unused, deprecated format. Safe to drop.",OR($B19="thg-influencer",$B19="thg-ingenuity",$B19="thg-central-marketing",$B19="thg-seoclarity"),"HOLD — Charlie Stringer to review before deletion",TRUE,"")</f>
        <v/>
      </c>
    </row>
    <row r="20" spans="1:12" ht="45.75" customHeight="1">
      <c r="A20" t="s">
        <v>135</v>
      </c>
      <c r="B20" t="s">
        <v>89</v>
      </c>
      <c r="C20" t="s">
        <v>221</v>
      </c>
      <c r="D20" t="s">
        <v>142</v>
      </c>
      <c r="E20">
        <v>3836</v>
      </c>
      <c r="F20">
        <v>4422.38</v>
      </c>
      <c r="G20">
        <v>88.45</v>
      </c>
      <c r="H20" t="s">
        <v>222</v>
      </c>
      <c r="I20" s="2" t="s">
        <v>223</v>
      </c>
      <c r="J20" s="2" t="s">
        <v>224</v>
      </c>
      <c r="K20" t="str" cm="1">
        <f t="array" ref="K20">_xlfn.IFS(OR($C20="abtest_results",$C20="experimentation_sessions_colour_swatch"),"DROP CONFIRMED",OR($B20="thg-influencer",$B20="thg-ingenuity",$B20="thg-central-marketing",$B20="thg-seoclarity"),"HOLD",TRUE,"REVIEW")</f>
        <v>REVIEW</v>
      </c>
      <c r="L20" t="str" cm="1">
        <f t="array" ref="L20">_xlfn.IFS(OR($C20="abtest_results",$C20="experimentation_sessions_colour_swatch"),"Experimentation team — unused, deprecated format. Safe to drop.",OR($B20="thg-influencer",$B20="thg-ingenuity",$B20="thg-central-marketing",$B20="thg-seoclarity"),"HOLD — Charlie Stringer to review before deletion",TRUE,"")</f>
        <v/>
      </c>
    </row>
    <row r="21" spans="1:12" ht="45.75" customHeight="1">
      <c r="A21" t="s">
        <v>135</v>
      </c>
      <c r="B21" t="s">
        <v>89</v>
      </c>
      <c r="C21" t="s">
        <v>225</v>
      </c>
      <c r="D21" t="s">
        <v>142</v>
      </c>
      <c r="E21">
        <v>1005</v>
      </c>
      <c r="F21">
        <v>4325.4799999999996</v>
      </c>
      <c r="G21">
        <v>86.51</v>
      </c>
      <c r="H21" t="s">
        <v>226</v>
      </c>
      <c r="I21" s="2" t="s">
        <v>227</v>
      </c>
      <c r="J21" s="2" t="s">
        <v>228</v>
      </c>
      <c r="K21" t="str" cm="1">
        <f t="array" ref="K21">_xlfn.IFS(OR($C21="abtest_results",$C21="experimentation_sessions_colour_swatch"),"DROP CONFIRMED",OR($B21="thg-influencer",$B21="thg-ingenuity",$B21="thg-central-marketing",$B21="thg-seoclarity"),"HOLD",TRUE,"REVIEW")</f>
        <v>REVIEW</v>
      </c>
      <c r="L21" t="str" cm="1">
        <f t="array" ref="L21">_xlfn.IFS(OR($C21="abtest_results",$C21="experimentation_sessions_colour_swatch"),"Experimentation team — unused, deprecated format. Safe to drop.",OR($B21="thg-influencer",$B21="thg-ingenuity",$B21="thg-central-marketing",$B21="thg-seoclarity"),"HOLD — Charlie Stringer to review before deletion",TRUE,"")</f>
        <v/>
      </c>
    </row>
    <row r="22" spans="1:12" ht="45.75" customHeight="1">
      <c r="A22" t="s">
        <v>135</v>
      </c>
      <c r="B22" t="s">
        <v>89</v>
      </c>
      <c r="C22" t="s">
        <v>229</v>
      </c>
      <c r="D22" t="s">
        <v>230</v>
      </c>
      <c r="E22">
        <v>2004</v>
      </c>
      <c r="F22">
        <v>3863.79</v>
      </c>
      <c r="G22">
        <v>77.28</v>
      </c>
      <c r="H22" t="s">
        <v>231</v>
      </c>
      <c r="I22" s="2" t="s">
        <v>232</v>
      </c>
      <c r="J22" s="2" t="s">
        <v>233</v>
      </c>
      <c r="K22" t="str" cm="1">
        <f t="array" ref="K22">_xlfn.IFS(OR($C22="abtest_results",$C22="experimentation_sessions_colour_swatch"),"DROP CONFIRMED",OR($B22="thg-influencer",$B22="thg-ingenuity",$B22="thg-central-marketing",$B22="thg-seoclarity"),"HOLD",TRUE,"REVIEW")</f>
        <v>REVIEW</v>
      </c>
      <c r="L22" t="str" cm="1">
        <f t="array" ref="L22">_xlfn.IFS(OR($C22="abtest_results",$C22="experimentation_sessions_colour_swatch"),"Experimentation team — unused, deprecated format. Safe to drop.",OR($B22="thg-influencer",$B22="thg-ingenuity",$B22="thg-central-marketing",$B22="thg-seoclarity"),"HOLD — Charlie Stringer to review before deletion",TRUE,"")</f>
        <v/>
      </c>
    </row>
    <row r="23" spans="1:12" ht="45.75" customHeight="1">
      <c r="A23" t="s">
        <v>135</v>
      </c>
      <c r="B23" t="s">
        <v>89</v>
      </c>
      <c r="C23" t="s">
        <v>234</v>
      </c>
      <c r="D23" t="s">
        <v>142</v>
      </c>
      <c r="E23">
        <v>1088</v>
      </c>
      <c r="F23">
        <v>3254.43</v>
      </c>
      <c r="G23">
        <v>65.09</v>
      </c>
      <c r="H23" t="s">
        <v>235</v>
      </c>
      <c r="I23" s="2" t="s">
        <v>236</v>
      </c>
      <c r="J23" s="2" t="s">
        <v>237</v>
      </c>
      <c r="K23" t="str" cm="1">
        <f t="array" ref="K23">_xlfn.IFS(OR($C23="abtest_results",$C23="experimentation_sessions_colour_swatch"),"DROP CONFIRMED",OR($B23="thg-influencer",$B23="thg-ingenuity",$B23="thg-central-marketing",$B23="thg-seoclarity"),"HOLD",TRUE,"REVIEW")</f>
        <v>REVIEW</v>
      </c>
      <c r="L23" t="str" cm="1">
        <f t="array" ref="L23">_xlfn.IFS(OR($C23="abtest_results",$C23="experimentation_sessions_colour_swatch"),"Experimentation team — unused, deprecated format. Safe to drop.",OR($B23="thg-influencer",$B23="thg-ingenuity",$B23="thg-central-marketing",$B23="thg-seoclarity"),"HOLD — Charlie Stringer to review before deletion",TRUE,"")</f>
        <v/>
      </c>
    </row>
    <row r="24" spans="1:12" ht="45.75" customHeight="1">
      <c r="A24" t="s">
        <v>135</v>
      </c>
      <c r="B24" t="s">
        <v>89</v>
      </c>
      <c r="C24" t="s">
        <v>238</v>
      </c>
      <c r="D24" t="s">
        <v>142</v>
      </c>
      <c r="E24">
        <v>3834</v>
      </c>
      <c r="F24">
        <v>3192.07</v>
      </c>
      <c r="G24">
        <v>63.84</v>
      </c>
      <c r="H24" t="s">
        <v>239</v>
      </c>
      <c r="I24" s="2" t="s">
        <v>240</v>
      </c>
      <c r="J24" s="2" t="s">
        <v>241</v>
      </c>
      <c r="K24" t="str" cm="1">
        <f t="array" ref="K24">_xlfn.IFS(OR($C24="abtest_results",$C24="experimentation_sessions_colour_swatch"),"DROP CONFIRMED",OR($B24="thg-influencer",$B24="thg-ingenuity",$B24="thg-central-marketing",$B24="thg-seoclarity"),"HOLD",TRUE,"REVIEW")</f>
        <v>REVIEW</v>
      </c>
      <c r="L24" t="str" cm="1">
        <f t="array" ref="L24">_xlfn.IFS(OR($C24="abtest_results",$C24="experimentation_sessions_colour_swatch"),"Experimentation team — unused, deprecated format. Safe to drop.",OR($B24="thg-influencer",$B24="thg-ingenuity",$B24="thg-central-marketing",$B24="thg-seoclarity"),"HOLD — Charlie Stringer to review before deletion",TRUE,"")</f>
        <v/>
      </c>
    </row>
    <row r="25" spans="1:12" ht="45.75" customHeight="1">
      <c r="A25" t="s">
        <v>135</v>
      </c>
      <c r="B25" t="s">
        <v>89</v>
      </c>
      <c r="C25" t="s">
        <v>242</v>
      </c>
      <c r="D25" t="s">
        <v>142</v>
      </c>
      <c r="E25">
        <v>3835</v>
      </c>
      <c r="F25">
        <v>3041.98</v>
      </c>
      <c r="G25">
        <v>60.84</v>
      </c>
      <c r="H25" t="s">
        <v>243</v>
      </c>
      <c r="I25" s="2" t="s">
        <v>244</v>
      </c>
      <c r="J25" s="2" t="s">
        <v>245</v>
      </c>
      <c r="K25" t="str" cm="1">
        <f t="array" ref="K25">_xlfn.IFS(OR($C25="abtest_results",$C25="experimentation_sessions_colour_swatch"),"DROP CONFIRMED",OR($B25="thg-influencer",$B25="thg-ingenuity",$B25="thg-central-marketing",$B25="thg-seoclarity"),"HOLD",TRUE,"REVIEW")</f>
        <v>REVIEW</v>
      </c>
      <c r="L25" t="str" cm="1">
        <f t="array" ref="L25">_xlfn.IFS(OR($C25="abtest_results",$C25="experimentation_sessions_colour_swatch"),"Experimentation team — unused, deprecated format. Safe to drop.",OR($B25="thg-influencer",$B25="thg-ingenuity",$B25="thg-central-marketing",$B25="thg-seoclarity"),"HOLD — Charlie Stringer to review before deletion",TRUE,"")</f>
        <v/>
      </c>
    </row>
    <row r="26" spans="1:12" ht="45.75" customHeight="1">
      <c r="A26" t="s">
        <v>135</v>
      </c>
      <c r="B26" t="s">
        <v>89</v>
      </c>
      <c r="C26" t="s">
        <v>246</v>
      </c>
      <c r="D26" t="s">
        <v>142</v>
      </c>
      <c r="E26">
        <v>1164</v>
      </c>
      <c r="F26">
        <v>2997.05</v>
      </c>
      <c r="G26">
        <v>59.94</v>
      </c>
      <c r="H26" t="s">
        <v>247</v>
      </c>
      <c r="I26" s="2" t="s">
        <v>248</v>
      </c>
      <c r="J26" s="2" t="s">
        <v>249</v>
      </c>
      <c r="K26" t="str" cm="1">
        <f t="array" ref="K26">_xlfn.IFS(OR($C26="abtest_results",$C26="experimentation_sessions_colour_swatch"),"DROP CONFIRMED",OR($B26="thg-influencer",$B26="thg-ingenuity",$B26="thg-central-marketing",$B26="thg-seoclarity"),"HOLD",TRUE,"REVIEW")</f>
        <v>REVIEW</v>
      </c>
      <c r="L26" t="str" cm="1">
        <f t="array" ref="L26">_xlfn.IFS(OR($C26="abtest_results",$C26="experimentation_sessions_colour_swatch"),"Experimentation team — unused, deprecated format. Safe to drop.",OR($B26="thg-influencer",$B26="thg-ingenuity",$B26="thg-central-marketing",$B26="thg-seoclarity"),"HOLD — Charlie Stringer to review before deletion",TRUE,"")</f>
        <v/>
      </c>
    </row>
    <row r="27" spans="1:12" ht="45.75" customHeight="1">
      <c r="A27" t="s">
        <v>135</v>
      </c>
      <c r="B27" t="s">
        <v>89</v>
      </c>
      <c r="C27" t="s">
        <v>250</v>
      </c>
      <c r="D27" t="s">
        <v>142</v>
      </c>
      <c r="E27">
        <v>3835</v>
      </c>
      <c r="F27">
        <v>2963.13</v>
      </c>
      <c r="G27">
        <v>59.26</v>
      </c>
      <c r="H27" t="s">
        <v>251</v>
      </c>
      <c r="I27" s="2" t="s">
        <v>252</v>
      </c>
      <c r="J27" s="2" t="s">
        <v>253</v>
      </c>
      <c r="K27" t="str" cm="1">
        <f t="array" ref="K27">_xlfn.IFS(OR($C27="abtest_results",$C27="experimentation_sessions_colour_swatch"),"DROP CONFIRMED",OR($B27="thg-influencer",$B27="thg-ingenuity",$B27="thg-central-marketing",$B27="thg-seoclarity"),"HOLD",TRUE,"REVIEW")</f>
        <v>REVIEW</v>
      </c>
      <c r="L27" t="str" cm="1">
        <f t="array" ref="L27">_xlfn.IFS(OR($C27="abtest_results",$C27="experimentation_sessions_colour_swatch"),"Experimentation team — unused, deprecated format. Safe to drop.",OR($B27="thg-influencer",$B27="thg-ingenuity",$B27="thg-central-marketing",$B27="thg-seoclarity"),"HOLD — Charlie Stringer to review before deletion",TRUE,"")</f>
        <v/>
      </c>
    </row>
    <row r="28" spans="1:12" ht="45.75" customHeight="1">
      <c r="A28" t="s">
        <v>135</v>
      </c>
      <c r="B28" t="s">
        <v>89</v>
      </c>
      <c r="C28" t="s">
        <v>254</v>
      </c>
      <c r="D28" t="s">
        <v>142</v>
      </c>
      <c r="E28">
        <v>3835</v>
      </c>
      <c r="F28">
        <v>2730.9</v>
      </c>
      <c r="G28">
        <v>54.62</v>
      </c>
      <c r="H28" t="s">
        <v>255</v>
      </c>
      <c r="I28" s="2" t="s">
        <v>256</v>
      </c>
      <c r="J28" s="2" t="s">
        <v>257</v>
      </c>
      <c r="K28" t="str" cm="1">
        <f t="array" ref="K28">_xlfn.IFS(OR($C28="abtest_results",$C28="experimentation_sessions_colour_swatch"),"DROP CONFIRMED",OR($B28="thg-influencer",$B28="thg-ingenuity",$B28="thg-central-marketing",$B28="thg-seoclarity"),"HOLD",TRUE,"REVIEW")</f>
        <v>REVIEW</v>
      </c>
      <c r="L28" t="str" cm="1">
        <f t="array" ref="L28">_xlfn.IFS(OR($C28="abtest_results",$C28="experimentation_sessions_colour_swatch"),"Experimentation team — unused, deprecated format. Safe to drop.",OR($B28="thg-influencer",$B28="thg-ingenuity",$B28="thg-central-marketing",$B28="thg-seoclarity"),"HOLD — Charlie Stringer to review before deletion",TRUE,"")</f>
        <v/>
      </c>
    </row>
    <row r="29" spans="1:12" ht="45.75" customHeight="1">
      <c r="A29" t="s">
        <v>135</v>
      </c>
      <c r="B29" t="s">
        <v>90</v>
      </c>
      <c r="C29" t="s">
        <v>258</v>
      </c>
      <c r="D29" t="s">
        <v>259</v>
      </c>
      <c r="E29">
        <v>822</v>
      </c>
      <c r="F29">
        <v>2402.54</v>
      </c>
      <c r="G29">
        <v>48.05</v>
      </c>
      <c r="H29" t="s">
        <v>260</v>
      </c>
      <c r="I29" s="2" t="s">
        <v>261</v>
      </c>
      <c r="J29" s="2" t="s">
        <v>262</v>
      </c>
      <c r="K29" t="str" cm="1">
        <f t="array" ref="K29">_xlfn.IFS(OR($C29="abtest_results",$C29="experimentation_sessions_colour_swatch"),"DROP CONFIRMED",OR($B29="thg-influencer",$B29="thg-ingenuity",$B29="thg-central-marketing",$B29="thg-seoclarity"),"HOLD",TRUE,"REVIEW")</f>
        <v>REVIEW</v>
      </c>
      <c r="L29" t="str" cm="1">
        <f t="array" ref="L29">_xlfn.IFS(OR($C29="abtest_results",$C29="experimentation_sessions_colour_swatch"),"Experimentation team — unused, deprecated format. Safe to drop.",OR($B29="thg-influencer",$B29="thg-ingenuity",$B29="thg-central-marketing",$B29="thg-seoclarity"),"HOLD — Charlie Stringer to review before deletion",TRUE,"")</f>
        <v/>
      </c>
    </row>
    <row r="30" spans="1:12" ht="45.75" customHeight="1">
      <c r="A30" t="s">
        <v>135</v>
      </c>
      <c r="B30" t="s">
        <v>89</v>
      </c>
      <c r="C30" t="s">
        <v>263</v>
      </c>
      <c r="D30" t="s">
        <v>142</v>
      </c>
      <c r="E30">
        <v>3834</v>
      </c>
      <c r="F30">
        <v>2238.73</v>
      </c>
      <c r="G30">
        <v>44.77</v>
      </c>
      <c r="H30" t="s">
        <v>264</v>
      </c>
      <c r="I30" s="2" t="s">
        <v>265</v>
      </c>
      <c r="J30" s="2" t="s">
        <v>266</v>
      </c>
      <c r="K30" t="str" cm="1">
        <f t="array" ref="K30">_xlfn.IFS(OR($C30="abtest_results",$C30="experimentation_sessions_colour_swatch"),"DROP CONFIRMED",OR($B30="thg-influencer",$B30="thg-ingenuity",$B30="thg-central-marketing",$B30="thg-seoclarity"),"HOLD",TRUE,"REVIEW")</f>
        <v>REVIEW</v>
      </c>
      <c r="L30" t="str" cm="1">
        <f t="array" ref="L30">_xlfn.IFS(OR($C30="abtest_results",$C30="experimentation_sessions_colour_swatch"),"Experimentation team — unused, deprecated format. Safe to drop.",OR($B30="thg-influencer",$B30="thg-ingenuity",$B30="thg-central-marketing",$B30="thg-seoclarity"),"HOLD — Charlie Stringer to review before deletion",TRUE,"")</f>
        <v/>
      </c>
    </row>
    <row r="31" spans="1:12" ht="45.75" customHeight="1">
      <c r="A31" t="s">
        <v>135</v>
      </c>
      <c r="B31" t="s">
        <v>91</v>
      </c>
      <c r="C31" t="s">
        <v>267</v>
      </c>
      <c r="D31" t="s">
        <v>268</v>
      </c>
      <c r="E31">
        <v>1321</v>
      </c>
      <c r="F31">
        <v>2144.3000000000002</v>
      </c>
      <c r="G31">
        <v>42.89</v>
      </c>
      <c r="H31" t="s">
        <v>269</v>
      </c>
      <c r="I31" s="2" t="s">
        <v>270</v>
      </c>
      <c r="J31" s="2" t="s">
        <v>271</v>
      </c>
      <c r="K31" t="str" cm="1">
        <f t="array" ref="K31">_xlfn.IFS(OR($C31="abtest_results",$C31="experimentation_sessions_colour_swatch"),"DROP CONFIRMED",OR($B31="thg-influencer",$B31="thg-ingenuity",$B31="thg-central-marketing",$B31="thg-seoclarity"),"HOLD",TRUE,"REVIEW")</f>
        <v>REVIEW</v>
      </c>
      <c r="L31" t="str" cm="1">
        <f t="array" ref="L31">_xlfn.IFS(OR($C31="abtest_results",$C31="experimentation_sessions_colour_swatch"),"Experimentation team — unused, deprecated format. Safe to drop.",OR($B31="thg-influencer",$B31="thg-ingenuity",$B31="thg-central-marketing",$B31="thg-seoclarity"),"HOLD — Charlie Stringer to review before deletion",TRUE,"")</f>
        <v/>
      </c>
    </row>
    <row r="32" spans="1:12" ht="45.75" customHeight="1">
      <c r="A32" t="s">
        <v>135</v>
      </c>
      <c r="B32" t="s">
        <v>89</v>
      </c>
      <c r="C32" t="s">
        <v>272</v>
      </c>
      <c r="D32" t="s">
        <v>142</v>
      </c>
      <c r="E32">
        <v>1680</v>
      </c>
      <c r="F32">
        <v>2098.62</v>
      </c>
      <c r="G32">
        <v>41.97</v>
      </c>
      <c r="H32" t="s">
        <v>273</v>
      </c>
      <c r="I32" s="2" t="s">
        <v>274</v>
      </c>
      <c r="J32" s="2" t="s">
        <v>275</v>
      </c>
      <c r="K32" t="str" cm="1">
        <f t="array" ref="K32">_xlfn.IFS(OR($C32="abtest_results",$C32="experimentation_sessions_colour_swatch"),"DROP CONFIRMED",OR($B32="thg-influencer",$B32="thg-ingenuity",$B32="thg-central-marketing",$B32="thg-seoclarity"),"HOLD",TRUE,"REVIEW")</f>
        <v>REVIEW</v>
      </c>
      <c r="L32" t="str" cm="1">
        <f t="array" ref="L32">_xlfn.IFS(OR($C32="abtest_results",$C32="experimentation_sessions_colour_swatch"),"Experimentation team — unused, deprecated format. Safe to drop.",OR($B32="thg-influencer",$B32="thg-ingenuity",$B32="thg-central-marketing",$B32="thg-seoclarity"),"HOLD — Charlie Stringer to review before deletion",TRUE,"")</f>
        <v/>
      </c>
    </row>
    <row r="33" spans="1:12" ht="45.75" customHeight="1">
      <c r="A33" t="s">
        <v>135</v>
      </c>
      <c r="B33" t="s">
        <v>89</v>
      </c>
      <c r="C33" t="s">
        <v>276</v>
      </c>
      <c r="D33" t="s">
        <v>142</v>
      </c>
      <c r="E33">
        <v>2851</v>
      </c>
      <c r="F33">
        <v>1763.82</v>
      </c>
      <c r="G33">
        <v>35.28</v>
      </c>
      <c r="H33" t="s">
        <v>277</v>
      </c>
      <c r="I33" s="2" t="s">
        <v>278</v>
      </c>
      <c r="J33" s="2" t="s">
        <v>279</v>
      </c>
      <c r="K33" t="str" cm="1">
        <f t="array" ref="K33">_xlfn.IFS(OR($C33="abtest_results",$C33="experimentation_sessions_colour_swatch"),"DROP CONFIRMED",OR($B33="thg-influencer",$B33="thg-ingenuity",$B33="thg-central-marketing",$B33="thg-seoclarity"),"HOLD",TRUE,"REVIEW")</f>
        <v>REVIEW</v>
      </c>
      <c r="L33" t="str" cm="1">
        <f t="array" ref="L33">_xlfn.IFS(OR($C33="abtest_results",$C33="experimentation_sessions_colour_swatch"),"Experimentation team — unused, deprecated format. Safe to drop.",OR($B33="thg-influencer",$B33="thg-ingenuity",$B33="thg-central-marketing",$B33="thg-seoclarity"),"HOLD — Charlie Stringer to review before deletion",TRUE,"")</f>
        <v/>
      </c>
    </row>
    <row r="34" spans="1:12" ht="45.75" customHeight="1">
      <c r="A34" t="s">
        <v>135</v>
      </c>
      <c r="B34" t="s">
        <v>89</v>
      </c>
      <c r="C34" t="s">
        <v>280</v>
      </c>
      <c r="D34" t="s">
        <v>281</v>
      </c>
      <c r="E34">
        <v>237</v>
      </c>
      <c r="F34">
        <v>1625.43</v>
      </c>
      <c r="G34">
        <v>32.51</v>
      </c>
      <c r="H34" t="s">
        <v>282</v>
      </c>
      <c r="I34" s="2" t="s">
        <v>283</v>
      </c>
      <c r="J34" s="2" t="s">
        <v>284</v>
      </c>
      <c r="K34" t="str" cm="1">
        <f t="array" ref="K34">_xlfn.IFS(OR($C34="abtest_results",$C34="experimentation_sessions_colour_swatch"),"DROP CONFIRMED",OR($B34="thg-influencer",$B34="thg-ingenuity",$B34="thg-central-marketing",$B34="thg-seoclarity"),"HOLD",TRUE,"REVIEW")</f>
        <v>REVIEW</v>
      </c>
      <c r="L34" t="str" cm="1">
        <f t="array" ref="L34">_xlfn.IFS(OR($C34="abtest_results",$C34="experimentation_sessions_colour_swatch"),"Experimentation team — unused, deprecated format. Safe to drop.",OR($B34="thg-influencer",$B34="thg-ingenuity",$B34="thg-central-marketing",$B34="thg-seoclarity"),"HOLD — Charlie Stringer to review before deletion",TRUE,"")</f>
        <v/>
      </c>
    </row>
    <row r="35" spans="1:12" ht="45.75" customHeight="1">
      <c r="A35" t="s">
        <v>135</v>
      </c>
      <c r="B35" t="s">
        <v>89</v>
      </c>
      <c r="C35" t="s">
        <v>285</v>
      </c>
      <c r="D35" t="s">
        <v>142</v>
      </c>
      <c r="E35">
        <v>3834</v>
      </c>
      <c r="F35">
        <v>1535.75</v>
      </c>
      <c r="G35">
        <v>30.72</v>
      </c>
      <c r="H35" t="s">
        <v>286</v>
      </c>
      <c r="I35" s="2" t="s">
        <v>287</v>
      </c>
      <c r="J35" s="2" t="s">
        <v>288</v>
      </c>
      <c r="K35" t="str" cm="1">
        <f t="array" ref="K35">_xlfn.IFS(OR($C35="abtest_results",$C35="experimentation_sessions_colour_swatch"),"DROP CONFIRMED",OR($B35="thg-influencer",$B35="thg-ingenuity",$B35="thg-central-marketing",$B35="thg-seoclarity"),"HOLD",TRUE,"REVIEW")</f>
        <v>REVIEW</v>
      </c>
      <c r="L35" t="str" cm="1">
        <f t="array" ref="L35">_xlfn.IFS(OR($C35="abtest_results",$C35="experimentation_sessions_colour_swatch"),"Experimentation team — unused, deprecated format. Safe to drop.",OR($B35="thg-influencer",$B35="thg-ingenuity",$B35="thg-central-marketing",$B35="thg-seoclarity"),"HOLD — Charlie Stringer to review before deletion",TRUE,"")</f>
        <v/>
      </c>
    </row>
    <row r="36" spans="1:12" ht="45.75" customHeight="1">
      <c r="A36" t="s">
        <v>135</v>
      </c>
      <c r="B36" t="s">
        <v>89</v>
      </c>
      <c r="C36" t="s">
        <v>289</v>
      </c>
      <c r="D36" t="s">
        <v>142</v>
      </c>
      <c r="E36">
        <v>2848</v>
      </c>
      <c r="F36">
        <v>1292.4000000000001</v>
      </c>
      <c r="G36">
        <v>25.85</v>
      </c>
      <c r="H36" t="s">
        <v>290</v>
      </c>
      <c r="I36" s="2" t="s">
        <v>291</v>
      </c>
      <c r="J36" s="2" t="s">
        <v>292</v>
      </c>
      <c r="K36" t="str" cm="1">
        <f t="array" ref="K36">_xlfn.IFS(OR($C36="abtest_results",$C36="experimentation_sessions_colour_swatch"),"DROP CONFIRMED",OR($B36="thg-influencer",$B36="thg-ingenuity",$B36="thg-central-marketing",$B36="thg-seoclarity"),"HOLD",TRUE,"REVIEW")</f>
        <v>REVIEW</v>
      </c>
      <c r="L36" t="str" cm="1">
        <f t="array" ref="L36">_xlfn.IFS(OR($C36="abtest_results",$C36="experimentation_sessions_colour_swatch"),"Experimentation team — unused, deprecated format. Safe to drop.",OR($B36="thg-influencer",$B36="thg-ingenuity",$B36="thg-central-marketing",$B36="thg-seoclarity"),"HOLD — Charlie Stringer to review before deletion",TRUE,"")</f>
        <v/>
      </c>
    </row>
    <row r="37" spans="1:12" ht="45.75" customHeight="1">
      <c r="A37" t="s">
        <v>135</v>
      </c>
      <c r="B37" t="s">
        <v>89</v>
      </c>
      <c r="C37" t="s">
        <v>293</v>
      </c>
      <c r="D37" t="s">
        <v>142</v>
      </c>
      <c r="E37">
        <v>2940</v>
      </c>
      <c r="F37">
        <v>1288.44</v>
      </c>
      <c r="G37">
        <v>25.77</v>
      </c>
      <c r="H37" t="s">
        <v>294</v>
      </c>
      <c r="I37" s="2" t="s">
        <v>295</v>
      </c>
      <c r="J37" s="2" t="s">
        <v>296</v>
      </c>
      <c r="K37" t="str" cm="1">
        <f t="array" ref="K37">_xlfn.IFS(OR($C37="abtest_results",$C37="experimentation_sessions_colour_swatch"),"DROP CONFIRMED",OR($B37="thg-influencer",$B37="thg-ingenuity",$B37="thg-central-marketing",$B37="thg-seoclarity"),"HOLD",TRUE,"REVIEW")</f>
        <v>REVIEW</v>
      </c>
      <c r="L37" t="str" cm="1">
        <f t="array" ref="L37">_xlfn.IFS(OR($C37="abtest_results",$C37="experimentation_sessions_colour_swatch"),"Experimentation team — unused, deprecated format. Safe to drop.",OR($B37="thg-influencer",$B37="thg-ingenuity",$B37="thg-central-marketing",$B37="thg-seoclarity"),"HOLD — Charlie Stringer to review before deletion",TRUE,"")</f>
        <v/>
      </c>
    </row>
    <row r="38" spans="1:12" ht="45.75" customHeight="1">
      <c r="A38" t="s">
        <v>135</v>
      </c>
      <c r="B38" t="s">
        <v>89</v>
      </c>
      <c r="C38" t="s">
        <v>297</v>
      </c>
      <c r="D38" t="s">
        <v>142</v>
      </c>
      <c r="E38">
        <v>3838</v>
      </c>
      <c r="F38">
        <v>1274.7</v>
      </c>
      <c r="G38">
        <v>25.49</v>
      </c>
      <c r="H38" t="s">
        <v>298</v>
      </c>
      <c r="I38" s="2" t="s">
        <v>299</v>
      </c>
      <c r="J38" s="2" t="s">
        <v>300</v>
      </c>
      <c r="K38" t="str" cm="1">
        <f t="array" ref="K38">_xlfn.IFS(OR($C38="abtest_results",$C38="experimentation_sessions_colour_swatch"),"DROP CONFIRMED",OR($B38="thg-influencer",$B38="thg-ingenuity",$B38="thg-central-marketing",$B38="thg-seoclarity"),"HOLD",TRUE,"REVIEW")</f>
        <v>REVIEW</v>
      </c>
      <c r="L38" t="str" cm="1">
        <f t="array" ref="L38">_xlfn.IFS(OR($C38="abtest_results",$C38="experimentation_sessions_colour_swatch"),"Experimentation team — unused, deprecated format. Safe to drop.",OR($B38="thg-influencer",$B38="thg-ingenuity",$B38="thg-central-marketing",$B38="thg-seoclarity"),"HOLD — Charlie Stringer to review before deletion",TRUE,"")</f>
        <v/>
      </c>
    </row>
    <row r="39" spans="1:12" ht="45.75" customHeight="1">
      <c r="A39" t="s">
        <v>135</v>
      </c>
      <c r="B39" t="s">
        <v>89</v>
      </c>
      <c r="C39" t="s">
        <v>301</v>
      </c>
      <c r="D39" t="s">
        <v>142</v>
      </c>
      <c r="E39">
        <v>3761</v>
      </c>
      <c r="F39">
        <v>1252.6400000000001</v>
      </c>
      <c r="G39">
        <v>25.05</v>
      </c>
      <c r="H39" t="s">
        <v>302</v>
      </c>
      <c r="I39" s="2" t="s">
        <v>303</v>
      </c>
      <c r="J39" s="2" t="s">
        <v>304</v>
      </c>
      <c r="K39" t="str" cm="1">
        <f t="array" ref="K39">_xlfn.IFS(OR($C39="abtest_results",$C39="experimentation_sessions_colour_swatch"),"DROP CONFIRMED",OR($B39="thg-influencer",$B39="thg-ingenuity",$B39="thg-central-marketing",$B39="thg-seoclarity"),"HOLD",TRUE,"REVIEW")</f>
        <v>REVIEW</v>
      </c>
      <c r="L39" t="str" cm="1">
        <f t="array" ref="L39">_xlfn.IFS(OR($C39="abtest_results",$C39="experimentation_sessions_colour_swatch"),"Experimentation team — unused, deprecated format. Safe to drop.",OR($B39="thg-influencer",$B39="thg-ingenuity",$B39="thg-central-marketing",$B39="thg-seoclarity"),"HOLD — Charlie Stringer to review before deletion",TRUE,"")</f>
        <v/>
      </c>
    </row>
    <row r="40" spans="1:12" ht="45.75" customHeight="1">
      <c r="A40" t="s">
        <v>135</v>
      </c>
      <c r="B40" t="s">
        <v>89</v>
      </c>
      <c r="C40" t="s">
        <v>305</v>
      </c>
      <c r="D40" t="s">
        <v>142</v>
      </c>
      <c r="E40">
        <v>3704</v>
      </c>
      <c r="F40">
        <v>1220.7</v>
      </c>
      <c r="G40">
        <v>24.41</v>
      </c>
      <c r="H40" t="s">
        <v>306</v>
      </c>
      <c r="I40" s="2" t="s">
        <v>307</v>
      </c>
      <c r="J40" s="2" t="s">
        <v>308</v>
      </c>
      <c r="K40" t="str" cm="1">
        <f t="array" ref="K40">_xlfn.IFS(OR($C40="abtest_results",$C40="experimentation_sessions_colour_swatch"),"DROP CONFIRMED",OR($B40="thg-influencer",$B40="thg-ingenuity",$B40="thg-central-marketing",$B40="thg-seoclarity"),"HOLD",TRUE,"REVIEW")</f>
        <v>REVIEW</v>
      </c>
      <c r="L40" t="str" cm="1">
        <f t="array" ref="L40">_xlfn.IFS(OR($C40="abtest_results",$C40="experimentation_sessions_colour_swatch"),"Experimentation team — unused, deprecated format. Safe to drop.",OR($B40="thg-influencer",$B40="thg-ingenuity",$B40="thg-central-marketing",$B40="thg-seoclarity"),"HOLD — Charlie Stringer to review before deletion",TRUE,"")</f>
        <v/>
      </c>
    </row>
    <row r="41" spans="1:12" ht="45.75" customHeight="1">
      <c r="A41" t="s">
        <v>135</v>
      </c>
      <c r="B41" t="s">
        <v>89</v>
      </c>
      <c r="C41" t="s">
        <v>309</v>
      </c>
      <c r="D41" t="s">
        <v>142</v>
      </c>
      <c r="E41">
        <v>3590</v>
      </c>
      <c r="F41">
        <v>1214.6400000000001</v>
      </c>
      <c r="G41">
        <v>24.29</v>
      </c>
      <c r="H41" t="s">
        <v>310</v>
      </c>
      <c r="I41" s="2" t="s">
        <v>311</v>
      </c>
      <c r="J41" s="2" t="s">
        <v>312</v>
      </c>
      <c r="K41" t="str" cm="1">
        <f t="array" ref="K41">_xlfn.IFS(OR($C41="abtest_results",$C41="experimentation_sessions_colour_swatch"),"DROP CONFIRMED",OR($B41="thg-influencer",$B41="thg-ingenuity",$B41="thg-central-marketing",$B41="thg-seoclarity"),"HOLD",TRUE,"REVIEW")</f>
        <v>REVIEW</v>
      </c>
      <c r="L41" t="str" cm="1">
        <f t="array" ref="L41">_xlfn.IFS(OR($C41="abtest_results",$C41="experimentation_sessions_colour_swatch"),"Experimentation team — unused, deprecated format. Safe to drop.",OR($B41="thg-influencer",$B41="thg-ingenuity",$B41="thg-central-marketing",$B41="thg-seoclarity"),"HOLD — Charlie Stringer to review before deletion",TRUE,"")</f>
        <v/>
      </c>
    </row>
    <row r="42" spans="1:12" ht="45.75" customHeight="1">
      <c r="A42" t="s">
        <v>135</v>
      </c>
      <c r="B42" t="s">
        <v>89</v>
      </c>
      <c r="C42" t="s">
        <v>313</v>
      </c>
      <c r="D42" t="s">
        <v>142</v>
      </c>
      <c r="E42">
        <v>3833</v>
      </c>
      <c r="F42">
        <v>1121.8900000000001</v>
      </c>
      <c r="G42">
        <v>22.44</v>
      </c>
      <c r="H42" t="s">
        <v>314</v>
      </c>
      <c r="I42" s="2" t="s">
        <v>315</v>
      </c>
      <c r="J42" s="2" t="s">
        <v>316</v>
      </c>
      <c r="K42" t="str" cm="1">
        <f t="array" ref="K42">_xlfn.IFS(OR($C42="abtest_results",$C42="experimentation_sessions_colour_swatch"),"DROP CONFIRMED",OR($B42="thg-influencer",$B42="thg-ingenuity",$B42="thg-central-marketing",$B42="thg-seoclarity"),"HOLD",TRUE,"REVIEW")</f>
        <v>REVIEW</v>
      </c>
      <c r="L42" t="str" cm="1">
        <f t="array" ref="L42">_xlfn.IFS(OR($C42="abtest_results",$C42="experimentation_sessions_colour_swatch"),"Experimentation team — unused, deprecated format. Safe to drop.",OR($B42="thg-influencer",$B42="thg-ingenuity",$B42="thg-central-marketing",$B42="thg-seoclarity"),"HOLD — Charlie Stringer to review before deletion",TRUE,"")</f>
        <v/>
      </c>
    </row>
    <row r="43" spans="1:12" ht="45.75" customHeight="1">
      <c r="A43" t="s">
        <v>135</v>
      </c>
      <c r="B43" t="s">
        <v>89</v>
      </c>
      <c r="C43" t="s">
        <v>317</v>
      </c>
      <c r="D43" t="s">
        <v>142</v>
      </c>
      <c r="E43">
        <v>3594</v>
      </c>
      <c r="F43">
        <v>1029.68</v>
      </c>
      <c r="G43">
        <v>20.59</v>
      </c>
      <c r="H43" t="s">
        <v>318</v>
      </c>
      <c r="I43" s="2" t="s">
        <v>319</v>
      </c>
      <c r="J43" s="2" t="s">
        <v>320</v>
      </c>
      <c r="K43" t="str" cm="1">
        <f t="array" ref="K43">_xlfn.IFS(OR($C43="abtest_results",$C43="experimentation_sessions_colour_swatch"),"DROP CONFIRMED",OR($B43="thg-influencer",$B43="thg-ingenuity",$B43="thg-central-marketing",$B43="thg-seoclarity"),"HOLD",TRUE,"REVIEW")</f>
        <v>REVIEW</v>
      </c>
      <c r="L43" t="str" cm="1">
        <f t="array" ref="L43">_xlfn.IFS(OR($C43="abtest_results",$C43="experimentation_sessions_colour_swatch"),"Experimentation team — unused, deprecated format. Safe to drop.",OR($B43="thg-influencer",$B43="thg-ingenuity",$B43="thg-central-marketing",$B43="thg-seoclarity"),"HOLD — Charlie Stringer to review before deletion",TRUE,"")</f>
        <v/>
      </c>
    </row>
    <row r="44" spans="1:12" ht="45.75" customHeight="1">
      <c r="A44" t="s">
        <v>135</v>
      </c>
      <c r="B44" t="s">
        <v>89</v>
      </c>
      <c r="C44" t="s">
        <v>321</v>
      </c>
      <c r="D44" t="s">
        <v>142</v>
      </c>
      <c r="E44">
        <v>2968</v>
      </c>
      <c r="F44">
        <v>1007.62</v>
      </c>
      <c r="G44">
        <v>20.149999999999999</v>
      </c>
      <c r="H44" t="s">
        <v>322</v>
      </c>
      <c r="I44" s="2" t="s">
        <v>323</v>
      </c>
      <c r="J44" s="2" t="s">
        <v>324</v>
      </c>
      <c r="K44" t="str" cm="1">
        <f t="array" ref="K44">_xlfn.IFS(OR($C44="abtest_results",$C44="experimentation_sessions_colour_swatch"),"DROP CONFIRMED",OR($B44="thg-influencer",$B44="thg-ingenuity",$B44="thg-central-marketing",$B44="thg-seoclarity"),"HOLD",TRUE,"REVIEW")</f>
        <v>REVIEW</v>
      </c>
      <c r="L44" t="str" cm="1">
        <f t="array" ref="L44">_xlfn.IFS(OR($C44="abtest_results",$C44="experimentation_sessions_colour_swatch"),"Experimentation team — unused, deprecated format. Safe to drop.",OR($B44="thg-influencer",$B44="thg-ingenuity",$B44="thg-central-marketing",$B44="thg-seoclarity"),"HOLD — Charlie Stringer to review before deletion",TRUE,"")</f>
        <v/>
      </c>
    </row>
    <row r="45" spans="1:12" ht="45.75" customHeight="1">
      <c r="A45" t="s">
        <v>135</v>
      </c>
      <c r="B45" t="s">
        <v>89</v>
      </c>
      <c r="C45" t="s">
        <v>325</v>
      </c>
      <c r="D45" t="s">
        <v>142</v>
      </c>
      <c r="E45">
        <v>3835</v>
      </c>
      <c r="F45">
        <v>968.15</v>
      </c>
      <c r="G45">
        <v>19.36</v>
      </c>
      <c r="H45" t="s">
        <v>326</v>
      </c>
      <c r="I45" s="2" t="s">
        <v>327</v>
      </c>
      <c r="J45" s="2" t="s">
        <v>328</v>
      </c>
      <c r="K45" t="str" cm="1">
        <f t="array" ref="K45">_xlfn.IFS(OR($C45="abtest_results",$C45="experimentation_sessions_colour_swatch"),"DROP CONFIRMED",OR($B45="thg-influencer",$B45="thg-ingenuity",$B45="thg-central-marketing",$B45="thg-seoclarity"),"HOLD",TRUE,"REVIEW")</f>
        <v>REVIEW</v>
      </c>
      <c r="L45" t="str" cm="1">
        <f t="array" ref="L45">_xlfn.IFS(OR($C45="abtest_results",$C45="experimentation_sessions_colour_swatch"),"Experimentation team — unused, deprecated format. Safe to drop.",OR($B45="thg-influencer",$B45="thg-ingenuity",$B45="thg-central-marketing",$B45="thg-seoclarity"),"HOLD — Charlie Stringer to review before deletion",TRUE,"")</f>
        <v/>
      </c>
    </row>
    <row r="46" spans="1:12" ht="45.75" customHeight="1">
      <c r="A46" t="s">
        <v>135</v>
      </c>
      <c r="B46" t="s">
        <v>89</v>
      </c>
      <c r="C46" t="s">
        <v>329</v>
      </c>
      <c r="D46" t="s">
        <v>142</v>
      </c>
      <c r="E46">
        <v>3617</v>
      </c>
      <c r="F46">
        <v>924.34</v>
      </c>
      <c r="G46">
        <v>18.489999999999998</v>
      </c>
      <c r="H46" t="s">
        <v>330</v>
      </c>
      <c r="I46" s="2" t="s">
        <v>331</v>
      </c>
      <c r="J46" s="2" t="s">
        <v>332</v>
      </c>
      <c r="K46" t="str" cm="1">
        <f t="array" ref="K46">_xlfn.IFS(OR($C46="abtest_results",$C46="experimentation_sessions_colour_swatch"),"DROP CONFIRMED",OR($B46="thg-influencer",$B46="thg-ingenuity",$B46="thg-central-marketing",$B46="thg-seoclarity"),"HOLD",TRUE,"REVIEW")</f>
        <v>REVIEW</v>
      </c>
      <c r="L46" t="str" cm="1">
        <f t="array" ref="L46">_xlfn.IFS(OR($C46="abtest_results",$C46="experimentation_sessions_colour_swatch"),"Experimentation team — unused, deprecated format. Safe to drop.",OR($B46="thg-influencer",$B46="thg-ingenuity",$B46="thg-central-marketing",$B46="thg-seoclarity"),"HOLD — Charlie Stringer to review before deletion",TRUE,"")</f>
        <v/>
      </c>
    </row>
    <row r="47" spans="1:12" ht="45.75" customHeight="1">
      <c r="A47" t="s">
        <v>135</v>
      </c>
      <c r="B47" t="s">
        <v>89</v>
      </c>
      <c r="C47" t="s">
        <v>333</v>
      </c>
      <c r="D47" t="s">
        <v>142</v>
      </c>
      <c r="E47">
        <v>2105</v>
      </c>
      <c r="F47">
        <v>919.79</v>
      </c>
      <c r="G47">
        <v>18.399999999999999</v>
      </c>
      <c r="H47" t="s">
        <v>334</v>
      </c>
      <c r="I47" s="2" t="s">
        <v>335</v>
      </c>
      <c r="J47" s="2" t="s">
        <v>336</v>
      </c>
      <c r="K47" t="str" cm="1">
        <f t="array" ref="K47">_xlfn.IFS(OR($C47="abtest_results",$C47="experimentation_sessions_colour_swatch"),"DROP CONFIRMED",OR($B47="thg-influencer",$B47="thg-ingenuity",$B47="thg-central-marketing",$B47="thg-seoclarity"),"HOLD",TRUE,"REVIEW")</f>
        <v>REVIEW</v>
      </c>
      <c r="L47" t="str" cm="1">
        <f t="array" ref="L47">_xlfn.IFS(OR($C47="abtest_results",$C47="experimentation_sessions_colour_swatch"),"Experimentation team — unused, deprecated format. Safe to drop.",OR($B47="thg-influencer",$B47="thg-ingenuity",$B47="thg-central-marketing",$B47="thg-seoclarity"),"HOLD — Charlie Stringer to review before deletion",TRUE,"")</f>
        <v/>
      </c>
    </row>
    <row r="48" spans="1:12" ht="45.75" customHeight="1">
      <c r="A48" t="s">
        <v>135</v>
      </c>
      <c r="B48" t="s">
        <v>89</v>
      </c>
      <c r="C48" t="s">
        <v>337</v>
      </c>
      <c r="D48" t="s">
        <v>142</v>
      </c>
      <c r="E48">
        <v>3521</v>
      </c>
      <c r="F48">
        <v>853.48</v>
      </c>
      <c r="G48">
        <v>17.07</v>
      </c>
      <c r="H48" t="s">
        <v>338</v>
      </c>
      <c r="I48" s="2" t="s">
        <v>339</v>
      </c>
      <c r="J48" s="2" t="s">
        <v>340</v>
      </c>
      <c r="K48" t="str" cm="1">
        <f t="array" ref="K48">_xlfn.IFS(OR($C48="abtest_results",$C48="experimentation_sessions_colour_swatch"),"DROP CONFIRMED",OR($B48="thg-influencer",$B48="thg-ingenuity",$B48="thg-central-marketing",$B48="thg-seoclarity"),"HOLD",TRUE,"REVIEW")</f>
        <v>REVIEW</v>
      </c>
      <c r="L48" t="str" cm="1">
        <f t="array" ref="L48">_xlfn.IFS(OR($C48="abtest_results",$C48="experimentation_sessions_colour_swatch"),"Experimentation team — unused, deprecated format. Safe to drop.",OR($B48="thg-influencer",$B48="thg-ingenuity",$B48="thg-central-marketing",$B48="thg-seoclarity"),"HOLD — Charlie Stringer to review before deletion",TRUE,"")</f>
        <v/>
      </c>
    </row>
    <row r="49" spans="1:12" ht="45.75" customHeight="1">
      <c r="A49" t="s">
        <v>135</v>
      </c>
      <c r="B49" t="s">
        <v>89</v>
      </c>
      <c r="C49" t="s">
        <v>341</v>
      </c>
      <c r="D49" t="s">
        <v>142</v>
      </c>
      <c r="E49">
        <v>3426</v>
      </c>
      <c r="F49">
        <v>828.79</v>
      </c>
      <c r="G49">
        <v>16.579999999999998</v>
      </c>
      <c r="H49" t="s">
        <v>342</v>
      </c>
      <c r="I49" s="2" t="s">
        <v>343</v>
      </c>
      <c r="J49" s="2" t="s">
        <v>344</v>
      </c>
      <c r="K49" t="str" cm="1">
        <f t="array" ref="K49">_xlfn.IFS(OR($C49="abtest_results",$C49="experimentation_sessions_colour_swatch"),"DROP CONFIRMED",OR($B49="thg-influencer",$B49="thg-ingenuity",$B49="thg-central-marketing",$B49="thg-seoclarity"),"HOLD",TRUE,"REVIEW")</f>
        <v>REVIEW</v>
      </c>
      <c r="L49" t="str" cm="1">
        <f t="array" ref="L49">_xlfn.IFS(OR($C49="abtest_results",$C49="experimentation_sessions_colour_swatch"),"Experimentation team — unused, deprecated format. Safe to drop.",OR($B49="thg-influencer",$B49="thg-ingenuity",$B49="thg-central-marketing",$B49="thg-seoclarity"),"HOLD — Charlie Stringer to review before deletion",TRUE,"")</f>
        <v/>
      </c>
    </row>
    <row r="50" spans="1:12" ht="45.75" customHeight="1">
      <c r="A50" t="s">
        <v>135</v>
      </c>
      <c r="B50" t="s">
        <v>89</v>
      </c>
      <c r="C50" t="s">
        <v>345</v>
      </c>
      <c r="D50" t="s">
        <v>142</v>
      </c>
      <c r="E50">
        <v>3706</v>
      </c>
      <c r="F50">
        <v>812.52</v>
      </c>
      <c r="G50">
        <v>16.25</v>
      </c>
      <c r="H50" t="s">
        <v>346</v>
      </c>
      <c r="I50" s="2" t="s">
        <v>347</v>
      </c>
      <c r="J50" s="2" t="s">
        <v>348</v>
      </c>
      <c r="K50" t="str" cm="1">
        <f t="array" ref="K50">_xlfn.IFS(OR($C50="abtest_results",$C50="experimentation_sessions_colour_swatch"),"DROP CONFIRMED",OR($B50="thg-influencer",$B50="thg-ingenuity",$B50="thg-central-marketing",$B50="thg-seoclarity"),"HOLD",TRUE,"REVIEW")</f>
        <v>REVIEW</v>
      </c>
      <c r="L50" t="str" cm="1">
        <f t="array" ref="L50">_xlfn.IFS(OR($C50="abtest_results",$C50="experimentation_sessions_colour_swatch"),"Experimentation team — unused, deprecated format. Safe to drop.",OR($B50="thg-influencer",$B50="thg-ingenuity",$B50="thg-central-marketing",$B50="thg-seoclarity"),"HOLD — Charlie Stringer to review before deletion",TRUE,"")</f>
        <v/>
      </c>
    </row>
    <row r="51" spans="1:12" ht="45.75" customHeight="1">
      <c r="A51" t="s">
        <v>135</v>
      </c>
      <c r="B51" t="s">
        <v>89</v>
      </c>
      <c r="C51" t="s">
        <v>349</v>
      </c>
      <c r="D51" t="s">
        <v>142</v>
      </c>
      <c r="E51">
        <v>3443</v>
      </c>
      <c r="F51">
        <v>759.69</v>
      </c>
      <c r="G51">
        <v>15.19</v>
      </c>
      <c r="H51" t="s">
        <v>350</v>
      </c>
      <c r="I51" s="2" t="s">
        <v>351</v>
      </c>
      <c r="J51" s="2" t="s">
        <v>352</v>
      </c>
      <c r="K51" t="str" cm="1">
        <f t="array" ref="K51">_xlfn.IFS(OR($C51="abtest_results",$C51="experimentation_sessions_colour_swatch"),"DROP CONFIRMED",OR($B51="thg-influencer",$B51="thg-ingenuity",$B51="thg-central-marketing",$B51="thg-seoclarity"),"HOLD",TRUE,"REVIEW")</f>
        <v>REVIEW</v>
      </c>
      <c r="L51" t="str" cm="1">
        <f t="array" ref="L51">_xlfn.IFS(OR($C51="abtest_results",$C51="experimentation_sessions_colour_swatch"),"Experimentation team — unused, deprecated format. Safe to drop.",OR($B51="thg-influencer",$B51="thg-ingenuity",$B51="thg-central-marketing",$B51="thg-seoclarity"),"HOLD — Charlie Stringer to review before deletion",TRUE,"")</f>
        <v/>
      </c>
    </row>
    <row r="52" spans="1:12" ht="45.75" customHeight="1">
      <c r="A52" t="s">
        <v>135</v>
      </c>
      <c r="B52" t="s">
        <v>89</v>
      </c>
      <c r="C52" t="s">
        <v>353</v>
      </c>
      <c r="D52" t="s">
        <v>354</v>
      </c>
      <c r="E52">
        <v>665</v>
      </c>
      <c r="F52">
        <v>749.04</v>
      </c>
      <c r="G52">
        <v>14.98</v>
      </c>
      <c r="H52" t="s">
        <v>355</v>
      </c>
      <c r="I52" s="2" t="s">
        <v>356</v>
      </c>
      <c r="J52" s="2" t="s">
        <v>357</v>
      </c>
      <c r="K52" t="str" cm="1">
        <f t="array" ref="K52">_xlfn.IFS(OR($C52="abtest_results",$C52="experimentation_sessions_colour_swatch"),"DROP CONFIRMED",OR($B52="thg-influencer",$B52="thg-ingenuity",$B52="thg-central-marketing",$B52="thg-seoclarity"),"HOLD",TRUE,"REVIEW")</f>
        <v>REVIEW</v>
      </c>
      <c r="L52" t="str" cm="1">
        <f t="array" ref="L52">_xlfn.IFS(OR($C52="abtest_results",$C52="experimentation_sessions_colour_swatch"),"Experimentation team — unused, deprecated format. Safe to drop.",OR($B52="thg-influencer",$B52="thg-ingenuity",$B52="thg-central-marketing",$B52="thg-seoclarity"),"HOLD — Charlie Stringer to review before deletion",TRUE,"")</f>
        <v/>
      </c>
    </row>
    <row r="53" spans="1:12" ht="45.75" customHeight="1">
      <c r="A53" t="s">
        <v>135</v>
      </c>
      <c r="B53" t="s">
        <v>89</v>
      </c>
      <c r="C53" t="s">
        <v>358</v>
      </c>
      <c r="D53" t="s">
        <v>142</v>
      </c>
      <c r="E53">
        <v>3354</v>
      </c>
      <c r="F53">
        <v>741.43</v>
      </c>
      <c r="G53">
        <v>14.83</v>
      </c>
      <c r="H53" t="s">
        <v>359</v>
      </c>
      <c r="I53" s="2" t="s">
        <v>360</v>
      </c>
      <c r="J53" s="2" t="s">
        <v>361</v>
      </c>
      <c r="K53" t="str" cm="1">
        <f t="array" ref="K53">_xlfn.IFS(OR($C53="abtest_results",$C53="experimentation_sessions_colour_swatch"),"DROP CONFIRMED",OR($B53="thg-influencer",$B53="thg-ingenuity",$B53="thg-central-marketing",$B53="thg-seoclarity"),"HOLD",TRUE,"REVIEW")</f>
        <v>REVIEW</v>
      </c>
      <c r="L53" t="str" cm="1">
        <f t="array" ref="L53">_xlfn.IFS(OR($C53="abtest_results",$C53="experimentation_sessions_colour_swatch"),"Experimentation team — unused, deprecated format. Safe to drop.",OR($B53="thg-influencer",$B53="thg-ingenuity",$B53="thg-central-marketing",$B53="thg-seoclarity"),"HOLD — Charlie Stringer to review before deletion",TRUE,"")</f>
        <v/>
      </c>
    </row>
    <row r="54" spans="1:12" ht="45.75" customHeight="1">
      <c r="A54" t="s">
        <v>135</v>
      </c>
      <c r="B54" t="s">
        <v>89</v>
      </c>
      <c r="C54" t="s">
        <v>362</v>
      </c>
      <c r="D54" t="s">
        <v>142</v>
      </c>
      <c r="E54">
        <v>2976</v>
      </c>
      <c r="F54">
        <v>722.82</v>
      </c>
      <c r="G54">
        <v>14.46</v>
      </c>
      <c r="H54" t="s">
        <v>363</v>
      </c>
      <c r="I54" s="2" t="s">
        <v>364</v>
      </c>
      <c r="J54" s="2" t="s">
        <v>365</v>
      </c>
      <c r="K54" t="str" cm="1">
        <f t="array" ref="K54">_xlfn.IFS(OR($C54="abtest_results",$C54="experimentation_sessions_colour_swatch"),"DROP CONFIRMED",OR($B54="thg-influencer",$B54="thg-ingenuity",$B54="thg-central-marketing",$B54="thg-seoclarity"),"HOLD",TRUE,"REVIEW")</f>
        <v>REVIEW</v>
      </c>
      <c r="L54" t="str" cm="1">
        <f t="array" ref="L54">_xlfn.IFS(OR($C54="abtest_results",$C54="experimentation_sessions_colour_swatch"),"Experimentation team — unused, deprecated format. Safe to drop.",OR($B54="thg-influencer",$B54="thg-ingenuity",$B54="thg-central-marketing",$B54="thg-seoclarity"),"HOLD — Charlie Stringer to review before deletion",TRUE,"")</f>
        <v/>
      </c>
    </row>
    <row r="55" spans="1:12" ht="45.75" customHeight="1">
      <c r="A55" t="s">
        <v>135</v>
      </c>
      <c r="B55" t="s">
        <v>89</v>
      </c>
      <c r="C55" t="s">
        <v>366</v>
      </c>
      <c r="D55" t="s">
        <v>142</v>
      </c>
      <c r="E55">
        <v>2962</v>
      </c>
      <c r="F55">
        <v>691.63</v>
      </c>
      <c r="G55">
        <v>13.83</v>
      </c>
      <c r="H55" t="s">
        <v>367</v>
      </c>
      <c r="I55" s="2" t="s">
        <v>368</v>
      </c>
      <c r="J55" s="2" t="s">
        <v>369</v>
      </c>
      <c r="K55" t="str" cm="1">
        <f t="array" ref="K55">_xlfn.IFS(OR($C55="abtest_results",$C55="experimentation_sessions_colour_swatch"),"DROP CONFIRMED",OR($B55="thg-influencer",$B55="thg-ingenuity",$B55="thg-central-marketing",$B55="thg-seoclarity"),"HOLD",TRUE,"REVIEW")</f>
        <v>REVIEW</v>
      </c>
      <c r="L55" t="str" cm="1">
        <f t="array" ref="L55">_xlfn.IFS(OR($C55="abtest_results",$C55="experimentation_sessions_colour_swatch"),"Experimentation team — unused, deprecated format. Safe to drop.",OR($B55="thg-influencer",$B55="thg-ingenuity",$B55="thg-central-marketing",$B55="thg-seoclarity"),"HOLD — Charlie Stringer to review before deletion",TRUE,"")</f>
        <v/>
      </c>
    </row>
    <row r="56" spans="1:12" s="48" customFormat="1" ht="45.75" customHeight="1">
      <c r="A56" s="48" t="s">
        <v>135</v>
      </c>
      <c r="B56" s="48" t="s">
        <v>90</v>
      </c>
      <c r="C56" s="48" t="s">
        <v>370</v>
      </c>
      <c r="D56" s="48" t="s">
        <v>371</v>
      </c>
      <c r="E56" s="48">
        <v>29</v>
      </c>
      <c r="F56" s="48">
        <v>689.09</v>
      </c>
      <c r="G56" s="48">
        <v>13.78</v>
      </c>
      <c r="H56" s="48" t="s">
        <v>372</v>
      </c>
      <c r="I56" s="49" t="s">
        <v>373</v>
      </c>
      <c r="J56" s="49" t="s">
        <v>374</v>
      </c>
      <c r="K56" s="48" t="str" cm="1">
        <f t="array" ref="K56">_xlfn.IFS(OR($C56="abtest_results",$C56="experimentation_sessions_colour_swatch"),"DROP CONFIRMED",OR($B56="thg-influencer",$B56="thg-ingenuity",$B56="thg-central-marketing",$B56="thg-seoclarity"),"HOLD",TRUE,"REVIEW")</f>
        <v>DROP CONFIRMED</v>
      </c>
      <c r="L56" s="48" t="str" cm="1">
        <f t="array" ref="L56">_xlfn.IFS(OR($C56="abtest_results",$C56="experimentation_sessions_colour_swatch"),"Experimentation team — unused, deprecated format. Safe to drop.",OR($B56="thg-influencer",$B56="thg-ingenuity",$B56="thg-central-marketing",$B56="thg-seoclarity"),"HOLD — Charlie Stringer to review before deletion",TRUE,"")</f>
        <v>Experimentation team — unused, deprecated format. Safe to drop.</v>
      </c>
    </row>
    <row r="57" spans="1:12" ht="45.75" customHeight="1">
      <c r="A57" t="s">
        <v>135</v>
      </c>
      <c r="B57" t="s">
        <v>89</v>
      </c>
      <c r="C57" t="s">
        <v>375</v>
      </c>
      <c r="D57" t="s">
        <v>142</v>
      </c>
      <c r="E57">
        <v>2538</v>
      </c>
      <c r="F57">
        <v>664.19</v>
      </c>
      <c r="G57">
        <v>13.28</v>
      </c>
      <c r="H57" t="s">
        <v>376</v>
      </c>
      <c r="I57" s="2" t="s">
        <v>377</v>
      </c>
      <c r="J57" s="2" t="s">
        <v>378</v>
      </c>
      <c r="K57" t="str" cm="1">
        <f t="array" ref="K57">_xlfn.IFS(OR($C57="abtest_results",$C57="experimentation_sessions_colour_swatch"),"DROP CONFIRMED",OR($B57="thg-influencer",$B57="thg-ingenuity",$B57="thg-central-marketing",$B57="thg-seoclarity"),"HOLD",TRUE,"REVIEW")</f>
        <v>REVIEW</v>
      </c>
      <c r="L57" t="str" cm="1">
        <f t="array" ref="L57">_xlfn.IFS(OR($C57="abtest_results",$C57="experimentation_sessions_colour_swatch"),"Experimentation team — unused, deprecated format. Safe to drop.",OR($B57="thg-influencer",$B57="thg-ingenuity",$B57="thg-central-marketing",$B57="thg-seoclarity"),"HOLD — Charlie Stringer to review before deletion",TRUE,"")</f>
        <v/>
      </c>
    </row>
    <row r="58" spans="1:12" ht="45.75" customHeight="1">
      <c r="A58" t="s">
        <v>135</v>
      </c>
      <c r="B58" t="s">
        <v>89</v>
      </c>
      <c r="C58" t="s">
        <v>379</v>
      </c>
      <c r="D58" t="s">
        <v>142</v>
      </c>
      <c r="E58">
        <v>3184</v>
      </c>
      <c r="F58">
        <v>645</v>
      </c>
      <c r="G58">
        <v>12.9</v>
      </c>
      <c r="H58" t="s">
        <v>380</v>
      </c>
      <c r="I58" s="2" t="s">
        <v>381</v>
      </c>
      <c r="J58" s="2" t="s">
        <v>382</v>
      </c>
      <c r="K58" t="str" cm="1">
        <f t="array" ref="K58">_xlfn.IFS(OR($C58="abtest_results",$C58="experimentation_sessions_colour_swatch"),"DROP CONFIRMED",OR($B58="thg-influencer",$B58="thg-ingenuity",$B58="thg-central-marketing",$B58="thg-seoclarity"),"HOLD",TRUE,"REVIEW")</f>
        <v>REVIEW</v>
      </c>
      <c r="L58" t="str" cm="1">
        <f t="array" ref="L58">_xlfn.IFS(OR($C58="abtest_results",$C58="experimentation_sessions_colour_swatch"),"Experimentation team — unused, deprecated format. Safe to drop.",OR($B58="thg-influencer",$B58="thg-ingenuity",$B58="thg-central-marketing",$B58="thg-seoclarity"),"HOLD — Charlie Stringer to review before deletion",TRUE,"")</f>
        <v/>
      </c>
    </row>
    <row r="59" spans="1:12" ht="45.75" customHeight="1">
      <c r="A59" t="s">
        <v>135</v>
      </c>
      <c r="B59" t="s">
        <v>89</v>
      </c>
      <c r="C59" t="s">
        <v>383</v>
      </c>
      <c r="D59" t="s">
        <v>142</v>
      </c>
      <c r="E59">
        <v>3123</v>
      </c>
      <c r="F59">
        <v>565.48</v>
      </c>
      <c r="G59">
        <v>11.31</v>
      </c>
      <c r="H59" t="s">
        <v>384</v>
      </c>
      <c r="I59" s="2" t="s">
        <v>385</v>
      </c>
      <c r="J59" s="2" t="s">
        <v>386</v>
      </c>
      <c r="K59" t="str" cm="1">
        <f t="array" ref="K59">_xlfn.IFS(OR($C59="abtest_results",$C59="experimentation_sessions_colour_swatch"),"DROP CONFIRMED",OR($B59="thg-influencer",$B59="thg-ingenuity",$B59="thg-central-marketing",$B59="thg-seoclarity"),"HOLD",TRUE,"REVIEW")</f>
        <v>REVIEW</v>
      </c>
      <c r="L59" t="str" cm="1">
        <f t="array" ref="L59">_xlfn.IFS(OR($C59="abtest_results",$C59="experimentation_sessions_colour_swatch"),"Experimentation team — unused, deprecated format. Safe to drop.",OR($B59="thg-influencer",$B59="thg-ingenuity",$B59="thg-central-marketing",$B59="thg-seoclarity"),"HOLD — Charlie Stringer to review before deletion",TRUE,"")</f>
        <v/>
      </c>
    </row>
    <row r="60" spans="1:12" ht="45.75" customHeight="1">
      <c r="A60" t="s">
        <v>135</v>
      </c>
      <c r="B60" t="s">
        <v>89</v>
      </c>
      <c r="C60" t="s">
        <v>387</v>
      </c>
      <c r="D60" t="s">
        <v>142</v>
      </c>
      <c r="E60">
        <v>1278</v>
      </c>
      <c r="F60">
        <v>557.38</v>
      </c>
      <c r="G60">
        <v>11.15</v>
      </c>
      <c r="H60" t="s">
        <v>388</v>
      </c>
      <c r="I60" s="2" t="s">
        <v>389</v>
      </c>
      <c r="J60" s="2" t="s">
        <v>390</v>
      </c>
      <c r="K60" t="str" cm="1">
        <f t="array" ref="K60">_xlfn.IFS(OR($C60="abtest_results",$C60="experimentation_sessions_colour_swatch"),"DROP CONFIRMED",OR($B60="thg-influencer",$B60="thg-ingenuity",$B60="thg-central-marketing",$B60="thg-seoclarity"),"HOLD",TRUE,"REVIEW")</f>
        <v>REVIEW</v>
      </c>
      <c r="L60" t="str" cm="1">
        <f t="array" ref="L60">_xlfn.IFS(OR($C60="abtest_results",$C60="experimentation_sessions_colour_swatch"),"Experimentation team — unused, deprecated format. Safe to drop.",OR($B60="thg-influencer",$B60="thg-ingenuity",$B60="thg-central-marketing",$B60="thg-seoclarity"),"HOLD — Charlie Stringer to review before deletion",TRUE,"")</f>
        <v/>
      </c>
    </row>
    <row r="61" spans="1:12" ht="45.75" customHeight="1">
      <c r="A61" t="s">
        <v>135</v>
      </c>
      <c r="B61" t="s">
        <v>89</v>
      </c>
      <c r="C61" t="s">
        <v>391</v>
      </c>
      <c r="D61" t="s">
        <v>142</v>
      </c>
      <c r="E61">
        <v>1221</v>
      </c>
      <c r="F61">
        <v>555.66999999999996</v>
      </c>
      <c r="G61">
        <v>11.11</v>
      </c>
      <c r="H61" t="s">
        <v>392</v>
      </c>
      <c r="I61" s="2" t="s">
        <v>393</v>
      </c>
      <c r="J61" s="2" t="s">
        <v>394</v>
      </c>
      <c r="K61" t="str" cm="1">
        <f t="array" ref="K61">_xlfn.IFS(OR($C61="abtest_results",$C61="experimentation_sessions_colour_swatch"),"DROP CONFIRMED",OR($B61="thg-influencer",$B61="thg-ingenuity",$B61="thg-central-marketing",$B61="thg-seoclarity"),"HOLD",TRUE,"REVIEW")</f>
        <v>REVIEW</v>
      </c>
      <c r="L61" t="str" cm="1">
        <f t="array" ref="L61">_xlfn.IFS(OR($C61="abtest_results",$C61="experimentation_sessions_colour_swatch"),"Experimentation team — unused, deprecated format. Safe to drop.",OR($B61="thg-influencer",$B61="thg-ingenuity",$B61="thg-central-marketing",$B61="thg-seoclarity"),"HOLD — Charlie Stringer to review before deletion",TRUE,"")</f>
        <v/>
      </c>
    </row>
    <row r="62" spans="1:12" ht="45.75" customHeight="1">
      <c r="A62" t="s">
        <v>135</v>
      </c>
      <c r="B62" t="s">
        <v>89</v>
      </c>
      <c r="C62" t="s">
        <v>395</v>
      </c>
      <c r="D62" t="s">
        <v>142</v>
      </c>
      <c r="E62">
        <v>3401</v>
      </c>
      <c r="F62">
        <v>550.44000000000005</v>
      </c>
      <c r="G62">
        <v>11.01</v>
      </c>
      <c r="H62" t="s">
        <v>396</v>
      </c>
      <c r="I62" s="2" t="s">
        <v>397</v>
      </c>
      <c r="J62" s="2" t="s">
        <v>398</v>
      </c>
      <c r="K62" t="str" cm="1">
        <f t="array" ref="K62">_xlfn.IFS(OR($C62="abtest_results",$C62="experimentation_sessions_colour_swatch"),"DROP CONFIRMED",OR($B62="thg-influencer",$B62="thg-ingenuity",$B62="thg-central-marketing",$B62="thg-seoclarity"),"HOLD",TRUE,"REVIEW")</f>
        <v>REVIEW</v>
      </c>
      <c r="L62" t="str" cm="1">
        <f t="array" ref="L62">_xlfn.IFS(OR($C62="abtest_results",$C62="experimentation_sessions_colour_swatch"),"Experimentation team — unused, deprecated format. Safe to drop.",OR($B62="thg-influencer",$B62="thg-ingenuity",$B62="thg-central-marketing",$B62="thg-seoclarity"),"HOLD — Charlie Stringer to review before deletion",TRUE,"")</f>
        <v/>
      </c>
    </row>
    <row r="63" spans="1:12" ht="45.75" customHeight="1">
      <c r="A63" t="s">
        <v>135</v>
      </c>
      <c r="B63" t="s">
        <v>89</v>
      </c>
      <c r="C63" t="s">
        <v>399</v>
      </c>
      <c r="D63" t="s">
        <v>142</v>
      </c>
      <c r="E63">
        <v>3837</v>
      </c>
      <c r="F63">
        <v>524.03</v>
      </c>
      <c r="G63">
        <v>10.48</v>
      </c>
      <c r="H63" t="s">
        <v>400</v>
      </c>
      <c r="I63" s="2" t="s">
        <v>401</v>
      </c>
      <c r="J63" s="2" t="s">
        <v>402</v>
      </c>
      <c r="K63" t="str" cm="1">
        <f t="array" ref="K63">_xlfn.IFS(OR($C63="abtest_results",$C63="experimentation_sessions_colour_swatch"),"DROP CONFIRMED",OR($B63="thg-influencer",$B63="thg-ingenuity",$B63="thg-central-marketing",$B63="thg-seoclarity"),"HOLD",TRUE,"REVIEW")</f>
        <v>REVIEW</v>
      </c>
      <c r="L63" t="str" cm="1">
        <f t="array" ref="L63">_xlfn.IFS(OR($C63="abtest_results",$C63="experimentation_sessions_colour_swatch"),"Experimentation team — unused, deprecated format. Safe to drop.",OR($B63="thg-influencer",$B63="thg-ingenuity",$B63="thg-central-marketing",$B63="thg-seoclarity"),"HOLD — Charlie Stringer to review before deletion",TRUE,"")</f>
        <v/>
      </c>
    </row>
    <row r="64" spans="1:12" ht="45.75" customHeight="1">
      <c r="A64" t="s">
        <v>135</v>
      </c>
      <c r="B64" t="s">
        <v>89</v>
      </c>
      <c r="C64" t="s">
        <v>403</v>
      </c>
      <c r="D64" t="s">
        <v>142</v>
      </c>
      <c r="E64">
        <v>2859</v>
      </c>
      <c r="F64">
        <v>518.83000000000004</v>
      </c>
      <c r="G64">
        <v>10.38</v>
      </c>
      <c r="H64" t="s">
        <v>404</v>
      </c>
      <c r="I64" s="2" t="s">
        <v>405</v>
      </c>
      <c r="J64" s="2" t="s">
        <v>406</v>
      </c>
      <c r="K64" t="str" cm="1">
        <f t="array" ref="K64">_xlfn.IFS(OR($C64="abtest_results",$C64="experimentation_sessions_colour_swatch"),"DROP CONFIRMED",OR($B64="thg-influencer",$B64="thg-ingenuity",$B64="thg-central-marketing",$B64="thg-seoclarity"),"HOLD",TRUE,"REVIEW")</f>
        <v>REVIEW</v>
      </c>
      <c r="L64" t="str" cm="1">
        <f t="array" ref="L64">_xlfn.IFS(OR($C64="abtest_results",$C64="experimentation_sessions_colour_swatch"),"Experimentation team — unused, deprecated format. Safe to drop.",OR($B64="thg-influencer",$B64="thg-ingenuity",$B64="thg-central-marketing",$B64="thg-seoclarity"),"HOLD — Charlie Stringer to review before deletion",TRUE,"")</f>
        <v/>
      </c>
    </row>
    <row r="65" spans="1:12" ht="45.75" customHeight="1">
      <c r="A65" t="s">
        <v>135</v>
      </c>
      <c r="B65" t="s">
        <v>89</v>
      </c>
      <c r="C65" t="s">
        <v>407</v>
      </c>
      <c r="D65" t="s">
        <v>142</v>
      </c>
      <c r="E65">
        <v>3589</v>
      </c>
      <c r="F65">
        <v>515.66</v>
      </c>
      <c r="G65">
        <v>10.31</v>
      </c>
      <c r="H65" t="s">
        <v>408</v>
      </c>
      <c r="I65" s="2" t="s">
        <v>409</v>
      </c>
      <c r="J65" s="2" t="s">
        <v>410</v>
      </c>
      <c r="K65" t="str" cm="1">
        <f t="array" ref="K65">_xlfn.IFS(OR($C65="abtest_results",$C65="experimentation_sessions_colour_swatch"),"DROP CONFIRMED",OR($B65="thg-influencer",$B65="thg-ingenuity",$B65="thg-central-marketing",$B65="thg-seoclarity"),"HOLD",TRUE,"REVIEW")</f>
        <v>REVIEW</v>
      </c>
      <c r="L65" t="str" cm="1">
        <f t="array" ref="L65">_xlfn.IFS(OR($C65="abtest_results",$C65="experimentation_sessions_colour_swatch"),"Experimentation team — unused, deprecated format. Safe to drop.",OR($B65="thg-influencer",$B65="thg-ingenuity",$B65="thg-central-marketing",$B65="thg-seoclarity"),"HOLD — Charlie Stringer to review before deletion",TRUE,"")</f>
        <v/>
      </c>
    </row>
    <row r="66" spans="1:12" ht="45.75" customHeight="1">
      <c r="A66" t="s">
        <v>135</v>
      </c>
      <c r="B66" t="s">
        <v>89</v>
      </c>
      <c r="C66" t="s">
        <v>411</v>
      </c>
      <c r="D66" t="s">
        <v>142</v>
      </c>
      <c r="E66">
        <v>3547</v>
      </c>
      <c r="F66">
        <v>504.38</v>
      </c>
      <c r="G66">
        <v>10.09</v>
      </c>
      <c r="H66" t="s">
        <v>412</v>
      </c>
      <c r="I66" s="2" t="s">
        <v>413</v>
      </c>
      <c r="J66" s="2" t="s">
        <v>414</v>
      </c>
      <c r="K66" t="str" cm="1">
        <f t="array" ref="K66">_xlfn.IFS(OR($C66="abtest_results",$C66="experimentation_sessions_colour_swatch"),"DROP CONFIRMED",OR($B66="thg-influencer",$B66="thg-ingenuity",$B66="thg-central-marketing",$B66="thg-seoclarity"),"HOLD",TRUE,"REVIEW")</f>
        <v>REVIEW</v>
      </c>
      <c r="L66" t="str" cm="1">
        <f t="array" ref="L66">_xlfn.IFS(OR($C66="abtest_results",$C66="experimentation_sessions_colour_swatch"),"Experimentation team — unused, deprecated format. Safe to drop.",OR($B66="thg-influencer",$B66="thg-ingenuity",$B66="thg-central-marketing",$B66="thg-seoclarity"),"HOLD — Charlie Stringer to review before deletion",TRUE,"")</f>
        <v/>
      </c>
    </row>
    <row r="67" spans="1:12" ht="45.75" customHeight="1">
      <c r="A67" t="s">
        <v>135</v>
      </c>
      <c r="B67" t="s">
        <v>89</v>
      </c>
      <c r="C67" t="s">
        <v>415</v>
      </c>
      <c r="D67" t="s">
        <v>142</v>
      </c>
      <c r="E67">
        <v>2688</v>
      </c>
      <c r="F67">
        <v>493.4</v>
      </c>
      <c r="G67">
        <v>9.8699999999999992</v>
      </c>
      <c r="H67" t="s">
        <v>416</v>
      </c>
      <c r="I67" s="2" t="s">
        <v>417</v>
      </c>
      <c r="J67" s="2" t="s">
        <v>418</v>
      </c>
      <c r="K67" t="str" cm="1">
        <f t="array" ref="K67">_xlfn.IFS(OR($C67="abtest_results",$C67="experimentation_sessions_colour_swatch"),"DROP CONFIRMED",OR($B67="thg-influencer",$B67="thg-ingenuity",$B67="thg-central-marketing",$B67="thg-seoclarity"),"HOLD",TRUE,"REVIEW")</f>
        <v>REVIEW</v>
      </c>
      <c r="L67" t="str" cm="1">
        <f t="array" ref="L67">_xlfn.IFS(OR($C67="abtest_results",$C67="experimentation_sessions_colour_swatch"),"Experimentation team — unused, deprecated format. Safe to drop.",OR($B67="thg-influencer",$B67="thg-ingenuity",$B67="thg-central-marketing",$B67="thg-seoclarity"),"HOLD — Charlie Stringer to review before deletion",TRUE,"")</f>
        <v/>
      </c>
    </row>
    <row r="68" spans="1:12" ht="45.75" customHeight="1">
      <c r="A68" t="s">
        <v>135</v>
      </c>
      <c r="B68" t="s">
        <v>89</v>
      </c>
      <c r="C68" t="s">
        <v>419</v>
      </c>
      <c r="D68" t="s">
        <v>142</v>
      </c>
      <c r="E68">
        <v>2924</v>
      </c>
      <c r="F68">
        <v>488.06</v>
      </c>
      <c r="G68">
        <v>9.76</v>
      </c>
      <c r="H68" t="s">
        <v>420</v>
      </c>
      <c r="I68" s="2" t="s">
        <v>421</v>
      </c>
      <c r="J68" s="2" t="s">
        <v>422</v>
      </c>
      <c r="K68" t="str" cm="1">
        <f t="array" ref="K68">_xlfn.IFS(OR($C68="abtest_results",$C68="experimentation_sessions_colour_swatch"),"DROP CONFIRMED",OR($B68="thg-influencer",$B68="thg-ingenuity",$B68="thg-central-marketing",$B68="thg-seoclarity"),"HOLD",TRUE,"REVIEW")</f>
        <v>REVIEW</v>
      </c>
      <c r="L68" t="str" cm="1">
        <f t="array" ref="L68">_xlfn.IFS(OR($C68="abtest_results",$C68="experimentation_sessions_colour_swatch"),"Experimentation team — unused, deprecated format. Safe to drop.",OR($B68="thg-influencer",$B68="thg-ingenuity",$B68="thg-central-marketing",$B68="thg-seoclarity"),"HOLD — Charlie Stringer to review before deletion",TRUE,"")</f>
        <v/>
      </c>
    </row>
    <row r="69" spans="1:12" ht="45.75" customHeight="1">
      <c r="A69" t="s">
        <v>135</v>
      </c>
      <c r="B69" t="s">
        <v>89</v>
      </c>
      <c r="C69" t="s">
        <v>423</v>
      </c>
      <c r="D69" t="s">
        <v>142</v>
      </c>
      <c r="E69">
        <v>3835</v>
      </c>
      <c r="F69">
        <v>473.27</v>
      </c>
      <c r="G69">
        <v>9.4700000000000006</v>
      </c>
      <c r="H69" t="s">
        <v>424</v>
      </c>
      <c r="I69" s="2" t="s">
        <v>425</v>
      </c>
      <c r="J69" s="2" t="s">
        <v>426</v>
      </c>
      <c r="K69" t="str" cm="1">
        <f t="array" ref="K69">_xlfn.IFS(OR($C69="abtest_results",$C69="experimentation_sessions_colour_swatch"),"DROP CONFIRMED",OR($B69="thg-influencer",$B69="thg-ingenuity",$B69="thg-central-marketing",$B69="thg-seoclarity"),"HOLD",TRUE,"REVIEW")</f>
        <v>REVIEW</v>
      </c>
      <c r="L69" t="str" cm="1">
        <f t="array" ref="L69">_xlfn.IFS(OR($C69="abtest_results",$C69="experimentation_sessions_colour_swatch"),"Experimentation team — unused, deprecated format. Safe to drop.",OR($B69="thg-influencer",$B69="thg-ingenuity",$B69="thg-central-marketing",$B69="thg-seoclarity"),"HOLD — Charlie Stringer to review before deletion",TRUE,"")</f>
        <v/>
      </c>
    </row>
    <row r="70" spans="1:12" ht="45.75" customHeight="1">
      <c r="A70" t="s">
        <v>135</v>
      </c>
      <c r="B70" t="s">
        <v>89</v>
      </c>
      <c r="C70" t="s">
        <v>427</v>
      </c>
      <c r="D70" t="s">
        <v>142</v>
      </c>
      <c r="E70">
        <v>3227</v>
      </c>
      <c r="F70">
        <v>467.56</v>
      </c>
      <c r="G70">
        <v>9.35</v>
      </c>
      <c r="H70" t="s">
        <v>428</v>
      </c>
      <c r="I70" s="2" t="s">
        <v>429</v>
      </c>
      <c r="J70" s="2" t="s">
        <v>430</v>
      </c>
      <c r="K70" t="str" cm="1">
        <f t="array" ref="K70">_xlfn.IFS(OR($C70="abtest_results",$C70="experimentation_sessions_colour_swatch"),"DROP CONFIRMED",OR($B70="thg-influencer",$B70="thg-ingenuity",$B70="thg-central-marketing",$B70="thg-seoclarity"),"HOLD",TRUE,"REVIEW")</f>
        <v>REVIEW</v>
      </c>
      <c r="L70" t="str" cm="1">
        <f t="array" ref="L70">_xlfn.IFS(OR($C70="abtest_results",$C70="experimentation_sessions_colour_swatch"),"Experimentation team — unused, deprecated format. Safe to drop.",OR($B70="thg-influencer",$B70="thg-ingenuity",$B70="thg-central-marketing",$B70="thg-seoclarity"),"HOLD — Charlie Stringer to review before deletion",TRUE,"")</f>
        <v/>
      </c>
    </row>
    <row r="71" spans="1:12" ht="45.75" customHeight="1">
      <c r="A71" t="s">
        <v>135</v>
      </c>
      <c r="B71" t="s">
        <v>89</v>
      </c>
      <c r="C71" t="s">
        <v>431</v>
      </c>
      <c r="D71" t="s">
        <v>142</v>
      </c>
      <c r="E71">
        <v>3768</v>
      </c>
      <c r="F71">
        <v>440.69</v>
      </c>
      <c r="G71">
        <v>8.81</v>
      </c>
      <c r="H71" t="s">
        <v>432</v>
      </c>
      <c r="I71" s="2" t="s">
        <v>433</v>
      </c>
      <c r="J71" s="2" t="s">
        <v>434</v>
      </c>
      <c r="K71" t="str" cm="1">
        <f t="array" ref="K71">_xlfn.IFS(OR($C71="abtest_results",$C71="experimentation_sessions_colour_swatch"),"DROP CONFIRMED",OR($B71="thg-influencer",$B71="thg-ingenuity",$B71="thg-central-marketing",$B71="thg-seoclarity"),"HOLD",TRUE,"REVIEW")</f>
        <v>REVIEW</v>
      </c>
      <c r="L71" t="str" cm="1">
        <f t="array" ref="L71">_xlfn.IFS(OR($C71="abtest_results",$C71="experimentation_sessions_colour_swatch"),"Experimentation team — unused, deprecated format. Safe to drop.",OR($B71="thg-influencer",$B71="thg-ingenuity",$B71="thg-central-marketing",$B71="thg-seoclarity"),"HOLD — Charlie Stringer to review before deletion",TRUE,"")</f>
        <v/>
      </c>
    </row>
    <row r="72" spans="1:12" ht="45.75" customHeight="1">
      <c r="A72" t="s">
        <v>135</v>
      </c>
      <c r="B72" t="s">
        <v>89</v>
      </c>
      <c r="C72" t="s">
        <v>435</v>
      </c>
      <c r="D72" t="s">
        <v>436</v>
      </c>
      <c r="E72">
        <v>16912</v>
      </c>
      <c r="F72">
        <v>431.06</v>
      </c>
      <c r="G72">
        <v>8.6199999999999992</v>
      </c>
      <c r="H72" t="s">
        <v>437</v>
      </c>
      <c r="I72" s="2" t="s">
        <v>438</v>
      </c>
      <c r="J72" s="2" t="s">
        <v>439</v>
      </c>
      <c r="K72" t="str" cm="1">
        <f t="array" ref="K72">_xlfn.IFS(OR($C72="abtest_results",$C72="experimentation_sessions_colour_swatch"),"DROP CONFIRMED",OR($B72="thg-influencer",$B72="thg-ingenuity",$B72="thg-central-marketing",$B72="thg-seoclarity"),"HOLD",TRUE,"REVIEW")</f>
        <v>REVIEW</v>
      </c>
      <c r="L72" t="str" cm="1">
        <f t="array" ref="L72">_xlfn.IFS(OR($C72="abtest_results",$C72="experimentation_sessions_colour_swatch"),"Experimentation team — unused, deprecated format. Safe to drop.",OR($B72="thg-influencer",$B72="thg-ingenuity",$B72="thg-central-marketing",$B72="thg-seoclarity"),"HOLD — Charlie Stringer to review before deletion",TRUE,"")</f>
        <v/>
      </c>
    </row>
    <row r="73" spans="1:12" ht="45.75" customHeight="1">
      <c r="A73" t="s">
        <v>135</v>
      </c>
      <c r="B73" t="s">
        <v>89</v>
      </c>
      <c r="C73" t="s">
        <v>440</v>
      </c>
      <c r="D73" t="s">
        <v>142</v>
      </c>
      <c r="E73">
        <v>3833</v>
      </c>
      <c r="F73">
        <v>406.87</v>
      </c>
      <c r="G73">
        <v>8.14</v>
      </c>
      <c r="H73" t="s">
        <v>441</v>
      </c>
      <c r="I73" s="2" t="s">
        <v>442</v>
      </c>
      <c r="J73" s="2" t="s">
        <v>443</v>
      </c>
      <c r="K73" t="str" cm="1">
        <f t="array" ref="K73">_xlfn.IFS(OR($C73="abtest_results",$C73="experimentation_sessions_colour_swatch"),"DROP CONFIRMED",OR($B73="thg-influencer",$B73="thg-ingenuity",$B73="thg-central-marketing",$B73="thg-seoclarity"),"HOLD",TRUE,"REVIEW")</f>
        <v>REVIEW</v>
      </c>
      <c r="L73" t="str" cm="1">
        <f t="array" ref="L73">_xlfn.IFS(OR($C73="abtest_results",$C73="experimentation_sessions_colour_swatch"),"Experimentation team — unused, deprecated format. Safe to drop.",OR($B73="thg-influencer",$B73="thg-ingenuity",$B73="thg-central-marketing",$B73="thg-seoclarity"),"HOLD — Charlie Stringer to review before deletion",TRUE,"")</f>
        <v/>
      </c>
    </row>
    <row r="74" spans="1:12" ht="45.75" customHeight="1">
      <c r="A74" t="s">
        <v>135</v>
      </c>
      <c r="B74" t="s">
        <v>89</v>
      </c>
      <c r="C74" t="s">
        <v>444</v>
      </c>
      <c r="D74" t="s">
        <v>142</v>
      </c>
      <c r="E74">
        <v>3157</v>
      </c>
      <c r="F74">
        <v>402.87</v>
      </c>
      <c r="G74">
        <v>8.06</v>
      </c>
      <c r="H74" t="s">
        <v>445</v>
      </c>
      <c r="I74" s="2" t="s">
        <v>446</v>
      </c>
      <c r="J74" s="2" t="s">
        <v>447</v>
      </c>
      <c r="K74" t="str" cm="1">
        <f t="array" ref="K74">_xlfn.IFS(OR($C74="abtest_results",$C74="experimentation_sessions_colour_swatch"),"DROP CONFIRMED",OR($B74="thg-influencer",$B74="thg-ingenuity",$B74="thg-central-marketing",$B74="thg-seoclarity"),"HOLD",TRUE,"REVIEW")</f>
        <v>REVIEW</v>
      </c>
      <c r="L74" t="str" cm="1">
        <f t="array" ref="L74">_xlfn.IFS(OR($C74="abtest_results",$C74="experimentation_sessions_colour_swatch"),"Experimentation team — unused, deprecated format. Safe to drop.",OR($B74="thg-influencer",$B74="thg-ingenuity",$B74="thg-central-marketing",$B74="thg-seoclarity"),"HOLD — Charlie Stringer to review before deletion",TRUE,"")</f>
        <v/>
      </c>
    </row>
    <row r="75" spans="1:12" ht="45.75" customHeight="1">
      <c r="A75" t="s">
        <v>135</v>
      </c>
      <c r="B75" t="s">
        <v>89</v>
      </c>
      <c r="C75" t="s">
        <v>448</v>
      </c>
      <c r="D75" t="s">
        <v>449</v>
      </c>
      <c r="E75">
        <v>2934</v>
      </c>
      <c r="F75">
        <v>402.07</v>
      </c>
      <c r="G75">
        <v>8.0399999999999991</v>
      </c>
      <c r="H75" t="s">
        <v>450</v>
      </c>
      <c r="I75" s="2" t="s">
        <v>451</v>
      </c>
      <c r="J75" s="2" t="s">
        <v>452</v>
      </c>
      <c r="K75" t="str" cm="1">
        <f t="array" ref="K75">_xlfn.IFS(OR($C75="abtest_results",$C75="experimentation_sessions_colour_swatch"),"DROP CONFIRMED",OR($B75="thg-influencer",$B75="thg-ingenuity",$B75="thg-central-marketing",$B75="thg-seoclarity"),"HOLD",TRUE,"REVIEW")</f>
        <v>REVIEW</v>
      </c>
      <c r="L75" t="str" cm="1">
        <f t="array" ref="L75">_xlfn.IFS(OR($C75="abtest_results",$C75="experimentation_sessions_colour_swatch"),"Experimentation team — unused, deprecated format. Safe to drop.",OR($B75="thg-influencer",$B75="thg-ingenuity",$B75="thg-central-marketing",$B75="thg-seoclarity"),"HOLD — Charlie Stringer to review before deletion",TRUE,"")</f>
        <v/>
      </c>
    </row>
    <row r="76" spans="1:12" ht="45.75" customHeight="1">
      <c r="A76" t="s">
        <v>135</v>
      </c>
      <c r="B76" t="s">
        <v>89</v>
      </c>
      <c r="C76" t="s">
        <v>453</v>
      </c>
      <c r="D76" t="s">
        <v>454</v>
      </c>
      <c r="E76">
        <v>3397</v>
      </c>
      <c r="F76">
        <v>400.2</v>
      </c>
      <c r="G76">
        <v>8</v>
      </c>
      <c r="H76" t="s">
        <v>455</v>
      </c>
      <c r="I76" s="2" t="s">
        <v>456</v>
      </c>
      <c r="J76" s="2" t="s">
        <v>457</v>
      </c>
      <c r="K76" t="str" cm="1">
        <f t="array" ref="K76">_xlfn.IFS(OR($C76="abtest_results",$C76="experimentation_sessions_colour_swatch"),"DROP CONFIRMED",OR($B76="thg-influencer",$B76="thg-ingenuity",$B76="thg-central-marketing",$B76="thg-seoclarity"),"HOLD",TRUE,"REVIEW")</f>
        <v>REVIEW</v>
      </c>
      <c r="L76" t="str" cm="1">
        <f t="array" ref="L76">_xlfn.IFS(OR($C76="abtest_results",$C76="experimentation_sessions_colour_swatch"),"Experimentation team — unused, deprecated format. Safe to drop.",OR($B76="thg-influencer",$B76="thg-ingenuity",$B76="thg-central-marketing",$B76="thg-seoclarity"),"HOLD — Charlie Stringer to review before deletion",TRUE,"")</f>
        <v/>
      </c>
    </row>
    <row r="77" spans="1:12" ht="45.75" customHeight="1">
      <c r="A77" t="s">
        <v>135</v>
      </c>
      <c r="B77" t="s">
        <v>89</v>
      </c>
      <c r="C77" t="s">
        <v>458</v>
      </c>
      <c r="D77" t="s">
        <v>459</v>
      </c>
      <c r="E77">
        <v>8133</v>
      </c>
      <c r="F77">
        <v>390.02</v>
      </c>
      <c r="G77">
        <v>7.8</v>
      </c>
      <c r="H77" t="s">
        <v>460</v>
      </c>
      <c r="I77" s="2" t="s">
        <v>461</v>
      </c>
      <c r="J77" s="2" t="s">
        <v>462</v>
      </c>
      <c r="K77" t="str" cm="1">
        <f t="array" ref="K77">_xlfn.IFS(OR($C77="abtest_results",$C77="experimentation_sessions_colour_swatch"),"DROP CONFIRMED",OR($B77="thg-influencer",$B77="thg-ingenuity",$B77="thg-central-marketing",$B77="thg-seoclarity"),"HOLD",TRUE,"REVIEW")</f>
        <v>REVIEW</v>
      </c>
      <c r="L77" t="str" cm="1">
        <f t="array" ref="L77">_xlfn.IFS(OR($C77="abtest_results",$C77="experimentation_sessions_colour_swatch"),"Experimentation team — unused, deprecated format. Safe to drop.",OR($B77="thg-influencer",$B77="thg-ingenuity",$B77="thg-central-marketing",$B77="thg-seoclarity"),"HOLD — Charlie Stringer to review before deletion",TRUE,"")</f>
        <v/>
      </c>
    </row>
    <row r="78" spans="1:12" ht="45.75" customHeight="1">
      <c r="A78" t="s">
        <v>135</v>
      </c>
      <c r="B78" t="s">
        <v>89</v>
      </c>
      <c r="C78" t="s">
        <v>463</v>
      </c>
      <c r="D78" t="s">
        <v>142</v>
      </c>
      <c r="E78">
        <v>2842</v>
      </c>
      <c r="F78">
        <v>381.39</v>
      </c>
      <c r="G78">
        <v>7.63</v>
      </c>
      <c r="H78" t="s">
        <v>464</v>
      </c>
      <c r="I78" s="2" t="s">
        <v>465</v>
      </c>
      <c r="J78" s="2" t="s">
        <v>466</v>
      </c>
      <c r="K78" t="str" cm="1">
        <f t="array" ref="K78">_xlfn.IFS(OR($C78="abtest_results",$C78="experimentation_sessions_colour_swatch"),"DROP CONFIRMED",OR($B78="thg-influencer",$B78="thg-ingenuity",$B78="thg-central-marketing",$B78="thg-seoclarity"),"HOLD",TRUE,"REVIEW")</f>
        <v>REVIEW</v>
      </c>
      <c r="L78" t="str" cm="1">
        <f t="array" ref="L78">_xlfn.IFS(OR($C78="abtest_results",$C78="experimentation_sessions_colour_swatch"),"Experimentation team — unused, deprecated format. Safe to drop.",OR($B78="thg-influencer",$B78="thg-ingenuity",$B78="thg-central-marketing",$B78="thg-seoclarity"),"HOLD — Charlie Stringer to review before deletion",TRUE,"")</f>
        <v/>
      </c>
    </row>
    <row r="79" spans="1:12" ht="45.75" customHeight="1">
      <c r="A79" t="s">
        <v>135</v>
      </c>
      <c r="B79" t="s">
        <v>90</v>
      </c>
      <c r="C79" t="s">
        <v>467</v>
      </c>
      <c r="D79" t="s">
        <v>468</v>
      </c>
      <c r="E79">
        <v>6</v>
      </c>
      <c r="F79">
        <v>379.49</v>
      </c>
      <c r="G79">
        <v>7.59</v>
      </c>
      <c r="H79" t="s">
        <v>469</v>
      </c>
      <c r="I79" s="2" t="s">
        <v>470</v>
      </c>
      <c r="J79" s="2" t="s">
        <v>471</v>
      </c>
      <c r="K79" t="str" cm="1">
        <f t="array" ref="K79">_xlfn.IFS(OR($C79="abtest_results",$C79="experimentation_sessions_colour_swatch"),"DROP CONFIRMED",OR($B79="thg-influencer",$B79="thg-ingenuity",$B79="thg-central-marketing",$B79="thg-seoclarity"),"HOLD",TRUE,"REVIEW")</f>
        <v>REVIEW</v>
      </c>
      <c r="L79" t="str" cm="1">
        <f t="array" ref="L79">_xlfn.IFS(OR($C79="abtest_results",$C79="experimentation_sessions_colour_swatch"),"Experimentation team — unused, deprecated format. Safe to drop.",OR($B79="thg-influencer",$B79="thg-ingenuity",$B79="thg-central-marketing",$B79="thg-seoclarity"),"HOLD — Charlie Stringer to review before deletion",TRUE,"")</f>
        <v/>
      </c>
    </row>
    <row r="80" spans="1:12" ht="45.75" customHeight="1">
      <c r="A80" t="s">
        <v>135</v>
      </c>
      <c r="B80" t="s">
        <v>89</v>
      </c>
      <c r="C80" t="s">
        <v>472</v>
      </c>
      <c r="D80" t="s">
        <v>142</v>
      </c>
      <c r="E80">
        <v>3831</v>
      </c>
      <c r="F80">
        <v>375.32</v>
      </c>
      <c r="G80">
        <v>7.51</v>
      </c>
      <c r="H80" t="s">
        <v>473</v>
      </c>
      <c r="I80" s="2" t="s">
        <v>474</v>
      </c>
      <c r="J80" s="2" t="s">
        <v>475</v>
      </c>
      <c r="K80" t="str" cm="1">
        <f t="array" ref="K80">_xlfn.IFS(OR($C80="abtest_results",$C80="experimentation_sessions_colour_swatch"),"DROP CONFIRMED",OR($B80="thg-influencer",$B80="thg-ingenuity",$B80="thg-central-marketing",$B80="thg-seoclarity"),"HOLD",TRUE,"REVIEW")</f>
        <v>REVIEW</v>
      </c>
      <c r="L80" t="str" cm="1">
        <f t="array" ref="L80">_xlfn.IFS(OR($C80="abtest_results",$C80="experimentation_sessions_colour_swatch"),"Experimentation team — unused, deprecated format. Safe to drop.",OR($B80="thg-influencer",$B80="thg-ingenuity",$B80="thg-central-marketing",$B80="thg-seoclarity"),"HOLD — Charlie Stringer to review before deletion",TRUE,"")</f>
        <v/>
      </c>
    </row>
    <row r="81" spans="1:12" ht="45.75" customHeight="1">
      <c r="A81" t="s">
        <v>135</v>
      </c>
      <c r="B81" t="s">
        <v>89</v>
      </c>
      <c r="C81" t="s">
        <v>476</v>
      </c>
      <c r="D81" t="s">
        <v>142</v>
      </c>
      <c r="E81">
        <v>2732</v>
      </c>
      <c r="F81">
        <v>366.3</v>
      </c>
      <c r="G81">
        <v>7.33</v>
      </c>
      <c r="H81" t="s">
        <v>477</v>
      </c>
      <c r="I81" s="2" t="s">
        <v>478</v>
      </c>
      <c r="J81" s="2" t="s">
        <v>479</v>
      </c>
      <c r="K81" t="str" cm="1">
        <f t="array" ref="K81">_xlfn.IFS(OR($C81="abtest_results",$C81="experimentation_sessions_colour_swatch"),"DROP CONFIRMED",OR($B81="thg-influencer",$B81="thg-ingenuity",$B81="thg-central-marketing",$B81="thg-seoclarity"),"HOLD",TRUE,"REVIEW")</f>
        <v>REVIEW</v>
      </c>
      <c r="L81" t="str" cm="1">
        <f t="array" ref="L81">_xlfn.IFS(OR($C81="abtest_results",$C81="experimentation_sessions_colour_swatch"),"Experimentation team — unused, deprecated format. Safe to drop.",OR($B81="thg-influencer",$B81="thg-ingenuity",$B81="thg-central-marketing",$B81="thg-seoclarity"),"HOLD — Charlie Stringer to review before deletion",TRUE,"")</f>
        <v/>
      </c>
    </row>
    <row r="82" spans="1:12" ht="45.75" customHeight="1">
      <c r="A82" t="s">
        <v>135</v>
      </c>
      <c r="B82" t="s">
        <v>89</v>
      </c>
      <c r="C82" t="s">
        <v>480</v>
      </c>
      <c r="D82" t="s">
        <v>142</v>
      </c>
      <c r="E82">
        <v>3157</v>
      </c>
      <c r="F82">
        <v>359.1</v>
      </c>
      <c r="G82">
        <v>7.18</v>
      </c>
      <c r="H82" t="s">
        <v>481</v>
      </c>
      <c r="I82" s="2" t="s">
        <v>482</v>
      </c>
      <c r="J82" s="2" t="s">
        <v>483</v>
      </c>
      <c r="K82" t="str" cm="1">
        <f t="array" ref="K82">_xlfn.IFS(OR($C82="abtest_results",$C82="experimentation_sessions_colour_swatch"),"DROP CONFIRMED",OR($B82="thg-influencer",$B82="thg-ingenuity",$B82="thg-central-marketing",$B82="thg-seoclarity"),"HOLD",TRUE,"REVIEW")</f>
        <v>REVIEW</v>
      </c>
      <c r="L82" t="str" cm="1">
        <f t="array" ref="L82">_xlfn.IFS(OR($C82="abtest_results",$C82="experimentation_sessions_colour_swatch"),"Experimentation team — unused, deprecated format. Safe to drop.",OR($B82="thg-influencer",$B82="thg-ingenuity",$B82="thg-central-marketing",$B82="thg-seoclarity"),"HOLD — Charlie Stringer to review before deletion",TRUE,"")</f>
        <v/>
      </c>
    </row>
    <row r="83" spans="1:12" ht="45.75" customHeight="1">
      <c r="A83" t="s">
        <v>135</v>
      </c>
      <c r="B83" t="s">
        <v>89</v>
      </c>
      <c r="C83" t="s">
        <v>484</v>
      </c>
      <c r="D83" t="s">
        <v>142</v>
      </c>
      <c r="E83">
        <v>2977</v>
      </c>
      <c r="F83">
        <v>358.03</v>
      </c>
      <c r="G83">
        <v>7.16</v>
      </c>
      <c r="H83" t="s">
        <v>485</v>
      </c>
      <c r="I83" s="2" t="s">
        <v>486</v>
      </c>
      <c r="J83" s="2" t="s">
        <v>487</v>
      </c>
      <c r="K83" t="str" cm="1">
        <f t="array" ref="K83">_xlfn.IFS(OR($C83="abtest_results",$C83="experimentation_sessions_colour_swatch"),"DROP CONFIRMED",OR($B83="thg-influencer",$B83="thg-ingenuity",$B83="thg-central-marketing",$B83="thg-seoclarity"),"HOLD",TRUE,"REVIEW")</f>
        <v>REVIEW</v>
      </c>
      <c r="L83" t="str" cm="1">
        <f t="array" ref="L83">_xlfn.IFS(OR($C83="abtest_results",$C83="experimentation_sessions_colour_swatch"),"Experimentation team — unused, deprecated format. Safe to drop.",OR($B83="thg-influencer",$B83="thg-ingenuity",$B83="thg-central-marketing",$B83="thg-seoclarity"),"HOLD — Charlie Stringer to review before deletion",TRUE,"")</f>
        <v/>
      </c>
    </row>
    <row r="84" spans="1:12" ht="45.75" customHeight="1">
      <c r="A84" t="s">
        <v>135</v>
      </c>
      <c r="B84" t="s">
        <v>89</v>
      </c>
      <c r="C84" t="s">
        <v>488</v>
      </c>
      <c r="D84" t="s">
        <v>142</v>
      </c>
      <c r="E84">
        <v>2409</v>
      </c>
      <c r="F84">
        <v>357.01</v>
      </c>
      <c r="G84">
        <v>7.14</v>
      </c>
      <c r="H84" t="s">
        <v>489</v>
      </c>
      <c r="I84" s="2" t="s">
        <v>490</v>
      </c>
      <c r="J84" s="2" t="s">
        <v>491</v>
      </c>
      <c r="K84" t="str" cm="1">
        <f t="array" ref="K84">_xlfn.IFS(OR($C84="abtest_results",$C84="experimentation_sessions_colour_swatch"),"DROP CONFIRMED",OR($B84="thg-influencer",$B84="thg-ingenuity",$B84="thg-central-marketing",$B84="thg-seoclarity"),"HOLD",TRUE,"REVIEW")</f>
        <v>REVIEW</v>
      </c>
      <c r="L84" t="str" cm="1">
        <f t="array" ref="L84">_xlfn.IFS(OR($C84="abtest_results",$C84="experimentation_sessions_colour_swatch"),"Experimentation team — unused, deprecated format. Safe to drop.",OR($B84="thg-influencer",$B84="thg-ingenuity",$B84="thg-central-marketing",$B84="thg-seoclarity"),"HOLD — Charlie Stringer to review before deletion",TRUE,"")</f>
        <v/>
      </c>
    </row>
    <row r="85" spans="1:12" ht="45.75" customHeight="1">
      <c r="A85" t="s">
        <v>135</v>
      </c>
      <c r="B85" t="s">
        <v>89</v>
      </c>
      <c r="C85" t="s">
        <v>492</v>
      </c>
      <c r="D85" t="s">
        <v>142</v>
      </c>
      <c r="E85">
        <v>3523</v>
      </c>
      <c r="F85">
        <v>353.6</v>
      </c>
      <c r="G85">
        <v>7.07</v>
      </c>
      <c r="H85" t="s">
        <v>493</v>
      </c>
      <c r="I85" s="2" t="s">
        <v>494</v>
      </c>
      <c r="J85" s="2" t="s">
        <v>495</v>
      </c>
      <c r="K85" t="str" cm="1">
        <f t="array" ref="K85">_xlfn.IFS(OR($C85="abtest_results",$C85="experimentation_sessions_colour_swatch"),"DROP CONFIRMED",OR($B85="thg-influencer",$B85="thg-ingenuity",$B85="thg-central-marketing",$B85="thg-seoclarity"),"HOLD",TRUE,"REVIEW")</f>
        <v>REVIEW</v>
      </c>
      <c r="L85" t="str" cm="1">
        <f t="array" ref="L85">_xlfn.IFS(OR($C85="abtest_results",$C85="experimentation_sessions_colour_swatch"),"Experimentation team — unused, deprecated format. Safe to drop.",OR($B85="thg-influencer",$B85="thg-ingenuity",$B85="thg-central-marketing",$B85="thg-seoclarity"),"HOLD — Charlie Stringer to review before deletion",TRUE,"")</f>
        <v/>
      </c>
    </row>
    <row r="86" spans="1:12" ht="45.75" customHeight="1">
      <c r="A86" t="s">
        <v>135</v>
      </c>
      <c r="B86" t="s">
        <v>89</v>
      </c>
      <c r="C86" t="s">
        <v>496</v>
      </c>
      <c r="D86" t="s">
        <v>142</v>
      </c>
      <c r="E86">
        <v>3135</v>
      </c>
      <c r="F86">
        <v>350.74</v>
      </c>
      <c r="G86">
        <v>7.01</v>
      </c>
      <c r="H86" t="s">
        <v>497</v>
      </c>
      <c r="I86" s="2" t="s">
        <v>498</v>
      </c>
      <c r="J86" s="2" t="s">
        <v>499</v>
      </c>
      <c r="K86" t="str" cm="1">
        <f t="array" ref="K86">_xlfn.IFS(OR($C86="abtest_results",$C86="experimentation_sessions_colour_swatch"),"DROP CONFIRMED",OR($B86="thg-influencer",$B86="thg-ingenuity",$B86="thg-central-marketing",$B86="thg-seoclarity"),"HOLD",TRUE,"REVIEW")</f>
        <v>REVIEW</v>
      </c>
      <c r="L86" t="str" cm="1">
        <f t="array" ref="L86">_xlfn.IFS(OR($C86="abtest_results",$C86="experimentation_sessions_colour_swatch"),"Experimentation team — unused, deprecated format. Safe to drop.",OR($B86="thg-influencer",$B86="thg-ingenuity",$B86="thg-central-marketing",$B86="thg-seoclarity"),"HOLD — Charlie Stringer to review before deletion",TRUE,"")</f>
        <v/>
      </c>
    </row>
    <row r="87" spans="1:12" ht="45.75" customHeight="1">
      <c r="A87" t="s">
        <v>135</v>
      </c>
      <c r="B87" t="s">
        <v>89</v>
      </c>
      <c r="C87" t="s">
        <v>500</v>
      </c>
      <c r="D87" t="s">
        <v>142</v>
      </c>
      <c r="E87">
        <v>2656</v>
      </c>
      <c r="F87">
        <v>349.09</v>
      </c>
      <c r="G87">
        <v>6.98</v>
      </c>
      <c r="H87" t="s">
        <v>501</v>
      </c>
      <c r="I87" s="2" t="s">
        <v>502</v>
      </c>
      <c r="J87" s="2" t="s">
        <v>503</v>
      </c>
      <c r="K87" t="str" cm="1">
        <f t="array" ref="K87">_xlfn.IFS(OR($C87="abtest_results",$C87="experimentation_sessions_colour_swatch"),"DROP CONFIRMED",OR($B87="thg-influencer",$B87="thg-ingenuity",$B87="thg-central-marketing",$B87="thg-seoclarity"),"HOLD",TRUE,"REVIEW")</f>
        <v>REVIEW</v>
      </c>
      <c r="L87" t="str" cm="1">
        <f t="array" ref="L87">_xlfn.IFS(OR($C87="abtest_results",$C87="experimentation_sessions_colour_swatch"),"Experimentation team — unused, deprecated format. Safe to drop.",OR($B87="thg-influencer",$B87="thg-ingenuity",$B87="thg-central-marketing",$B87="thg-seoclarity"),"HOLD — Charlie Stringer to review before deletion",TRUE,"")</f>
        <v/>
      </c>
    </row>
    <row r="88" spans="1:12" ht="45.75" customHeight="1">
      <c r="A88" t="s">
        <v>135</v>
      </c>
      <c r="B88" t="s">
        <v>89</v>
      </c>
      <c r="C88" t="s">
        <v>504</v>
      </c>
      <c r="D88" t="s">
        <v>142</v>
      </c>
      <c r="E88">
        <v>3839</v>
      </c>
      <c r="F88">
        <v>347.13</v>
      </c>
      <c r="G88">
        <v>6.94</v>
      </c>
      <c r="H88" t="s">
        <v>505</v>
      </c>
      <c r="I88" s="2" t="s">
        <v>506</v>
      </c>
      <c r="J88" s="2" t="s">
        <v>507</v>
      </c>
      <c r="K88" t="str" cm="1">
        <f t="array" ref="K88">_xlfn.IFS(OR($C88="abtest_results",$C88="experimentation_sessions_colour_swatch"),"DROP CONFIRMED",OR($B88="thg-influencer",$B88="thg-ingenuity",$B88="thg-central-marketing",$B88="thg-seoclarity"),"HOLD",TRUE,"REVIEW")</f>
        <v>REVIEW</v>
      </c>
      <c r="L88" t="str" cm="1">
        <f t="array" ref="L88">_xlfn.IFS(OR($C88="abtest_results",$C88="experimentation_sessions_colour_swatch"),"Experimentation team — unused, deprecated format. Safe to drop.",OR($B88="thg-influencer",$B88="thg-ingenuity",$B88="thg-central-marketing",$B88="thg-seoclarity"),"HOLD — Charlie Stringer to review before deletion",TRUE,"")</f>
        <v/>
      </c>
    </row>
    <row r="89" spans="1:12" ht="45.75" customHeight="1">
      <c r="A89" t="s">
        <v>135</v>
      </c>
      <c r="B89" t="s">
        <v>89</v>
      </c>
      <c r="C89" t="s">
        <v>508</v>
      </c>
      <c r="D89" t="s">
        <v>142</v>
      </c>
      <c r="E89">
        <v>3172</v>
      </c>
      <c r="F89">
        <v>328.59</v>
      </c>
      <c r="G89">
        <v>6.57</v>
      </c>
      <c r="H89" t="s">
        <v>509</v>
      </c>
      <c r="I89" s="2" t="s">
        <v>510</v>
      </c>
      <c r="J89" s="2" t="s">
        <v>511</v>
      </c>
      <c r="K89" t="str" cm="1">
        <f t="array" ref="K89">_xlfn.IFS(OR($C89="abtest_results",$C89="experimentation_sessions_colour_swatch"),"DROP CONFIRMED",OR($B89="thg-influencer",$B89="thg-ingenuity",$B89="thg-central-marketing",$B89="thg-seoclarity"),"HOLD",TRUE,"REVIEW")</f>
        <v>REVIEW</v>
      </c>
      <c r="L89" t="str" cm="1">
        <f t="array" ref="L89">_xlfn.IFS(OR($C89="abtest_results",$C89="experimentation_sessions_colour_swatch"),"Experimentation team — unused, deprecated format. Safe to drop.",OR($B89="thg-influencer",$B89="thg-ingenuity",$B89="thg-central-marketing",$B89="thg-seoclarity"),"HOLD — Charlie Stringer to review before deletion",TRUE,"")</f>
        <v/>
      </c>
    </row>
    <row r="90" spans="1:12" ht="45.75" customHeight="1">
      <c r="A90" t="s">
        <v>135</v>
      </c>
      <c r="B90" t="s">
        <v>89</v>
      </c>
      <c r="C90" t="s">
        <v>512</v>
      </c>
      <c r="D90" t="s">
        <v>142</v>
      </c>
      <c r="E90">
        <v>3835</v>
      </c>
      <c r="F90">
        <v>325.7</v>
      </c>
      <c r="G90">
        <v>6.51</v>
      </c>
      <c r="H90" t="s">
        <v>513</v>
      </c>
      <c r="I90" s="2" t="s">
        <v>514</v>
      </c>
      <c r="J90" s="2" t="s">
        <v>515</v>
      </c>
      <c r="K90" t="str" cm="1">
        <f t="array" ref="K90">_xlfn.IFS(OR($C90="abtest_results",$C90="experimentation_sessions_colour_swatch"),"DROP CONFIRMED",OR($B90="thg-influencer",$B90="thg-ingenuity",$B90="thg-central-marketing",$B90="thg-seoclarity"),"HOLD",TRUE,"REVIEW")</f>
        <v>REVIEW</v>
      </c>
      <c r="L90" t="str" cm="1">
        <f t="array" ref="L90">_xlfn.IFS(OR($C90="abtest_results",$C90="experimentation_sessions_colour_swatch"),"Experimentation team — unused, deprecated format. Safe to drop.",OR($B90="thg-influencer",$B90="thg-ingenuity",$B90="thg-central-marketing",$B90="thg-seoclarity"),"HOLD — Charlie Stringer to review before deletion",TRUE,"")</f>
        <v/>
      </c>
    </row>
    <row r="91" spans="1:12" ht="45.75" customHeight="1">
      <c r="A91" t="s">
        <v>135</v>
      </c>
      <c r="B91" t="s">
        <v>89</v>
      </c>
      <c r="C91" t="s">
        <v>516</v>
      </c>
      <c r="D91" t="s">
        <v>142</v>
      </c>
      <c r="E91">
        <v>3163</v>
      </c>
      <c r="F91">
        <v>308.26</v>
      </c>
      <c r="G91">
        <v>6.17</v>
      </c>
      <c r="H91" t="s">
        <v>517</v>
      </c>
      <c r="I91" s="2" t="s">
        <v>518</v>
      </c>
      <c r="J91" s="2" t="s">
        <v>519</v>
      </c>
      <c r="K91" t="str" cm="1">
        <f t="array" ref="K91">_xlfn.IFS(OR($C91="abtest_results",$C91="experimentation_sessions_colour_swatch"),"DROP CONFIRMED",OR($B91="thg-influencer",$B91="thg-ingenuity",$B91="thg-central-marketing",$B91="thg-seoclarity"),"HOLD",TRUE,"REVIEW")</f>
        <v>REVIEW</v>
      </c>
      <c r="L91" t="str" cm="1">
        <f t="array" ref="L91">_xlfn.IFS(OR($C91="abtest_results",$C91="experimentation_sessions_colour_swatch"),"Experimentation team — unused, deprecated format. Safe to drop.",OR($B91="thg-influencer",$B91="thg-ingenuity",$B91="thg-central-marketing",$B91="thg-seoclarity"),"HOLD — Charlie Stringer to review before deletion",TRUE,"")</f>
        <v/>
      </c>
    </row>
    <row r="92" spans="1:12" ht="45.75" customHeight="1">
      <c r="A92" t="s">
        <v>135</v>
      </c>
      <c r="B92" t="s">
        <v>90</v>
      </c>
      <c r="C92" t="s">
        <v>520</v>
      </c>
      <c r="D92" t="s">
        <v>184</v>
      </c>
      <c r="E92">
        <v>341</v>
      </c>
      <c r="F92">
        <v>306.5</v>
      </c>
      <c r="G92">
        <v>6.13</v>
      </c>
      <c r="H92" t="s">
        <v>521</v>
      </c>
      <c r="I92" s="2" t="s">
        <v>522</v>
      </c>
      <c r="J92" s="2" t="s">
        <v>523</v>
      </c>
      <c r="K92" t="str" cm="1">
        <f t="array" ref="K92">_xlfn.IFS(OR($C92="abtest_results",$C92="experimentation_sessions_colour_swatch"),"DROP CONFIRMED",OR($B92="thg-influencer",$B92="thg-ingenuity",$B92="thg-central-marketing",$B92="thg-seoclarity"),"HOLD",TRUE,"REVIEW")</f>
        <v>REVIEW</v>
      </c>
      <c r="L92" t="str" cm="1">
        <f t="array" ref="L92">_xlfn.IFS(OR($C92="abtest_results",$C92="experimentation_sessions_colour_swatch"),"Experimentation team — unused, deprecated format. Safe to drop.",OR($B92="thg-influencer",$B92="thg-ingenuity",$B92="thg-central-marketing",$B92="thg-seoclarity"),"HOLD — Charlie Stringer to review before deletion",TRUE,"")</f>
        <v/>
      </c>
    </row>
    <row r="93" spans="1:12" ht="45.75" customHeight="1">
      <c r="A93" t="s">
        <v>135</v>
      </c>
      <c r="B93" t="s">
        <v>89</v>
      </c>
      <c r="C93" t="s">
        <v>524</v>
      </c>
      <c r="D93" t="s">
        <v>142</v>
      </c>
      <c r="E93">
        <v>3585</v>
      </c>
      <c r="F93">
        <v>303.87</v>
      </c>
      <c r="G93">
        <v>6.08</v>
      </c>
      <c r="H93" t="s">
        <v>525</v>
      </c>
      <c r="I93" s="2" t="s">
        <v>526</v>
      </c>
      <c r="J93" s="2" t="s">
        <v>527</v>
      </c>
      <c r="K93" t="str" cm="1">
        <f t="array" ref="K93">_xlfn.IFS(OR($C93="abtest_results",$C93="experimentation_sessions_colour_swatch"),"DROP CONFIRMED",OR($B93="thg-influencer",$B93="thg-ingenuity",$B93="thg-central-marketing",$B93="thg-seoclarity"),"HOLD",TRUE,"REVIEW")</f>
        <v>REVIEW</v>
      </c>
      <c r="L93" t="str" cm="1">
        <f t="array" ref="L93">_xlfn.IFS(OR($C93="abtest_results",$C93="experimentation_sessions_colour_swatch"),"Experimentation team — unused, deprecated format. Safe to drop.",OR($B93="thg-influencer",$B93="thg-ingenuity",$B93="thg-central-marketing",$B93="thg-seoclarity"),"HOLD — Charlie Stringer to review before deletion",TRUE,"")</f>
        <v/>
      </c>
    </row>
    <row r="94" spans="1:12" ht="45.75" customHeight="1">
      <c r="A94" t="s">
        <v>135</v>
      </c>
      <c r="B94" t="s">
        <v>89</v>
      </c>
      <c r="C94" t="s">
        <v>528</v>
      </c>
      <c r="D94" t="s">
        <v>529</v>
      </c>
      <c r="E94">
        <v>2485</v>
      </c>
      <c r="F94">
        <v>297.18</v>
      </c>
      <c r="G94">
        <v>5.94</v>
      </c>
      <c r="H94" t="s">
        <v>530</v>
      </c>
      <c r="I94" s="2" t="s">
        <v>531</v>
      </c>
      <c r="J94" s="2" t="s">
        <v>532</v>
      </c>
      <c r="K94" t="str" cm="1">
        <f t="array" ref="K94">_xlfn.IFS(OR($C94="abtest_results",$C94="experimentation_sessions_colour_swatch"),"DROP CONFIRMED",OR($B94="thg-influencer",$B94="thg-ingenuity",$B94="thg-central-marketing",$B94="thg-seoclarity"),"HOLD",TRUE,"REVIEW")</f>
        <v>REVIEW</v>
      </c>
      <c r="L94" t="str" cm="1">
        <f t="array" ref="L94">_xlfn.IFS(OR($C94="abtest_results",$C94="experimentation_sessions_colour_swatch"),"Experimentation team — unused, deprecated format. Safe to drop.",OR($B94="thg-influencer",$B94="thg-ingenuity",$B94="thg-central-marketing",$B94="thg-seoclarity"),"HOLD — Charlie Stringer to review before deletion",TRUE,"")</f>
        <v/>
      </c>
    </row>
    <row r="95" spans="1:12" ht="45.75" customHeight="1">
      <c r="A95" t="s">
        <v>135</v>
      </c>
      <c r="B95" t="s">
        <v>89</v>
      </c>
      <c r="C95" t="s">
        <v>533</v>
      </c>
      <c r="D95" t="s">
        <v>142</v>
      </c>
      <c r="E95">
        <v>3242</v>
      </c>
      <c r="F95">
        <v>290.3</v>
      </c>
      <c r="G95">
        <v>5.81</v>
      </c>
      <c r="H95" t="s">
        <v>534</v>
      </c>
      <c r="I95" s="2" t="s">
        <v>535</v>
      </c>
      <c r="J95" s="2" t="s">
        <v>536</v>
      </c>
      <c r="K95" t="str" cm="1">
        <f t="array" ref="K95">_xlfn.IFS(OR($C95="abtest_results",$C95="experimentation_sessions_colour_swatch"),"DROP CONFIRMED",OR($B95="thg-influencer",$B95="thg-ingenuity",$B95="thg-central-marketing",$B95="thg-seoclarity"),"HOLD",TRUE,"REVIEW")</f>
        <v>REVIEW</v>
      </c>
      <c r="L95" t="str" cm="1">
        <f t="array" ref="L95">_xlfn.IFS(OR($C95="abtest_results",$C95="experimentation_sessions_colour_swatch"),"Experimentation team — unused, deprecated format. Safe to drop.",OR($B95="thg-influencer",$B95="thg-ingenuity",$B95="thg-central-marketing",$B95="thg-seoclarity"),"HOLD — Charlie Stringer to review before deletion",TRUE,"")</f>
        <v/>
      </c>
    </row>
    <row r="96" spans="1:12" ht="45.75" customHeight="1">
      <c r="A96" t="s">
        <v>135</v>
      </c>
      <c r="B96" t="s">
        <v>89</v>
      </c>
      <c r="C96" t="s">
        <v>537</v>
      </c>
      <c r="D96" t="s">
        <v>142</v>
      </c>
      <c r="E96">
        <v>2936</v>
      </c>
      <c r="F96">
        <v>281.49</v>
      </c>
      <c r="G96">
        <v>5.63</v>
      </c>
      <c r="H96" t="s">
        <v>538</v>
      </c>
      <c r="I96" s="2" t="s">
        <v>539</v>
      </c>
      <c r="J96" s="2" t="s">
        <v>540</v>
      </c>
      <c r="K96" t="str" cm="1">
        <f t="array" ref="K96">_xlfn.IFS(OR($C96="abtest_results",$C96="experimentation_sessions_colour_swatch"),"DROP CONFIRMED",OR($B96="thg-influencer",$B96="thg-ingenuity",$B96="thg-central-marketing",$B96="thg-seoclarity"),"HOLD",TRUE,"REVIEW")</f>
        <v>REVIEW</v>
      </c>
      <c r="L96" t="str" cm="1">
        <f t="array" ref="L96">_xlfn.IFS(OR($C96="abtest_results",$C96="experimentation_sessions_colour_swatch"),"Experimentation team — unused, deprecated format. Safe to drop.",OR($B96="thg-influencer",$B96="thg-ingenuity",$B96="thg-central-marketing",$B96="thg-seoclarity"),"HOLD — Charlie Stringer to review before deletion",TRUE,"")</f>
        <v/>
      </c>
    </row>
    <row r="97" spans="1:12" ht="45.75" customHeight="1">
      <c r="A97" t="s">
        <v>135</v>
      </c>
      <c r="B97" t="s">
        <v>89</v>
      </c>
      <c r="C97" t="s">
        <v>541</v>
      </c>
      <c r="D97" t="s">
        <v>142</v>
      </c>
      <c r="E97">
        <v>3837</v>
      </c>
      <c r="F97">
        <v>279.42</v>
      </c>
      <c r="G97">
        <v>5.59</v>
      </c>
      <c r="H97" t="s">
        <v>542</v>
      </c>
      <c r="I97" s="2" t="s">
        <v>543</v>
      </c>
      <c r="J97" s="2" t="s">
        <v>544</v>
      </c>
      <c r="K97" t="str" cm="1">
        <f t="array" ref="K97">_xlfn.IFS(OR($C97="abtest_results",$C97="experimentation_sessions_colour_swatch"),"DROP CONFIRMED",OR($B97="thg-influencer",$B97="thg-ingenuity",$B97="thg-central-marketing",$B97="thg-seoclarity"),"HOLD",TRUE,"REVIEW")</f>
        <v>REVIEW</v>
      </c>
      <c r="L97" t="str" cm="1">
        <f t="array" ref="L97">_xlfn.IFS(OR($C97="abtest_results",$C97="experimentation_sessions_colour_swatch"),"Experimentation team — unused, deprecated format. Safe to drop.",OR($B97="thg-influencer",$B97="thg-ingenuity",$B97="thg-central-marketing",$B97="thg-seoclarity"),"HOLD — Charlie Stringer to review before deletion",TRUE,"")</f>
        <v/>
      </c>
    </row>
    <row r="98" spans="1:12" ht="45.75" customHeight="1">
      <c r="A98" t="s">
        <v>135</v>
      </c>
      <c r="B98" t="s">
        <v>89</v>
      </c>
      <c r="C98" t="s">
        <v>545</v>
      </c>
      <c r="D98" t="s">
        <v>142</v>
      </c>
      <c r="E98">
        <v>2542</v>
      </c>
      <c r="F98">
        <v>277.64</v>
      </c>
      <c r="G98">
        <v>5.55</v>
      </c>
      <c r="H98" t="s">
        <v>546</v>
      </c>
      <c r="I98" s="2" t="s">
        <v>547</v>
      </c>
      <c r="J98" s="2" t="s">
        <v>548</v>
      </c>
      <c r="K98" t="str" cm="1">
        <f t="array" ref="K98">_xlfn.IFS(OR($C98="abtest_results",$C98="experimentation_sessions_colour_swatch"),"DROP CONFIRMED",OR($B98="thg-influencer",$B98="thg-ingenuity",$B98="thg-central-marketing",$B98="thg-seoclarity"),"HOLD",TRUE,"REVIEW")</f>
        <v>REVIEW</v>
      </c>
      <c r="L98" t="str" cm="1">
        <f t="array" ref="L98">_xlfn.IFS(OR($C98="abtest_results",$C98="experimentation_sessions_colour_swatch"),"Experimentation team — unused, deprecated format. Safe to drop.",OR($B98="thg-influencer",$B98="thg-ingenuity",$B98="thg-central-marketing",$B98="thg-seoclarity"),"HOLD — Charlie Stringer to review before deletion",TRUE,"")</f>
        <v/>
      </c>
    </row>
    <row r="99" spans="1:12" ht="45.75" customHeight="1">
      <c r="A99" t="s">
        <v>135</v>
      </c>
      <c r="B99" t="s">
        <v>89</v>
      </c>
      <c r="C99" t="s">
        <v>549</v>
      </c>
      <c r="D99" t="s">
        <v>142</v>
      </c>
      <c r="E99">
        <v>2576</v>
      </c>
      <c r="F99">
        <v>277.22000000000003</v>
      </c>
      <c r="G99">
        <v>5.54</v>
      </c>
      <c r="H99" t="s">
        <v>550</v>
      </c>
      <c r="I99" s="2" t="s">
        <v>551</v>
      </c>
      <c r="J99" s="2" t="s">
        <v>552</v>
      </c>
      <c r="K99" t="str" cm="1">
        <f t="array" ref="K99">_xlfn.IFS(OR($C99="abtest_results",$C99="experimentation_sessions_colour_swatch"),"DROP CONFIRMED",OR($B99="thg-influencer",$B99="thg-ingenuity",$B99="thg-central-marketing",$B99="thg-seoclarity"),"HOLD",TRUE,"REVIEW")</f>
        <v>REVIEW</v>
      </c>
      <c r="L99" t="str" cm="1">
        <f t="array" ref="L99">_xlfn.IFS(OR($C99="abtest_results",$C99="experimentation_sessions_colour_swatch"),"Experimentation team — unused, deprecated format. Safe to drop.",OR($B99="thg-influencer",$B99="thg-ingenuity",$B99="thg-central-marketing",$B99="thg-seoclarity"),"HOLD — Charlie Stringer to review before deletion",TRUE,"")</f>
        <v/>
      </c>
    </row>
    <row r="100" spans="1:12" ht="45.75" customHeight="1">
      <c r="A100" t="s">
        <v>135</v>
      </c>
      <c r="B100" t="s">
        <v>89</v>
      </c>
      <c r="C100" t="s">
        <v>553</v>
      </c>
      <c r="D100" t="s">
        <v>554</v>
      </c>
      <c r="E100">
        <v>847</v>
      </c>
      <c r="F100">
        <v>274.77999999999997</v>
      </c>
      <c r="G100">
        <v>5.5</v>
      </c>
      <c r="H100" t="s">
        <v>555</v>
      </c>
      <c r="I100" s="2" t="s">
        <v>556</v>
      </c>
      <c r="J100" s="2" t="s">
        <v>557</v>
      </c>
      <c r="K100" t="str" cm="1">
        <f t="array" ref="K100">_xlfn.IFS(OR($C100="abtest_results",$C100="experimentation_sessions_colour_swatch"),"DROP CONFIRMED",OR($B100="thg-influencer",$B100="thg-ingenuity",$B100="thg-central-marketing",$B100="thg-seoclarity"),"HOLD",TRUE,"REVIEW")</f>
        <v>REVIEW</v>
      </c>
      <c r="L100" t="str" cm="1">
        <f t="array" ref="L100">_xlfn.IFS(OR($C100="abtest_results",$C100="experimentation_sessions_colour_swatch"),"Experimentation team — unused, deprecated format. Safe to drop.",OR($B100="thg-influencer",$B100="thg-ingenuity",$B100="thg-central-marketing",$B100="thg-seoclarity"),"HOLD — Charlie Stringer to review before deletion",TRUE,"")</f>
        <v/>
      </c>
    </row>
    <row r="101" spans="1:12" ht="45.75" customHeight="1">
      <c r="A101" t="s">
        <v>135</v>
      </c>
      <c r="B101" t="s">
        <v>89</v>
      </c>
      <c r="C101" t="s">
        <v>558</v>
      </c>
      <c r="D101" t="s">
        <v>142</v>
      </c>
      <c r="E101">
        <v>2854</v>
      </c>
      <c r="F101">
        <v>272.60000000000002</v>
      </c>
      <c r="G101">
        <v>5.45</v>
      </c>
      <c r="H101" t="s">
        <v>559</v>
      </c>
      <c r="I101" s="2" t="s">
        <v>560</v>
      </c>
      <c r="J101" s="2" t="s">
        <v>561</v>
      </c>
      <c r="K101" t="str" cm="1">
        <f t="array" ref="K101">_xlfn.IFS(OR($C101="abtest_results",$C101="experimentation_sessions_colour_swatch"),"DROP CONFIRMED",OR($B101="thg-influencer",$B101="thg-ingenuity",$B101="thg-central-marketing",$B101="thg-seoclarity"),"HOLD",TRUE,"REVIEW")</f>
        <v>REVIEW</v>
      </c>
      <c r="L101" t="str" cm="1">
        <f t="array" ref="L101">_xlfn.IFS(OR($C101="abtest_results",$C101="experimentation_sessions_colour_swatch"),"Experimentation team — unused, deprecated format. Safe to drop.",OR($B101="thg-influencer",$B101="thg-ingenuity",$B101="thg-central-marketing",$B101="thg-seoclarity"),"HOLD — Charlie Stringer to review before deletion",TRUE,"")</f>
        <v/>
      </c>
    </row>
    <row r="102" spans="1:12" ht="45.75" customHeight="1">
      <c r="A102" t="s">
        <v>135</v>
      </c>
      <c r="B102" t="s">
        <v>89</v>
      </c>
      <c r="C102" t="s">
        <v>562</v>
      </c>
      <c r="D102" t="s">
        <v>142</v>
      </c>
      <c r="E102">
        <v>2962</v>
      </c>
      <c r="F102">
        <v>267.60000000000002</v>
      </c>
      <c r="G102">
        <v>5.35</v>
      </c>
      <c r="H102" t="s">
        <v>563</v>
      </c>
      <c r="I102" s="2" t="s">
        <v>564</v>
      </c>
      <c r="J102" s="2" t="s">
        <v>565</v>
      </c>
      <c r="K102" t="str" cm="1">
        <f t="array" ref="K102">_xlfn.IFS(OR($C102="abtest_results",$C102="experimentation_sessions_colour_swatch"),"DROP CONFIRMED",OR($B102="thg-influencer",$B102="thg-ingenuity",$B102="thg-central-marketing",$B102="thg-seoclarity"),"HOLD",TRUE,"REVIEW")</f>
        <v>REVIEW</v>
      </c>
      <c r="L102" t="str" cm="1">
        <f t="array" ref="L102">_xlfn.IFS(OR($C102="abtest_results",$C102="experimentation_sessions_colour_swatch"),"Experimentation team — unused, deprecated format. Safe to drop.",OR($B102="thg-influencer",$B102="thg-ingenuity",$B102="thg-central-marketing",$B102="thg-seoclarity"),"HOLD — Charlie Stringer to review before deletion",TRUE,"")</f>
        <v/>
      </c>
    </row>
    <row r="103" spans="1:12" ht="45.75" customHeight="1">
      <c r="A103" t="s">
        <v>135</v>
      </c>
      <c r="B103" t="s">
        <v>89</v>
      </c>
      <c r="C103" t="s">
        <v>566</v>
      </c>
      <c r="D103" t="s">
        <v>142</v>
      </c>
      <c r="E103">
        <v>2805</v>
      </c>
      <c r="F103">
        <v>263.5</v>
      </c>
      <c r="G103">
        <v>5.27</v>
      </c>
      <c r="H103" t="s">
        <v>567</v>
      </c>
      <c r="I103" s="2" t="s">
        <v>568</v>
      </c>
      <c r="J103" s="2" t="s">
        <v>569</v>
      </c>
      <c r="K103" t="str" cm="1">
        <f t="array" ref="K103">_xlfn.IFS(OR($C103="abtest_results",$C103="experimentation_sessions_colour_swatch"),"DROP CONFIRMED",OR($B103="thg-influencer",$B103="thg-ingenuity",$B103="thg-central-marketing",$B103="thg-seoclarity"),"HOLD",TRUE,"REVIEW")</f>
        <v>REVIEW</v>
      </c>
      <c r="L103" t="str" cm="1">
        <f t="array" ref="L103">_xlfn.IFS(OR($C103="abtest_results",$C103="experimentation_sessions_colour_swatch"),"Experimentation team — unused, deprecated format. Safe to drop.",OR($B103="thg-influencer",$B103="thg-ingenuity",$B103="thg-central-marketing",$B103="thg-seoclarity"),"HOLD — Charlie Stringer to review before deletion",TRUE,"")</f>
        <v/>
      </c>
    </row>
    <row r="104" spans="1:12" ht="45.75" customHeight="1">
      <c r="A104" t="s">
        <v>135</v>
      </c>
      <c r="B104" t="s">
        <v>89</v>
      </c>
      <c r="C104" t="s">
        <v>570</v>
      </c>
      <c r="D104" t="s">
        <v>142</v>
      </c>
      <c r="E104">
        <v>2899</v>
      </c>
      <c r="F104">
        <v>248.87</v>
      </c>
      <c r="G104">
        <v>4.9800000000000004</v>
      </c>
      <c r="H104" t="s">
        <v>571</v>
      </c>
      <c r="I104" s="2" t="s">
        <v>572</v>
      </c>
      <c r="J104" s="2" t="s">
        <v>573</v>
      </c>
      <c r="K104" t="str" cm="1">
        <f t="array" ref="K104">_xlfn.IFS(OR($C104="abtest_results",$C104="experimentation_sessions_colour_swatch"),"DROP CONFIRMED",OR($B104="thg-influencer",$B104="thg-ingenuity",$B104="thg-central-marketing",$B104="thg-seoclarity"),"HOLD",TRUE,"REVIEW")</f>
        <v>REVIEW</v>
      </c>
      <c r="L104" t="str" cm="1">
        <f t="array" ref="L104">_xlfn.IFS(OR($C104="abtest_results",$C104="experimentation_sessions_colour_swatch"),"Experimentation team — unused, deprecated format. Safe to drop.",OR($B104="thg-influencer",$B104="thg-ingenuity",$B104="thg-central-marketing",$B104="thg-seoclarity"),"HOLD — Charlie Stringer to review before deletion",TRUE,"")</f>
        <v/>
      </c>
    </row>
    <row r="105" spans="1:12" ht="45.75" customHeight="1">
      <c r="A105" t="s">
        <v>135</v>
      </c>
      <c r="B105" t="s">
        <v>89</v>
      </c>
      <c r="C105" t="s">
        <v>574</v>
      </c>
      <c r="D105" t="s">
        <v>142</v>
      </c>
      <c r="E105">
        <v>3087</v>
      </c>
      <c r="F105">
        <v>247.36</v>
      </c>
      <c r="G105">
        <v>4.95</v>
      </c>
      <c r="H105" t="s">
        <v>575</v>
      </c>
      <c r="I105" s="2" t="s">
        <v>576</v>
      </c>
      <c r="J105" s="2" t="s">
        <v>577</v>
      </c>
      <c r="K105" t="str" cm="1">
        <f t="array" ref="K105">_xlfn.IFS(OR($C105="abtest_results",$C105="experimentation_sessions_colour_swatch"),"DROP CONFIRMED",OR($B105="thg-influencer",$B105="thg-ingenuity",$B105="thg-central-marketing",$B105="thg-seoclarity"),"HOLD",TRUE,"REVIEW")</f>
        <v>REVIEW</v>
      </c>
      <c r="L105" t="str" cm="1">
        <f t="array" ref="L105">_xlfn.IFS(OR($C105="abtest_results",$C105="experimentation_sessions_colour_swatch"),"Experimentation team — unused, deprecated format. Safe to drop.",OR($B105="thg-influencer",$B105="thg-ingenuity",$B105="thg-central-marketing",$B105="thg-seoclarity"),"HOLD — Charlie Stringer to review before deletion",TRUE,"")</f>
        <v/>
      </c>
    </row>
    <row r="106" spans="1:12" ht="45.75" customHeight="1">
      <c r="A106" t="s">
        <v>135</v>
      </c>
      <c r="B106" t="s">
        <v>89</v>
      </c>
      <c r="C106" t="s">
        <v>578</v>
      </c>
      <c r="D106" t="s">
        <v>142</v>
      </c>
      <c r="E106">
        <v>3834</v>
      </c>
      <c r="F106">
        <v>242.54</v>
      </c>
      <c r="G106">
        <v>4.8499999999999996</v>
      </c>
      <c r="H106" t="s">
        <v>579</v>
      </c>
      <c r="I106" s="2" t="s">
        <v>580</v>
      </c>
      <c r="J106" s="2" t="s">
        <v>581</v>
      </c>
      <c r="K106" t="str" cm="1">
        <f t="array" ref="K106">_xlfn.IFS(OR($C106="abtest_results",$C106="experimentation_sessions_colour_swatch"),"DROP CONFIRMED",OR($B106="thg-influencer",$B106="thg-ingenuity",$B106="thg-central-marketing",$B106="thg-seoclarity"),"HOLD",TRUE,"REVIEW")</f>
        <v>REVIEW</v>
      </c>
      <c r="L106" t="str" cm="1">
        <f t="array" ref="L106">_xlfn.IFS(OR($C106="abtest_results",$C106="experimentation_sessions_colour_swatch"),"Experimentation team — unused, deprecated format. Safe to drop.",OR($B106="thg-influencer",$B106="thg-ingenuity",$B106="thg-central-marketing",$B106="thg-seoclarity"),"HOLD — Charlie Stringer to review before deletion",TRUE,"")</f>
        <v/>
      </c>
    </row>
    <row r="107" spans="1:12" ht="45.75" customHeight="1">
      <c r="A107" t="s">
        <v>135</v>
      </c>
      <c r="B107" t="s">
        <v>89</v>
      </c>
      <c r="C107" t="s">
        <v>582</v>
      </c>
      <c r="D107" t="s">
        <v>142</v>
      </c>
      <c r="E107">
        <v>2910</v>
      </c>
      <c r="F107">
        <v>240.97</v>
      </c>
      <c r="G107">
        <v>4.82</v>
      </c>
      <c r="H107" t="s">
        <v>583</v>
      </c>
      <c r="I107" s="2" t="s">
        <v>584</v>
      </c>
      <c r="J107" s="2" t="s">
        <v>585</v>
      </c>
      <c r="K107" t="str" cm="1">
        <f t="array" ref="K107">_xlfn.IFS(OR($C107="abtest_results",$C107="experimentation_sessions_colour_swatch"),"DROP CONFIRMED",OR($B107="thg-influencer",$B107="thg-ingenuity",$B107="thg-central-marketing",$B107="thg-seoclarity"),"HOLD",TRUE,"REVIEW")</f>
        <v>REVIEW</v>
      </c>
      <c r="L107" t="str" cm="1">
        <f t="array" ref="L107">_xlfn.IFS(OR($C107="abtest_results",$C107="experimentation_sessions_colour_swatch"),"Experimentation team — unused, deprecated format. Safe to drop.",OR($B107="thg-influencer",$B107="thg-ingenuity",$B107="thg-central-marketing",$B107="thg-seoclarity"),"HOLD — Charlie Stringer to review before deletion",TRUE,"")</f>
        <v/>
      </c>
    </row>
    <row r="108" spans="1:12" ht="45.75" customHeight="1">
      <c r="A108" t="s">
        <v>135</v>
      </c>
      <c r="B108" t="s">
        <v>89</v>
      </c>
      <c r="C108" t="s">
        <v>586</v>
      </c>
      <c r="D108" t="s">
        <v>142</v>
      </c>
      <c r="E108">
        <v>3814</v>
      </c>
      <c r="F108">
        <v>239.43</v>
      </c>
      <c r="G108">
        <v>4.79</v>
      </c>
      <c r="H108" t="s">
        <v>587</v>
      </c>
      <c r="I108" s="2" t="s">
        <v>588</v>
      </c>
      <c r="J108" s="2" t="s">
        <v>589</v>
      </c>
      <c r="K108" t="str" cm="1">
        <f t="array" ref="K108">_xlfn.IFS(OR($C108="abtest_results",$C108="experimentation_sessions_colour_swatch"),"DROP CONFIRMED",OR($B108="thg-influencer",$B108="thg-ingenuity",$B108="thg-central-marketing",$B108="thg-seoclarity"),"HOLD",TRUE,"REVIEW")</f>
        <v>REVIEW</v>
      </c>
      <c r="L108" t="str" cm="1">
        <f t="array" ref="L108">_xlfn.IFS(OR($C108="abtest_results",$C108="experimentation_sessions_colour_swatch"),"Experimentation team — unused, deprecated format. Safe to drop.",OR($B108="thg-influencer",$B108="thg-ingenuity",$B108="thg-central-marketing",$B108="thg-seoclarity"),"HOLD — Charlie Stringer to review before deletion",TRUE,"")</f>
        <v/>
      </c>
    </row>
    <row r="109" spans="1:12" ht="45.75" customHeight="1">
      <c r="A109" t="s">
        <v>135</v>
      </c>
      <c r="B109" t="s">
        <v>89</v>
      </c>
      <c r="C109" t="s">
        <v>590</v>
      </c>
      <c r="D109" t="s">
        <v>142</v>
      </c>
      <c r="E109">
        <v>3512</v>
      </c>
      <c r="F109">
        <v>233.69</v>
      </c>
      <c r="G109">
        <v>4.67</v>
      </c>
      <c r="H109" t="s">
        <v>591</v>
      </c>
      <c r="I109" s="2" t="s">
        <v>592</v>
      </c>
      <c r="J109" s="2" t="s">
        <v>593</v>
      </c>
      <c r="K109" t="str" cm="1">
        <f t="array" ref="K109">_xlfn.IFS(OR($C109="abtest_results",$C109="experimentation_sessions_colour_swatch"),"DROP CONFIRMED",OR($B109="thg-influencer",$B109="thg-ingenuity",$B109="thg-central-marketing",$B109="thg-seoclarity"),"HOLD",TRUE,"REVIEW")</f>
        <v>REVIEW</v>
      </c>
      <c r="L109" t="str" cm="1">
        <f t="array" ref="L109">_xlfn.IFS(OR($C109="abtest_results",$C109="experimentation_sessions_colour_swatch"),"Experimentation team — unused, deprecated format. Safe to drop.",OR($B109="thg-influencer",$B109="thg-ingenuity",$B109="thg-central-marketing",$B109="thg-seoclarity"),"HOLD — Charlie Stringer to review before deletion",TRUE,"")</f>
        <v/>
      </c>
    </row>
    <row r="110" spans="1:12" ht="45.75" customHeight="1">
      <c r="A110" t="s">
        <v>135</v>
      </c>
      <c r="B110" t="s">
        <v>89</v>
      </c>
      <c r="C110" t="s">
        <v>594</v>
      </c>
      <c r="D110" t="s">
        <v>142</v>
      </c>
      <c r="E110">
        <v>2135</v>
      </c>
      <c r="F110">
        <v>232.11</v>
      </c>
      <c r="G110">
        <v>4.6399999999999997</v>
      </c>
      <c r="H110" t="s">
        <v>595</v>
      </c>
      <c r="I110" s="2" t="s">
        <v>596</v>
      </c>
      <c r="J110" s="2" t="s">
        <v>597</v>
      </c>
      <c r="K110" t="str" cm="1">
        <f t="array" ref="K110">_xlfn.IFS(OR($C110="abtest_results",$C110="experimentation_sessions_colour_swatch"),"DROP CONFIRMED",OR($B110="thg-influencer",$B110="thg-ingenuity",$B110="thg-central-marketing",$B110="thg-seoclarity"),"HOLD",TRUE,"REVIEW")</f>
        <v>REVIEW</v>
      </c>
      <c r="L110" t="str" cm="1">
        <f t="array" ref="L110">_xlfn.IFS(OR($C110="abtest_results",$C110="experimentation_sessions_colour_swatch"),"Experimentation team — unused, deprecated format. Safe to drop.",OR($B110="thg-influencer",$B110="thg-ingenuity",$B110="thg-central-marketing",$B110="thg-seoclarity"),"HOLD — Charlie Stringer to review before deletion",TRUE,"")</f>
        <v/>
      </c>
    </row>
    <row r="111" spans="1:12" ht="45.75" customHeight="1">
      <c r="A111" t="s">
        <v>135</v>
      </c>
      <c r="B111" t="s">
        <v>89</v>
      </c>
      <c r="C111" t="s">
        <v>598</v>
      </c>
      <c r="D111" t="s">
        <v>599</v>
      </c>
      <c r="E111">
        <v>3822</v>
      </c>
      <c r="F111">
        <v>226.83</v>
      </c>
      <c r="G111">
        <v>4.54</v>
      </c>
      <c r="H111" t="s">
        <v>600</v>
      </c>
      <c r="I111" s="2" t="s">
        <v>601</v>
      </c>
      <c r="J111" s="2" t="s">
        <v>602</v>
      </c>
      <c r="K111" t="str" cm="1">
        <f t="array" ref="K111">_xlfn.IFS(OR($C111="abtest_results",$C111="experimentation_sessions_colour_swatch"),"DROP CONFIRMED",OR($B111="thg-influencer",$B111="thg-ingenuity",$B111="thg-central-marketing",$B111="thg-seoclarity"),"HOLD",TRUE,"REVIEW")</f>
        <v>REVIEW</v>
      </c>
      <c r="L111" t="str" cm="1">
        <f t="array" ref="L111">_xlfn.IFS(OR($C111="abtest_results",$C111="experimentation_sessions_colour_swatch"),"Experimentation team — unused, deprecated format. Safe to drop.",OR($B111="thg-influencer",$B111="thg-ingenuity",$B111="thg-central-marketing",$B111="thg-seoclarity"),"HOLD — Charlie Stringer to review before deletion",TRUE,"")</f>
        <v/>
      </c>
    </row>
    <row r="112" spans="1:12" ht="45.75" customHeight="1">
      <c r="A112" t="s">
        <v>135</v>
      </c>
      <c r="B112" t="s">
        <v>89</v>
      </c>
      <c r="C112" t="s">
        <v>603</v>
      </c>
      <c r="D112" t="s">
        <v>142</v>
      </c>
      <c r="E112">
        <v>3710</v>
      </c>
      <c r="F112">
        <v>223.31</v>
      </c>
      <c r="G112">
        <v>4.47</v>
      </c>
      <c r="H112" t="s">
        <v>604</v>
      </c>
      <c r="I112" s="2" t="s">
        <v>605</v>
      </c>
      <c r="J112" s="2" t="s">
        <v>606</v>
      </c>
      <c r="K112" t="str" cm="1">
        <f t="array" ref="K112">_xlfn.IFS(OR($C112="abtest_results",$C112="experimentation_sessions_colour_swatch"),"DROP CONFIRMED",OR($B112="thg-influencer",$B112="thg-ingenuity",$B112="thg-central-marketing",$B112="thg-seoclarity"),"HOLD",TRUE,"REVIEW")</f>
        <v>REVIEW</v>
      </c>
      <c r="L112" t="str" cm="1">
        <f t="array" ref="L112">_xlfn.IFS(OR($C112="abtest_results",$C112="experimentation_sessions_colour_swatch"),"Experimentation team — unused, deprecated format. Safe to drop.",OR($B112="thg-influencer",$B112="thg-ingenuity",$B112="thg-central-marketing",$B112="thg-seoclarity"),"HOLD — Charlie Stringer to review before deletion",TRUE,"")</f>
        <v/>
      </c>
    </row>
    <row r="113" spans="1:12" ht="45.75" customHeight="1">
      <c r="A113" t="s">
        <v>135</v>
      </c>
      <c r="B113" t="s">
        <v>89</v>
      </c>
      <c r="C113" t="s">
        <v>607</v>
      </c>
      <c r="D113" t="s">
        <v>142</v>
      </c>
      <c r="E113">
        <v>3002</v>
      </c>
      <c r="F113">
        <v>221.82</v>
      </c>
      <c r="G113">
        <v>4.4400000000000004</v>
      </c>
      <c r="H113" t="s">
        <v>608</v>
      </c>
      <c r="I113" s="2" t="s">
        <v>609</v>
      </c>
      <c r="J113" s="2" t="s">
        <v>610</v>
      </c>
      <c r="K113" t="str" cm="1">
        <f t="array" ref="K113">_xlfn.IFS(OR($C113="abtest_results",$C113="experimentation_sessions_colour_swatch"),"DROP CONFIRMED",OR($B113="thg-influencer",$B113="thg-ingenuity",$B113="thg-central-marketing",$B113="thg-seoclarity"),"HOLD",TRUE,"REVIEW")</f>
        <v>REVIEW</v>
      </c>
      <c r="L113" t="str" cm="1">
        <f t="array" ref="L113">_xlfn.IFS(OR($C113="abtest_results",$C113="experimentation_sessions_colour_swatch"),"Experimentation team — unused, deprecated format. Safe to drop.",OR($B113="thg-influencer",$B113="thg-ingenuity",$B113="thg-central-marketing",$B113="thg-seoclarity"),"HOLD — Charlie Stringer to review before deletion",TRUE,"")</f>
        <v/>
      </c>
    </row>
    <row r="114" spans="1:12" ht="45.75" customHeight="1">
      <c r="A114" t="s">
        <v>135</v>
      </c>
      <c r="B114" t="s">
        <v>89</v>
      </c>
      <c r="C114" t="s">
        <v>611</v>
      </c>
      <c r="D114" t="s">
        <v>612</v>
      </c>
      <c r="E114">
        <v>3107</v>
      </c>
      <c r="F114">
        <v>217.39</v>
      </c>
      <c r="G114">
        <v>4.3499999999999996</v>
      </c>
      <c r="H114" t="s">
        <v>613</v>
      </c>
      <c r="I114" s="2" t="s">
        <v>614</v>
      </c>
      <c r="J114" s="2" t="s">
        <v>615</v>
      </c>
      <c r="K114" t="str" cm="1">
        <f t="array" ref="K114">_xlfn.IFS(OR($C114="abtest_results",$C114="experimentation_sessions_colour_swatch"),"DROP CONFIRMED",OR($B114="thg-influencer",$B114="thg-ingenuity",$B114="thg-central-marketing",$B114="thg-seoclarity"),"HOLD",TRUE,"REVIEW")</f>
        <v>REVIEW</v>
      </c>
      <c r="L114" t="str" cm="1">
        <f t="array" ref="L114">_xlfn.IFS(OR($C114="abtest_results",$C114="experimentation_sessions_colour_swatch"),"Experimentation team — unused, deprecated format. Safe to drop.",OR($B114="thg-influencer",$B114="thg-ingenuity",$B114="thg-central-marketing",$B114="thg-seoclarity"),"HOLD — Charlie Stringer to review before deletion",TRUE,"")</f>
        <v/>
      </c>
    </row>
    <row r="115" spans="1:12" ht="45.75" customHeight="1">
      <c r="A115" t="s">
        <v>135</v>
      </c>
      <c r="B115" t="s">
        <v>89</v>
      </c>
      <c r="C115" t="s">
        <v>616</v>
      </c>
      <c r="D115" t="s">
        <v>142</v>
      </c>
      <c r="E115">
        <v>2410</v>
      </c>
      <c r="F115">
        <v>216.3</v>
      </c>
      <c r="G115">
        <v>4.33</v>
      </c>
      <c r="H115" t="s">
        <v>617</v>
      </c>
      <c r="I115" s="2" t="s">
        <v>618</v>
      </c>
      <c r="J115" s="2" t="s">
        <v>619</v>
      </c>
      <c r="K115" t="str" cm="1">
        <f t="array" ref="K115">_xlfn.IFS(OR($C115="abtest_results",$C115="experimentation_sessions_colour_swatch"),"DROP CONFIRMED",OR($B115="thg-influencer",$B115="thg-ingenuity",$B115="thg-central-marketing",$B115="thg-seoclarity"),"HOLD",TRUE,"REVIEW")</f>
        <v>REVIEW</v>
      </c>
      <c r="L115" t="str" cm="1">
        <f t="array" ref="L115">_xlfn.IFS(OR($C115="abtest_results",$C115="experimentation_sessions_colour_swatch"),"Experimentation team — unused, deprecated format. Safe to drop.",OR($B115="thg-influencer",$B115="thg-ingenuity",$B115="thg-central-marketing",$B115="thg-seoclarity"),"HOLD — Charlie Stringer to review before deletion",TRUE,"")</f>
        <v/>
      </c>
    </row>
    <row r="116" spans="1:12" ht="45.75" customHeight="1">
      <c r="A116" t="s">
        <v>135</v>
      </c>
      <c r="B116" t="s">
        <v>89</v>
      </c>
      <c r="C116" t="s">
        <v>620</v>
      </c>
      <c r="D116" t="s">
        <v>142</v>
      </c>
      <c r="E116">
        <v>2136</v>
      </c>
      <c r="F116">
        <v>216.56</v>
      </c>
      <c r="G116">
        <v>4.33</v>
      </c>
      <c r="H116" t="s">
        <v>621</v>
      </c>
      <c r="I116" s="2" t="s">
        <v>622</v>
      </c>
      <c r="J116" s="2" t="s">
        <v>623</v>
      </c>
      <c r="K116" t="str" cm="1">
        <f t="array" ref="K116">_xlfn.IFS(OR($C116="abtest_results",$C116="experimentation_sessions_colour_swatch"),"DROP CONFIRMED",OR($B116="thg-influencer",$B116="thg-ingenuity",$B116="thg-central-marketing",$B116="thg-seoclarity"),"HOLD",TRUE,"REVIEW")</f>
        <v>REVIEW</v>
      </c>
      <c r="L116" t="str" cm="1">
        <f t="array" ref="L116">_xlfn.IFS(OR($C116="abtest_results",$C116="experimentation_sessions_colour_swatch"),"Experimentation team — unused, deprecated format. Safe to drop.",OR($B116="thg-influencer",$B116="thg-ingenuity",$B116="thg-central-marketing",$B116="thg-seoclarity"),"HOLD — Charlie Stringer to review before deletion",TRUE,"")</f>
        <v/>
      </c>
    </row>
    <row r="117" spans="1:12" ht="45.75" customHeight="1">
      <c r="A117" t="s">
        <v>135</v>
      </c>
      <c r="B117" t="s">
        <v>89</v>
      </c>
      <c r="C117" t="s">
        <v>624</v>
      </c>
      <c r="D117" t="s">
        <v>625</v>
      </c>
      <c r="E117">
        <v>567</v>
      </c>
      <c r="F117">
        <v>215.07</v>
      </c>
      <c r="G117">
        <v>4.3</v>
      </c>
      <c r="H117" t="s">
        <v>626</v>
      </c>
      <c r="I117" s="2" t="s">
        <v>627</v>
      </c>
      <c r="J117" s="2" t="s">
        <v>628</v>
      </c>
      <c r="K117" t="str" cm="1">
        <f t="array" ref="K117">_xlfn.IFS(OR($C117="abtest_results",$C117="experimentation_sessions_colour_swatch"),"DROP CONFIRMED",OR($B117="thg-influencer",$B117="thg-ingenuity",$B117="thg-central-marketing",$B117="thg-seoclarity"),"HOLD",TRUE,"REVIEW")</f>
        <v>REVIEW</v>
      </c>
      <c r="L117" t="str" cm="1">
        <f t="array" ref="L117">_xlfn.IFS(OR($C117="abtest_results",$C117="experimentation_sessions_colour_swatch"),"Experimentation team — unused, deprecated format. Safe to drop.",OR($B117="thg-influencer",$B117="thg-ingenuity",$B117="thg-central-marketing",$B117="thg-seoclarity"),"HOLD — Charlie Stringer to review before deletion",TRUE,"")</f>
        <v/>
      </c>
    </row>
    <row r="118" spans="1:12" ht="45.75" customHeight="1">
      <c r="A118" t="s">
        <v>135</v>
      </c>
      <c r="B118" t="s">
        <v>89</v>
      </c>
      <c r="C118" t="s">
        <v>629</v>
      </c>
      <c r="D118" t="s">
        <v>630</v>
      </c>
      <c r="E118">
        <v>575</v>
      </c>
      <c r="F118">
        <v>212.44</v>
      </c>
      <c r="G118">
        <v>4.25</v>
      </c>
      <c r="H118" t="s">
        <v>631</v>
      </c>
      <c r="I118" s="2" t="s">
        <v>632</v>
      </c>
      <c r="J118" s="2" t="s">
        <v>633</v>
      </c>
      <c r="K118" t="str" cm="1">
        <f t="array" ref="K118">_xlfn.IFS(OR($C118="abtest_results",$C118="experimentation_sessions_colour_swatch"),"DROP CONFIRMED",OR($B118="thg-influencer",$B118="thg-ingenuity",$B118="thg-central-marketing",$B118="thg-seoclarity"),"HOLD",TRUE,"REVIEW")</f>
        <v>REVIEW</v>
      </c>
      <c r="L118" t="str" cm="1">
        <f t="array" ref="L118">_xlfn.IFS(OR($C118="abtest_results",$C118="experimentation_sessions_colour_swatch"),"Experimentation team — unused, deprecated format. Safe to drop.",OR($B118="thg-influencer",$B118="thg-ingenuity",$B118="thg-central-marketing",$B118="thg-seoclarity"),"HOLD — Charlie Stringer to review before deletion",TRUE,"")</f>
        <v/>
      </c>
    </row>
    <row r="119" spans="1:12" ht="45.75" customHeight="1">
      <c r="A119" t="s">
        <v>135</v>
      </c>
      <c r="B119" t="s">
        <v>89</v>
      </c>
      <c r="C119" t="s">
        <v>634</v>
      </c>
      <c r="D119" t="s">
        <v>142</v>
      </c>
      <c r="E119">
        <v>2461</v>
      </c>
      <c r="F119">
        <v>210.05</v>
      </c>
      <c r="G119">
        <v>4.2</v>
      </c>
      <c r="H119" t="s">
        <v>635</v>
      </c>
      <c r="I119" s="2" t="s">
        <v>636</v>
      </c>
      <c r="J119" s="2" t="s">
        <v>637</v>
      </c>
      <c r="K119" t="str" cm="1">
        <f t="array" ref="K119">_xlfn.IFS(OR($C119="abtest_results",$C119="experimentation_sessions_colour_swatch"),"DROP CONFIRMED",OR($B119="thg-influencer",$B119="thg-ingenuity",$B119="thg-central-marketing",$B119="thg-seoclarity"),"HOLD",TRUE,"REVIEW")</f>
        <v>REVIEW</v>
      </c>
      <c r="L119" t="str" cm="1">
        <f t="array" ref="L119">_xlfn.IFS(OR($C119="abtest_results",$C119="experimentation_sessions_colour_swatch"),"Experimentation team — unused, deprecated format. Safe to drop.",OR($B119="thg-influencer",$B119="thg-ingenuity",$B119="thg-central-marketing",$B119="thg-seoclarity"),"HOLD — Charlie Stringer to review before deletion",TRUE,"")</f>
        <v/>
      </c>
    </row>
    <row r="120" spans="1:12" ht="45.75" customHeight="1">
      <c r="A120" t="s">
        <v>135</v>
      </c>
      <c r="B120" t="s">
        <v>89</v>
      </c>
      <c r="C120" t="s">
        <v>638</v>
      </c>
      <c r="D120" t="s">
        <v>142</v>
      </c>
      <c r="E120">
        <v>3534</v>
      </c>
      <c r="F120">
        <v>208.06</v>
      </c>
      <c r="G120">
        <v>4.16</v>
      </c>
      <c r="H120" t="s">
        <v>639</v>
      </c>
      <c r="I120" s="2" t="s">
        <v>640</v>
      </c>
      <c r="J120" s="2" t="s">
        <v>641</v>
      </c>
      <c r="K120" t="str" cm="1">
        <f t="array" ref="K120">_xlfn.IFS(OR($C120="abtest_results",$C120="experimentation_sessions_colour_swatch"),"DROP CONFIRMED",OR($B120="thg-influencer",$B120="thg-ingenuity",$B120="thg-central-marketing",$B120="thg-seoclarity"),"HOLD",TRUE,"REVIEW")</f>
        <v>REVIEW</v>
      </c>
      <c r="L120" t="str" cm="1">
        <f t="array" ref="L120">_xlfn.IFS(OR($C120="abtest_results",$C120="experimentation_sessions_colour_swatch"),"Experimentation team — unused, deprecated format. Safe to drop.",OR($B120="thg-influencer",$B120="thg-ingenuity",$B120="thg-central-marketing",$B120="thg-seoclarity"),"HOLD — Charlie Stringer to review before deletion",TRUE,"")</f>
        <v/>
      </c>
    </row>
    <row r="121" spans="1:12" ht="45.75" customHeight="1">
      <c r="A121" t="s">
        <v>135</v>
      </c>
      <c r="B121" t="s">
        <v>89</v>
      </c>
      <c r="C121" t="s">
        <v>642</v>
      </c>
      <c r="D121" t="s">
        <v>142</v>
      </c>
      <c r="E121">
        <v>3350</v>
      </c>
      <c r="F121">
        <v>203.12</v>
      </c>
      <c r="G121">
        <v>4.0599999999999996</v>
      </c>
      <c r="H121" t="s">
        <v>643</v>
      </c>
      <c r="I121" s="2" t="s">
        <v>644</v>
      </c>
      <c r="J121" s="2" t="s">
        <v>645</v>
      </c>
      <c r="K121" t="str" cm="1">
        <f t="array" ref="K121">_xlfn.IFS(OR($C121="abtest_results",$C121="experimentation_sessions_colour_swatch"),"DROP CONFIRMED",OR($B121="thg-influencer",$B121="thg-ingenuity",$B121="thg-central-marketing",$B121="thg-seoclarity"),"HOLD",TRUE,"REVIEW")</f>
        <v>REVIEW</v>
      </c>
      <c r="L121" t="str" cm="1">
        <f t="array" ref="L121">_xlfn.IFS(OR($C121="abtest_results",$C121="experimentation_sessions_colour_swatch"),"Experimentation team — unused, deprecated format. Safe to drop.",OR($B121="thg-influencer",$B121="thg-ingenuity",$B121="thg-central-marketing",$B121="thg-seoclarity"),"HOLD — Charlie Stringer to review before deletion",TRUE,"")</f>
        <v/>
      </c>
    </row>
    <row r="122" spans="1:12" ht="45.75" customHeight="1">
      <c r="A122" t="s">
        <v>135</v>
      </c>
      <c r="B122" t="s">
        <v>89</v>
      </c>
      <c r="C122" t="s">
        <v>646</v>
      </c>
      <c r="D122" t="s">
        <v>647</v>
      </c>
      <c r="E122">
        <v>22688</v>
      </c>
      <c r="F122">
        <v>184.61</v>
      </c>
      <c r="G122">
        <v>3.69</v>
      </c>
      <c r="H122" t="s">
        <v>648</v>
      </c>
      <c r="I122" s="2" t="s">
        <v>649</v>
      </c>
      <c r="J122" s="2" t="s">
        <v>650</v>
      </c>
      <c r="K122" t="str" cm="1">
        <f t="array" ref="K122">_xlfn.IFS(OR($C122="abtest_results",$C122="experimentation_sessions_colour_swatch"),"DROP CONFIRMED",OR($B122="thg-influencer",$B122="thg-ingenuity",$B122="thg-central-marketing",$B122="thg-seoclarity"),"HOLD",TRUE,"REVIEW")</f>
        <v>REVIEW</v>
      </c>
      <c r="L122" t="str" cm="1">
        <f t="array" ref="L122">_xlfn.IFS(OR($C122="abtest_results",$C122="experimentation_sessions_colour_swatch"),"Experimentation team — unused, deprecated format. Safe to drop.",OR($B122="thg-influencer",$B122="thg-ingenuity",$B122="thg-central-marketing",$B122="thg-seoclarity"),"HOLD — Charlie Stringer to review before deletion",TRUE,"")</f>
        <v/>
      </c>
    </row>
    <row r="123" spans="1:12" ht="45.75" customHeight="1">
      <c r="A123" t="s">
        <v>135</v>
      </c>
      <c r="B123" t="s">
        <v>89</v>
      </c>
      <c r="C123" t="s">
        <v>651</v>
      </c>
      <c r="D123" t="s">
        <v>142</v>
      </c>
      <c r="E123">
        <v>2997</v>
      </c>
      <c r="F123">
        <v>176.24</v>
      </c>
      <c r="G123">
        <v>3.52</v>
      </c>
      <c r="H123" t="s">
        <v>652</v>
      </c>
      <c r="I123" s="2" t="s">
        <v>653</v>
      </c>
      <c r="J123" s="2" t="s">
        <v>654</v>
      </c>
      <c r="K123" t="str" cm="1">
        <f t="array" ref="K123">_xlfn.IFS(OR($C123="abtest_results",$C123="experimentation_sessions_colour_swatch"),"DROP CONFIRMED",OR($B123="thg-influencer",$B123="thg-ingenuity",$B123="thg-central-marketing",$B123="thg-seoclarity"),"HOLD",TRUE,"REVIEW")</f>
        <v>REVIEW</v>
      </c>
      <c r="L123" t="str" cm="1">
        <f t="array" ref="L123">_xlfn.IFS(OR($C123="abtest_results",$C123="experimentation_sessions_colour_swatch"),"Experimentation team — unused, deprecated format. Safe to drop.",OR($B123="thg-influencer",$B123="thg-ingenuity",$B123="thg-central-marketing",$B123="thg-seoclarity"),"HOLD — Charlie Stringer to review before deletion",TRUE,"")</f>
        <v/>
      </c>
    </row>
    <row r="124" spans="1:12" ht="45.75" customHeight="1">
      <c r="A124" t="s">
        <v>135</v>
      </c>
      <c r="B124" t="s">
        <v>89</v>
      </c>
      <c r="C124" t="s">
        <v>655</v>
      </c>
      <c r="D124" t="s">
        <v>142</v>
      </c>
      <c r="E124">
        <v>2330</v>
      </c>
      <c r="F124">
        <v>173.72</v>
      </c>
      <c r="G124">
        <v>3.47</v>
      </c>
      <c r="H124" t="s">
        <v>656</v>
      </c>
      <c r="I124" s="2" t="s">
        <v>657</v>
      </c>
      <c r="J124" s="2" t="s">
        <v>658</v>
      </c>
      <c r="K124" t="str" cm="1">
        <f t="array" ref="K124">_xlfn.IFS(OR($C124="abtest_results",$C124="experimentation_sessions_colour_swatch"),"DROP CONFIRMED",OR($B124="thg-influencer",$B124="thg-ingenuity",$B124="thg-central-marketing",$B124="thg-seoclarity"),"HOLD",TRUE,"REVIEW")</f>
        <v>REVIEW</v>
      </c>
      <c r="L124" t="str" cm="1">
        <f t="array" ref="L124">_xlfn.IFS(OR($C124="abtest_results",$C124="experimentation_sessions_colour_swatch"),"Experimentation team — unused, deprecated format. Safe to drop.",OR($B124="thg-influencer",$B124="thg-ingenuity",$B124="thg-central-marketing",$B124="thg-seoclarity"),"HOLD — Charlie Stringer to review before deletion",TRUE,"")</f>
        <v/>
      </c>
    </row>
    <row r="125" spans="1:12" ht="45.75" customHeight="1">
      <c r="A125" t="s">
        <v>135</v>
      </c>
      <c r="B125" t="s">
        <v>89</v>
      </c>
      <c r="C125" t="s">
        <v>659</v>
      </c>
      <c r="D125" t="s">
        <v>142</v>
      </c>
      <c r="E125">
        <v>3103</v>
      </c>
      <c r="F125">
        <v>172.37</v>
      </c>
      <c r="G125">
        <v>3.45</v>
      </c>
      <c r="H125" t="s">
        <v>660</v>
      </c>
      <c r="I125" s="2" t="s">
        <v>661</v>
      </c>
      <c r="J125" s="2" t="s">
        <v>662</v>
      </c>
      <c r="K125" t="str" cm="1">
        <f t="array" ref="K125">_xlfn.IFS(OR($C125="abtest_results",$C125="experimentation_sessions_colour_swatch"),"DROP CONFIRMED",OR($B125="thg-influencer",$B125="thg-ingenuity",$B125="thg-central-marketing",$B125="thg-seoclarity"),"HOLD",TRUE,"REVIEW")</f>
        <v>REVIEW</v>
      </c>
      <c r="L125" t="str" cm="1">
        <f t="array" ref="L125">_xlfn.IFS(OR($C125="abtest_results",$C125="experimentation_sessions_colour_swatch"),"Experimentation team — unused, deprecated format. Safe to drop.",OR($B125="thg-influencer",$B125="thg-ingenuity",$B125="thg-central-marketing",$B125="thg-seoclarity"),"HOLD — Charlie Stringer to review before deletion",TRUE,"")</f>
        <v/>
      </c>
    </row>
    <row r="126" spans="1:12" ht="45.75" customHeight="1">
      <c r="A126" t="s">
        <v>135</v>
      </c>
      <c r="B126" t="s">
        <v>89</v>
      </c>
      <c r="C126" t="s">
        <v>663</v>
      </c>
      <c r="D126" t="s">
        <v>142</v>
      </c>
      <c r="E126">
        <v>2912</v>
      </c>
      <c r="F126">
        <v>165.67</v>
      </c>
      <c r="G126">
        <v>3.31</v>
      </c>
      <c r="H126" t="s">
        <v>664</v>
      </c>
      <c r="I126" s="2" t="s">
        <v>665</v>
      </c>
      <c r="J126" s="2" t="s">
        <v>666</v>
      </c>
      <c r="K126" t="str" cm="1">
        <f t="array" ref="K126">_xlfn.IFS(OR($C126="abtest_results",$C126="experimentation_sessions_colour_swatch"),"DROP CONFIRMED",OR($B126="thg-influencer",$B126="thg-ingenuity",$B126="thg-central-marketing",$B126="thg-seoclarity"),"HOLD",TRUE,"REVIEW")</f>
        <v>REVIEW</v>
      </c>
      <c r="L126" t="str" cm="1">
        <f t="array" ref="L126">_xlfn.IFS(OR($C126="abtest_results",$C126="experimentation_sessions_colour_swatch"),"Experimentation team — unused, deprecated format. Safe to drop.",OR($B126="thg-influencer",$B126="thg-ingenuity",$B126="thg-central-marketing",$B126="thg-seoclarity"),"HOLD — Charlie Stringer to review before deletion",TRUE,"")</f>
        <v/>
      </c>
    </row>
    <row r="127" spans="1:12" ht="45.75" customHeight="1">
      <c r="A127" t="s">
        <v>135</v>
      </c>
      <c r="B127" t="s">
        <v>89</v>
      </c>
      <c r="C127" t="s">
        <v>667</v>
      </c>
      <c r="D127" t="s">
        <v>668</v>
      </c>
      <c r="E127">
        <v>12</v>
      </c>
      <c r="F127">
        <v>157.91999999999999</v>
      </c>
      <c r="G127">
        <v>3.16</v>
      </c>
      <c r="H127" t="s">
        <v>669</v>
      </c>
      <c r="I127" s="2" t="s">
        <v>670</v>
      </c>
      <c r="J127" s="2" t="s">
        <v>671</v>
      </c>
      <c r="K127" t="str" cm="1">
        <f t="array" ref="K127">_xlfn.IFS(OR($C127="abtest_results",$C127="experimentation_sessions_colour_swatch"),"DROP CONFIRMED",OR($B127="thg-influencer",$B127="thg-ingenuity",$B127="thg-central-marketing",$B127="thg-seoclarity"),"HOLD",TRUE,"REVIEW")</f>
        <v>REVIEW</v>
      </c>
      <c r="L127" t="str" cm="1">
        <f t="array" ref="L127">_xlfn.IFS(OR($C127="abtest_results",$C127="experimentation_sessions_colour_swatch"),"Experimentation team — unused, deprecated format. Safe to drop.",OR($B127="thg-influencer",$B127="thg-ingenuity",$B127="thg-central-marketing",$B127="thg-seoclarity"),"HOLD — Charlie Stringer to review before deletion",TRUE,"")</f>
        <v/>
      </c>
    </row>
    <row r="128" spans="1:12" ht="45.75" customHeight="1">
      <c r="A128" t="s">
        <v>135</v>
      </c>
      <c r="B128" t="s">
        <v>89</v>
      </c>
      <c r="C128" t="s">
        <v>672</v>
      </c>
      <c r="D128" t="s">
        <v>142</v>
      </c>
      <c r="E128">
        <v>2875</v>
      </c>
      <c r="F128">
        <v>154.16</v>
      </c>
      <c r="G128">
        <v>3.08</v>
      </c>
      <c r="H128" t="s">
        <v>673</v>
      </c>
      <c r="I128" s="2" t="s">
        <v>674</v>
      </c>
      <c r="J128" s="2" t="s">
        <v>675</v>
      </c>
      <c r="K128" t="str" cm="1">
        <f t="array" ref="K128">_xlfn.IFS(OR($C128="abtest_results",$C128="experimentation_sessions_colour_swatch"),"DROP CONFIRMED",OR($B128="thg-influencer",$B128="thg-ingenuity",$B128="thg-central-marketing",$B128="thg-seoclarity"),"HOLD",TRUE,"REVIEW")</f>
        <v>REVIEW</v>
      </c>
      <c r="L128" t="str" cm="1">
        <f t="array" ref="L128">_xlfn.IFS(OR($C128="abtest_results",$C128="experimentation_sessions_colour_swatch"),"Experimentation team — unused, deprecated format. Safe to drop.",OR($B128="thg-influencer",$B128="thg-ingenuity",$B128="thg-central-marketing",$B128="thg-seoclarity"),"HOLD — Charlie Stringer to review before deletion",TRUE,"")</f>
        <v/>
      </c>
    </row>
    <row r="129" spans="1:12" ht="45.75" customHeight="1">
      <c r="A129" t="s">
        <v>135</v>
      </c>
      <c r="B129" t="s">
        <v>89</v>
      </c>
      <c r="C129" t="s">
        <v>676</v>
      </c>
      <c r="D129" t="s">
        <v>142</v>
      </c>
      <c r="E129">
        <v>3175</v>
      </c>
      <c r="F129">
        <v>154.13999999999999</v>
      </c>
      <c r="G129">
        <v>3.08</v>
      </c>
      <c r="H129" t="s">
        <v>677</v>
      </c>
      <c r="I129" s="2" t="s">
        <v>678</v>
      </c>
      <c r="J129" s="2" t="s">
        <v>679</v>
      </c>
      <c r="K129" t="str" cm="1">
        <f t="array" ref="K129">_xlfn.IFS(OR($C129="abtest_results",$C129="experimentation_sessions_colour_swatch"),"DROP CONFIRMED",OR($B129="thg-influencer",$B129="thg-ingenuity",$B129="thg-central-marketing",$B129="thg-seoclarity"),"HOLD",TRUE,"REVIEW")</f>
        <v>REVIEW</v>
      </c>
      <c r="L129" t="str" cm="1">
        <f t="array" ref="L129">_xlfn.IFS(OR($C129="abtest_results",$C129="experimentation_sessions_colour_swatch"),"Experimentation team — unused, deprecated format. Safe to drop.",OR($B129="thg-influencer",$B129="thg-ingenuity",$B129="thg-central-marketing",$B129="thg-seoclarity"),"HOLD — Charlie Stringer to review before deletion",TRUE,"")</f>
        <v/>
      </c>
    </row>
    <row r="130" spans="1:12" ht="45.75" customHeight="1">
      <c r="A130" t="s">
        <v>135</v>
      </c>
      <c r="B130" t="s">
        <v>89</v>
      </c>
      <c r="C130" t="s">
        <v>680</v>
      </c>
      <c r="D130" t="s">
        <v>681</v>
      </c>
      <c r="E130">
        <v>1683</v>
      </c>
      <c r="F130">
        <v>152.11000000000001</v>
      </c>
      <c r="G130">
        <v>3.04</v>
      </c>
      <c r="H130" t="s">
        <v>682</v>
      </c>
      <c r="I130" s="2" t="s">
        <v>683</v>
      </c>
      <c r="J130" s="2" t="s">
        <v>684</v>
      </c>
      <c r="K130" t="str" cm="1">
        <f t="array" ref="K130">_xlfn.IFS(OR($C130="abtest_results",$C130="experimentation_sessions_colour_swatch"),"DROP CONFIRMED",OR($B130="thg-influencer",$B130="thg-ingenuity",$B130="thg-central-marketing",$B130="thg-seoclarity"),"HOLD",TRUE,"REVIEW")</f>
        <v>REVIEW</v>
      </c>
      <c r="L130" t="str" cm="1">
        <f t="array" ref="L130">_xlfn.IFS(OR($C130="abtest_results",$C130="experimentation_sessions_colour_swatch"),"Experimentation team — unused, deprecated format. Safe to drop.",OR($B130="thg-influencer",$B130="thg-ingenuity",$B130="thg-central-marketing",$B130="thg-seoclarity"),"HOLD — Charlie Stringer to review before deletion",TRUE,"")</f>
        <v/>
      </c>
    </row>
    <row r="131" spans="1:12" ht="45.75" customHeight="1">
      <c r="A131" t="s">
        <v>135</v>
      </c>
      <c r="B131" t="s">
        <v>89</v>
      </c>
      <c r="C131" t="s">
        <v>685</v>
      </c>
      <c r="D131" t="s">
        <v>142</v>
      </c>
      <c r="E131">
        <v>3832</v>
      </c>
      <c r="F131">
        <v>146.04</v>
      </c>
      <c r="G131">
        <v>2.92</v>
      </c>
      <c r="H131" t="s">
        <v>686</v>
      </c>
      <c r="I131" s="2" t="s">
        <v>687</v>
      </c>
      <c r="J131" s="2" t="s">
        <v>688</v>
      </c>
      <c r="K131" t="str" cm="1">
        <f t="array" ref="K131">_xlfn.IFS(OR($C131="abtest_results",$C131="experimentation_sessions_colour_swatch"),"DROP CONFIRMED",OR($B131="thg-influencer",$B131="thg-ingenuity",$B131="thg-central-marketing",$B131="thg-seoclarity"),"HOLD",TRUE,"REVIEW")</f>
        <v>REVIEW</v>
      </c>
      <c r="L131" t="str" cm="1">
        <f t="array" ref="L131">_xlfn.IFS(OR($C131="abtest_results",$C131="experimentation_sessions_colour_swatch"),"Experimentation team — unused, deprecated format. Safe to drop.",OR($B131="thg-influencer",$B131="thg-ingenuity",$B131="thg-central-marketing",$B131="thg-seoclarity"),"HOLD — Charlie Stringer to review before deletion",TRUE,"")</f>
        <v/>
      </c>
    </row>
    <row r="132" spans="1:12" ht="45.75" customHeight="1">
      <c r="A132" t="s">
        <v>135</v>
      </c>
      <c r="B132" t="s">
        <v>89</v>
      </c>
      <c r="C132" t="s">
        <v>689</v>
      </c>
      <c r="D132" t="s">
        <v>142</v>
      </c>
      <c r="E132">
        <v>2523</v>
      </c>
      <c r="F132">
        <v>144.97</v>
      </c>
      <c r="G132">
        <v>2.9</v>
      </c>
      <c r="H132" t="s">
        <v>690</v>
      </c>
      <c r="I132" s="2" t="s">
        <v>691</v>
      </c>
      <c r="J132" s="2" t="s">
        <v>692</v>
      </c>
      <c r="K132" t="str" cm="1">
        <f t="array" ref="K132">_xlfn.IFS(OR($C132="abtest_results",$C132="experimentation_sessions_colour_swatch"),"DROP CONFIRMED",OR($B132="thg-influencer",$B132="thg-ingenuity",$B132="thg-central-marketing",$B132="thg-seoclarity"),"HOLD",TRUE,"REVIEW")</f>
        <v>REVIEW</v>
      </c>
      <c r="L132" t="str" cm="1">
        <f t="array" ref="L132">_xlfn.IFS(OR($C132="abtest_results",$C132="experimentation_sessions_colour_swatch"),"Experimentation team — unused, deprecated format. Safe to drop.",OR($B132="thg-influencer",$B132="thg-ingenuity",$B132="thg-central-marketing",$B132="thg-seoclarity"),"HOLD — Charlie Stringer to review before deletion",TRUE,"")</f>
        <v/>
      </c>
    </row>
    <row r="133" spans="1:12" ht="45.75" customHeight="1">
      <c r="A133" t="s">
        <v>135</v>
      </c>
      <c r="B133" t="s">
        <v>89</v>
      </c>
      <c r="C133" t="s">
        <v>693</v>
      </c>
      <c r="D133" t="s">
        <v>694</v>
      </c>
      <c r="E133">
        <v>31</v>
      </c>
      <c r="F133">
        <v>144.26</v>
      </c>
      <c r="G133">
        <v>2.89</v>
      </c>
      <c r="H133" t="s">
        <v>695</v>
      </c>
      <c r="I133" s="2" t="s">
        <v>696</v>
      </c>
      <c r="J133" s="2" t="s">
        <v>697</v>
      </c>
      <c r="K133" t="str" cm="1">
        <f t="array" ref="K133">_xlfn.IFS(OR($C133="abtest_results",$C133="experimentation_sessions_colour_swatch"),"DROP CONFIRMED",OR($B133="thg-influencer",$B133="thg-ingenuity",$B133="thg-central-marketing",$B133="thg-seoclarity"),"HOLD",TRUE,"REVIEW")</f>
        <v>REVIEW</v>
      </c>
      <c r="L133" t="str" cm="1">
        <f t="array" ref="L133">_xlfn.IFS(OR($C133="abtest_results",$C133="experimentation_sessions_colour_swatch"),"Experimentation team — unused, deprecated format. Safe to drop.",OR($B133="thg-influencer",$B133="thg-ingenuity",$B133="thg-central-marketing",$B133="thg-seoclarity"),"HOLD — Charlie Stringer to review before deletion",TRUE,"")</f>
        <v/>
      </c>
    </row>
    <row r="134" spans="1:12" ht="45.75" customHeight="1">
      <c r="A134" t="s">
        <v>135</v>
      </c>
      <c r="B134" t="s">
        <v>89</v>
      </c>
      <c r="C134" t="s">
        <v>698</v>
      </c>
      <c r="D134" t="s">
        <v>699</v>
      </c>
      <c r="E134">
        <v>11</v>
      </c>
      <c r="F134">
        <v>144.04</v>
      </c>
      <c r="G134">
        <v>2.88</v>
      </c>
      <c r="H134" t="s">
        <v>700</v>
      </c>
      <c r="I134" s="2" t="s">
        <v>701</v>
      </c>
      <c r="J134" s="2" t="s">
        <v>702</v>
      </c>
      <c r="K134" t="str" cm="1">
        <f t="array" ref="K134">_xlfn.IFS(OR($C134="abtest_results",$C134="experimentation_sessions_colour_swatch"),"DROP CONFIRMED",OR($B134="thg-influencer",$B134="thg-ingenuity",$B134="thg-central-marketing",$B134="thg-seoclarity"),"HOLD",TRUE,"REVIEW")</f>
        <v>REVIEW</v>
      </c>
      <c r="L134" t="str" cm="1">
        <f t="array" ref="L134">_xlfn.IFS(OR($C134="abtest_results",$C134="experimentation_sessions_colour_swatch"),"Experimentation team — unused, deprecated format. Safe to drop.",OR($B134="thg-influencer",$B134="thg-ingenuity",$B134="thg-central-marketing",$B134="thg-seoclarity"),"HOLD — Charlie Stringer to review before deletion",TRUE,"")</f>
        <v/>
      </c>
    </row>
    <row r="135" spans="1:12" ht="45.75" customHeight="1">
      <c r="A135" t="s">
        <v>135</v>
      </c>
      <c r="B135" t="s">
        <v>89</v>
      </c>
      <c r="C135" t="s">
        <v>703</v>
      </c>
      <c r="D135" t="s">
        <v>704</v>
      </c>
      <c r="E135">
        <v>1655</v>
      </c>
      <c r="F135">
        <v>141.57</v>
      </c>
      <c r="G135">
        <v>2.83</v>
      </c>
      <c r="H135" t="s">
        <v>705</v>
      </c>
      <c r="I135" s="2" t="s">
        <v>706</v>
      </c>
      <c r="J135" s="2" t="s">
        <v>707</v>
      </c>
      <c r="K135" t="str" cm="1">
        <f t="array" ref="K135">_xlfn.IFS(OR($C135="abtest_results",$C135="experimentation_sessions_colour_swatch"),"DROP CONFIRMED",OR($B135="thg-influencer",$B135="thg-ingenuity",$B135="thg-central-marketing",$B135="thg-seoclarity"),"HOLD",TRUE,"REVIEW")</f>
        <v>REVIEW</v>
      </c>
      <c r="L135" t="str" cm="1">
        <f t="array" ref="L135">_xlfn.IFS(OR($C135="abtest_results",$C135="experimentation_sessions_colour_swatch"),"Experimentation team — unused, deprecated format. Safe to drop.",OR($B135="thg-influencer",$B135="thg-ingenuity",$B135="thg-central-marketing",$B135="thg-seoclarity"),"HOLD — Charlie Stringer to review before deletion",TRUE,"")</f>
        <v/>
      </c>
    </row>
    <row r="136" spans="1:12" ht="45.75" customHeight="1">
      <c r="A136" t="s">
        <v>135</v>
      </c>
      <c r="B136" t="s">
        <v>89</v>
      </c>
      <c r="C136" t="s">
        <v>708</v>
      </c>
      <c r="D136" t="s">
        <v>142</v>
      </c>
      <c r="E136">
        <v>1574</v>
      </c>
      <c r="F136">
        <v>137.57</v>
      </c>
      <c r="G136">
        <v>2.75</v>
      </c>
      <c r="H136" t="s">
        <v>709</v>
      </c>
      <c r="I136" s="2" t="s">
        <v>710</v>
      </c>
      <c r="J136" s="2" t="s">
        <v>711</v>
      </c>
      <c r="K136" t="str" cm="1">
        <f t="array" ref="K136">_xlfn.IFS(OR($C136="abtest_results",$C136="experimentation_sessions_colour_swatch"),"DROP CONFIRMED",OR($B136="thg-influencer",$B136="thg-ingenuity",$B136="thg-central-marketing",$B136="thg-seoclarity"),"HOLD",TRUE,"REVIEW")</f>
        <v>REVIEW</v>
      </c>
      <c r="L136" t="str" cm="1">
        <f t="array" ref="L136">_xlfn.IFS(OR($C136="abtest_results",$C136="experimentation_sessions_colour_swatch"),"Experimentation team — unused, deprecated format. Safe to drop.",OR($B136="thg-influencer",$B136="thg-ingenuity",$B136="thg-central-marketing",$B136="thg-seoclarity"),"HOLD — Charlie Stringer to review before deletion",TRUE,"")</f>
        <v/>
      </c>
    </row>
    <row r="137" spans="1:12" ht="45.75" customHeight="1">
      <c r="A137" t="s">
        <v>135</v>
      </c>
      <c r="B137" t="s">
        <v>89</v>
      </c>
      <c r="C137" t="s">
        <v>712</v>
      </c>
      <c r="D137" t="s">
        <v>713</v>
      </c>
      <c r="E137">
        <v>549</v>
      </c>
      <c r="F137">
        <v>136.66</v>
      </c>
      <c r="G137">
        <v>2.73</v>
      </c>
      <c r="H137" t="s">
        <v>714</v>
      </c>
      <c r="I137" s="2" t="s">
        <v>715</v>
      </c>
      <c r="J137" s="2" t="s">
        <v>716</v>
      </c>
      <c r="K137" t="str" cm="1">
        <f t="array" ref="K137">_xlfn.IFS(OR($C137="abtest_results",$C137="experimentation_sessions_colour_swatch"),"DROP CONFIRMED",OR($B137="thg-influencer",$B137="thg-ingenuity",$B137="thg-central-marketing",$B137="thg-seoclarity"),"HOLD",TRUE,"REVIEW")</f>
        <v>REVIEW</v>
      </c>
      <c r="L137" t="str" cm="1">
        <f t="array" ref="L137">_xlfn.IFS(OR($C137="abtest_results",$C137="experimentation_sessions_colour_swatch"),"Experimentation team — unused, deprecated format. Safe to drop.",OR($B137="thg-influencer",$B137="thg-ingenuity",$B137="thg-central-marketing",$B137="thg-seoclarity"),"HOLD — Charlie Stringer to review before deletion",TRUE,"")</f>
        <v/>
      </c>
    </row>
    <row r="138" spans="1:12" ht="45.75" customHeight="1">
      <c r="A138" t="s">
        <v>135</v>
      </c>
      <c r="B138" t="s">
        <v>91</v>
      </c>
      <c r="C138" t="s">
        <v>717</v>
      </c>
      <c r="D138" t="s">
        <v>718</v>
      </c>
      <c r="E138">
        <v>1560</v>
      </c>
      <c r="F138">
        <v>135.87</v>
      </c>
      <c r="G138">
        <v>2.72</v>
      </c>
      <c r="H138" t="s">
        <v>719</v>
      </c>
      <c r="I138" s="2" t="s">
        <v>720</v>
      </c>
      <c r="J138" s="2" t="s">
        <v>721</v>
      </c>
      <c r="K138" t="str" cm="1">
        <f t="array" ref="K138">_xlfn.IFS(OR($C138="abtest_results",$C138="experimentation_sessions_colour_swatch"),"DROP CONFIRMED",OR($B138="thg-influencer",$B138="thg-ingenuity",$B138="thg-central-marketing",$B138="thg-seoclarity"),"HOLD",TRUE,"REVIEW")</f>
        <v>REVIEW</v>
      </c>
      <c r="L138" t="str" cm="1">
        <f t="array" ref="L138">_xlfn.IFS(OR($C138="abtest_results",$C138="experimentation_sessions_colour_swatch"),"Experimentation team — unused, deprecated format. Safe to drop.",OR($B138="thg-influencer",$B138="thg-ingenuity",$B138="thg-central-marketing",$B138="thg-seoclarity"),"HOLD — Charlie Stringer to review before deletion",TRUE,"")</f>
        <v/>
      </c>
    </row>
    <row r="139" spans="1:12" ht="45.75" customHeight="1">
      <c r="A139" t="s">
        <v>135</v>
      </c>
      <c r="B139" t="s">
        <v>89</v>
      </c>
      <c r="C139" t="s">
        <v>722</v>
      </c>
      <c r="D139" t="s">
        <v>723</v>
      </c>
      <c r="E139">
        <v>5730</v>
      </c>
      <c r="F139">
        <v>133.31</v>
      </c>
      <c r="G139">
        <v>2.67</v>
      </c>
      <c r="H139" t="s">
        <v>724</v>
      </c>
      <c r="I139" s="2" t="s">
        <v>725</v>
      </c>
      <c r="J139" s="2" t="s">
        <v>726</v>
      </c>
      <c r="K139" t="str" cm="1">
        <f t="array" ref="K139">_xlfn.IFS(OR($C139="abtest_results",$C139="experimentation_sessions_colour_swatch"),"DROP CONFIRMED",OR($B139="thg-influencer",$B139="thg-ingenuity",$B139="thg-central-marketing",$B139="thg-seoclarity"),"HOLD",TRUE,"REVIEW")</f>
        <v>REVIEW</v>
      </c>
      <c r="L139" t="str" cm="1">
        <f t="array" ref="L139">_xlfn.IFS(OR($C139="abtest_results",$C139="experimentation_sessions_colour_swatch"),"Experimentation team — unused, deprecated format. Safe to drop.",OR($B139="thg-influencer",$B139="thg-ingenuity",$B139="thg-central-marketing",$B139="thg-seoclarity"),"HOLD — Charlie Stringer to review before deletion",TRUE,"")</f>
        <v/>
      </c>
    </row>
    <row r="140" spans="1:12" ht="45.75" customHeight="1">
      <c r="A140" t="s">
        <v>135</v>
      </c>
      <c r="B140" t="s">
        <v>89</v>
      </c>
      <c r="C140" t="s">
        <v>727</v>
      </c>
      <c r="D140" t="s">
        <v>142</v>
      </c>
      <c r="E140">
        <v>3345</v>
      </c>
      <c r="F140">
        <v>130.30000000000001</v>
      </c>
      <c r="G140">
        <v>2.61</v>
      </c>
      <c r="H140" t="s">
        <v>728</v>
      </c>
      <c r="I140" s="2" t="s">
        <v>729</v>
      </c>
      <c r="J140" s="2" t="s">
        <v>730</v>
      </c>
      <c r="K140" t="str" cm="1">
        <f t="array" ref="K140">_xlfn.IFS(OR($C140="abtest_results",$C140="experimentation_sessions_colour_swatch"),"DROP CONFIRMED",OR($B140="thg-influencer",$B140="thg-ingenuity",$B140="thg-central-marketing",$B140="thg-seoclarity"),"HOLD",TRUE,"REVIEW")</f>
        <v>REVIEW</v>
      </c>
      <c r="L140" t="str" cm="1">
        <f t="array" ref="L140">_xlfn.IFS(OR($C140="abtest_results",$C140="experimentation_sessions_colour_swatch"),"Experimentation team — unused, deprecated format. Safe to drop.",OR($B140="thg-influencer",$B140="thg-ingenuity",$B140="thg-central-marketing",$B140="thg-seoclarity"),"HOLD — Charlie Stringer to review before deletion",TRUE,"")</f>
        <v/>
      </c>
    </row>
    <row r="141" spans="1:12" ht="45.75" customHeight="1">
      <c r="A141" t="s">
        <v>135</v>
      </c>
      <c r="B141" t="s">
        <v>89</v>
      </c>
      <c r="C141" t="s">
        <v>731</v>
      </c>
      <c r="D141" t="s">
        <v>599</v>
      </c>
      <c r="E141">
        <v>3834</v>
      </c>
      <c r="F141">
        <v>126.85</v>
      </c>
      <c r="G141">
        <v>2.54</v>
      </c>
      <c r="H141" t="s">
        <v>732</v>
      </c>
      <c r="I141" s="2" t="s">
        <v>733</v>
      </c>
      <c r="J141" s="2" t="s">
        <v>734</v>
      </c>
      <c r="K141" t="str" cm="1">
        <f t="array" ref="K141">_xlfn.IFS(OR($C141="abtest_results",$C141="experimentation_sessions_colour_swatch"),"DROP CONFIRMED",OR($B141="thg-influencer",$B141="thg-ingenuity",$B141="thg-central-marketing",$B141="thg-seoclarity"),"HOLD",TRUE,"REVIEW")</f>
        <v>REVIEW</v>
      </c>
      <c r="L141" t="str" cm="1">
        <f t="array" ref="L141">_xlfn.IFS(OR($C141="abtest_results",$C141="experimentation_sessions_colour_swatch"),"Experimentation team — unused, deprecated format. Safe to drop.",OR($B141="thg-influencer",$B141="thg-ingenuity",$B141="thg-central-marketing",$B141="thg-seoclarity"),"HOLD — Charlie Stringer to review before deletion",TRUE,"")</f>
        <v/>
      </c>
    </row>
    <row r="142" spans="1:12" ht="45.75" customHeight="1">
      <c r="A142" t="s">
        <v>135</v>
      </c>
      <c r="B142" t="s">
        <v>89</v>
      </c>
      <c r="C142" t="s">
        <v>735</v>
      </c>
      <c r="D142" t="s">
        <v>736</v>
      </c>
      <c r="E142">
        <v>421</v>
      </c>
      <c r="F142">
        <v>126.84</v>
      </c>
      <c r="G142">
        <v>2.54</v>
      </c>
      <c r="H142" t="s">
        <v>737</v>
      </c>
      <c r="I142" s="2" t="s">
        <v>738</v>
      </c>
      <c r="J142" s="2" t="s">
        <v>739</v>
      </c>
      <c r="K142" t="str" cm="1">
        <f t="array" ref="K142">_xlfn.IFS(OR($C142="abtest_results",$C142="experimentation_sessions_colour_swatch"),"DROP CONFIRMED",OR($B142="thg-influencer",$B142="thg-ingenuity",$B142="thg-central-marketing",$B142="thg-seoclarity"),"HOLD",TRUE,"REVIEW")</f>
        <v>REVIEW</v>
      </c>
      <c r="L142" t="str" cm="1">
        <f t="array" ref="L142">_xlfn.IFS(OR($C142="abtest_results",$C142="experimentation_sessions_colour_swatch"),"Experimentation team — unused, deprecated format. Safe to drop.",OR($B142="thg-influencer",$B142="thg-ingenuity",$B142="thg-central-marketing",$B142="thg-seoclarity"),"HOLD — Charlie Stringer to review before deletion",TRUE,"")</f>
        <v/>
      </c>
    </row>
    <row r="143" spans="1:12" ht="45.75" customHeight="1">
      <c r="A143" t="s">
        <v>135</v>
      </c>
      <c r="B143" t="s">
        <v>89</v>
      </c>
      <c r="C143" t="s">
        <v>740</v>
      </c>
      <c r="D143" t="s">
        <v>449</v>
      </c>
      <c r="E143">
        <v>1742</v>
      </c>
      <c r="F143">
        <v>126.67</v>
      </c>
      <c r="G143">
        <v>2.5299999999999998</v>
      </c>
      <c r="H143" t="s">
        <v>741</v>
      </c>
      <c r="I143" s="2" t="s">
        <v>742</v>
      </c>
      <c r="J143" s="2" t="s">
        <v>743</v>
      </c>
      <c r="K143" t="str" cm="1">
        <f t="array" ref="K143">_xlfn.IFS(OR($C143="abtest_results",$C143="experimentation_sessions_colour_swatch"),"DROP CONFIRMED",OR($B143="thg-influencer",$B143="thg-ingenuity",$B143="thg-central-marketing",$B143="thg-seoclarity"),"HOLD",TRUE,"REVIEW")</f>
        <v>REVIEW</v>
      </c>
      <c r="L143" t="str" cm="1">
        <f t="array" ref="L143">_xlfn.IFS(OR($C143="abtest_results",$C143="experimentation_sessions_colour_swatch"),"Experimentation team — unused, deprecated format. Safe to drop.",OR($B143="thg-influencer",$B143="thg-ingenuity",$B143="thg-central-marketing",$B143="thg-seoclarity"),"HOLD — Charlie Stringer to review before deletion",TRUE,"")</f>
        <v/>
      </c>
    </row>
    <row r="144" spans="1:12" ht="45.75" customHeight="1">
      <c r="A144" t="s">
        <v>135</v>
      </c>
      <c r="B144" t="s">
        <v>89</v>
      </c>
      <c r="C144" t="s">
        <v>744</v>
      </c>
      <c r="D144" t="s">
        <v>745</v>
      </c>
      <c r="E144">
        <v>570</v>
      </c>
      <c r="F144">
        <v>125.83</v>
      </c>
      <c r="G144">
        <v>2.52</v>
      </c>
      <c r="H144" t="s">
        <v>746</v>
      </c>
      <c r="I144" s="2" t="s">
        <v>747</v>
      </c>
      <c r="J144" s="2" t="s">
        <v>748</v>
      </c>
      <c r="K144" t="str" cm="1">
        <f t="array" ref="K144">_xlfn.IFS(OR($C144="abtest_results",$C144="experimentation_sessions_colour_swatch"),"DROP CONFIRMED",OR($B144="thg-influencer",$B144="thg-ingenuity",$B144="thg-central-marketing",$B144="thg-seoclarity"),"HOLD",TRUE,"REVIEW")</f>
        <v>REVIEW</v>
      </c>
      <c r="L144" t="str" cm="1">
        <f t="array" ref="L144">_xlfn.IFS(OR($C144="abtest_results",$C144="experimentation_sessions_colour_swatch"),"Experimentation team — unused, deprecated format. Safe to drop.",OR($B144="thg-influencer",$B144="thg-ingenuity",$B144="thg-central-marketing",$B144="thg-seoclarity"),"HOLD — Charlie Stringer to review before deletion",TRUE,"")</f>
        <v/>
      </c>
    </row>
    <row r="145" spans="1:12" ht="45.75" customHeight="1">
      <c r="A145" t="s">
        <v>135</v>
      </c>
      <c r="B145" t="s">
        <v>89</v>
      </c>
      <c r="C145" t="s">
        <v>749</v>
      </c>
      <c r="D145" t="s">
        <v>142</v>
      </c>
      <c r="E145">
        <v>3146</v>
      </c>
      <c r="F145">
        <v>118.61</v>
      </c>
      <c r="G145">
        <v>2.37</v>
      </c>
      <c r="H145" t="s">
        <v>750</v>
      </c>
      <c r="I145" s="2" t="s">
        <v>751</v>
      </c>
      <c r="J145" s="2" t="s">
        <v>752</v>
      </c>
      <c r="K145" t="str" cm="1">
        <f t="array" ref="K145">_xlfn.IFS(OR($C145="abtest_results",$C145="experimentation_sessions_colour_swatch"),"DROP CONFIRMED",OR($B145="thg-influencer",$B145="thg-ingenuity",$B145="thg-central-marketing",$B145="thg-seoclarity"),"HOLD",TRUE,"REVIEW")</f>
        <v>REVIEW</v>
      </c>
      <c r="L145" t="str" cm="1">
        <f t="array" ref="L145">_xlfn.IFS(OR($C145="abtest_results",$C145="experimentation_sessions_colour_swatch"),"Experimentation team — unused, deprecated format. Safe to drop.",OR($B145="thg-influencer",$B145="thg-ingenuity",$B145="thg-central-marketing",$B145="thg-seoclarity"),"HOLD — Charlie Stringer to review before deletion",TRUE,"")</f>
        <v/>
      </c>
    </row>
    <row r="146" spans="1:12" ht="45.75" customHeight="1">
      <c r="A146" t="s">
        <v>753</v>
      </c>
      <c r="B146" t="s">
        <v>39</v>
      </c>
      <c r="C146" t="s">
        <v>754</v>
      </c>
      <c r="D146" t="s">
        <v>755</v>
      </c>
      <c r="E146">
        <v>310</v>
      </c>
      <c r="F146">
        <v>116.68</v>
      </c>
      <c r="G146">
        <v>2.33</v>
      </c>
      <c r="H146" t="s">
        <v>756</v>
      </c>
      <c r="I146" s="2" t="s">
        <v>757</v>
      </c>
      <c r="J146" s="2" t="s">
        <v>758</v>
      </c>
      <c r="K146" t="str" cm="1">
        <f t="array" ref="K146">_xlfn.IFS(OR($C146="abtest_results",$C146="experimentation_sessions_colour_swatch"),"DROP CONFIRMED",OR($B146="thg-influencer",$B146="thg-ingenuity",$B146="thg-central-marketing",$B146="thg-seoclarity"),"HOLD",TRUE,"REVIEW")</f>
        <v>HOLD</v>
      </c>
      <c r="L146" t="str" cm="1">
        <f t="array" ref="L146">_xlfn.IFS(OR($C146="abtest_results",$C146="experimentation_sessions_colour_swatch"),"Experimentation team — unused, deprecated format. Safe to drop.",OR($B146="thg-influencer",$B146="thg-ingenuity",$B146="thg-central-marketing",$B146="thg-seoclarity"),"HOLD — Charlie Stringer to review before deletion",TRUE,"")</f>
        <v>HOLD — Charlie Stringer to review before deletion</v>
      </c>
    </row>
    <row r="147" spans="1:12" ht="45.75" customHeight="1">
      <c r="A147" t="s">
        <v>135</v>
      </c>
      <c r="B147" t="s">
        <v>89</v>
      </c>
      <c r="C147" t="s">
        <v>759</v>
      </c>
      <c r="D147" t="s">
        <v>142</v>
      </c>
      <c r="E147">
        <v>2316</v>
      </c>
      <c r="F147">
        <v>115.52</v>
      </c>
      <c r="G147">
        <v>2.31</v>
      </c>
      <c r="H147" t="s">
        <v>760</v>
      </c>
      <c r="I147" s="2" t="s">
        <v>761</v>
      </c>
      <c r="J147" s="2" t="s">
        <v>762</v>
      </c>
      <c r="K147" t="str" cm="1">
        <f t="array" ref="K147">_xlfn.IFS(OR($C147="abtest_results",$C147="experimentation_sessions_colour_swatch"),"DROP CONFIRMED",OR($B147="thg-influencer",$B147="thg-ingenuity",$B147="thg-central-marketing",$B147="thg-seoclarity"),"HOLD",TRUE,"REVIEW")</f>
        <v>REVIEW</v>
      </c>
      <c r="L147" t="str" cm="1">
        <f t="array" ref="L147">_xlfn.IFS(OR($C147="abtest_results",$C147="experimentation_sessions_colour_swatch"),"Experimentation team — unused, deprecated format. Safe to drop.",OR($B147="thg-influencer",$B147="thg-ingenuity",$B147="thg-central-marketing",$B147="thg-seoclarity"),"HOLD — Charlie Stringer to review before deletion",TRUE,"")</f>
        <v/>
      </c>
    </row>
    <row r="148" spans="1:12" ht="45.75" customHeight="1">
      <c r="A148" t="s">
        <v>135</v>
      </c>
      <c r="B148" t="s">
        <v>89</v>
      </c>
      <c r="C148" t="s">
        <v>763</v>
      </c>
      <c r="D148" t="s">
        <v>142</v>
      </c>
      <c r="E148">
        <v>2991</v>
      </c>
      <c r="F148">
        <v>114.77</v>
      </c>
      <c r="G148">
        <v>2.2999999999999998</v>
      </c>
      <c r="H148" t="s">
        <v>764</v>
      </c>
      <c r="I148" s="2" t="s">
        <v>765</v>
      </c>
      <c r="J148" s="2" t="s">
        <v>766</v>
      </c>
      <c r="K148" t="str" cm="1">
        <f t="array" ref="K148">_xlfn.IFS(OR($C148="abtest_results",$C148="experimentation_sessions_colour_swatch"),"DROP CONFIRMED",OR($B148="thg-influencer",$B148="thg-ingenuity",$B148="thg-central-marketing",$B148="thg-seoclarity"),"HOLD",TRUE,"REVIEW")</f>
        <v>REVIEW</v>
      </c>
      <c r="L148" t="str" cm="1">
        <f t="array" ref="L148">_xlfn.IFS(OR($C148="abtest_results",$C148="experimentation_sessions_colour_swatch"),"Experimentation team — unused, deprecated format. Safe to drop.",OR($B148="thg-influencer",$B148="thg-ingenuity",$B148="thg-central-marketing",$B148="thg-seoclarity"),"HOLD — Charlie Stringer to review before deletion",TRUE,"")</f>
        <v/>
      </c>
    </row>
    <row r="149" spans="1:12" ht="45.75" customHeight="1">
      <c r="A149" t="s">
        <v>135</v>
      </c>
      <c r="B149" t="s">
        <v>89</v>
      </c>
      <c r="C149" t="s">
        <v>767</v>
      </c>
      <c r="D149" t="s">
        <v>768</v>
      </c>
      <c r="E149">
        <v>543</v>
      </c>
      <c r="F149">
        <v>114.2</v>
      </c>
      <c r="G149">
        <v>2.2799999999999998</v>
      </c>
      <c r="H149" t="s">
        <v>769</v>
      </c>
      <c r="I149" s="2" t="s">
        <v>770</v>
      </c>
      <c r="J149" s="2" t="s">
        <v>771</v>
      </c>
      <c r="K149" t="str" cm="1">
        <f t="array" ref="K149">_xlfn.IFS(OR($C149="abtest_results",$C149="experimentation_sessions_colour_swatch"),"DROP CONFIRMED",OR($B149="thg-influencer",$B149="thg-ingenuity",$B149="thg-central-marketing",$B149="thg-seoclarity"),"HOLD",TRUE,"REVIEW")</f>
        <v>REVIEW</v>
      </c>
      <c r="L149" t="str" cm="1">
        <f t="array" ref="L149">_xlfn.IFS(OR($C149="abtest_results",$C149="experimentation_sessions_colour_swatch"),"Experimentation team — unused, deprecated format. Safe to drop.",OR($B149="thg-influencer",$B149="thg-ingenuity",$B149="thg-central-marketing",$B149="thg-seoclarity"),"HOLD — Charlie Stringer to review before deletion",TRUE,"")</f>
        <v/>
      </c>
    </row>
    <row r="150" spans="1:12" ht="45.75" customHeight="1">
      <c r="A150" t="s">
        <v>135</v>
      </c>
      <c r="B150" t="s">
        <v>91</v>
      </c>
      <c r="C150" t="s">
        <v>188</v>
      </c>
      <c r="D150" t="s">
        <v>772</v>
      </c>
      <c r="E150">
        <v>98</v>
      </c>
      <c r="F150">
        <v>109.21</v>
      </c>
      <c r="G150">
        <v>2.1800000000000002</v>
      </c>
      <c r="H150" t="s">
        <v>773</v>
      </c>
      <c r="I150" s="2" t="s">
        <v>774</v>
      </c>
      <c r="J150" s="2" t="s">
        <v>775</v>
      </c>
      <c r="K150" t="str" cm="1">
        <f t="array" ref="K150">_xlfn.IFS(OR($C150="abtest_results",$C150="experimentation_sessions_colour_swatch"),"DROP CONFIRMED",OR($B150="thg-influencer",$B150="thg-ingenuity",$B150="thg-central-marketing",$B150="thg-seoclarity"),"HOLD",TRUE,"REVIEW")</f>
        <v>REVIEW</v>
      </c>
      <c r="L150" t="str" cm="1">
        <f t="array" ref="L150">_xlfn.IFS(OR($C150="abtest_results",$C150="experimentation_sessions_colour_swatch"),"Experimentation team — unused, deprecated format. Safe to drop.",OR($B150="thg-influencer",$B150="thg-ingenuity",$B150="thg-central-marketing",$B150="thg-seoclarity"),"HOLD — Charlie Stringer to review before deletion",TRUE,"")</f>
        <v/>
      </c>
    </row>
    <row r="151" spans="1:12" ht="45.75" customHeight="1">
      <c r="A151" t="s">
        <v>135</v>
      </c>
      <c r="B151" t="s">
        <v>89</v>
      </c>
      <c r="C151" t="s">
        <v>776</v>
      </c>
      <c r="D151" t="s">
        <v>142</v>
      </c>
      <c r="E151">
        <v>2395</v>
      </c>
      <c r="F151">
        <v>106.38</v>
      </c>
      <c r="G151">
        <v>2.13</v>
      </c>
      <c r="H151" t="s">
        <v>777</v>
      </c>
      <c r="I151" s="2" t="s">
        <v>778</v>
      </c>
      <c r="J151" s="2" t="s">
        <v>779</v>
      </c>
      <c r="K151" t="str" cm="1">
        <f t="array" ref="K151">_xlfn.IFS(OR($C151="abtest_results",$C151="experimentation_sessions_colour_swatch"),"DROP CONFIRMED",OR($B151="thg-influencer",$B151="thg-ingenuity",$B151="thg-central-marketing",$B151="thg-seoclarity"),"HOLD",TRUE,"REVIEW")</f>
        <v>REVIEW</v>
      </c>
      <c r="L151" t="str" cm="1">
        <f t="array" ref="L151">_xlfn.IFS(OR($C151="abtest_results",$C151="experimentation_sessions_colour_swatch"),"Experimentation team — unused, deprecated format. Safe to drop.",OR($B151="thg-influencer",$B151="thg-ingenuity",$B151="thg-central-marketing",$B151="thg-seoclarity"),"HOLD — Charlie Stringer to review before deletion",TRUE,"")</f>
        <v/>
      </c>
    </row>
    <row r="152" spans="1:12" ht="45.75" customHeight="1">
      <c r="A152" t="s">
        <v>135</v>
      </c>
      <c r="B152" t="s">
        <v>90</v>
      </c>
      <c r="C152" t="s">
        <v>780</v>
      </c>
      <c r="D152" t="s">
        <v>781</v>
      </c>
      <c r="E152">
        <v>4</v>
      </c>
      <c r="F152">
        <v>103.67</v>
      </c>
      <c r="G152">
        <v>2.0699999999999998</v>
      </c>
      <c r="H152" t="s">
        <v>782</v>
      </c>
      <c r="I152" s="2" t="s">
        <v>783</v>
      </c>
      <c r="J152" s="2" t="s">
        <v>784</v>
      </c>
      <c r="K152" t="str" cm="1">
        <f t="array" ref="K152">_xlfn.IFS(OR($C152="abtest_results",$C152="experimentation_sessions_colour_swatch"),"DROP CONFIRMED",OR($B152="thg-influencer",$B152="thg-ingenuity",$B152="thg-central-marketing",$B152="thg-seoclarity"),"HOLD",TRUE,"REVIEW")</f>
        <v>REVIEW</v>
      </c>
      <c r="L152" t="str" cm="1">
        <f t="array" ref="L152">_xlfn.IFS(OR($C152="abtest_results",$C152="experimentation_sessions_colour_swatch"),"Experimentation team — unused, deprecated format. Safe to drop.",OR($B152="thg-influencer",$B152="thg-ingenuity",$B152="thg-central-marketing",$B152="thg-seoclarity"),"HOLD — Charlie Stringer to review before deletion",TRUE,"")</f>
        <v/>
      </c>
    </row>
    <row r="153" spans="1:12" ht="45.75" customHeight="1">
      <c r="A153" t="s">
        <v>135</v>
      </c>
      <c r="B153" t="s">
        <v>89</v>
      </c>
      <c r="C153" t="s">
        <v>785</v>
      </c>
      <c r="D153" t="s">
        <v>142</v>
      </c>
      <c r="E153">
        <v>2410</v>
      </c>
      <c r="F153">
        <v>102.61</v>
      </c>
      <c r="G153">
        <v>2.0499999999999998</v>
      </c>
      <c r="H153" t="s">
        <v>786</v>
      </c>
      <c r="I153" s="2" t="s">
        <v>787</v>
      </c>
      <c r="J153" s="2" t="s">
        <v>788</v>
      </c>
      <c r="K153" t="str" cm="1">
        <f t="array" ref="K153">_xlfn.IFS(OR($C153="abtest_results",$C153="experimentation_sessions_colour_swatch"),"DROP CONFIRMED",OR($B153="thg-influencer",$B153="thg-ingenuity",$B153="thg-central-marketing",$B153="thg-seoclarity"),"HOLD",TRUE,"REVIEW")</f>
        <v>REVIEW</v>
      </c>
      <c r="L153" t="str" cm="1">
        <f t="array" ref="L153">_xlfn.IFS(OR($C153="abtest_results",$C153="experimentation_sessions_colour_swatch"),"Experimentation team — unused, deprecated format. Safe to drop.",OR($B153="thg-influencer",$B153="thg-ingenuity",$B153="thg-central-marketing",$B153="thg-seoclarity"),"HOLD — Charlie Stringer to review before deletion",TRUE,"")</f>
        <v/>
      </c>
    </row>
    <row r="154" spans="1:12" ht="45.75" customHeight="1">
      <c r="A154" t="s">
        <v>135</v>
      </c>
      <c r="B154" t="s">
        <v>89</v>
      </c>
      <c r="C154" t="s">
        <v>789</v>
      </c>
      <c r="D154" t="s">
        <v>790</v>
      </c>
      <c r="E154">
        <v>1742</v>
      </c>
      <c r="F154">
        <v>96.3</v>
      </c>
      <c r="G154">
        <v>1.93</v>
      </c>
      <c r="H154" t="s">
        <v>791</v>
      </c>
      <c r="I154" s="2" t="s">
        <v>792</v>
      </c>
      <c r="J154" s="2" t="s">
        <v>793</v>
      </c>
      <c r="K154" t="str" cm="1">
        <f t="array" ref="K154">_xlfn.IFS(OR($C154="abtest_results",$C154="experimentation_sessions_colour_swatch"),"DROP CONFIRMED",OR($B154="thg-influencer",$B154="thg-ingenuity",$B154="thg-central-marketing",$B154="thg-seoclarity"),"HOLD",TRUE,"REVIEW")</f>
        <v>REVIEW</v>
      </c>
      <c r="L154" t="str" cm="1">
        <f t="array" ref="L154">_xlfn.IFS(OR($C154="abtest_results",$C154="experimentation_sessions_colour_swatch"),"Experimentation team — unused, deprecated format. Safe to drop.",OR($B154="thg-influencer",$B154="thg-ingenuity",$B154="thg-central-marketing",$B154="thg-seoclarity"),"HOLD — Charlie Stringer to review before deletion",TRUE,"")</f>
        <v/>
      </c>
    </row>
    <row r="155" spans="1:12" ht="45.75" customHeight="1">
      <c r="A155" t="s">
        <v>135</v>
      </c>
      <c r="B155" t="s">
        <v>89</v>
      </c>
      <c r="C155" t="s">
        <v>794</v>
      </c>
      <c r="D155" t="s">
        <v>795</v>
      </c>
      <c r="E155">
        <v>6858</v>
      </c>
      <c r="F155">
        <v>94.91</v>
      </c>
      <c r="G155">
        <v>1.9</v>
      </c>
      <c r="H155" t="s">
        <v>796</v>
      </c>
      <c r="I155" s="2" t="s">
        <v>797</v>
      </c>
      <c r="J155" s="2" t="s">
        <v>798</v>
      </c>
      <c r="K155" t="str" cm="1">
        <f t="array" ref="K155">_xlfn.IFS(OR($C155="abtest_results",$C155="experimentation_sessions_colour_swatch"),"DROP CONFIRMED",OR($B155="thg-influencer",$B155="thg-ingenuity",$B155="thg-central-marketing",$B155="thg-seoclarity"),"HOLD",TRUE,"REVIEW")</f>
        <v>REVIEW</v>
      </c>
      <c r="L155" t="str" cm="1">
        <f t="array" ref="L155">_xlfn.IFS(OR($C155="abtest_results",$C155="experimentation_sessions_colour_swatch"),"Experimentation team — unused, deprecated format. Safe to drop.",OR($B155="thg-influencer",$B155="thg-ingenuity",$B155="thg-central-marketing",$B155="thg-seoclarity"),"HOLD — Charlie Stringer to review before deletion",TRUE,"")</f>
        <v/>
      </c>
    </row>
    <row r="156" spans="1:12" ht="45.75" customHeight="1">
      <c r="A156" t="s">
        <v>135</v>
      </c>
      <c r="B156" t="s">
        <v>89</v>
      </c>
      <c r="C156" t="s">
        <v>799</v>
      </c>
      <c r="D156" t="s">
        <v>800</v>
      </c>
      <c r="E156">
        <v>939</v>
      </c>
      <c r="F156">
        <v>88.33</v>
      </c>
      <c r="G156">
        <v>1.77</v>
      </c>
      <c r="H156" t="s">
        <v>801</v>
      </c>
      <c r="I156" s="2" t="s">
        <v>802</v>
      </c>
      <c r="J156" s="2" t="s">
        <v>803</v>
      </c>
      <c r="K156" t="str" cm="1">
        <f t="array" ref="K156">_xlfn.IFS(OR($C156="abtest_results",$C156="experimentation_sessions_colour_swatch"),"DROP CONFIRMED",OR($B156="thg-influencer",$B156="thg-ingenuity",$B156="thg-central-marketing",$B156="thg-seoclarity"),"HOLD",TRUE,"REVIEW")</f>
        <v>REVIEW</v>
      </c>
      <c r="L156" t="str" cm="1">
        <f t="array" ref="L156">_xlfn.IFS(OR($C156="abtest_results",$C156="experimentation_sessions_colour_swatch"),"Experimentation team — unused, deprecated format. Safe to drop.",OR($B156="thg-influencer",$B156="thg-ingenuity",$B156="thg-central-marketing",$B156="thg-seoclarity"),"HOLD — Charlie Stringer to review before deletion",TRUE,"")</f>
        <v/>
      </c>
    </row>
    <row r="157" spans="1:12" ht="45.75" customHeight="1">
      <c r="A157" t="s">
        <v>135</v>
      </c>
      <c r="B157" t="s">
        <v>89</v>
      </c>
      <c r="C157" t="s">
        <v>804</v>
      </c>
      <c r="D157" t="s">
        <v>805</v>
      </c>
      <c r="E157">
        <v>562</v>
      </c>
      <c r="F157">
        <v>88.5</v>
      </c>
      <c r="G157">
        <v>1.77</v>
      </c>
      <c r="H157" t="s">
        <v>806</v>
      </c>
      <c r="I157" s="2" t="s">
        <v>807</v>
      </c>
      <c r="J157" s="2" t="s">
        <v>808</v>
      </c>
      <c r="K157" t="str" cm="1">
        <f t="array" ref="K157">_xlfn.IFS(OR($C157="abtest_results",$C157="experimentation_sessions_colour_swatch"),"DROP CONFIRMED",OR($B157="thg-influencer",$B157="thg-ingenuity",$B157="thg-central-marketing",$B157="thg-seoclarity"),"HOLD",TRUE,"REVIEW")</f>
        <v>REVIEW</v>
      </c>
      <c r="L157" t="str" cm="1">
        <f t="array" ref="L157">_xlfn.IFS(OR($C157="abtest_results",$C157="experimentation_sessions_colour_swatch"),"Experimentation team — unused, deprecated format. Safe to drop.",OR($B157="thg-influencer",$B157="thg-ingenuity",$B157="thg-central-marketing",$B157="thg-seoclarity"),"HOLD — Charlie Stringer to review before deletion",TRUE,"")</f>
        <v/>
      </c>
    </row>
    <row r="158" spans="1:12" ht="45.75" customHeight="1">
      <c r="A158" t="s">
        <v>135</v>
      </c>
      <c r="B158" t="s">
        <v>90</v>
      </c>
      <c r="C158" t="s">
        <v>809</v>
      </c>
      <c r="D158" t="s">
        <v>810</v>
      </c>
      <c r="E158">
        <v>1</v>
      </c>
      <c r="F158">
        <v>87.8</v>
      </c>
      <c r="G158">
        <v>1.76</v>
      </c>
      <c r="H158" t="s">
        <v>811</v>
      </c>
      <c r="I158" s="2" t="s">
        <v>812</v>
      </c>
      <c r="J158" s="2" t="s">
        <v>813</v>
      </c>
      <c r="K158" t="str" cm="1">
        <f t="array" ref="K158">_xlfn.IFS(OR($C158="abtest_results",$C158="experimentation_sessions_colour_swatch"),"DROP CONFIRMED",OR($B158="thg-influencer",$B158="thg-ingenuity",$B158="thg-central-marketing",$B158="thg-seoclarity"),"HOLD",TRUE,"REVIEW")</f>
        <v>REVIEW</v>
      </c>
      <c r="L158" t="str" cm="1">
        <f t="array" ref="L158">_xlfn.IFS(OR($C158="abtest_results",$C158="experimentation_sessions_colour_swatch"),"Experimentation team — unused, deprecated format. Safe to drop.",OR($B158="thg-influencer",$B158="thg-ingenuity",$B158="thg-central-marketing",$B158="thg-seoclarity"),"HOLD — Charlie Stringer to review before deletion",TRUE,"")</f>
        <v/>
      </c>
    </row>
    <row r="159" spans="1:12" ht="45.75" customHeight="1">
      <c r="A159" t="s">
        <v>135</v>
      </c>
      <c r="B159" t="s">
        <v>89</v>
      </c>
      <c r="C159" t="s">
        <v>814</v>
      </c>
      <c r="D159" t="s">
        <v>815</v>
      </c>
      <c r="E159">
        <v>3709</v>
      </c>
      <c r="F159">
        <v>85.43</v>
      </c>
      <c r="G159">
        <v>1.71</v>
      </c>
      <c r="H159" t="s">
        <v>816</v>
      </c>
      <c r="I159" s="2" t="s">
        <v>817</v>
      </c>
      <c r="J159" s="2" t="s">
        <v>818</v>
      </c>
      <c r="K159" t="str" cm="1">
        <f t="array" ref="K159">_xlfn.IFS(OR($C159="abtest_results",$C159="experimentation_sessions_colour_swatch"),"DROP CONFIRMED",OR($B159="thg-influencer",$B159="thg-ingenuity",$B159="thg-central-marketing",$B159="thg-seoclarity"),"HOLD",TRUE,"REVIEW")</f>
        <v>REVIEW</v>
      </c>
      <c r="L159" t="str" cm="1">
        <f t="array" ref="L159">_xlfn.IFS(OR($C159="abtest_results",$C159="experimentation_sessions_colour_swatch"),"Experimentation team — unused, deprecated format. Safe to drop.",OR($B159="thg-influencer",$B159="thg-ingenuity",$B159="thg-central-marketing",$B159="thg-seoclarity"),"HOLD — Charlie Stringer to review before deletion",TRUE,"")</f>
        <v/>
      </c>
    </row>
    <row r="160" spans="1:12" ht="45.75" customHeight="1">
      <c r="A160" t="s">
        <v>135</v>
      </c>
      <c r="B160" t="s">
        <v>89</v>
      </c>
      <c r="C160" t="s">
        <v>819</v>
      </c>
      <c r="D160" t="s">
        <v>820</v>
      </c>
      <c r="E160">
        <v>3</v>
      </c>
      <c r="F160">
        <v>83.91</v>
      </c>
      <c r="G160">
        <v>1.68</v>
      </c>
      <c r="H160" t="s">
        <v>821</v>
      </c>
      <c r="I160" s="2" t="s">
        <v>822</v>
      </c>
      <c r="J160" s="2" t="s">
        <v>823</v>
      </c>
      <c r="K160" t="str" cm="1">
        <f t="array" ref="K160">_xlfn.IFS(OR($C160="abtest_results",$C160="experimentation_sessions_colour_swatch"),"DROP CONFIRMED",OR($B160="thg-influencer",$B160="thg-ingenuity",$B160="thg-central-marketing",$B160="thg-seoclarity"),"HOLD",TRUE,"REVIEW")</f>
        <v>REVIEW</v>
      </c>
      <c r="L160" t="str" cm="1">
        <f t="array" ref="L160">_xlfn.IFS(OR($C160="abtest_results",$C160="experimentation_sessions_colour_swatch"),"Experimentation team — unused, deprecated format. Safe to drop.",OR($B160="thg-influencer",$B160="thg-ingenuity",$B160="thg-central-marketing",$B160="thg-seoclarity"),"HOLD — Charlie Stringer to review before deletion",TRUE,"")</f>
        <v/>
      </c>
    </row>
    <row r="161" spans="1:12" ht="45.75" customHeight="1">
      <c r="A161" t="s">
        <v>135</v>
      </c>
      <c r="B161" t="s">
        <v>90</v>
      </c>
      <c r="C161" t="s">
        <v>824</v>
      </c>
      <c r="D161" t="s">
        <v>825</v>
      </c>
      <c r="E161">
        <v>18</v>
      </c>
      <c r="F161">
        <v>81.05</v>
      </c>
      <c r="G161">
        <v>1.62</v>
      </c>
      <c r="H161" t="s">
        <v>826</v>
      </c>
      <c r="I161" s="2" t="s">
        <v>827</v>
      </c>
      <c r="J161" s="2" t="s">
        <v>828</v>
      </c>
      <c r="K161" t="str" cm="1">
        <f t="array" ref="K161">_xlfn.IFS(OR($C161="abtest_results",$C161="experimentation_sessions_colour_swatch"),"DROP CONFIRMED",OR($B161="thg-influencer",$B161="thg-ingenuity",$B161="thg-central-marketing",$B161="thg-seoclarity"),"HOLD",TRUE,"REVIEW")</f>
        <v>REVIEW</v>
      </c>
      <c r="L161" t="str" cm="1">
        <f t="array" ref="L161">_xlfn.IFS(OR($C161="abtest_results",$C161="experimentation_sessions_colour_swatch"),"Experimentation team — unused, deprecated format. Safe to drop.",OR($B161="thg-influencer",$B161="thg-ingenuity",$B161="thg-central-marketing",$B161="thg-seoclarity"),"HOLD — Charlie Stringer to review before deletion",TRUE,"")</f>
        <v/>
      </c>
    </row>
    <row r="162" spans="1:12" ht="45.75" customHeight="1">
      <c r="A162" t="s">
        <v>135</v>
      </c>
      <c r="B162" t="s">
        <v>89</v>
      </c>
      <c r="C162" t="s">
        <v>829</v>
      </c>
      <c r="D162" t="s">
        <v>142</v>
      </c>
      <c r="E162">
        <v>2411</v>
      </c>
      <c r="F162">
        <v>79.849999999999994</v>
      </c>
      <c r="G162">
        <v>1.6</v>
      </c>
      <c r="H162" t="s">
        <v>830</v>
      </c>
      <c r="I162" s="2" t="s">
        <v>831</v>
      </c>
      <c r="J162" s="2" t="s">
        <v>832</v>
      </c>
      <c r="K162" t="str" cm="1">
        <f t="array" ref="K162">_xlfn.IFS(OR($C162="abtest_results",$C162="experimentation_sessions_colour_swatch"),"DROP CONFIRMED",OR($B162="thg-influencer",$B162="thg-ingenuity",$B162="thg-central-marketing",$B162="thg-seoclarity"),"HOLD",TRUE,"REVIEW")</f>
        <v>REVIEW</v>
      </c>
      <c r="L162" t="str" cm="1">
        <f t="array" ref="L162">_xlfn.IFS(OR($C162="abtest_results",$C162="experimentation_sessions_colour_swatch"),"Experimentation team — unused, deprecated format. Safe to drop.",OR($B162="thg-influencer",$B162="thg-ingenuity",$B162="thg-central-marketing",$B162="thg-seoclarity"),"HOLD — Charlie Stringer to review before deletion",TRUE,"")</f>
        <v/>
      </c>
    </row>
    <row r="163" spans="1:12" ht="45.75" customHeight="1">
      <c r="A163" t="s">
        <v>135</v>
      </c>
      <c r="B163" t="s">
        <v>89</v>
      </c>
      <c r="C163" t="s">
        <v>833</v>
      </c>
      <c r="D163" t="s">
        <v>142</v>
      </c>
      <c r="E163">
        <v>2916</v>
      </c>
      <c r="F163">
        <v>79.47</v>
      </c>
      <c r="G163">
        <v>1.59</v>
      </c>
      <c r="H163" t="s">
        <v>834</v>
      </c>
      <c r="I163" s="2" t="s">
        <v>835</v>
      </c>
      <c r="J163" s="2" t="s">
        <v>836</v>
      </c>
      <c r="K163" t="str" cm="1">
        <f t="array" ref="K163">_xlfn.IFS(OR($C163="abtest_results",$C163="experimentation_sessions_colour_swatch"),"DROP CONFIRMED",OR($B163="thg-influencer",$B163="thg-ingenuity",$B163="thg-central-marketing",$B163="thg-seoclarity"),"HOLD",TRUE,"REVIEW")</f>
        <v>REVIEW</v>
      </c>
      <c r="L163" t="str" cm="1">
        <f t="array" ref="L163">_xlfn.IFS(OR($C163="abtest_results",$C163="experimentation_sessions_colour_swatch"),"Experimentation team — unused, deprecated format. Safe to drop.",OR($B163="thg-influencer",$B163="thg-ingenuity",$B163="thg-central-marketing",$B163="thg-seoclarity"),"HOLD — Charlie Stringer to review before deletion",TRUE,"")</f>
        <v/>
      </c>
    </row>
    <row r="164" spans="1:12" ht="45.75" customHeight="1">
      <c r="A164" t="s">
        <v>135</v>
      </c>
      <c r="B164" t="s">
        <v>91</v>
      </c>
      <c r="C164" t="s">
        <v>780</v>
      </c>
      <c r="D164" t="s">
        <v>781</v>
      </c>
      <c r="E164">
        <v>4</v>
      </c>
      <c r="F164">
        <v>78.31</v>
      </c>
      <c r="G164">
        <v>1.57</v>
      </c>
      <c r="H164" t="s">
        <v>837</v>
      </c>
      <c r="I164" s="2" t="s">
        <v>838</v>
      </c>
      <c r="J164" s="2" t="s">
        <v>839</v>
      </c>
      <c r="K164" t="str" cm="1">
        <f t="array" ref="K164">_xlfn.IFS(OR($C164="abtest_results",$C164="experimentation_sessions_colour_swatch"),"DROP CONFIRMED",OR($B164="thg-influencer",$B164="thg-ingenuity",$B164="thg-central-marketing",$B164="thg-seoclarity"),"HOLD",TRUE,"REVIEW")</f>
        <v>REVIEW</v>
      </c>
      <c r="L164" t="str" cm="1">
        <f t="array" ref="L164">_xlfn.IFS(OR($C164="abtest_results",$C164="experimentation_sessions_colour_swatch"),"Experimentation team — unused, deprecated format. Safe to drop.",OR($B164="thg-influencer",$B164="thg-ingenuity",$B164="thg-central-marketing",$B164="thg-seoclarity"),"HOLD — Charlie Stringer to review before deletion",TRUE,"")</f>
        <v/>
      </c>
    </row>
    <row r="165" spans="1:12" ht="45.75" customHeight="1">
      <c r="A165" t="s">
        <v>135</v>
      </c>
      <c r="B165" t="s">
        <v>89</v>
      </c>
      <c r="C165" t="s">
        <v>840</v>
      </c>
      <c r="D165" t="s">
        <v>142</v>
      </c>
      <c r="E165">
        <v>2859</v>
      </c>
      <c r="F165">
        <v>77.97</v>
      </c>
      <c r="G165">
        <v>1.56</v>
      </c>
      <c r="H165" t="s">
        <v>841</v>
      </c>
      <c r="I165" s="2" t="s">
        <v>842</v>
      </c>
      <c r="J165" s="2" t="s">
        <v>843</v>
      </c>
      <c r="K165" t="str" cm="1">
        <f t="array" ref="K165">_xlfn.IFS(OR($C165="abtest_results",$C165="experimentation_sessions_colour_swatch"),"DROP CONFIRMED",OR($B165="thg-influencer",$B165="thg-ingenuity",$B165="thg-central-marketing",$B165="thg-seoclarity"),"HOLD",TRUE,"REVIEW")</f>
        <v>REVIEW</v>
      </c>
      <c r="L165" t="str" cm="1">
        <f t="array" ref="L165">_xlfn.IFS(OR($C165="abtest_results",$C165="experimentation_sessions_colour_swatch"),"Experimentation team — unused, deprecated format. Safe to drop.",OR($B165="thg-influencer",$B165="thg-ingenuity",$B165="thg-central-marketing",$B165="thg-seoclarity"),"HOLD — Charlie Stringer to review before deletion",TRUE,"")</f>
        <v/>
      </c>
    </row>
    <row r="166" spans="1:12" ht="45.75" customHeight="1">
      <c r="A166" t="s">
        <v>135</v>
      </c>
      <c r="B166" t="s">
        <v>89</v>
      </c>
      <c r="C166" t="s">
        <v>844</v>
      </c>
      <c r="D166" t="s">
        <v>845</v>
      </c>
      <c r="E166">
        <v>533</v>
      </c>
      <c r="F166">
        <v>74.489999999999995</v>
      </c>
      <c r="G166">
        <v>1.49</v>
      </c>
      <c r="H166" t="s">
        <v>846</v>
      </c>
      <c r="I166" s="2" t="s">
        <v>847</v>
      </c>
      <c r="J166" s="2" t="s">
        <v>848</v>
      </c>
      <c r="K166" t="str" cm="1">
        <f t="array" ref="K166">_xlfn.IFS(OR($C166="abtest_results",$C166="experimentation_sessions_colour_swatch"),"DROP CONFIRMED",OR($B166="thg-influencer",$B166="thg-ingenuity",$B166="thg-central-marketing",$B166="thg-seoclarity"),"HOLD",TRUE,"REVIEW")</f>
        <v>REVIEW</v>
      </c>
      <c r="L166" t="str" cm="1">
        <f t="array" ref="L166">_xlfn.IFS(OR($C166="abtest_results",$C166="experimentation_sessions_colour_swatch"),"Experimentation team — unused, deprecated format. Safe to drop.",OR($B166="thg-influencer",$B166="thg-ingenuity",$B166="thg-central-marketing",$B166="thg-seoclarity"),"HOLD — Charlie Stringer to review before deletion",TRUE,"")</f>
        <v/>
      </c>
    </row>
    <row r="167" spans="1:12" ht="45.75" customHeight="1">
      <c r="A167" t="s">
        <v>135</v>
      </c>
      <c r="B167" t="s">
        <v>89</v>
      </c>
      <c r="C167" t="s">
        <v>849</v>
      </c>
      <c r="D167" t="s">
        <v>850</v>
      </c>
      <c r="E167">
        <v>1745</v>
      </c>
      <c r="F167">
        <v>72.790000000000006</v>
      </c>
      <c r="G167">
        <v>1.46</v>
      </c>
      <c r="H167" t="s">
        <v>851</v>
      </c>
      <c r="I167" s="2" t="s">
        <v>852</v>
      </c>
      <c r="J167" s="2" t="s">
        <v>853</v>
      </c>
      <c r="K167" t="str" cm="1">
        <f t="array" ref="K167">_xlfn.IFS(OR($C167="abtest_results",$C167="experimentation_sessions_colour_swatch"),"DROP CONFIRMED",OR($B167="thg-influencer",$B167="thg-ingenuity",$B167="thg-central-marketing",$B167="thg-seoclarity"),"HOLD",TRUE,"REVIEW")</f>
        <v>REVIEW</v>
      </c>
      <c r="L167" t="str" cm="1">
        <f t="array" ref="L167">_xlfn.IFS(OR($C167="abtest_results",$C167="experimentation_sessions_colour_swatch"),"Experimentation team — unused, deprecated format. Safe to drop.",OR($B167="thg-influencer",$B167="thg-ingenuity",$B167="thg-central-marketing",$B167="thg-seoclarity"),"HOLD — Charlie Stringer to review before deletion",TRUE,"")</f>
        <v/>
      </c>
    </row>
    <row r="168" spans="1:12" ht="45.75" customHeight="1">
      <c r="A168" t="s">
        <v>135</v>
      </c>
      <c r="B168" t="s">
        <v>89</v>
      </c>
      <c r="C168" t="s">
        <v>854</v>
      </c>
      <c r="D168" t="s">
        <v>142</v>
      </c>
      <c r="E168">
        <v>1704</v>
      </c>
      <c r="F168">
        <v>72.7</v>
      </c>
      <c r="G168">
        <v>1.45</v>
      </c>
      <c r="H168" t="s">
        <v>855</v>
      </c>
      <c r="I168" s="2" t="s">
        <v>856</v>
      </c>
      <c r="J168" s="2" t="s">
        <v>857</v>
      </c>
      <c r="K168" t="str" cm="1">
        <f t="array" ref="K168">_xlfn.IFS(OR($C168="abtest_results",$C168="experimentation_sessions_colour_swatch"),"DROP CONFIRMED",OR($B168="thg-influencer",$B168="thg-ingenuity",$B168="thg-central-marketing",$B168="thg-seoclarity"),"HOLD",TRUE,"REVIEW")</f>
        <v>REVIEW</v>
      </c>
      <c r="L168" t="str" cm="1">
        <f t="array" ref="L168">_xlfn.IFS(OR($C168="abtest_results",$C168="experimentation_sessions_colour_swatch"),"Experimentation team — unused, deprecated format. Safe to drop.",OR($B168="thg-influencer",$B168="thg-ingenuity",$B168="thg-central-marketing",$B168="thg-seoclarity"),"HOLD — Charlie Stringer to review before deletion",TRUE,"")</f>
        <v/>
      </c>
    </row>
    <row r="169" spans="1:12" ht="45.75" customHeight="1">
      <c r="A169" t="s">
        <v>135</v>
      </c>
      <c r="B169" t="s">
        <v>89</v>
      </c>
      <c r="C169" t="s">
        <v>858</v>
      </c>
      <c r="D169" t="s">
        <v>859</v>
      </c>
      <c r="E169">
        <v>963</v>
      </c>
      <c r="F169">
        <v>72.63</v>
      </c>
      <c r="G169">
        <v>1.45</v>
      </c>
      <c r="H169" t="s">
        <v>860</v>
      </c>
      <c r="I169" s="2" t="s">
        <v>861</v>
      </c>
      <c r="J169" s="2" t="s">
        <v>862</v>
      </c>
      <c r="K169" t="str" cm="1">
        <f t="array" ref="K169">_xlfn.IFS(OR($C169="abtest_results",$C169="experimentation_sessions_colour_swatch"),"DROP CONFIRMED",OR($B169="thg-influencer",$B169="thg-ingenuity",$B169="thg-central-marketing",$B169="thg-seoclarity"),"HOLD",TRUE,"REVIEW")</f>
        <v>REVIEW</v>
      </c>
      <c r="L169" t="str" cm="1">
        <f t="array" ref="L169">_xlfn.IFS(OR($C169="abtest_results",$C169="experimentation_sessions_colour_swatch"),"Experimentation team — unused, deprecated format. Safe to drop.",OR($B169="thg-influencer",$B169="thg-ingenuity",$B169="thg-central-marketing",$B169="thg-seoclarity"),"HOLD — Charlie Stringer to review before deletion",TRUE,"")</f>
        <v/>
      </c>
    </row>
    <row r="170" spans="1:12" ht="45.75" customHeight="1">
      <c r="A170" t="s">
        <v>135</v>
      </c>
      <c r="B170" t="s">
        <v>89</v>
      </c>
      <c r="C170" t="s">
        <v>863</v>
      </c>
      <c r="D170" t="s">
        <v>864</v>
      </c>
      <c r="E170">
        <v>2</v>
      </c>
      <c r="F170">
        <v>71.209999999999994</v>
      </c>
      <c r="G170">
        <v>1.42</v>
      </c>
      <c r="H170" t="s">
        <v>865</v>
      </c>
      <c r="I170" s="2" t="s">
        <v>866</v>
      </c>
      <c r="J170" s="2" t="s">
        <v>867</v>
      </c>
      <c r="K170" t="str" cm="1">
        <f t="array" ref="K170">_xlfn.IFS(OR($C170="abtest_results",$C170="experimentation_sessions_colour_swatch"),"DROP CONFIRMED",OR($B170="thg-influencer",$B170="thg-ingenuity",$B170="thg-central-marketing",$B170="thg-seoclarity"),"HOLD",TRUE,"REVIEW")</f>
        <v>REVIEW</v>
      </c>
      <c r="L170" t="str" cm="1">
        <f t="array" ref="L170">_xlfn.IFS(OR($C170="abtest_results",$C170="experimentation_sessions_colour_swatch"),"Experimentation team — unused, deprecated format. Safe to drop.",OR($B170="thg-influencer",$B170="thg-ingenuity",$B170="thg-central-marketing",$B170="thg-seoclarity"),"HOLD — Charlie Stringer to review before deletion",TRUE,"")</f>
        <v/>
      </c>
    </row>
    <row r="171" spans="1:12" ht="45.75" customHeight="1">
      <c r="A171" t="s">
        <v>135</v>
      </c>
      <c r="B171" t="s">
        <v>89</v>
      </c>
      <c r="C171" t="s">
        <v>868</v>
      </c>
      <c r="D171" t="s">
        <v>142</v>
      </c>
      <c r="E171">
        <v>1983</v>
      </c>
      <c r="F171">
        <v>70.58</v>
      </c>
      <c r="G171">
        <v>1.41</v>
      </c>
      <c r="H171" t="s">
        <v>869</v>
      </c>
      <c r="I171" s="2" t="s">
        <v>870</v>
      </c>
      <c r="J171" s="2" t="s">
        <v>871</v>
      </c>
      <c r="K171" t="str" cm="1">
        <f t="array" ref="K171">_xlfn.IFS(OR($C171="abtest_results",$C171="experimentation_sessions_colour_swatch"),"DROP CONFIRMED",OR($B171="thg-influencer",$B171="thg-ingenuity",$B171="thg-central-marketing",$B171="thg-seoclarity"),"HOLD",TRUE,"REVIEW")</f>
        <v>REVIEW</v>
      </c>
      <c r="L171" t="str" cm="1">
        <f t="array" ref="L171">_xlfn.IFS(OR($C171="abtest_results",$C171="experimentation_sessions_colour_swatch"),"Experimentation team — unused, deprecated format. Safe to drop.",OR($B171="thg-influencer",$B171="thg-ingenuity",$B171="thg-central-marketing",$B171="thg-seoclarity"),"HOLD — Charlie Stringer to review before deletion",TRUE,"")</f>
        <v/>
      </c>
    </row>
    <row r="172" spans="1:12" ht="45.75" customHeight="1">
      <c r="A172" t="s">
        <v>135</v>
      </c>
      <c r="B172" t="s">
        <v>91</v>
      </c>
      <c r="C172" t="s">
        <v>872</v>
      </c>
      <c r="D172" t="s">
        <v>873</v>
      </c>
      <c r="E172">
        <v>20913</v>
      </c>
      <c r="F172">
        <v>70.45</v>
      </c>
      <c r="G172">
        <v>1.41</v>
      </c>
      <c r="H172" t="s">
        <v>874</v>
      </c>
      <c r="I172" s="2" t="s">
        <v>875</v>
      </c>
      <c r="J172" s="2" t="s">
        <v>876</v>
      </c>
      <c r="K172" t="str" cm="1">
        <f t="array" ref="K172">_xlfn.IFS(OR($C172="abtest_results",$C172="experimentation_sessions_colour_swatch"),"DROP CONFIRMED",OR($B172="thg-influencer",$B172="thg-ingenuity",$B172="thg-central-marketing",$B172="thg-seoclarity"),"HOLD",TRUE,"REVIEW")</f>
        <v>REVIEW</v>
      </c>
      <c r="L172" t="str" cm="1">
        <f t="array" ref="L172">_xlfn.IFS(OR($C172="abtest_results",$C172="experimentation_sessions_colour_swatch"),"Experimentation team — unused, deprecated format. Safe to drop.",OR($B172="thg-influencer",$B172="thg-ingenuity",$B172="thg-central-marketing",$B172="thg-seoclarity"),"HOLD — Charlie Stringer to review before deletion",TRUE,"")</f>
        <v/>
      </c>
    </row>
    <row r="173" spans="1:12" ht="45.75" customHeight="1">
      <c r="A173" t="s">
        <v>135</v>
      </c>
      <c r="B173" t="s">
        <v>89</v>
      </c>
      <c r="C173" t="s">
        <v>877</v>
      </c>
      <c r="D173" t="s">
        <v>878</v>
      </c>
      <c r="E173">
        <v>562</v>
      </c>
      <c r="F173">
        <v>68.739999999999995</v>
      </c>
      <c r="G173">
        <v>1.37</v>
      </c>
      <c r="H173" t="s">
        <v>879</v>
      </c>
      <c r="I173" s="2" t="s">
        <v>880</v>
      </c>
      <c r="J173" s="2" t="s">
        <v>881</v>
      </c>
      <c r="K173" t="str" cm="1">
        <f t="array" ref="K173">_xlfn.IFS(OR($C173="abtest_results",$C173="experimentation_sessions_colour_swatch"),"DROP CONFIRMED",OR($B173="thg-influencer",$B173="thg-ingenuity",$B173="thg-central-marketing",$B173="thg-seoclarity"),"HOLD",TRUE,"REVIEW")</f>
        <v>REVIEW</v>
      </c>
      <c r="L173" t="str" cm="1">
        <f t="array" ref="L173">_xlfn.IFS(OR($C173="abtest_results",$C173="experimentation_sessions_colour_swatch"),"Experimentation team — unused, deprecated format. Safe to drop.",OR($B173="thg-influencer",$B173="thg-ingenuity",$B173="thg-central-marketing",$B173="thg-seoclarity"),"HOLD — Charlie Stringer to review before deletion",TRUE,"")</f>
        <v/>
      </c>
    </row>
    <row r="174" spans="1:12" ht="45.75" customHeight="1">
      <c r="A174" t="s">
        <v>135</v>
      </c>
      <c r="B174" t="s">
        <v>89</v>
      </c>
      <c r="C174" t="s">
        <v>882</v>
      </c>
      <c r="D174" t="s">
        <v>883</v>
      </c>
      <c r="E174">
        <v>511</v>
      </c>
      <c r="F174">
        <v>66.819999999999993</v>
      </c>
      <c r="G174">
        <v>1.34</v>
      </c>
      <c r="H174" t="s">
        <v>884</v>
      </c>
      <c r="I174" s="2" t="s">
        <v>885</v>
      </c>
      <c r="J174" s="2" t="s">
        <v>886</v>
      </c>
      <c r="K174" t="str" cm="1">
        <f t="array" ref="K174">_xlfn.IFS(OR($C174="abtest_results",$C174="experimentation_sessions_colour_swatch"),"DROP CONFIRMED",OR($B174="thg-influencer",$B174="thg-ingenuity",$B174="thg-central-marketing",$B174="thg-seoclarity"),"HOLD",TRUE,"REVIEW")</f>
        <v>REVIEW</v>
      </c>
      <c r="L174" t="str" cm="1">
        <f t="array" ref="L174">_xlfn.IFS(OR($C174="abtest_results",$C174="experimentation_sessions_colour_swatch"),"Experimentation team — unused, deprecated format. Safe to drop.",OR($B174="thg-influencer",$B174="thg-ingenuity",$B174="thg-central-marketing",$B174="thg-seoclarity"),"HOLD — Charlie Stringer to review before deletion",TRUE,"")</f>
        <v/>
      </c>
    </row>
    <row r="175" spans="1:12" ht="45.75" customHeight="1">
      <c r="A175" t="s">
        <v>135</v>
      </c>
      <c r="B175" t="s">
        <v>89</v>
      </c>
      <c r="C175" t="s">
        <v>887</v>
      </c>
      <c r="D175" t="s">
        <v>888</v>
      </c>
      <c r="E175">
        <v>38</v>
      </c>
      <c r="F175">
        <v>64.83</v>
      </c>
      <c r="G175">
        <v>1.3</v>
      </c>
      <c r="H175" t="s">
        <v>889</v>
      </c>
      <c r="I175" s="2" t="s">
        <v>890</v>
      </c>
      <c r="J175" s="2" t="s">
        <v>891</v>
      </c>
      <c r="K175" t="str" cm="1">
        <f t="array" ref="K175">_xlfn.IFS(OR($C175="abtest_results",$C175="experimentation_sessions_colour_swatch"),"DROP CONFIRMED",OR($B175="thg-influencer",$B175="thg-ingenuity",$B175="thg-central-marketing",$B175="thg-seoclarity"),"HOLD",TRUE,"REVIEW")</f>
        <v>REVIEW</v>
      </c>
      <c r="L175" t="str" cm="1">
        <f t="array" ref="L175">_xlfn.IFS(OR($C175="abtest_results",$C175="experimentation_sessions_colour_swatch"),"Experimentation team — unused, deprecated format. Safe to drop.",OR($B175="thg-influencer",$B175="thg-ingenuity",$B175="thg-central-marketing",$B175="thg-seoclarity"),"HOLD — Charlie Stringer to review before deletion",TRUE,"")</f>
        <v/>
      </c>
    </row>
    <row r="176" spans="1:12" ht="45.75" customHeight="1">
      <c r="A176" t="s">
        <v>135</v>
      </c>
      <c r="B176" t="s">
        <v>89</v>
      </c>
      <c r="C176" t="s">
        <v>892</v>
      </c>
      <c r="D176" t="s">
        <v>681</v>
      </c>
      <c r="E176">
        <v>1560</v>
      </c>
      <c r="F176">
        <v>63.99</v>
      </c>
      <c r="G176">
        <v>1.28</v>
      </c>
      <c r="H176" t="s">
        <v>893</v>
      </c>
      <c r="I176" s="2" t="s">
        <v>894</v>
      </c>
      <c r="J176" s="2" t="s">
        <v>895</v>
      </c>
      <c r="K176" t="str" cm="1">
        <f t="array" ref="K176">_xlfn.IFS(OR($C176="abtest_results",$C176="experimentation_sessions_colour_swatch"),"DROP CONFIRMED",OR($B176="thg-influencer",$B176="thg-ingenuity",$B176="thg-central-marketing",$B176="thg-seoclarity"),"HOLD",TRUE,"REVIEW")</f>
        <v>REVIEW</v>
      </c>
      <c r="L176" t="str" cm="1">
        <f t="array" ref="L176">_xlfn.IFS(OR($C176="abtest_results",$C176="experimentation_sessions_colour_swatch"),"Experimentation team — unused, deprecated format. Safe to drop.",OR($B176="thg-influencer",$B176="thg-ingenuity",$B176="thg-central-marketing",$B176="thg-seoclarity"),"HOLD — Charlie Stringer to review before deletion",TRUE,"")</f>
        <v/>
      </c>
    </row>
    <row r="177" spans="1:12" ht="45.75" customHeight="1">
      <c r="A177" t="s">
        <v>135</v>
      </c>
      <c r="B177" t="s">
        <v>90</v>
      </c>
      <c r="C177" t="s">
        <v>896</v>
      </c>
      <c r="D177" t="s">
        <v>897</v>
      </c>
      <c r="E177">
        <v>23</v>
      </c>
      <c r="F177">
        <v>63.44</v>
      </c>
      <c r="G177">
        <v>1.27</v>
      </c>
      <c r="H177" t="s">
        <v>898</v>
      </c>
      <c r="I177" s="2" t="s">
        <v>899</v>
      </c>
      <c r="J177" s="2" t="s">
        <v>900</v>
      </c>
      <c r="K177" t="str" cm="1">
        <f t="array" ref="K177">_xlfn.IFS(OR($C177="abtest_results",$C177="experimentation_sessions_colour_swatch"),"DROP CONFIRMED",OR($B177="thg-influencer",$B177="thg-ingenuity",$B177="thg-central-marketing",$B177="thg-seoclarity"),"HOLD",TRUE,"REVIEW")</f>
        <v>REVIEW</v>
      </c>
      <c r="L177" t="str" cm="1">
        <f t="array" ref="L177">_xlfn.IFS(OR($C177="abtest_results",$C177="experimentation_sessions_colour_swatch"),"Experimentation team — unused, deprecated format. Safe to drop.",OR($B177="thg-influencer",$B177="thg-ingenuity",$B177="thg-central-marketing",$B177="thg-seoclarity"),"HOLD — Charlie Stringer to review before deletion",TRUE,"")</f>
        <v/>
      </c>
    </row>
    <row r="178" spans="1:12" ht="45.75" customHeight="1">
      <c r="A178" t="s">
        <v>135</v>
      </c>
      <c r="B178" t="s">
        <v>89</v>
      </c>
      <c r="C178" t="s">
        <v>901</v>
      </c>
      <c r="D178" t="s">
        <v>902</v>
      </c>
      <c r="E178">
        <v>499</v>
      </c>
      <c r="F178">
        <v>63.09</v>
      </c>
      <c r="G178">
        <v>1.26</v>
      </c>
      <c r="H178" t="s">
        <v>903</v>
      </c>
      <c r="I178" s="2" t="s">
        <v>904</v>
      </c>
      <c r="J178" s="2" t="s">
        <v>905</v>
      </c>
      <c r="K178" t="str" cm="1">
        <f t="array" ref="K178">_xlfn.IFS(OR($C178="abtest_results",$C178="experimentation_sessions_colour_swatch"),"DROP CONFIRMED",OR($B178="thg-influencer",$B178="thg-ingenuity",$B178="thg-central-marketing",$B178="thg-seoclarity"),"HOLD",TRUE,"REVIEW")</f>
        <v>REVIEW</v>
      </c>
      <c r="L178" t="str" cm="1">
        <f t="array" ref="L178">_xlfn.IFS(OR($C178="abtest_results",$C178="experimentation_sessions_colour_swatch"),"Experimentation team — unused, deprecated format. Safe to drop.",OR($B178="thg-influencer",$B178="thg-ingenuity",$B178="thg-central-marketing",$B178="thg-seoclarity"),"HOLD — Charlie Stringer to review before deletion",TRUE,"")</f>
        <v/>
      </c>
    </row>
    <row r="179" spans="1:12" ht="45.75" customHeight="1">
      <c r="A179" t="s">
        <v>135</v>
      </c>
      <c r="B179" t="s">
        <v>89</v>
      </c>
      <c r="C179" t="s">
        <v>906</v>
      </c>
      <c r="D179" t="s">
        <v>907</v>
      </c>
      <c r="E179">
        <v>511</v>
      </c>
      <c r="F179">
        <v>61.38</v>
      </c>
      <c r="G179">
        <v>1.23</v>
      </c>
      <c r="H179" t="s">
        <v>908</v>
      </c>
      <c r="I179" s="2" t="s">
        <v>909</v>
      </c>
      <c r="J179" s="2" t="s">
        <v>910</v>
      </c>
      <c r="K179" t="str" cm="1">
        <f t="array" ref="K179">_xlfn.IFS(OR($C179="abtest_results",$C179="experimentation_sessions_colour_swatch"),"DROP CONFIRMED",OR($B179="thg-influencer",$B179="thg-ingenuity",$B179="thg-central-marketing",$B179="thg-seoclarity"),"HOLD",TRUE,"REVIEW")</f>
        <v>REVIEW</v>
      </c>
      <c r="L179" t="str" cm="1">
        <f t="array" ref="L179">_xlfn.IFS(OR($C179="abtest_results",$C179="experimentation_sessions_colour_swatch"),"Experimentation team — unused, deprecated format. Safe to drop.",OR($B179="thg-influencer",$B179="thg-ingenuity",$B179="thg-central-marketing",$B179="thg-seoclarity"),"HOLD — Charlie Stringer to review before deletion",TRUE,"")</f>
        <v/>
      </c>
    </row>
    <row r="180" spans="1:12" ht="45.75" customHeight="1">
      <c r="A180" t="s">
        <v>135</v>
      </c>
      <c r="B180" t="s">
        <v>89</v>
      </c>
      <c r="C180" t="s">
        <v>911</v>
      </c>
      <c r="D180" t="s">
        <v>912</v>
      </c>
      <c r="E180">
        <v>51</v>
      </c>
      <c r="F180">
        <v>61.52</v>
      </c>
      <c r="G180">
        <v>1.23</v>
      </c>
      <c r="H180" t="s">
        <v>913</v>
      </c>
      <c r="I180" s="2" t="s">
        <v>914</v>
      </c>
      <c r="J180" s="2" t="s">
        <v>915</v>
      </c>
      <c r="K180" t="str" cm="1">
        <f t="array" ref="K180">_xlfn.IFS(OR($C180="abtest_results",$C180="experimentation_sessions_colour_swatch"),"DROP CONFIRMED",OR($B180="thg-influencer",$B180="thg-ingenuity",$B180="thg-central-marketing",$B180="thg-seoclarity"),"HOLD",TRUE,"REVIEW")</f>
        <v>REVIEW</v>
      </c>
      <c r="L180" t="str" cm="1">
        <f t="array" ref="L180">_xlfn.IFS(OR($C180="abtest_results",$C180="experimentation_sessions_colour_swatch"),"Experimentation team — unused, deprecated format. Safe to drop.",OR($B180="thg-influencer",$B180="thg-ingenuity",$B180="thg-central-marketing",$B180="thg-seoclarity"),"HOLD — Charlie Stringer to review before deletion",TRUE,"")</f>
        <v/>
      </c>
    </row>
    <row r="181" spans="1:12" ht="45.75" customHeight="1">
      <c r="A181" t="s">
        <v>135</v>
      </c>
      <c r="B181" t="s">
        <v>89</v>
      </c>
      <c r="C181" t="s">
        <v>916</v>
      </c>
      <c r="D181" t="s">
        <v>449</v>
      </c>
      <c r="E181">
        <v>2765</v>
      </c>
      <c r="F181">
        <v>61.22</v>
      </c>
      <c r="G181">
        <v>1.22</v>
      </c>
      <c r="H181" t="s">
        <v>917</v>
      </c>
      <c r="I181" s="2" t="s">
        <v>918</v>
      </c>
      <c r="J181" s="2" t="s">
        <v>919</v>
      </c>
      <c r="K181" t="str" cm="1">
        <f t="array" ref="K181">_xlfn.IFS(OR($C181="abtest_results",$C181="experimentation_sessions_colour_swatch"),"DROP CONFIRMED",OR($B181="thg-influencer",$B181="thg-ingenuity",$B181="thg-central-marketing",$B181="thg-seoclarity"),"HOLD",TRUE,"REVIEW")</f>
        <v>REVIEW</v>
      </c>
      <c r="L181" t="str" cm="1">
        <f t="array" ref="L181">_xlfn.IFS(OR($C181="abtest_results",$C181="experimentation_sessions_colour_swatch"),"Experimentation team — unused, deprecated format. Safe to drop.",OR($B181="thg-influencer",$B181="thg-ingenuity",$B181="thg-central-marketing",$B181="thg-seoclarity"),"HOLD — Charlie Stringer to review before deletion",TRUE,"")</f>
        <v/>
      </c>
    </row>
    <row r="182" spans="1:12" ht="45.75" customHeight="1">
      <c r="A182" t="s">
        <v>135</v>
      </c>
      <c r="B182" t="s">
        <v>89</v>
      </c>
      <c r="C182" t="s">
        <v>920</v>
      </c>
      <c r="D182" t="s">
        <v>142</v>
      </c>
      <c r="E182">
        <v>2407</v>
      </c>
      <c r="F182">
        <v>60.42</v>
      </c>
      <c r="G182">
        <v>1.21</v>
      </c>
      <c r="H182" t="s">
        <v>921</v>
      </c>
      <c r="I182" s="2" t="s">
        <v>922</v>
      </c>
      <c r="J182" s="2" t="s">
        <v>923</v>
      </c>
      <c r="K182" t="str" cm="1">
        <f t="array" ref="K182">_xlfn.IFS(OR($C182="abtest_results",$C182="experimentation_sessions_colour_swatch"),"DROP CONFIRMED",OR($B182="thg-influencer",$B182="thg-ingenuity",$B182="thg-central-marketing",$B182="thg-seoclarity"),"HOLD",TRUE,"REVIEW")</f>
        <v>REVIEW</v>
      </c>
      <c r="L182" t="str" cm="1">
        <f t="array" ref="L182">_xlfn.IFS(OR($C182="abtest_results",$C182="experimentation_sessions_colour_swatch"),"Experimentation team — unused, deprecated format. Safe to drop.",OR($B182="thg-influencer",$B182="thg-ingenuity",$B182="thg-central-marketing",$B182="thg-seoclarity"),"HOLD — Charlie Stringer to review before deletion",TRUE,"")</f>
        <v/>
      </c>
    </row>
    <row r="183" spans="1:12" ht="45.75" customHeight="1">
      <c r="A183" t="s">
        <v>135</v>
      </c>
      <c r="B183" t="s">
        <v>89</v>
      </c>
      <c r="C183" t="s">
        <v>924</v>
      </c>
      <c r="D183" t="s">
        <v>925</v>
      </c>
      <c r="E183">
        <v>499</v>
      </c>
      <c r="F183">
        <v>60.2</v>
      </c>
      <c r="G183">
        <v>1.2</v>
      </c>
      <c r="H183" t="s">
        <v>926</v>
      </c>
      <c r="I183" s="2" t="s">
        <v>927</v>
      </c>
      <c r="J183" s="2" t="s">
        <v>928</v>
      </c>
      <c r="K183" t="str" cm="1">
        <f t="array" ref="K183">_xlfn.IFS(OR($C183="abtest_results",$C183="experimentation_sessions_colour_swatch"),"DROP CONFIRMED",OR($B183="thg-influencer",$B183="thg-ingenuity",$B183="thg-central-marketing",$B183="thg-seoclarity"),"HOLD",TRUE,"REVIEW")</f>
        <v>REVIEW</v>
      </c>
      <c r="L183" t="str" cm="1">
        <f t="array" ref="L183">_xlfn.IFS(OR($C183="abtest_results",$C183="experimentation_sessions_colour_swatch"),"Experimentation team — unused, deprecated format. Safe to drop.",OR($B183="thg-influencer",$B183="thg-ingenuity",$B183="thg-central-marketing",$B183="thg-seoclarity"),"HOLD — Charlie Stringer to review before deletion",TRUE,"")</f>
        <v/>
      </c>
    </row>
    <row r="184" spans="1:12" ht="45.75" customHeight="1">
      <c r="A184" t="s">
        <v>135</v>
      </c>
      <c r="B184" t="s">
        <v>89</v>
      </c>
      <c r="C184" t="s">
        <v>929</v>
      </c>
      <c r="D184" t="s">
        <v>930</v>
      </c>
      <c r="E184">
        <v>12</v>
      </c>
      <c r="F184">
        <v>60.02</v>
      </c>
      <c r="G184">
        <v>1.2</v>
      </c>
      <c r="H184" t="s">
        <v>931</v>
      </c>
      <c r="I184" s="2" t="s">
        <v>932</v>
      </c>
      <c r="J184" s="2" t="s">
        <v>933</v>
      </c>
      <c r="K184" t="str" cm="1">
        <f t="array" ref="K184">_xlfn.IFS(OR($C184="abtest_results",$C184="experimentation_sessions_colour_swatch"),"DROP CONFIRMED",OR($B184="thg-influencer",$B184="thg-ingenuity",$B184="thg-central-marketing",$B184="thg-seoclarity"),"HOLD",TRUE,"REVIEW")</f>
        <v>REVIEW</v>
      </c>
      <c r="L184" t="str" cm="1">
        <f t="array" ref="L184">_xlfn.IFS(OR($C184="abtest_results",$C184="experimentation_sessions_colour_swatch"),"Experimentation team — unused, deprecated format. Safe to drop.",OR($B184="thg-influencer",$B184="thg-ingenuity",$B184="thg-central-marketing",$B184="thg-seoclarity"),"HOLD — Charlie Stringer to review before deletion",TRUE,"")</f>
        <v/>
      </c>
    </row>
    <row r="185" spans="1:12" ht="45.75" customHeight="1">
      <c r="A185" t="s">
        <v>135</v>
      </c>
      <c r="B185" t="s">
        <v>90</v>
      </c>
      <c r="C185" t="s">
        <v>934</v>
      </c>
      <c r="D185" t="s">
        <v>935</v>
      </c>
      <c r="E185">
        <v>2004</v>
      </c>
      <c r="F185">
        <v>59.49</v>
      </c>
      <c r="G185">
        <v>1.19</v>
      </c>
      <c r="H185" t="s">
        <v>936</v>
      </c>
      <c r="I185" s="2" t="s">
        <v>937</v>
      </c>
      <c r="J185" s="2" t="s">
        <v>938</v>
      </c>
      <c r="K185" t="str" cm="1">
        <f t="array" ref="K185">_xlfn.IFS(OR($C185="abtest_results",$C185="experimentation_sessions_colour_swatch"),"DROP CONFIRMED",OR($B185="thg-influencer",$B185="thg-ingenuity",$B185="thg-central-marketing",$B185="thg-seoclarity"),"HOLD",TRUE,"REVIEW")</f>
        <v>REVIEW</v>
      </c>
      <c r="L185" t="str" cm="1">
        <f t="array" ref="L185">_xlfn.IFS(OR($C185="abtest_results",$C185="experimentation_sessions_colour_swatch"),"Experimentation team — unused, deprecated format. Safe to drop.",OR($B185="thg-influencer",$B185="thg-ingenuity",$B185="thg-central-marketing",$B185="thg-seoclarity"),"HOLD — Charlie Stringer to review before deletion",TRUE,"")</f>
        <v/>
      </c>
    </row>
    <row r="186" spans="1:12" ht="45.75" customHeight="1">
      <c r="A186" t="s">
        <v>135</v>
      </c>
      <c r="B186" t="s">
        <v>89</v>
      </c>
      <c r="C186" t="s">
        <v>939</v>
      </c>
      <c r="D186" t="s">
        <v>142</v>
      </c>
      <c r="E186">
        <v>1799</v>
      </c>
      <c r="F186">
        <v>59.72</v>
      </c>
      <c r="G186">
        <v>1.19</v>
      </c>
      <c r="H186" t="s">
        <v>940</v>
      </c>
      <c r="I186" s="2" t="s">
        <v>941</v>
      </c>
      <c r="J186" s="2" t="s">
        <v>942</v>
      </c>
      <c r="K186" t="str" cm="1">
        <f t="array" ref="K186">_xlfn.IFS(OR($C186="abtest_results",$C186="experimentation_sessions_colour_swatch"),"DROP CONFIRMED",OR($B186="thg-influencer",$B186="thg-ingenuity",$B186="thg-central-marketing",$B186="thg-seoclarity"),"HOLD",TRUE,"REVIEW")</f>
        <v>REVIEW</v>
      </c>
      <c r="L186" t="str" cm="1">
        <f t="array" ref="L186">_xlfn.IFS(OR($C186="abtest_results",$C186="experimentation_sessions_colour_swatch"),"Experimentation team — unused, deprecated format. Safe to drop.",OR($B186="thg-influencer",$B186="thg-ingenuity",$B186="thg-central-marketing",$B186="thg-seoclarity"),"HOLD — Charlie Stringer to review before deletion",TRUE,"")</f>
        <v/>
      </c>
    </row>
    <row r="187" spans="1:12" ht="45.75" customHeight="1">
      <c r="A187" t="s">
        <v>135</v>
      </c>
      <c r="B187" t="s">
        <v>89</v>
      </c>
      <c r="C187" t="s">
        <v>943</v>
      </c>
      <c r="D187" t="s">
        <v>142</v>
      </c>
      <c r="E187">
        <v>1189</v>
      </c>
      <c r="F187">
        <v>57.67</v>
      </c>
      <c r="G187">
        <v>1.1499999999999999</v>
      </c>
      <c r="H187" t="s">
        <v>944</v>
      </c>
      <c r="I187" s="2" t="s">
        <v>945</v>
      </c>
      <c r="J187" s="2" t="s">
        <v>946</v>
      </c>
      <c r="K187" t="str" cm="1">
        <f t="array" ref="K187">_xlfn.IFS(OR($C187="abtest_results",$C187="experimentation_sessions_colour_swatch"),"DROP CONFIRMED",OR($B187="thg-influencer",$B187="thg-ingenuity",$B187="thg-central-marketing",$B187="thg-seoclarity"),"HOLD",TRUE,"REVIEW")</f>
        <v>REVIEW</v>
      </c>
      <c r="L187" t="str" cm="1">
        <f t="array" ref="L187">_xlfn.IFS(OR($C187="abtest_results",$C187="experimentation_sessions_colour_swatch"),"Experimentation team — unused, deprecated format. Safe to drop.",OR($B187="thg-influencer",$B187="thg-ingenuity",$B187="thg-central-marketing",$B187="thg-seoclarity"),"HOLD — Charlie Stringer to review before deletion",TRUE,"")</f>
        <v/>
      </c>
    </row>
    <row r="188" spans="1:12" ht="45.75" customHeight="1">
      <c r="A188" t="s">
        <v>135</v>
      </c>
      <c r="B188" t="s">
        <v>89</v>
      </c>
      <c r="C188" t="s">
        <v>947</v>
      </c>
      <c r="D188" t="s">
        <v>948</v>
      </c>
      <c r="E188">
        <v>393</v>
      </c>
      <c r="F188">
        <v>57.34</v>
      </c>
      <c r="G188">
        <v>1.1499999999999999</v>
      </c>
      <c r="H188" t="s">
        <v>949</v>
      </c>
      <c r="I188" s="2" t="s">
        <v>950</v>
      </c>
      <c r="J188" s="2" t="s">
        <v>951</v>
      </c>
      <c r="K188" t="str" cm="1">
        <f t="array" ref="K188">_xlfn.IFS(OR($C188="abtest_results",$C188="experimentation_sessions_colour_swatch"),"DROP CONFIRMED",OR($B188="thg-influencer",$B188="thg-ingenuity",$B188="thg-central-marketing",$B188="thg-seoclarity"),"HOLD",TRUE,"REVIEW")</f>
        <v>REVIEW</v>
      </c>
      <c r="L188" t="str" cm="1">
        <f t="array" ref="L188">_xlfn.IFS(OR($C188="abtest_results",$C188="experimentation_sessions_colour_swatch"),"Experimentation team — unused, deprecated format. Safe to drop.",OR($B188="thg-influencer",$B188="thg-ingenuity",$B188="thg-central-marketing",$B188="thg-seoclarity"),"HOLD — Charlie Stringer to review before deletion",TRUE,"")</f>
        <v/>
      </c>
    </row>
    <row r="189" spans="1:12" ht="45.75" customHeight="1">
      <c r="A189" t="s">
        <v>135</v>
      </c>
      <c r="B189" t="s">
        <v>89</v>
      </c>
      <c r="C189" t="s">
        <v>952</v>
      </c>
      <c r="D189" t="s">
        <v>953</v>
      </c>
      <c r="E189">
        <v>390</v>
      </c>
      <c r="F189">
        <v>57.41</v>
      </c>
      <c r="G189">
        <v>1.1499999999999999</v>
      </c>
      <c r="H189" t="s">
        <v>954</v>
      </c>
      <c r="I189" s="2" t="s">
        <v>955</v>
      </c>
      <c r="J189" s="2" t="s">
        <v>956</v>
      </c>
      <c r="K189" t="str" cm="1">
        <f t="array" ref="K189">_xlfn.IFS(OR($C189="abtest_results",$C189="experimentation_sessions_colour_swatch"),"DROP CONFIRMED",OR($B189="thg-influencer",$B189="thg-ingenuity",$B189="thg-central-marketing",$B189="thg-seoclarity"),"HOLD",TRUE,"REVIEW")</f>
        <v>REVIEW</v>
      </c>
      <c r="L189" t="str" cm="1">
        <f t="array" ref="L189">_xlfn.IFS(OR($C189="abtest_results",$C189="experimentation_sessions_colour_swatch"),"Experimentation team — unused, deprecated format. Safe to drop.",OR($B189="thg-influencer",$B189="thg-ingenuity",$B189="thg-central-marketing",$B189="thg-seoclarity"),"HOLD — Charlie Stringer to review before deletion",TRUE,"")</f>
        <v/>
      </c>
    </row>
    <row r="190" spans="1:12" ht="45.75" customHeight="1">
      <c r="A190" t="s">
        <v>135</v>
      </c>
      <c r="B190" t="s">
        <v>90</v>
      </c>
      <c r="C190" t="s">
        <v>957</v>
      </c>
      <c r="D190" t="s">
        <v>958</v>
      </c>
      <c r="E190">
        <v>14</v>
      </c>
      <c r="F190">
        <v>55.85</v>
      </c>
      <c r="G190">
        <v>1.1200000000000001</v>
      </c>
      <c r="H190" t="s">
        <v>959</v>
      </c>
      <c r="I190" s="2" t="s">
        <v>960</v>
      </c>
      <c r="J190" s="2" t="s">
        <v>961</v>
      </c>
      <c r="K190" t="str" cm="1">
        <f t="array" ref="K190">_xlfn.IFS(OR($C190="abtest_results",$C190="experimentation_sessions_colour_swatch"),"DROP CONFIRMED",OR($B190="thg-influencer",$B190="thg-ingenuity",$B190="thg-central-marketing",$B190="thg-seoclarity"),"HOLD",TRUE,"REVIEW")</f>
        <v>REVIEW</v>
      </c>
      <c r="L190" t="str" cm="1">
        <f t="array" ref="L190">_xlfn.IFS(OR($C190="abtest_results",$C190="experimentation_sessions_colour_swatch"),"Experimentation team — unused, deprecated format. Safe to drop.",OR($B190="thg-influencer",$B190="thg-ingenuity",$B190="thg-central-marketing",$B190="thg-seoclarity"),"HOLD — Charlie Stringer to review before deletion",TRUE,"")</f>
        <v/>
      </c>
    </row>
    <row r="191" spans="1:12" ht="45.75" customHeight="1">
      <c r="A191" t="s">
        <v>135</v>
      </c>
      <c r="B191" t="s">
        <v>89</v>
      </c>
      <c r="C191" t="s">
        <v>962</v>
      </c>
      <c r="D191" t="s">
        <v>963</v>
      </c>
      <c r="E191">
        <v>1105</v>
      </c>
      <c r="F191">
        <v>56.09</v>
      </c>
      <c r="G191">
        <v>1.1200000000000001</v>
      </c>
      <c r="H191" t="s">
        <v>964</v>
      </c>
      <c r="I191" s="2" t="s">
        <v>965</v>
      </c>
      <c r="J191" s="2" t="s">
        <v>966</v>
      </c>
      <c r="K191" t="str" cm="1">
        <f t="array" ref="K191">_xlfn.IFS(OR($C191="abtest_results",$C191="experimentation_sessions_colour_swatch"),"DROP CONFIRMED",OR($B191="thg-influencer",$B191="thg-ingenuity",$B191="thg-central-marketing",$B191="thg-seoclarity"),"HOLD",TRUE,"REVIEW")</f>
        <v>REVIEW</v>
      </c>
      <c r="L191" t="str" cm="1">
        <f t="array" ref="L191">_xlfn.IFS(OR($C191="abtest_results",$C191="experimentation_sessions_colour_swatch"),"Experimentation team — unused, deprecated format. Safe to drop.",OR($B191="thg-influencer",$B191="thg-ingenuity",$B191="thg-central-marketing",$B191="thg-seoclarity"),"HOLD — Charlie Stringer to review before deletion",TRUE,"")</f>
        <v/>
      </c>
    </row>
    <row r="192" spans="1:12" ht="45.75" customHeight="1">
      <c r="A192" t="s">
        <v>135</v>
      </c>
      <c r="B192" t="s">
        <v>89</v>
      </c>
      <c r="C192" t="s">
        <v>967</v>
      </c>
      <c r="D192" t="s">
        <v>968</v>
      </c>
      <c r="E192">
        <v>362</v>
      </c>
      <c r="F192">
        <v>55.9</v>
      </c>
      <c r="G192">
        <v>1.1200000000000001</v>
      </c>
      <c r="H192" t="s">
        <v>969</v>
      </c>
      <c r="I192" s="2" t="s">
        <v>970</v>
      </c>
      <c r="J192" s="2" t="s">
        <v>971</v>
      </c>
      <c r="K192" t="str" cm="1">
        <f t="array" ref="K192">_xlfn.IFS(OR($C192="abtest_results",$C192="experimentation_sessions_colour_swatch"),"DROP CONFIRMED",OR($B192="thg-influencer",$B192="thg-ingenuity",$B192="thg-central-marketing",$B192="thg-seoclarity"),"HOLD",TRUE,"REVIEW")</f>
        <v>REVIEW</v>
      </c>
      <c r="L192" t="str" cm="1">
        <f t="array" ref="L192">_xlfn.IFS(OR($C192="abtest_results",$C192="experimentation_sessions_colour_swatch"),"Experimentation team — unused, deprecated format. Safe to drop.",OR($B192="thg-influencer",$B192="thg-ingenuity",$B192="thg-central-marketing",$B192="thg-seoclarity"),"HOLD — Charlie Stringer to review before deletion",TRUE,"")</f>
        <v/>
      </c>
    </row>
    <row r="193" spans="1:12" ht="45.75" customHeight="1">
      <c r="A193" t="s">
        <v>135</v>
      </c>
      <c r="B193" t="s">
        <v>89</v>
      </c>
      <c r="C193" t="s">
        <v>972</v>
      </c>
      <c r="D193" t="s">
        <v>142</v>
      </c>
      <c r="E193">
        <v>3116</v>
      </c>
      <c r="F193">
        <v>55.17</v>
      </c>
      <c r="G193">
        <v>1.1000000000000001</v>
      </c>
      <c r="H193" t="s">
        <v>973</v>
      </c>
      <c r="I193" s="2" t="s">
        <v>974</v>
      </c>
      <c r="J193" s="2" t="s">
        <v>975</v>
      </c>
      <c r="K193" t="str" cm="1">
        <f t="array" ref="K193">_xlfn.IFS(OR($C193="abtest_results",$C193="experimentation_sessions_colour_swatch"),"DROP CONFIRMED",OR($B193="thg-influencer",$B193="thg-ingenuity",$B193="thg-central-marketing",$B193="thg-seoclarity"),"HOLD",TRUE,"REVIEW")</f>
        <v>REVIEW</v>
      </c>
      <c r="L193" t="str" cm="1">
        <f t="array" ref="L193">_xlfn.IFS(OR($C193="abtest_results",$C193="experimentation_sessions_colour_swatch"),"Experimentation team — unused, deprecated format. Safe to drop.",OR($B193="thg-influencer",$B193="thg-ingenuity",$B193="thg-central-marketing",$B193="thg-seoclarity"),"HOLD — Charlie Stringer to review before deletion",TRUE,"")</f>
        <v/>
      </c>
    </row>
    <row r="194" spans="1:12" ht="45.75" customHeight="1">
      <c r="A194" t="s">
        <v>135</v>
      </c>
      <c r="B194" t="s">
        <v>89</v>
      </c>
      <c r="C194" t="s">
        <v>976</v>
      </c>
      <c r="D194" t="s">
        <v>977</v>
      </c>
      <c r="E194">
        <v>39</v>
      </c>
      <c r="F194">
        <v>52.88</v>
      </c>
      <c r="G194">
        <v>1.06</v>
      </c>
      <c r="H194" t="s">
        <v>978</v>
      </c>
      <c r="I194" s="2" t="s">
        <v>979</v>
      </c>
      <c r="J194" s="2" t="s">
        <v>980</v>
      </c>
      <c r="K194" t="str" cm="1">
        <f t="array" ref="K194">_xlfn.IFS(OR($C194="abtest_results",$C194="experimentation_sessions_colour_swatch"),"DROP CONFIRMED",OR($B194="thg-influencer",$B194="thg-ingenuity",$B194="thg-central-marketing",$B194="thg-seoclarity"),"HOLD",TRUE,"REVIEW")</f>
        <v>REVIEW</v>
      </c>
      <c r="L194" t="str" cm="1">
        <f t="array" ref="L194">_xlfn.IFS(OR($C194="abtest_results",$C194="experimentation_sessions_colour_swatch"),"Experimentation team — unused, deprecated format. Safe to drop.",OR($B194="thg-influencer",$B194="thg-ingenuity",$B194="thg-central-marketing",$B194="thg-seoclarity"),"HOLD — Charlie Stringer to review before deletion",TRUE,"")</f>
        <v/>
      </c>
    </row>
    <row r="195" spans="1:12" ht="45.75" customHeight="1">
      <c r="A195" t="s">
        <v>135</v>
      </c>
      <c r="B195" t="s">
        <v>89</v>
      </c>
      <c r="C195" t="s">
        <v>981</v>
      </c>
      <c r="D195" t="s">
        <v>142</v>
      </c>
      <c r="E195">
        <v>2914</v>
      </c>
      <c r="F195">
        <v>52.19</v>
      </c>
      <c r="G195">
        <v>1.04</v>
      </c>
      <c r="H195" t="s">
        <v>982</v>
      </c>
      <c r="I195" s="2" t="s">
        <v>983</v>
      </c>
      <c r="J195" s="2" t="s">
        <v>984</v>
      </c>
      <c r="K195" t="str" cm="1">
        <f t="array" ref="K195">_xlfn.IFS(OR($C195="abtest_results",$C195="experimentation_sessions_colour_swatch"),"DROP CONFIRMED",OR($B195="thg-influencer",$B195="thg-ingenuity",$B195="thg-central-marketing",$B195="thg-seoclarity"),"HOLD",TRUE,"REVIEW")</f>
        <v>REVIEW</v>
      </c>
      <c r="L195" t="str" cm="1">
        <f t="array" ref="L195">_xlfn.IFS(OR($C195="abtest_results",$C195="experimentation_sessions_colour_swatch"),"Experimentation team — unused, deprecated format. Safe to drop.",OR($B195="thg-influencer",$B195="thg-ingenuity",$B195="thg-central-marketing",$B195="thg-seoclarity"),"HOLD — Charlie Stringer to review before deletion",TRUE,"")</f>
        <v/>
      </c>
    </row>
    <row r="196" spans="1:12" ht="45.75" customHeight="1">
      <c r="A196" t="s">
        <v>135</v>
      </c>
      <c r="B196" t="s">
        <v>89</v>
      </c>
      <c r="C196" t="s">
        <v>985</v>
      </c>
      <c r="D196" t="s">
        <v>986</v>
      </c>
      <c r="E196">
        <v>56</v>
      </c>
      <c r="F196">
        <v>51.89</v>
      </c>
      <c r="G196">
        <v>1.04</v>
      </c>
      <c r="H196" t="s">
        <v>987</v>
      </c>
      <c r="I196" s="2" t="s">
        <v>988</v>
      </c>
      <c r="J196" s="2" t="s">
        <v>989</v>
      </c>
      <c r="K196" t="str" cm="1">
        <f t="array" ref="K196">_xlfn.IFS(OR($C196="abtest_results",$C196="experimentation_sessions_colour_swatch"),"DROP CONFIRMED",OR($B196="thg-influencer",$B196="thg-ingenuity",$B196="thg-central-marketing",$B196="thg-seoclarity"),"HOLD",TRUE,"REVIEW")</f>
        <v>REVIEW</v>
      </c>
      <c r="L196" t="str" cm="1">
        <f t="array" ref="L196">_xlfn.IFS(OR($C196="abtest_results",$C196="experimentation_sessions_colour_swatch"),"Experimentation team — unused, deprecated format. Safe to drop.",OR($B196="thg-influencer",$B196="thg-ingenuity",$B196="thg-central-marketing",$B196="thg-seoclarity"),"HOLD — Charlie Stringer to review before deletion",TRUE,"")</f>
        <v/>
      </c>
    </row>
    <row r="197" spans="1:12" ht="45.75" customHeight="1">
      <c r="A197" t="s">
        <v>135</v>
      </c>
      <c r="B197" t="s">
        <v>89</v>
      </c>
      <c r="C197" t="s">
        <v>990</v>
      </c>
      <c r="D197" t="s">
        <v>991</v>
      </c>
      <c r="E197">
        <v>418</v>
      </c>
      <c r="F197">
        <v>52.15</v>
      </c>
      <c r="G197">
        <v>1.04</v>
      </c>
      <c r="H197" t="s">
        <v>992</v>
      </c>
      <c r="I197" s="2" t="s">
        <v>993</v>
      </c>
      <c r="J197" s="2" t="s">
        <v>994</v>
      </c>
      <c r="K197" t="str" cm="1">
        <f t="array" ref="K197">_xlfn.IFS(OR($C197="abtest_results",$C197="experimentation_sessions_colour_swatch"),"DROP CONFIRMED",OR($B197="thg-influencer",$B197="thg-ingenuity",$B197="thg-central-marketing",$B197="thg-seoclarity"),"HOLD",TRUE,"REVIEW")</f>
        <v>REVIEW</v>
      </c>
      <c r="L197" t="str" cm="1">
        <f t="array" ref="L197">_xlfn.IFS(OR($C197="abtest_results",$C197="experimentation_sessions_colour_swatch"),"Experimentation team — unused, deprecated format. Safe to drop.",OR($B197="thg-influencer",$B197="thg-ingenuity",$B197="thg-central-marketing",$B197="thg-seoclarity"),"HOLD — Charlie Stringer to review before deletion",TRUE,"")</f>
        <v/>
      </c>
    </row>
    <row r="198" spans="1:12" ht="45.75" customHeight="1">
      <c r="A198" t="s">
        <v>135</v>
      </c>
      <c r="B198" t="s">
        <v>89</v>
      </c>
      <c r="C198" t="s">
        <v>995</v>
      </c>
      <c r="D198" t="s">
        <v>142</v>
      </c>
      <c r="E198">
        <v>2818</v>
      </c>
      <c r="F198">
        <v>51.93</v>
      </c>
      <c r="G198">
        <v>1.04</v>
      </c>
      <c r="H198" t="s">
        <v>996</v>
      </c>
      <c r="I198" s="2" t="s">
        <v>997</v>
      </c>
      <c r="J198" s="2" t="s">
        <v>998</v>
      </c>
      <c r="K198" t="str" cm="1">
        <f t="array" ref="K198">_xlfn.IFS(OR($C198="abtest_results",$C198="experimentation_sessions_colour_swatch"),"DROP CONFIRMED",OR($B198="thg-influencer",$B198="thg-ingenuity",$B198="thg-central-marketing",$B198="thg-seoclarity"),"HOLD",TRUE,"REVIEW")</f>
        <v>REVIEW</v>
      </c>
      <c r="L198" t="str" cm="1">
        <f t="array" ref="L198">_xlfn.IFS(OR($C198="abtest_results",$C198="experimentation_sessions_colour_swatch"),"Experimentation team — unused, deprecated format. Safe to drop.",OR($B198="thg-influencer",$B198="thg-ingenuity",$B198="thg-central-marketing",$B198="thg-seoclarity"),"HOLD — Charlie Stringer to review before deletion",TRUE,"")</f>
        <v/>
      </c>
    </row>
    <row r="199" spans="1:12" ht="45.75" customHeight="1">
      <c r="A199" t="s">
        <v>135</v>
      </c>
      <c r="B199" t="s">
        <v>89</v>
      </c>
      <c r="C199" t="s">
        <v>999</v>
      </c>
      <c r="D199" t="s">
        <v>142</v>
      </c>
      <c r="E199">
        <v>2944</v>
      </c>
      <c r="F199">
        <v>51.12</v>
      </c>
      <c r="G199">
        <v>1.02</v>
      </c>
      <c r="H199" t="s">
        <v>1000</v>
      </c>
      <c r="I199" s="2" t="s">
        <v>1001</v>
      </c>
      <c r="J199" s="2" t="s">
        <v>1002</v>
      </c>
      <c r="K199" t="str" cm="1">
        <f t="array" ref="K199">_xlfn.IFS(OR($C199="abtest_results",$C199="experimentation_sessions_colour_swatch"),"DROP CONFIRMED",OR($B199="thg-influencer",$B199="thg-ingenuity",$B199="thg-central-marketing",$B199="thg-seoclarity"),"HOLD",TRUE,"REVIEW")</f>
        <v>REVIEW</v>
      </c>
      <c r="L199" t="str" cm="1">
        <f t="array" ref="L199">_xlfn.IFS(OR($C199="abtest_results",$C199="experimentation_sessions_colour_swatch"),"Experimentation team — unused, deprecated format. Safe to drop.",OR($B199="thg-influencer",$B199="thg-ingenuity",$B199="thg-central-marketing",$B199="thg-seoclarity"),"HOLD — Charlie Stringer to review before deletion",TRUE,"")</f>
        <v/>
      </c>
    </row>
    <row r="200" spans="1:12" ht="45.75" customHeight="1">
      <c r="A200" t="s">
        <v>135</v>
      </c>
      <c r="B200" t="s">
        <v>89</v>
      </c>
      <c r="C200" t="s">
        <v>1003</v>
      </c>
      <c r="D200" t="s">
        <v>142</v>
      </c>
      <c r="E200">
        <v>2924</v>
      </c>
      <c r="F200">
        <v>49.95</v>
      </c>
      <c r="G200">
        <v>1</v>
      </c>
      <c r="H200" t="s">
        <v>1004</v>
      </c>
      <c r="I200" s="2" t="s">
        <v>1005</v>
      </c>
      <c r="J200" s="2" t="s">
        <v>1006</v>
      </c>
      <c r="K200" t="str" cm="1">
        <f t="array" ref="K200">_xlfn.IFS(OR($C200="abtest_results",$C200="experimentation_sessions_colour_swatch"),"DROP CONFIRMED",OR($B200="thg-influencer",$B200="thg-ingenuity",$B200="thg-central-marketing",$B200="thg-seoclarity"),"HOLD",TRUE,"REVIEW")</f>
        <v>REVIEW</v>
      </c>
      <c r="L200" t="str" cm="1">
        <f t="array" ref="L200">_xlfn.IFS(OR($C200="abtest_results",$C200="experimentation_sessions_colour_swatch"),"Experimentation team — unused, deprecated format. Safe to drop.",OR($B200="thg-influencer",$B200="thg-ingenuity",$B200="thg-central-marketing",$B200="thg-seoclarity"),"HOLD — Charlie Stringer to review before deletion",TRUE,"")</f>
        <v/>
      </c>
    </row>
    <row r="201" spans="1:12" ht="45.75" customHeight="1">
      <c r="A201" t="s">
        <v>135</v>
      </c>
      <c r="B201" t="s">
        <v>89</v>
      </c>
      <c r="C201" t="s">
        <v>1007</v>
      </c>
      <c r="D201" t="s">
        <v>142</v>
      </c>
      <c r="E201">
        <v>2990</v>
      </c>
      <c r="F201">
        <v>49.34</v>
      </c>
      <c r="G201">
        <v>0.99</v>
      </c>
      <c r="H201" t="s">
        <v>1008</v>
      </c>
      <c r="I201" s="2" t="s">
        <v>1009</v>
      </c>
      <c r="J201" s="2" t="s">
        <v>1010</v>
      </c>
      <c r="K201" t="str" cm="1">
        <f t="array" ref="K201">_xlfn.IFS(OR($C201="abtest_results",$C201="experimentation_sessions_colour_swatch"),"DROP CONFIRMED",OR($B201="thg-influencer",$B201="thg-ingenuity",$B201="thg-central-marketing",$B201="thg-seoclarity"),"HOLD",TRUE,"REVIEW")</f>
        <v>REVIEW</v>
      </c>
      <c r="L201" t="str" cm="1">
        <f t="array" ref="L201">_xlfn.IFS(OR($C201="abtest_results",$C201="experimentation_sessions_colour_swatch"),"Experimentation team — unused, deprecated format. Safe to drop.",OR($B201="thg-influencer",$B201="thg-ingenuity",$B201="thg-central-marketing",$B201="thg-seoclarity"),"HOLD — Charlie Stringer to review before deletion",TRUE,"")</f>
        <v/>
      </c>
    </row>
    <row r="202" spans="1:12" ht="45.75" customHeight="1">
      <c r="A202" t="s">
        <v>135</v>
      </c>
      <c r="B202" t="s">
        <v>89</v>
      </c>
      <c r="C202" t="s">
        <v>1011</v>
      </c>
      <c r="D202" t="s">
        <v>142</v>
      </c>
      <c r="E202">
        <v>3607</v>
      </c>
      <c r="F202">
        <v>48.11</v>
      </c>
      <c r="G202">
        <v>0.96</v>
      </c>
      <c r="H202" t="s">
        <v>1012</v>
      </c>
      <c r="I202" s="2" t="s">
        <v>1013</v>
      </c>
      <c r="J202" s="2" t="s">
        <v>1014</v>
      </c>
      <c r="K202" t="str" cm="1">
        <f t="array" ref="K202">_xlfn.IFS(OR($C202="abtest_results",$C202="experimentation_sessions_colour_swatch"),"DROP CONFIRMED",OR($B202="thg-influencer",$B202="thg-ingenuity",$B202="thg-central-marketing",$B202="thg-seoclarity"),"HOLD",TRUE,"REVIEW")</f>
        <v>REVIEW</v>
      </c>
      <c r="L202" t="str" cm="1">
        <f t="array" ref="L202">_xlfn.IFS(OR($C202="abtest_results",$C202="experimentation_sessions_colour_swatch"),"Experimentation team — unused, deprecated format. Safe to drop.",OR($B202="thg-influencer",$B202="thg-ingenuity",$B202="thg-central-marketing",$B202="thg-seoclarity"),"HOLD — Charlie Stringer to review before deletion",TRUE,"")</f>
        <v/>
      </c>
    </row>
    <row r="203" spans="1:12" ht="45.75" customHeight="1">
      <c r="A203" t="s">
        <v>135</v>
      </c>
      <c r="B203" t="s">
        <v>89</v>
      </c>
      <c r="C203" t="s">
        <v>1015</v>
      </c>
      <c r="D203" t="s">
        <v>142</v>
      </c>
      <c r="E203">
        <v>2974</v>
      </c>
      <c r="F203">
        <v>47.62</v>
      </c>
      <c r="G203">
        <v>0.95</v>
      </c>
      <c r="H203" t="s">
        <v>1016</v>
      </c>
      <c r="I203" s="2" t="s">
        <v>1017</v>
      </c>
      <c r="J203" s="2" t="s">
        <v>1018</v>
      </c>
      <c r="K203" t="str" cm="1">
        <f t="array" ref="K203">_xlfn.IFS(OR($C203="abtest_results",$C203="experimentation_sessions_colour_swatch"),"DROP CONFIRMED",OR($B203="thg-influencer",$B203="thg-ingenuity",$B203="thg-central-marketing",$B203="thg-seoclarity"),"HOLD",TRUE,"REVIEW")</f>
        <v>REVIEW</v>
      </c>
      <c r="L203" t="str" cm="1">
        <f t="array" ref="L203">_xlfn.IFS(OR($C203="abtest_results",$C203="experimentation_sessions_colour_swatch"),"Experimentation team — unused, deprecated format. Safe to drop.",OR($B203="thg-influencer",$B203="thg-ingenuity",$B203="thg-central-marketing",$B203="thg-seoclarity"),"HOLD — Charlie Stringer to review before deletion",TRUE,"")</f>
        <v/>
      </c>
    </row>
    <row r="204" spans="1:12" ht="45.75" customHeight="1">
      <c r="A204" t="s">
        <v>135</v>
      </c>
      <c r="B204" t="s">
        <v>89</v>
      </c>
      <c r="C204" t="s">
        <v>1019</v>
      </c>
      <c r="D204" t="s">
        <v>142</v>
      </c>
      <c r="E204">
        <v>1700</v>
      </c>
      <c r="F204">
        <v>46.7</v>
      </c>
      <c r="G204">
        <v>0.93</v>
      </c>
      <c r="H204" t="s">
        <v>1020</v>
      </c>
      <c r="I204" s="2" t="s">
        <v>1021</v>
      </c>
      <c r="J204" s="2" t="s">
        <v>1022</v>
      </c>
      <c r="K204" t="str" cm="1">
        <f t="array" ref="K204">_xlfn.IFS(OR($C204="abtest_results",$C204="experimentation_sessions_colour_swatch"),"DROP CONFIRMED",OR($B204="thg-influencer",$B204="thg-ingenuity",$B204="thg-central-marketing",$B204="thg-seoclarity"),"HOLD",TRUE,"REVIEW")</f>
        <v>REVIEW</v>
      </c>
      <c r="L204" t="str" cm="1">
        <f t="array" ref="L204">_xlfn.IFS(OR($C204="abtest_results",$C204="experimentation_sessions_colour_swatch"),"Experimentation team — unused, deprecated format. Safe to drop.",OR($B204="thg-influencer",$B204="thg-ingenuity",$B204="thg-central-marketing",$B204="thg-seoclarity"),"HOLD — Charlie Stringer to review before deletion",TRUE,"")</f>
        <v/>
      </c>
    </row>
    <row r="205" spans="1:12" ht="45.75" customHeight="1">
      <c r="A205" t="s">
        <v>135</v>
      </c>
      <c r="B205" t="s">
        <v>89</v>
      </c>
      <c r="C205" t="s">
        <v>1023</v>
      </c>
      <c r="D205" t="s">
        <v>142</v>
      </c>
      <c r="E205">
        <v>1392</v>
      </c>
      <c r="F205">
        <v>45.82</v>
      </c>
      <c r="G205">
        <v>0.92</v>
      </c>
      <c r="H205" t="s">
        <v>1024</v>
      </c>
      <c r="I205" s="2" t="s">
        <v>1025</v>
      </c>
      <c r="J205" s="2" t="s">
        <v>1026</v>
      </c>
      <c r="K205" t="str" cm="1">
        <f t="array" ref="K205">_xlfn.IFS(OR($C205="abtest_results",$C205="experimentation_sessions_colour_swatch"),"DROP CONFIRMED",OR($B205="thg-influencer",$B205="thg-ingenuity",$B205="thg-central-marketing",$B205="thg-seoclarity"),"HOLD",TRUE,"REVIEW")</f>
        <v>REVIEW</v>
      </c>
      <c r="L205" t="str" cm="1">
        <f t="array" ref="L205">_xlfn.IFS(OR($C205="abtest_results",$C205="experimentation_sessions_colour_swatch"),"Experimentation team — unused, deprecated format. Safe to drop.",OR($B205="thg-influencer",$B205="thg-ingenuity",$B205="thg-central-marketing",$B205="thg-seoclarity"),"HOLD — Charlie Stringer to review before deletion",TRUE,"")</f>
        <v/>
      </c>
    </row>
    <row r="206" spans="1:12" ht="45.75" customHeight="1">
      <c r="A206" t="s">
        <v>135</v>
      </c>
      <c r="B206" t="s">
        <v>89</v>
      </c>
      <c r="C206" t="s">
        <v>1027</v>
      </c>
      <c r="D206" t="s">
        <v>142</v>
      </c>
      <c r="E206">
        <v>2944</v>
      </c>
      <c r="F206">
        <v>43.09</v>
      </c>
      <c r="G206">
        <v>0.86</v>
      </c>
      <c r="H206" t="s">
        <v>1028</v>
      </c>
      <c r="I206" s="2" t="s">
        <v>1029</v>
      </c>
      <c r="J206" s="2" t="s">
        <v>1030</v>
      </c>
      <c r="K206" t="str" cm="1">
        <f t="array" ref="K206">_xlfn.IFS(OR($C206="abtest_results",$C206="experimentation_sessions_colour_swatch"),"DROP CONFIRMED",OR($B206="thg-influencer",$B206="thg-ingenuity",$B206="thg-central-marketing",$B206="thg-seoclarity"),"HOLD",TRUE,"REVIEW")</f>
        <v>REVIEW</v>
      </c>
      <c r="L206" t="str" cm="1">
        <f t="array" ref="L206">_xlfn.IFS(OR($C206="abtest_results",$C206="experimentation_sessions_colour_swatch"),"Experimentation team — unused, deprecated format. Safe to drop.",OR($B206="thg-influencer",$B206="thg-ingenuity",$B206="thg-central-marketing",$B206="thg-seoclarity"),"HOLD — Charlie Stringer to review before deletion",TRUE,"")</f>
        <v/>
      </c>
    </row>
    <row r="207" spans="1:12" ht="45.75" customHeight="1">
      <c r="A207" t="s">
        <v>135</v>
      </c>
      <c r="B207" t="s">
        <v>89</v>
      </c>
      <c r="C207" t="s">
        <v>1031</v>
      </c>
      <c r="D207" t="s">
        <v>820</v>
      </c>
      <c r="E207">
        <v>11</v>
      </c>
      <c r="F207">
        <v>42.33</v>
      </c>
      <c r="G207">
        <v>0.85</v>
      </c>
      <c r="H207" t="s">
        <v>1032</v>
      </c>
      <c r="I207" s="2" t="s">
        <v>1033</v>
      </c>
      <c r="J207" s="2" t="s">
        <v>1034</v>
      </c>
      <c r="K207" t="str" cm="1">
        <f t="array" ref="K207">_xlfn.IFS(OR($C207="abtest_results",$C207="experimentation_sessions_colour_swatch"),"DROP CONFIRMED",OR($B207="thg-influencer",$B207="thg-ingenuity",$B207="thg-central-marketing",$B207="thg-seoclarity"),"HOLD",TRUE,"REVIEW")</f>
        <v>REVIEW</v>
      </c>
      <c r="L207" t="str" cm="1">
        <f t="array" ref="L207">_xlfn.IFS(OR($C207="abtest_results",$C207="experimentation_sessions_colour_swatch"),"Experimentation team — unused, deprecated format. Safe to drop.",OR($B207="thg-influencer",$B207="thg-ingenuity",$B207="thg-central-marketing",$B207="thg-seoclarity"),"HOLD — Charlie Stringer to review before deletion",TRUE,"")</f>
        <v/>
      </c>
    </row>
    <row r="208" spans="1:12" ht="45.75" customHeight="1">
      <c r="A208" t="s">
        <v>135</v>
      </c>
      <c r="B208" t="s">
        <v>89</v>
      </c>
      <c r="C208" t="s">
        <v>1035</v>
      </c>
      <c r="D208" t="s">
        <v>1036</v>
      </c>
      <c r="E208">
        <v>585</v>
      </c>
      <c r="F208">
        <v>42.34</v>
      </c>
      <c r="G208">
        <v>0.85</v>
      </c>
      <c r="H208" t="s">
        <v>1037</v>
      </c>
      <c r="I208" s="2" t="s">
        <v>1038</v>
      </c>
      <c r="J208" s="2" t="s">
        <v>1039</v>
      </c>
      <c r="K208" t="str" cm="1">
        <f t="array" ref="K208">_xlfn.IFS(OR($C208="abtest_results",$C208="experimentation_sessions_colour_swatch"),"DROP CONFIRMED",OR($B208="thg-influencer",$B208="thg-ingenuity",$B208="thg-central-marketing",$B208="thg-seoclarity"),"HOLD",TRUE,"REVIEW")</f>
        <v>REVIEW</v>
      </c>
      <c r="L208" t="str" cm="1">
        <f t="array" ref="L208">_xlfn.IFS(OR($C208="abtest_results",$C208="experimentation_sessions_colour_swatch"),"Experimentation team — unused, deprecated format. Safe to drop.",OR($B208="thg-influencer",$B208="thg-ingenuity",$B208="thg-central-marketing",$B208="thg-seoclarity"),"HOLD — Charlie Stringer to review before deletion",TRUE,"")</f>
        <v/>
      </c>
    </row>
    <row r="209" spans="1:12" ht="45.75" customHeight="1">
      <c r="A209" t="s">
        <v>135</v>
      </c>
      <c r="B209" t="s">
        <v>89</v>
      </c>
      <c r="C209" t="s">
        <v>1040</v>
      </c>
      <c r="D209" t="s">
        <v>883</v>
      </c>
      <c r="E209">
        <v>498</v>
      </c>
      <c r="F209">
        <v>42.72</v>
      </c>
      <c r="G209">
        <v>0.85</v>
      </c>
      <c r="H209" t="s">
        <v>1041</v>
      </c>
      <c r="I209" s="2" t="s">
        <v>1042</v>
      </c>
      <c r="J209" s="2" t="s">
        <v>1043</v>
      </c>
      <c r="K209" t="str" cm="1">
        <f t="array" ref="K209">_xlfn.IFS(OR($C209="abtest_results",$C209="experimentation_sessions_colour_swatch"),"DROP CONFIRMED",OR($B209="thg-influencer",$B209="thg-ingenuity",$B209="thg-central-marketing",$B209="thg-seoclarity"),"HOLD",TRUE,"REVIEW")</f>
        <v>REVIEW</v>
      </c>
      <c r="L209" t="str" cm="1">
        <f t="array" ref="L209">_xlfn.IFS(OR($C209="abtest_results",$C209="experimentation_sessions_colour_swatch"),"Experimentation team — unused, deprecated format. Safe to drop.",OR($B209="thg-influencer",$B209="thg-ingenuity",$B209="thg-central-marketing",$B209="thg-seoclarity"),"HOLD — Charlie Stringer to review before deletion",TRUE,"")</f>
        <v/>
      </c>
    </row>
    <row r="210" spans="1:12" ht="45.75" customHeight="1">
      <c r="A210" t="s">
        <v>135</v>
      </c>
      <c r="B210" t="s">
        <v>89</v>
      </c>
      <c r="C210" t="s">
        <v>1044</v>
      </c>
      <c r="D210" t="s">
        <v>1045</v>
      </c>
      <c r="E210">
        <v>391</v>
      </c>
      <c r="F210">
        <v>42.66</v>
      </c>
      <c r="G210">
        <v>0.85</v>
      </c>
      <c r="H210" t="s">
        <v>1046</v>
      </c>
      <c r="I210" s="2" t="s">
        <v>1047</v>
      </c>
      <c r="J210" s="2" t="s">
        <v>1048</v>
      </c>
      <c r="K210" t="str" cm="1">
        <f t="array" ref="K210">_xlfn.IFS(OR($C210="abtest_results",$C210="experimentation_sessions_colour_swatch"),"DROP CONFIRMED",OR($B210="thg-influencer",$B210="thg-ingenuity",$B210="thg-central-marketing",$B210="thg-seoclarity"),"HOLD",TRUE,"REVIEW")</f>
        <v>REVIEW</v>
      </c>
      <c r="L210" t="str" cm="1">
        <f t="array" ref="L210">_xlfn.IFS(OR($C210="abtest_results",$C210="experimentation_sessions_colour_swatch"),"Experimentation team — unused, deprecated format. Safe to drop.",OR($B210="thg-influencer",$B210="thg-ingenuity",$B210="thg-central-marketing",$B210="thg-seoclarity"),"HOLD — Charlie Stringer to review before deletion",TRUE,"")</f>
        <v/>
      </c>
    </row>
    <row r="211" spans="1:12" ht="45.75" customHeight="1">
      <c r="A211" t="s">
        <v>135</v>
      </c>
      <c r="B211" t="s">
        <v>89</v>
      </c>
      <c r="C211" t="s">
        <v>1049</v>
      </c>
      <c r="D211" t="s">
        <v>1050</v>
      </c>
      <c r="E211">
        <v>1</v>
      </c>
      <c r="F211">
        <v>42.56</v>
      </c>
      <c r="G211">
        <v>0.85</v>
      </c>
      <c r="H211" t="s">
        <v>1051</v>
      </c>
      <c r="I211" s="2" t="s">
        <v>1052</v>
      </c>
      <c r="J211" s="2" t="s">
        <v>1053</v>
      </c>
      <c r="K211" t="str" cm="1">
        <f t="array" ref="K211">_xlfn.IFS(OR($C211="abtest_results",$C211="experimentation_sessions_colour_swatch"),"DROP CONFIRMED",OR($B211="thg-influencer",$B211="thg-ingenuity",$B211="thg-central-marketing",$B211="thg-seoclarity"),"HOLD",TRUE,"REVIEW")</f>
        <v>REVIEW</v>
      </c>
      <c r="L211" t="str" cm="1">
        <f t="array" ref="L211">_xlfn.IFS(OR($C211="abtest_results",$C211="experimentation_sessions_colour_swatch"),"Experimentation team — unused, deprecated format. Safe to drop.",OR($B211="thg-influencer",$B211="thg-ingenuity",$B211="thg-central-marketing",$B211="thg-seoclarity"),"HOLD — Charlie Stringer to review before deletion",TRUE,"")</f>
        <v/>
      </c>
    </row>
    <row r="212" spans="1:12" ht="45.75" customHeight="1">
      <c r="A212" t="s">
        <v>135</v>
      </c>
      <c r="B212" t="s">
        <v>89</v>
      </c>
      <c r="C212" t="s">
        <v>1054</v>
      </c>
      <c r="D212" t="s">
        <v>1055</v>
      </c>
      <c r="E212">
        <v>1411</v>
      </c>
      <c r="F212">
        <v>41.37</v>
      </c>
      <c r="G212">
        <v>0.83</v>
      </c>
      <c r="H212" t="s">
        <v>1056</v>
      </c>
      <c r="I212" s="2" t="s">
        <v>1057</v>
      </c>
      <c r="J212" s="2" t="s">
        <v>1058</v>
      </c>
      <c r="K212" t="str" cm="1">
        <f t="array" ref="K212">_xlfn.IFS(OR($C212="abtest_results",$C212="experimentation_sessions_colour_swatch"),"DROP CONFIRMED",OR($B212="thg-influencer",$B212="thg-ingenuity",$B212="thg-central-marketing",$B212="thg-seoclarity"),"HOLD",TRUE,"REVIEW")</f>
        <v>REVIEW</v>
      </c>
      <c r="L212" t="str" cm="1">
        <f t="array" ref="L212">_xlfn.IFS(OR($C212="abtest_results",$C212="experimentation_sessions_colour_swatch"),"Experimentation team — unused, deprecated format. Safe to drop.",OR($B212="thg-influencer",$B212="thg-ingenuity",$B212="thg-central-marketing",$B212="thg-seoclarity"),"HOLD — Charlie Stringer to review before deletion",TRUE,"")</f>
        <v/>
      </c>
    </row>
    <row r="213" spans="1:12" ht="45.75" customHeight="1">
      <c r="A213" t="s">
        <v>135</v>
      </c>
      <c r="B213" t="s">
        <v>89</v>
      </c>
      <c r="C213" t="s">
        <v>1059</v>
      </c>
      <c r="D213" t="s">
        <v>1060</v>
      </c>
      <c r="E213">
        <v>391</v>
      </c>
      <c r="F213">
        <v>40.89</v>
      </c>
      <c r="G213">
        <v>0.82</v>
      </c>
      <c r="H213" t="s">
        <v>1061</v>
      </c>
      <c r="I213" s="2" t="s">
        <v>1062</v>
      </c>
      <c r="J213" s="2" t="s">
        <v>1063</v>
      </c>
      <c r="K213" t="str" cm="1">
        <f t="array" ref="K213">_xlfn.IFS(OR($C213="abtest_results",$C213="experimentation_sessions_colour_swatch"),"DROP CONFIRMED",OR($B213="thg-influencer",$B213="thg-ingenuity",$B213="thg-central-marketing",$B213="thg-seoclarity"),"HOLD",TRUE,"REVIEW")</f>
        <v>REVIEW</v>
      </c>
      <c r="L213" t="str" cm="1">
        <f t="array" ref="L213">_xlfn.IFS(OR($C213="abtest_results",$C213="experimentation_sessions_colour_swatch"),"Experimentation team — unused, deprecated format. Safe to drop.",OR($B213="thg-influencer",$B213="thg-ingenuity",$B213="thg-central-marketing",$B213="thg-seoclarity"),"HOLD — Charlie Stringer to review before deletion",TRUE,"")</f>
        <v/>
      </c>
    </row>
    <row r="214" spans="1:12" ht="45.75" customHeight="1">
      <c r="A214" t="s">
        <v>135</v>
      </c>
      <c r="B214" t="s">
        <v>89</v>
      </c>
      <c r="C214" t="s">
        <v>1064</v>
      </c>
      <c r="D214" t="s">
        <v>142</v>
      </c>
      <c r="E214">
        <v>2920</v>
      </c>
      <c r="F214">
        <v>40.47</v>
      </c>
      <c r="G214">
        <v>0.81</v>
      </c>
      <c r="H214" t="s">
        <v>1065</v>
      </c>
      <c r="I214" s="2" t="s">
        <v>1066</v>
      </c>
      <c r="J214" s="2" t="s">
        <v>1067</v>
      </c>
      <c r="K214" t="str" cm="1">
        <f t="array" ref="K214">_xlfn.IFS(OR($C214="abtest_results",$C214="experimentation_sessions_colour_swatch"),"DROP CONFIRMED",OR($B214="thg-influencer",$B214="thg-ingenuity",$B214="thg-central-marketing",$B214="thg-seoclarity"),"HOLD",TRUE,"REVIEW")</f>
        <v>REVIEW</v>
      </c>
      <c r="L214" t="str" cm="1">
        <f t="array" ref="L214">_xlfn.IFS(OR($C214="abtest_results",$C214="experimentation_sessions_colour_swatch"),"Experimentation team — unused, deprecated format. Safe to drop.",OR($B214="thg-influencer",$B214="thg-ingenuity",$B214="thg-central-marketing",$B214="thg-seoclarity"),"HOLD — Charlie Stringer to review before deletion",TRUE,"")</f>
        <v/>
      </c>
    </row>
    <row r="215" spans="1:12" ht="45.75" customHeight="1">
      <c r="A215" t="s">
        <v>135</v>
      </c>
      <c r="B215" t="s">
        <v>89</v>
      </c>
      <c r="C215" t="s">
        <v>1068</v>
      </c>
      <c r="D215" t="s">
        <v>1069</v>
      </c>
      <c r="E215">
        <v>620</v>
      </c>
      <c r="F215">
        <v>39.43</v>
      </c>
      <c r="G215">
        <v>0.79</v>
      </c>
      <c r="H215" t="s">
        <v>1070</v>
      </c>
      <c r="I215" s="2" t="s">
        <v>1071</v>
      </c>
      <c r="J215" s="2" t="s">
        <v>1072</v>
      </c>
      <c r="K215" t="str" cm="1">
        <f t="array" ref="K215">_xlfn.IFS(OR($C215="abtest_results",$C215="experimentation_sessions_colour_swatch"),"DROP CONFIRMED",OR($B215="thg-influencer",$B215="thg-ingenuity",$B215="thg-central-marketing",$B215="thg-seoclarity"),"HOLD",TRUE,"REVIEW")</f>
        <v>REVIEW</v>
      </c>
      <c r="L215" t="str" cm="1">
        <f t="array" ref="L215">_xlfn.IFS(OR($C215="abtest_results",$C215="experimentation_sessions_colour_swatch"),"Experimentation team — unused, deprecated format. Safe to drop.",OR($B215="thg-influencer",$B215="thg-ingenuity",$B215="thg-central-marketing",$B215="thg-seoclarity"),"HOLD — Charlie Stringer to review before deletion",TRUE,"")</f>
        <v/>
      </c>
    </row>
    <row r="216" spans="1:12" ht="45.75" customHeight="1">
      <c r="A216" t="s">
        <v>135</v>
      </c>
      <c r="B216" t="s">
        <v>89</v>
      </c>
      <c r="C216" t="s">
        <v>1073</v>
      </c>
      <c r="D216" t="s">
        <v>142</v>
      </c>
      <c r="E216">
        <v>3655</v>
      </c>
      <c r="F216">
        <v>38.79</v>
      </c>
      <c r="G216">
        <v>0.78</v>
      </c>
      <c r="H216" t="s">
        <v>1074</v>
      </c>
      <c r="I216" s="2" t="s">
        <v>1075</v>
      </c>
      <c r="J216" s="2" t="s">
        <v>1076</v>
      </c>
      <c r="K216" t="str" cm="1">
        <f t="array" ref="K216">_xlfn.IFS(OR($C216="abtest_results",$C216="experimentation_sessions_colour_swatch"),"DROP CONFIRMED",OR($B216="thg-influencer",$B216="thg-ingenuity",$B216="thg-central-marketing",$B216="thg-seoclarity"),"HOLD",TRUE,"REVIEW")</f>
        <v>REVIEW</v>
      </c>
      <c r="L216" t="str" cm="1">
        <f t="array" ref="L216">_xlfn.IFS(OR($C216="abtest_results",$C216="experimentation_sessions_colour_swatch"),"Experimentation team — unused, deprecated format. Safe to drop.",OR($B216="thg-influencer",$B216="thg-ingenuity",$B216="thg-central-marketing",$B216="thg-seoclarity"),"HOLD — Charlie Stringer to review before deletion",TRUE,"")</f>
        <v/>
      </c>
    </row>
    <row r="217" spans="1:12" ht="45.75" customHeight="1">
      <c r="A217" t="s">
        <v>135</v>
      </c>
      <c r="B217" t="s">
        <v>89</v>
      </c>
      <c r="C217" t="s">
        <v>1077</v>
      </c>
      <c r="D217" t="s">
        <v>142</v>
      </c>
      <c r="E217">
        <v>1853</v>
      </c>
      <c r="F217">
        <v>38.81</v>
      </c>
      <c r="G217">
        <v>0.78</v>
      </c>
      <c r="H217" t="s">
        <v>1078</v>
      </c>
      <c r="I217" s="2" t="s">
        <v>1079</v>
      </c>
      <c r="J217" s="2" t="s">
        <v>1080</v>
      </c>
      <c r="K217" t="str" cm="1">
        <f t="array" ref="K217">_xlfn.IFS(OR($C217="abtest_results",$C217="experimentation_sessions_colour_swatch"),"DROP CONFIRMED",OR($B217="thg-influencer",$B217="thg-ingenuity",$B217="thg-central-marketing",$B217="thg-seoclarity"),"HOLD",TRUE,"REVIEW")</f>
        <v>REVIEW</v>
      </c>
      <c r="L217" t="str" cm="1">
        <f t="array" ref="L217">_xlfn.IFS(OR($C217="abtest_results",$C217="experimentation_sessions_colour_swatch"),"Experimentation team — unused, deprecated format. Safe to drop.",OR($B217="thg-influencer",$B217="thg-ingenuity",$B217="thg-central-marketing",$B217="thg-seoclarity"),"HOLD — Charlie Stringer to review before deletion",TRUE,"")</f>
        <v/>
      </c>
    </row>
    <row r="218" spans="1:12" ht="45.75" customHeight="1">
      <c r="A218" t="s">
        <v>135</v>
      </c>
      <c r="B218" t="s">
        <v>89</v>
      </c>
      <c r="C218" t="s">
        <v>1081</v>
      </c>
      <c r="D218" t="s">
        <v>142</v>
      </c>
      <c r="E218">
        <v>926</v>
      </c>
      <c r="F218">
        <v>37.47</v>
      </c>
      <c r="G218">
        <v>0.75</v>
      </c>
      <c r="H218" t="s">
        <v>1082</v>
      </c>
      <c r="I218" s="2" t="s">
        <v>1083</v>
      </c>
      <c r="J218" s="2" t="s">
        <v>1084</v>
      </c>
      <c r="K218" t="str" cm="1">
        <f t="array" ref="K218">_xlfn.IFS(OR($C218="abtest_results",$C218="experimentation_sessions_colour_swatch"),"DROP CONFIRMED",OR($B218="thg-influencer",$B218="thg-ingenuity",$B218="thg-central-marketing",$B218="thg-seoclarity"),"HOLD",TRUE,"REVIEW")</f>
        <v>REVIEW</v>
      </c>
      <c r="L218" t="str" cm="1">
        <f t="array" ref="L218">_xlfn.IFS(OR($C218="abtest_results",$C218="experimentation_sessions_colour_swatch"),"Experimentation team — unused, deprecated format. Safe to drop.",OR($B218="thg-influencer",$B218="thg-ingenuity",$B218="thg-central-marketing",$B218="thg-seoclarity"),"HOLD — Charlie Stringer to review before deletion",TRUE,"")</f>
        <v/>
      </c>
    </row>
    <row r="219" spans="1:12" ht="45.75" customHeight="1">
      <c r="A219" t="s">
        <v>135</v>
      </c>
      <c r="B219" t="s">
        <v>89</v>
      </c>
      <c r="C219" t="s">
        <v>1085</v>
      </c>
      <c r="D219" t="s">
        <v>1086</v>
      </c>
      <c r="E219">
        <v>303</v>
      </c>
      <c r="F219">
        <v>37.119999999999997</v>
      </c>
      <c r="G219">
        <v>0.74</v>
      </c>
      <c r="H219" t="s">
        <v>1087</v>
      </c>
      <c r="I219" s="2" t="s">
        <v>1088</v>
      </c>
      <c r="J219" s="2" t="s">
        <v>1089</v>
      </c>
      <c r="K219" t="str" cm="1">
        <f t="array" ref="K219">_xlfn.IFS(OR($C219="abtest_results",$C219="experimentation_sessions_colour_swatch"),"DROP CONFIRMED",OR($B219="thg-influencer",$B219="thg-ingenuity",$B219="thg-central-marketing",$B219="thg-seoclarity"),"HOLD",TRUE,"REVIEW")</f>
        <v>REVIEW</v>
      </c>
      <c r="L219" t="str" cm="1">
        <f t="array" ref="L219">_xlfn.IFS(OR($C219="abtest_results",$C219="experimentation_sessions_colour_swatch"),"Experimentation team — unused, deprecated format. Safe to drop.",OR($B219="thg-influencer",$B219="thg-ingenuity",$B219="thg-central-marketing",$B219="thg-seoclarity"),"HOLD — Charlie Stringer to review before deletion",TRUE,"")</f>
        <v/>
      </c>
    </row>
    <row r="220" spans="1:12" ht="45.75" customHeight="1">
      <c r="A220" t="s">
        <v>135</v>
      </c>
      <c r="B220" t="s">
        <v>89</v>
      </c>
      <c r="C220" t="s">
        <v>1090</v>
      </c>
      <c r="D220" t="s">
        <v>1091</v>
      </c>
      <c r="E220">
        <v>505</v>
      </c>
      <c r="F220">
        <v>36.39</v>
      </c>
      <c r="G220">
        <v>0.73</v>
      </c>
      <c r="H220" t="s">
        <v>1092</v>
      </c>
      <c r="I220" s="2" t="s">
        <v>1093</v>
      </c>
      <c r="J220" s="2" t="s">
        <v>1094</v>
      </c>
      <c r="K220" t="str" cm="1">
        <f t="array" ref="K220">_xlfn.IFS(OR($C220="abtest_results",$C220="experimentation_sessions_colour_swatch"),"DROP CONFIRMED",OR($B220="thg-influencer",$B220="thg-ingenuity",$B220="thg-central-marketing",$B220="thg-seoclarity"),"HOLD",TRUE,"REVIEW")</f>
        <v>REVIEW</v>
      </c>
      <c r="L220" t="str" cm="1">
        <f t="array" ref="L220">_xlfn.IFS(OR($C220="abtest_results",$C220="experimentation_sessions_colour_swatch"),"Experimentation team — unused, deprecated format. Safe to drop.",OR($B220="thg-influencer",$B220="thg-ingenuity",$B220="thg-central-marketing",$B220="thg-seoclarity"),"HOLD — Charlie Stringer to review before deletion",TRUE,"")</f>
        <v/>
      </c>
    </row>
    <row r="221" spans="1:12" ht="45.75" customHeight="1">
      <c r="A221" t="s">
        <v>135</v>
      </c>
      <c r="B221" t="s">
        <v>89</v>
      </c>
      <c r="C221" t="s">
        <v>1095</v>
      </c>
      <c r="D221" t="s">
        <v>142</v>
      </c>
      <c r="E221">
        <v>1332</v>
      </c>
      <c r="F221">
        <v>36.340000000000003</v>
      </c>
      <c r="G221">
        <v>0.73</v>
      </c>
      <c r="H221" t="s">
        <v>1096</v>
      </c>
      <c r="I221" s="2" t="s">
        <v>1097</v>
      </c>
      <c r="J221" s="2" t="s">
        <v>1098</v>
      </c>
      <c r="K221" t="str" cm="1">
        <f t="array" ref="K221">_xlfn.IFS(OR($C221="abtest_results",$C221="experimentation_sessions_colour_swatch"),"DROP CONFIRMED",OR($B221="thg-influencer",$B221="thg-ingenuity",$B221="thg-central-marketing",$B221="thg-seoclarity"),"HOLD",TRUE,"REVIEW")</f>
        <v>REVIEW</v>
      </c>
      <c r="L221" t="str" cm="1">
        <f t="array" ref="L221">_xlfn.IFS(OR($C221="abtest_results",$C221="experimentation_sessions_colour_swatch"),"Experimentation team — unused, deprecated format. Safe to drop.",OR($B221="thg-influencer",$B221="thg-ingenuity",$B221="thg-central-marketing",$B221="thg-seoclarity"),"HOLD — Charlie Stringer to review before deletion",TRUE,"")</f>
        <v/>
      </c>
    </row>
    <row r="222" spans="1:12" ht="45.75" customHeight="1">
      <c r="A222" t="s">
        <v>135</v>
      </c>
      <c r="B222" t="s">
        <v>89</v>
      </c>
      <c r="C222" t="s">
        <v>1099</v>
      </c>
      <c r="D222" t="s">
        <v>845</v>
      </c>
      <c r="E222">
        <v>590</v>
      </c>
      <c r="F222">
        <v>34.58</v>
      </c>
      <c r="G222">
        <v>0.69</v>
      </c>
      <c r="H222" t="s">
        <v>1100</v>
      </c>
      <c r="I222" s="2" t="s">
        <v>1101</v>
      </c>
      <c r="J222" s="2" t="s">
        <v>1102</v>
      </c>
      <c r="K222" t="str" cm="1">
        <f t="array" ref="K222">_xlfn.IFS(OR($C222="abtest_results",$C222="experimentation_sessions_colour_swatch"),"DROP CONFIRMED",OR($B222="thg-influencer",$B222="thg-ingenuity",$B222="thg-central-marketing",$B222="thg-seoclarity"),"HOLD",TRUE,"REVIEW")</f>
        <v>REVIEW</v>
      </c>
      <c r="L222" t="str" cm="1">
        <f t="array" ref="L222">_xlfn.IFS(OR($C222="abtest_results",$C222="experimentation_sessions_colour_swatch"),"Experimentation team — unused, deprecated format. Safe to drop.",OR($B222="thg-influencer",$B222="thg-ingenuity",$B222="thg-central-marketing",$B222="thg-seoclarity"),"HOLD — Charlie Stringer to review before deletion",TRUE,"")</f>
        <v/>
      </c>
    </row>
    <row r="223" spans="1:12" ht="45.75" customHeight="1">
      <c r="A223" t="s">
        <v>135</v>
      </c>
      <c r="B223" t="s">
        <v>89</v>
      </c>
      <c r="C223" t="s">
        <v>1103</v>
      </c>
      <c r="D223" t="s">
        <v>1104</v>
      </c>
      <c r="E223">
        <v>523</v>
      </c>
      <c r="F223">
        <v>34.28</v>
      </c>
      <c r="G223">
        <v>0.69</v>
      </c>
      <c r="H223" t="s">
        <v>1105</v>
      </c>
      <c r="I223" s="2" t="s">
        <v>1106</v>
      </c>
      <c r="J223" s="2" t="s">
        <v>1107</v>
      </c>
      <c r="K223" t="str" cm="1">
        <f t="array" ref="K223">_xlfn.IFS(OR($C223="abtest_results",$C223="experimentation_sessions_colour_swatch"),"DROP CONFIRMED",OR($B223="thg-influencer",$B223="thg-ingenuity",$B223="thg-central-marketing",$B223="thg-seoclarity"),"HOLD",TRUE,"REVIEW")</f>
        <v>REVIEW</v>
      </c>
      <c r="L223" t="str" cm="1">
        <f t="array" ref="L223">_xlfn.IFS(OR($C223="abtest_results",$C223="experimentation_sessions_colour_swatch"),"Experimentation team — unused, deprecated format. Safe to drop.",OR($B223="thg-influencer",$B223="thg-ingenuity",$B223="thg-central-marketing",$B223="thg-seoclarity"),"HOLD — Charlie Stringer to review before deletion",TRUE,"")</f>
        <v/>
      </c>
    </row>
    <row r="224" spans="1:12" ht="45.75" customHeight="1">
      <c r="A224" t="s">
        <v>135</v>
      </c>
      <c r="B224" t="s">
        <v>89</v>
      </c>
      <c r="C224" t="s">
        <v>1108</v>
      </c>
      <c r="D224" t="s">
        <v>142</v>
      </c>
      <c r="E224">
        <v>3043</v>
      </c>
      <c r="F224">
        <v>33.090000000000003</v>
      </c>
      <c r="G224">
        <v>0.66</v>
      </c>
      <c r="H224" t="s">
        <v>1109</v>
      </c>
      <c r="I224" s="2" t="s">
        <v>1110</v>
      </c>
      <c r="J224" s="2" t="s">
        <v>1111</v>
      </c>
      <c r="K224" t="str" cm="1">
        <f t="array" ref="K224">_xlfn.IFS(OR($C224="abtest_results",$C224="experimentation_sessions_colour_swatch"),"DROP CONFIRMED",OR($B224="thg-influencer",$B224="thg-ingenuity",$B224="thg-central-marketing",$B224="thg-seoclarity"),"HOLD",TRUE,"REVIEW")</f>
        <v>REVIEW</v>
      </c>
      <c r="L224" t="str" cm="1">
        <f t="array" ref="L224">_xlfn.IFS(OR($C224="abtest_results",$C224="experimentation_sessions_colour_swatch"),"Experimentation team — unused, deprecated format. Safe to drop.",OR($B224="thg-influencer",$B224="thg-ingenuity",$B224="thg-central-marketing",$B224="thg-seoclarity"),"HOLD — Charlie Stringer to review before deletion",TRUE,"")</f>
        <v/>
      </c>
    </row>
    <row r="225" spans="1:12" ht="45.75" customHeight="1">
      <c r="A225" t="s">
        <v>135</v>
      </c>
      <c r="B225" t="s">
        <v>89</v>
      </c>
      <c r="C225" t="s">
        <v>1112</v>
      </c>
      <c r="D225" t="s">
        <v>768</v>
      </c>
      <c r="E225">
        <v>462</v>
      </c>
      <c r="F225">
        <v>32.99</v>
      </c>
      <c r="G225">
        <v>0.66</v>
      </c>
      <c r="H225" t="s">
        <v>1113</v>
      </c>
      <c r="I225" s="2" t="s">
        <v>1114</v>
      </c>
      <c r="J225" s="2" t="s">
        <v>1115</v>
      </c>
      <c r="K225" t="str" cm="1">
        <f t="array" ref="K225">_xlfn.IFS(OR($C225="abtest_results",$C225="experimentation_sessions_colour_swatch"),"DROP CONFIRMED",OR($B225="thg-influencer",$B225="thg-ingenuity",$B225="thg-central-marketing",$B225="thg-seoclarity"),"HOLD",TRUE,"REVIEW")</f>
        <v>REVIEW</v>
      </c>
      <c r="L225" t="str" cm="1">
        <f t="array" ref="L225">_xlfn.IFS(OR($C225="abtest_results",$C225="experimentation_sessions_colour_swatch"),"Experimentation team — unused, deprecated format. Safe to drop.",OR($B225="thg-influencer",$B225="thg-ingenuity",$B225="thg-central-marketing",$B225="thg-seoclarity"),"HOLD — Charlie Stringer to review before deletion",TRUE,"")</f>
        <v/>
      </c>
    </row>
    <row r="226" spans="1:12" ht="45.75" customHeight="1">
      <c r="A226" t="s">
        <v>135</v>
      </c>
      <c r="B226" t="s">
        <v>89</v>
      </c>
      <c r="C226" t="s">
        <v>1116</v>
      </c>
      <c r="D226" t="s">
        <v>1117</v>
      </c>
      <c r="E226">
        <v>389</v>
      </c>
      <c r="F226">
        <v>32.380000000000003</v>
      </c>
      <c r="G226">
        <v>0.65</v>
      </c>
      <c r="H226" t="s">
        <v>1118</v>
      </c>
      <c r="I226" s="2" t="s">
        <v>1119</v>
      </c>
      <c r="J226" s="2" t="s">
        <v>1120</v>
      </c>
      <c r="K226" t="str" cm="1">
        <f t="array" ref="K226">_xlfn.IFS(OR($C226="abtest_results",$C226="experimentation_sessions_colour_swatch"),"DROP CONFIRMED",OR($B226="thg-influencer",$B226="thg-ingenuity",$B226="thg-central-marketing",$B226="thg-seoclarity"),"HOLD",TRUE,"REVIEW")</f>
        <v>REVIEW</v>
      </c>
      <c r="L226" t="str" cm="1">
        <f t="array" ref="L226">_xlfn.IFS(OR($C226="abtest_results",$C226="experimentation_sessions_colour_swatch"),"Experimentation team — unused, deprecated format. Safe to drop.",OR($B226="thg-influencer",$B226="thg-ingenuity",$B226="thg-central-marketing",$B226="thg-seoclarity"),"HOLD — Charlie Stringer to review before deletion",TRUE,"")</f>
        <v/>
      </c>
    </row>
    <row r="227" spans="1:12" ht="45.75" customHeight="1">
      <c r="A227" t="s">
        <v>135</v>
      </c>
      <c r="B227" t="s">
        <v>89</v>
      </c>
      <c r="C227" t="s">
        <v>1121</v>
      </c>
      <c r="D227" t="s">
        <v>1122</v>
      </c>
      <c r="E227">
        <v>538</v>
      </c>
      <c r="F227">
        <v>32.44</v>
      </c>
      <c r="G227">
        <v>0.65</v>
      </c>
      <c r="H227" t="s">
        <v>1123</v>
      </c>
      <c r="I227" s="2" t="s">
        <v>1124</v>
      </c>
      <c r="J227" s="2" t="s">
        <v>1125</v>
      </c>
      <c r="K227" t="str" cm="1">
        <f t="array" ref="K227">_xlfn.IFS(OR($C227="abtest_results",$C227="experimentation_sessions_colour_swatch"),"DROP CONFIRMED",OR($B227="thg-influencer",$B227="thg-ingenuity",$B227="thg-central-marketing",$B227="thg-seoclarity"),"HOLD",TRUE,"REVIEW")</f>
        <v>REVIEW</v>
      </c>
      <c r="L227" t="str" cm="1">
        <f t="array" ref="L227">_xlfn.IFS(OR($C227="abtest_results",$C227="experimentation_sessions_colour_swatch"),"Experimentation team — unused, deprecated format. Safe to drop.",OR($B227="thg-influencer",$B227="thg-ingenuity",$B227="thg-central-marketing",$B227="thg-seoclarity"),"HOLD — Charlie Stringer to review before deletion",TRUE,"")</f>
        <v/>
      </c>
    </row>
    <row r="228" spans="1:12" ht="45.75" customHeight="1">
      <c r="A228" t="s">
        <v>135</v>
      </c>
      <c r="B228" t="s">
        <v>89</v>
      </c>
      <c r="C228" t="s">
        <v>1126</v>
      </c>
      <c r="D228" t="s">
        <v>1127</v>
      </c>
      <c r="E228">
        <v>3807</v>
      </c>
      <c r="F228">
        <v>30.89</v>
      </c>
      <c r="G228">
        <v>0.62</v>
      </c>
      <c r="H228" t="s">
        <v>1128</v>
      </c>
      <c r="I228" s="2" t="s">
        <v>1129</v>
      </c>
      <c r="J228" s="2" t="s">
        <v>1130</v>
      </c>
      <c r="K228" t="str" cm="1">
        <f t="array" ref="K228">_xlfn.IFS(OR($C228="abtest_results",$C228="experimentation_sessions_colour_swatch"),"DROP CONFIRMED",OR($B228="thg-influencer",$B228="thg-ingenuity",$B228="thg-central-marketing",$B228="thg-seoclarity"),"HOLD",TRUE,"REVIEW")</f>
        <v>REVIEW</v>
      </c>
      <c r="L228" t="str" cm="1">
        <f t="array" ref="L228">_xlfn.IFS(OR($C228="abtest_results",$C228="experimentation_sessions_colour_swatch"),"Experimentation team — unused, deprecated format. Safe to drop.",OR($B228="thg-influencer",$B228="thg-ingenuity",$B228="thg-central-marketing",$B228="thg-seoclarity"),"HOLD — Charlie Stringer to review before deletion",TRUE,"")</f>
        <v/>
      </c>
    </row>
    <row r="229" spans="1:12" ht="45.75" customHeight="1">
      <c r="A229" t="s">
        <v>135</v>
      </c>
      <c r="B229" t="s">
        <v>89</v>
      </c>
      <c r="C229" t="s">
        <v>1131</v>
      </c>
      <c r="D229" t="s">
        <v>142</v>
      </c>
      <c r="E229">
        <v>1642</v>
      </c>
      <c r="F229">
        <v>30.99</v>
      </c>
      <c r="G229">
        <v>0.62</v>
      </c>
      <c r="H229" t="s">
        <v>1132</v>
      </c>
      <c r="I229" s="2" t="s">
        <v>1133</v>
      </c>
      <c r="J229" s="2" t="s">
        <v>1134</v>
      </c>
      <c r="K229" t="str" cm="1">
        <f t="array" ref="K229">_xlfn.IFS(OR($C229="abtest_results",$C229="experimentation_sessions_colour_swatch"),"DROP CONFIRMED",OR($B229="thg-influencer",$B229="thg-ingenuity",$B229="thg-central-marketing",$B229="thg-seoclarity"),"HOLD",TRUE,"REVIEW")</f>
        <v>REVIEW</v>
      </c>
      <c r="L229" t="str" cm="1">
        <f t="array" ref="L229">_xlfn.IFS(OR($C229="abtest_results",$C229="experimentation_sessions_colour_swatch"),"Experimentation team — unused, deprecated format. Safe to drop.",OR($B229="thg-influencer",$B229="thg-ingenuity",$B229="thg-central-marketing",$B229="thg-seoclarity"),"HOLD — Charlie Stringer to review before deletion",TRUE,"")</f>
        <v/>
      </c>
    </row>
    <row r="230" spans="1:12" ht="45.75" customHeight="1">
      <c r="A230" t="s">
        <v>135</v>
      </c>
      <c r="B230" t="s">
        <v>89</v>
      </c>
      <c r="C230" t="s">
        <v>1135</v>
      </c>
      <c r="D230" t="s">
        <v>142</v>
      </c>
      <c r="E230">
        <v>3050</v>
      </c>
      <c r="F230">
        <v>30.78</v>
      </c>
      <c r="G230">
        <v>0.62</v>
      </c>
      <c r="H230" t="s">
        <v>1136</v>
      </c>
      <c r="I230" s="2" t="s">
        <v>1137</v>
      </c>
      <c r="J230" s="2" t="s">
        <v>1138</v>
      </c>
      <c r="K230" t="str" cm="1">
        <f t="array" ref="K230">_xlfn.IFS(OR($C230="abtest_results",$C230="experimentation_sessions_colour_swatch"),"DROP CONFIRMED",OR($B230="thg-influencer",$B230="thg-ingenuity",$B230="thg-central-marketing",$B230="thg-seoclarity"),"HOLD",TRUE,"REVIEW")</f>
        <v>REVIEW</v>
      </c>
      <c r="L230" t="str" cm="1">
        <f t="array" ref="L230">_xlfn.IFS(OR($C230="abtest_results",$C230="experimentation_sessions_colour_swatch"),"Experimentation team — unused, deprecated format. Safe to drop.",OR($B230="thg-influencer",$B230="thg-ingenuity",$B230="thg-central-marketing",$B230="thg-seoclarity"),"HOLD — Charlie Stringer to review before deletion",TRUE,"")</f>
        <v/>
      </c>
    </row>
    <row r="231" spans="1:12" ht="45.75" customHeight="1">
      <c r="A231" t="s">
        <v>135</v>
      </c>
      <c r="B231" t="s">
        <v>89</v>
      </c>
      <c r="C231" t="s">
        <v>1139</v>
      </c>
      <c r="D231" t="s">
        <v>1140</v>
      </c>
      <c r="E231">
        <v>498</v>
      </c>
      <c r="F231">
        <v>30.65</v>
      </c>
      <c r="G231">
        <v>0.61</v>
      </c>
      <c r="H231" t="s">
        <v>1141</v>
      </c>
      <c r="I231" s="2" t="s">
        <v>1142</v>
      </c>
      <c r="J231" s="2" t="s">
        <v>1143</v>
      </c>
      <c r="K231" t="str" cm="1">
        <f t="array" ref="K231">_xlfn.IFS(OR($C231="abtest_results",$C231="experimentation_sessions_colour_swatch"),"DROP CONFIRMED",OR($B231="thg-influencer",$B231="thg-ingenuity",$B231="thg-central-marketing",$B231="thg-seoclarity"),"HOLD",TRUE,"REVIEW")</f>
        <v>REVIEW</v>
      </c>
      <c r="L231" t="str" cm="1">
        <f t="array" ref="L231">_xlfn.IFS(OR($C231="abtest_results",$C231="experimentation_sessions_colour_swatch"),"Experimentation team — unused, deprecated format. Safe to drop.",OR($B231="thg-influencer",$B231="thg-ingenuity",$B231="thg-central-marketing",$B231="thg-seoclarity"),"HOLD — Charlie Stringer to review before deletion",TRUE,"")</f>
        <v/>
      </c>
    </row>
    <row r="232" spans="1:12" ht="45.75" customHeight="1">
      <c r="A232" t="s">
        <v>135</v>
      </c>
      <c r="B232" t="s">
        <v>89</v>
      </c>
      <c r="C232" t="s">
        <v>1144</v>
      </c>
      <c r="D232" t="s">
        <v>1145</v>
      </c>
      <c r="E232">
        <v>1069</v>
      </c>
      <c r="F232">
        <v>29.78</v>
      </c>
      <c r="G232">
        <v>0.6</v>
      </c>
      <c r="H232" t="s">
        <v>1146</v>
      </c>
      <c r="I232" s="2" t="s">
        <v>1147</v>
      </c>
      <c r="J232" s="2" t="s">
        <v>1148</v>
      </c>
      <c r="K232" t="str" cm="1">
        <f t="array" ref="K232">_xlfn.IFS(OR($C232="abtest_results",$C232="experimentation_sessions_colour_swatch"),"DROP CONFIRMED",OR($B232="thg-influencer",$B232="thg-ingenuity",$B232="thg-central-marketing",$B232="thg-seoclarity"),"HOLD",TRUE,"REVIEW")</f>
        <v>REVIEW</v>
      </c>
      <c r="L232" t="str" cm="1">
        <f t="array" ref="L232">_xlfn.IFS(OR($C232="abtest_results",$C232="experimentation_sessions_colour_swatch"),"Experimentation team — unused, deprecated format. Safe to drop.",OR($B232="thg-influencer",$B232="thg-ingenuity",$B232="thg-central-marketing",$B232="thg-seoclarity"),"HOLD — Charlie Stringer to review before deletion",TRUE,"")</f>
        <v/>
      </c>
    </row>
    <row r="233" spans="1:12" ht="45.75" customHeight="1">
      <c r="A233" t="s">
        <v>135</v>
      </c>
      <c r="B233" t="s">
        <v>89</v>
      </c>
      <c r="C233" t="s">
        <v>1149</v>
      </c>
      <c r="D233" t="s">
        <v>1150</v>
      </c>
      <c r="E233">
        <v>1046</v>
      </c>
      <c r="F233">
        <v>29.38</v>
      </c>
      <c r="G233">
        <v>0.59</v>
      </c>
      <c r="H233" t="s">
        <v>1151</v>
      </c>
      <c r="I233" s="2" t="s">
        <v>1152</v>
      </c>
      <c r="J233" s="2" t="s">
        <v>1153</v>
      </c>
      <c r="K233" t="str" cm="1">
        <f t="array" ref="K233">_xlfn.IFS(OR($C233="abtest_results",$C233="experimentation_sessions_colour_swatch"),"DROP CONFIRMED",OR($B233="thg-influencer",$B233="thg-ingenuity",$B233="thg-central-marketing",$B233="thg-seoclarity"),"HOLD",TRUE,"REVIEW")</f>
        <v>REVIEW</v>
      </c>
      <c r="L233" t="str" cm="1">
        <f t="array" ref="L233">_xlfn.IFS(OR($C233="abtest_results",$C233="experimentation_sessions_colour_swatch"),"Experimentation team — unused, deprecated format. Safe to drop.",OR($B233="thg-influencer",$B233="thg-ingenuity",$B233="thg-central-marketing",$B233="thg-seoclarity"),"HOLD — Charlie Stringer to review before deletion",TRUE,"")</f>
        <v/>
      </c>
    </row>
    <row r="234" spans="1:12" ht="45.75" customHeight="1">
      <c r="A234" t="s">
        <v>135</v>
      </c>
      <c r="B234" t="s">
        <v>89</v>
      </c>
      <c r="C234" t="s">
        <v>1154</v>
      </c>
      <c r="D234" t="s">
        <v>449</v>
      </c>
      <c r="E234">
        <v>1266</v>
      </c>
      <c r="F234">
        <v>29.37</v>
      </c>
      <c r="G234">
        <v>0.59</v>
      </c>
      <c r="H234" t="s">
        <v>1155</v>
      </c>
      <c r="I234" s="2" t="s">
        <v>1156</v>
      </c>
      <c r="J234" s="2" t="s">
        <v>1157</v>
      </c>
      <c r="K234" t="str" cm="1">
        <f t="array" ref="K234">_xlfn.IFS(OR($C234="abtest_results",$C234="experimentation_sessions_colour_swatch"),"DROP CONFIRMED",OR($B234="thg-influencer",$B234="thg-ingenuity",$B234="thg-central-marketing",$B234="thg-seoclarity"),"HOLD",TRUE,"REVIEW")</f>
        <v>REVIEW</v>
      </c>
      <c r="L234" t="str" cm="1">
        <f t="array" ref="L234">_xlfn.IFS(OR($C234="abtest_results",$C234="experimentation_sessions_colour_swatch"),"Experimentation team — unused, deprecated format. Safe to drop.",OR($B234="thg-influencer",$B234="thg-ingenuity",$B234="thg-central-marketing",$B234="thg-seoclarity"),"HOLD — Charlie Stringer to review before deletion",TRUE,"")</f>
        <v/>
      </c>
    </row>
    <row r="235" spans="1:12" ht="45.75" customHeight="1">
      <c r="A235" t="s">
        <v>135</v>
      </c>
      <c r="B235" t="s">
        <v>89</v>
      </c>
      <c r="C235" t="s">
        <v>1158</v>
      </c>
      <c r="D235" t="s">
        <v>1159</v>
      </c>
      <c r="E235">
        <v>16</v>
      </c>
      <c r="F235">
        <v>28.57</v>
      </c>
      <c r="G235">
        <v>0.56999999999999995</v>
      </c>
      <c r="H235" t="s">
        <v>1160</v>
      </c>
      <c r="I235" s="2" t="s">
        <v>1161</v>
      </c>
      <c r="J235" s="2" t="s">
        <v>1162</v>
      </c>
      <c r="K235" t="str" cm="1">
        <f t="array" ref="K235">_xlfn.IFS(OR($C235="abtest_results",$C235="experimentation_sessions_colour_swatch"),"DROP CONFIRMED",OR($B235="thg-influencer",$B235="thg-ingenuity",$B235="thg-central-marketing",$B235="thg-seoclarity"),"HOLD",TRUE,"REVIEW")</f>
        <v>REVIEW</v>
      </c>
      <c r="L235" t="str" cm="1">
        <f t="array" ref="L235">_xlfn.IFS(OR($C235="abtest_results",$C235="experimentation_sessions_colour_swatch"),"Experimentation team — unused, deprecated format. Safe to drop.",OR($B235="thg-influencer",$B235="thg-ingenuity",$B235="thg-central-marketing",$B235="thg-seoclarity"),"HOLD — Charlie Stringer to review before deletion",TRUE,"")</f>
        <v/>
      </c>
    </row>
    <row r="236" spans="1:12" ht="45.75" customHeight="1">
      <c r="A236" t="s">
        <v>135</v>
      </c>
      <c r="B236" t="s">
        <v>89</v>
      </c>
      <c r="C236" t="s">
        <v>1163</v>
      </c>
      <c r="D236" t="s">
        <v>449</v>
      </c>
      <c r="E236">
        <v>808</v>
      </c>
      <c r="F236">
        <v>28.59</v>
      </c>
      <c r="G236">
        <v>0.56999999999999995</v>
      </c>
      <c r="H236" t="s">
        <v>1164</v>
      </c>
      <c r="I236" s="2" t="s">
        <v>1165</v>
      </c>
      <c r="J236" s="2" t="s">
        <v>1166</v>
      </c>
      <c r="K236" t="str" cm="1">
        <f t="array" ref="K236">_xlfn.IFS(OR($C236="abtest_results",$C236="experimentation_sessions_colour_swatch"),"DROP CONFIRMED",OR($B236="thg-influencer",$B236="thg-ingenuity",$B236="thg-central-marketing",$B236="thg-seoclarity"),"HOLD",TRUE,"REVIEW")</f>
        <v>REVIEW</v>
      </c>
      <c r="L236" t="str" cm="1">
        <f t="array" ref="L236">_xlfn.IFS(OR($C236="abtest_results",$C236="experimentation_sessions_colour_swatch"),"Experimentation team — unused, deprecated format. Safe to drop.",OR($B236="thg-influencer",$B236="thg-ingenuity",$B236="thg-central-marketing",$B236="thg-seoclarity"),"HOLD — Charlie Stringer to review before deletion",TRUE,"")</f>
        <v/>
      </c>
    </row>
    <row r="237" spans="1:12" ht="45.75" customHeight="1">
      <c r="A237" t="s">
        <v>135</v>
      </c>
      <c r="B237" t="s">
        <v>89</v>
      </c>
      <c r="C237" t="s">
        <v>1167</v>
      </c>
      <c r="D237" t="s">
        <v>1168</v>
      </c>
      <c r="E237">
        <v>539</v>
      </c>
      <c r="F237">
        <v>28.38</v>
      </c>
      <c r="G237">
        <v>0.56999999999999995</v>
      </c>
      <c r="H237" t="s">
        <v>1169</v>
      </c>
      <c r="I237" s="2" t="s">
        <v>1170</v>
      </c>
      <c r="J237" s="2" t="s">
        <v>1171</v>
      </c>
      <c r="K237" t="str" cm="1">
        <f t="array" ref="K237">_xlfn.IFS(OR($C237="abtest_results",$C237="experimentation_sessions_colour_swatch"),"DROP CONFIRMED",OR($B237="thg-influencer",$B237="thg-ingenuity",$B237="thg-central-marketing",$B237="thg-seoclarity"),"HOLD",TRUE,"REVIEW")</f>
        <v>REVIEW</v>
      </c>
      <c r="L237" t="str" cm="1">
        <f t="array" ref="L237">_xlfn.IFS(OR($C237="abtest_results",$C237="experimentation_sessions_colour_swatch"),"Experimentation team — unused, deprecated format. Safe to drop.",OR($B237="thg-influencer",$B237="thg-ingenuity",$B237="thg-central-marketing",$B237="thg-seoclarity"),"HOLD — Charlie Stringer to review before deletion",TRUE,"")</f>
        <v/>
      </c>
    </row>
    <row r="238" spans="1:12" ht="45.75" customHeight="1">
      <c r="A238" t="s">
        <v>135</v>
      </c>
      <c r="B238" t="s">
        <v>89</v>
      </c>
      <c r="C238" t="s">
        <v>1172</v>
      </c>
      <c r="D238" t="s">
        <v>1173</v>
      </c>
      <c r="E238">
        <v>495</v>
      </c>
      <c r="F238">
        <v>28.74</v>
      </c>
      <c r="G238">
        <v>0.56999999999999995</v>
      </c>
      <c r="H238" t="s">
        <v>1174</v>
      </c>
      <c r="I238" s="2" t="s">
        <v>1175</v>
      </c>
      <c r="J238" s="2" t="s">
        <v>1176</v>
      </c>
      <c r="K238" t="str" cm="1">
        <f t="array" ref="K238">_xlfn.IFS(OR($C238="abtest_results",$C238="experimentation_sessions_colour_swatch"),"DROP CONFIRMED",OR($B238="thg-influencer",$B238="thg-ingenuity",$B238="thg-central-marketing",$B238="thg-seoclarity"),"HOLD",TRUE,"REVIEW")</f>
        <v>REVIEW</v>
      </c>
      <c r="L238" t="str" cm="1">
        <f t="array" ref="L238">_xlfn.IFS(OR($C238="abtest_results",$C238="experimentation_sessions_colour_swatch"),"Experimentation team — unused, deprecated format. Safe to drop.",OR($B238="thg-influencer",$B238="thg-ingenuity",$B238="thg-central-marketing",$B238="thg-seoclarity"),"HOLD — Charlie Stringer to review before deletion",TRUE,"")</f>
        <v/>
      </c>
    </row>
    <row r="239" spans="1:12" ht="45.75" customHeight="1">
      <c r="A239" t="s">
        <v>135</v>
      </c>
      <c r="B239" t="s">
        <v>89</v>
      </c>
      <c r="C239" t="s">
        <v>1177</v>
      </c>
      <c r="D239" t="s">
        <v>1178</v>
      </c>
      <c r="E239">
        <v>474</v>
      </c>
      <c r="F239">
        <v>27.95</v>
      </c>
      <c r="G239">
        <v>0.56000000000000005</v>
      </c>
      <c r="H239" t="s">
        <v>1179</v>
      </c>
      <c r="I239" s="2" t="s">
        <v>1180</v>
      </c>
      <c r="J239" s="2" t="s">
        <v>1181</v>
      </c>
      <c r="K239" t="str" cm="1">
        <f t="array" ref="K239">_xlfn.IFS(OR($C239="abtest_results",$C239="experimentation_sessions_colour_swatch"),"DROP CONFIRMED",OR($B239="thg-influencer",$B239="thg-ingenuity",$B239="thg-central-marketing",$B239="thg-seoclarity"),"HOLD",TRUE,"REVIEW")</f>
        <v>REVIEW</v>
      </c>
      <c r="L239" t="str" cm="1">
        <f t="array" ref="L239">_xlfn.IFS(OR($C239="abtest_results",$C239="experimentation_sessions_colour_swatch"),"Experimentation team — unused, deprecated format. Safe to drop.",OR($B239="thg-influencer",$B239="thg-ingenuity",$B239="thg-central-marketing",$B239="thg-seoclarity"),"HOLD — Charlie Stringer to review before deletion",TRUE,"")</f>
        <v/>
      </c>
    </row>
    <row r="240" spans="1:12" ht="45.75" customHeight="1">
      <c r="A240" t="s">
        <v>135</v>
      </c>
      <c r="B240" t="s">
        <v>89</v>
      </c>
      <c r="C240" t="s">
        <v>1182</v>
      </c>
      <c r="D240" t="s">
        <v>1183</v>
      </c>
      <c r="E240">
        <v>2881</v>
      </c>
      <c r="F240">
        <v>28</v>
      </c>
      <c r="G240">
        <v>0.56000000000000005</v>
      </c>
      <c r="H240" t="s">
        <v>1184</v>
      </c>
      <c r="I240" s="2" t="s">
        <v>1185</v>
      </c>
      <c r="J240" s="2" t="s">
        <v>1186</v>
      </c>
      <c r="K240" t="str" cm="1">
        <f t="array" ref="K240">_xlfn.IFS(OR($C240="abtest_results",$C240="experimentation_sessions_colour_swatch"),"DROP CONFIRMED",OR($B240="thg-influencer",$B240="thg-ingenuity",$B240="thg-central-marketing",$B240="thg-seoclarity"),"HOLD",TRUE,"REVIEW")</f>
        <v>REVIEW</v>
      </c>
      <c r="L240" t="str" cm="1">
        <f t="array" ref="L240">_xlfn.IFS(OR($C240="abtest_results",$C240="experimentation_sessions_colour_swatch"),"Experimentation team — unused, deprecated format. Safe to drop.",OR($B240="thg-influencer",$B240="thg-ingenuity",$B240="thg-central-marketing",$B240="thg-seoclarity"),"HOLD — Charlie Stringer to review before deletion",TRUE,"")</f>
        <v/>
      </c>
    </row>
    <row r="241" spans="1:12" ht="45.75" customHeight="1">
      <c r="A241" t="s">
        <v>135</v>
      </c>
      <c r="B241" t="s">
        <v>90</v>
      </c>
      <c r="C241" t="s">
        <v>1187</v>
      </c>
      <c r="D241" t="s">
        <v>1188</v>
      </c>
      <c r="E241">
        <v>3</v>
      </c>
      <c r="F241">
        <v>26.89</v>
      </c>
      <c r="G241">
        <v>0.54</v>
      </c>
      <c r="H241" t="s">
        <v>1189</v>
      </c>
      <c r="I241" s="2" t="s">
        <v>1190</v>
      </c>
      <c r="J241" s="2" t="s">
        <v>1191</v>
      </c>
      <c r="K241" t="str" cm="1">
        <f t="array" ref="K241">_xlfn.IFS(OR($C241="abtest_results",$C241="experimentation_sessions_colour_swatch"),"DROP CONFIRMED",OR($B241="thg-influencer",$B241="thg-ingenuity",$B241="thg-central-marketing",$B241="thg-seoclarity"),"HOLD",TRUE,"REVIEW")</f>
        <v>REVIEW</v>
      </c>
      <c r="L241" t="str" cm="1">
        <f t="array" ref="L241">_xlfn.IFS(OR($C241="abtest_results",$C241="experimentation_sessions_colour_swatch"),"Experimentation team — unused, deprecated format. Safe to drop.",OR($B241="thg-influencer",$B241="thg-ingenuity",$B241="thg-central-marketing",$B241="thg-seoclarity"),"HOLD — Charlie Stringer to review before deletion",TRUE,"")</f>
        <v/>
      </c>
    </row>
    <row r="242" spans="1:12" ht="45.75" customHeight="1">
      <c r="A242" t="s">
        <v>135</v>
      </c>
      <c r="B242" t="s">
        <v>89</v>
      </c>
      <c r="C242" t="s">
        <v>1192</v>
      </c>
      <c r="D242" t="s">
        <v>1193</v>
      </c>
      <c r="E242">
        <v>3</v>
      </c>
      <c r="F242">
        <v>27.2</v>
      </c>
      <c r="G242">
        <v>0.54</v>
      </c>
      <c r="H242" t="s">
        <v>1194</v>
      </c>
      <c r="I242" s="2" t="s">
        <v>1195</v>
      </c>
      <c r="J242" s="2" t="s">
        <v>1196</v>
      </c>
      <c r="K242" t="str" cm="1">
        <f t="array" ref="K242">_xlfn.IFS(OR($C242="abtest_results",$C242="experimentation_sessions_colour_swatch"),"DROP CONFIRMED",OR($B242="thg-influencer",$B242="thg-ingenuity",$B242="thg-central-marketing",$B242="thg-seoclarity"),"HOLD",TRUE,"REVIEW")</f>
        <v>REVIEW</v>
      </c>
      <c r="L242" t="str" cm="1">
        <f t="array" ref="L242">_xlfn.IFS(OR($C242="abtest_results",$C242="experimentation_sessions_colour_swatch"),"Experimentation team — unused, deprecated format. Safe to drop.",OR($B242="thg-influencer",$B242="thg-ingenuity",$B242="thg-central-marketing",$B242="thg-seoclarity"),"HOLD — Charlie Stringer to review before deletion",TRUE,"")</f>
        <v/>
      </c>
    </row>
    <row r="243" spans="1:12" ht="45.75" customHeight="1">
      <c r="A243" t="s">
        <v>135</v>
      </c>
      <c r="B243" t="s">
        <v>89</v>
      </c>
      <c r="C243" t="s">
        <v>1197</v>
      </c>
      <c r="D243" t="s">
        <v>142</v>
      </c>
      <c r="E243">
        <v>1387</v>
      </c>
      <c r="F243">
        <v>26.3</v>
      </c>
      <c r="G243">
        <v>0.53</v>
      </c>
      <c r="H243" t="s">
        <v>1198</v>
      </c>
      <c r="I243" s="2" t="s">
        <v>1199</v>
      </c>
      <c r="J243" s="2" t="s">
        <v>1200</v>
      </c>
      <c r="K243" t="str" cm="1">
        <f t="array" ref="K243">_xlfn.IFS(OR($C243="abtest_results",$C243="experimentation_sessions_colour_swatch"),"DROP CONFIRMED",OR($B243="thg-influencer",$B243="thg-ingenuity",$B243="thg-central-marketing",$B243="thg-seoclarity"),"HOLD",TRUE,"REVIEW")</f>
        <v>REVIEW</v>
      </c>
      <c r="L243" t="str" cm="1">
        <f t="array" ref="L243">_xlfn.IFS(OR($C243="abtest_results",$C243="experimentation_sessions_colour_swatch"),"Experimentation team — unused, deprecated format. Safe to drop.",OR($B243="thg-influencer",$B243="thg-ingenuity",$B243="thg-central-marketing",$B243="thg-seoclarity"),"HOLD — Charlie Stringer to review before deletion",TRUE,"")</f>
        <v/>
      </c>
    </row>
    <row r="244" spans="1:12" ht="45.75" customHeight="1">
      <c r="A244" t="s">
        <v>135</v>
      </c>
      <c r="B244" t="s">
        <v>89</v>
      </c>
      <c r="C244" t="s">
        <v>1201</v>
      </c>
      <c r="D244" t="s">
        <v>142</v>
      </c>
      <c r="E244">
        <v>1261</v>
      </c>
      <c r="F244">
        <v>25.68</v>
      </c>
      <c r="G244">
        <v>0.51</v>
      </c>
      <c r="H244" t="s">
        <v>1202</v>
      </c>
      <c r="I244" s="2" t="s">
        <v>1203</v>
      </c>
      <c r="J244" s="2" t="s">
        <v>1204</v>
      </c>
      <c r="K244" t="str" cm="1">
        <f t="array" ref="K244">_xlfn.IFS(OR($C244="abtest_results",$C244="experimentation_sessions_colour_swatch"),"DROP CONFIRMED",OR($B244="thg-influencer",$B244="thg-ingenuity",$B244="thg-central-marketing",$B244="thg-seoclarity"),"HOLD",TRUE,"REVIEW")</f>
        <v>REVIEW</v>
      </c>
      <c r="L244" t="str" cm="1">
        <f t="array" ref="L244">_xlfn.IFS(OR($C244="abtest_results",$C244="experimentation_sessions_colour_swatch"),"Experimentation team — unused, deprecated format. Safe to drop.",OR($B244="thg-influencer",$B244="thg-ingenuity",$B244="thg-central-marketing",$B244="thg-seoclarity"),"HOLD — Charlie Stringer to review before deletion",TRUE,"")</f>
        <v/>
      </c>
    </row>
    <row r="245" spans="1:12" ht="45.75" customHeight="1">
      <c r="A245" t="s">
        <v>135</v>
      </c>
      <c r="B245" t="s">
        <v>89</v>
      </c>
      <c r="C245" t="s">
        <v>1205</v>
      </c>
      <c r="D245" t="s">
        <v>1206</v>
      </c>
      <c r="E245">
        <v>478</v>
      </c>
      <c r="F245">
        <v>24.38</v>
      </c>
      <c r="G245">
        <v>0.49</v>
      </c>
      <c r="H245" t="s">
        <v>1207</v>
      </c>
      <c r="I245" s="2" t="s">
        <v>1208</v>
      </c>
      <c r="J245" s="2" t="s">
        <v>1209</v>
      </c>
      <c r="K245" t="str" cm="1">
        <f t="array" ref="K245">_xlfn.IFS(OR($C245="abtest_results",$C245="experimentation_sessions_colour_swatch"),"DROP CONFIRMED",OR($B245="thg-influencer",$B245="thg-ingenuity",$B245="thg-central-marketing",$B245="thg-seoclarity"),"HOLD",TRUE,"REVIEW")</f>
        <v>REVIEW</v>
      </c>
      <c r="L245" t="str" cm="1">
        <f t="array" ref="L245">_xlfn.IFS(OR($C245="abtest_results",$C245="experimentation_sessions_colour_swatch"),"Experimentation team — unused, deprecated format. Safe to drop.",OR($B245="thg-influencer",$B245="thg-ingenuity",$B245="thg-central-marketing",$B245="thg-seoclarity"),"HOLD — Charlie Stringer to review before deletion",TRUE,"")</f>
        <v/>
      </c>
    </row>
    <row r="246" spans="1:12" ht="45.75" customHeight="1">
      <c r="A246" t="s">
        <v>135</v>
      </c>
      <c r="B246" t="s">
        <v>89</v>
      </c>
      <c r="C246" t="s">
        <v>1210</v>
      </c>
      <c r="D246" t="s">
        <v>694</v>
      </c>
      <c r="E246">
        <v>8243</v>
      </c>
      <c r="F246">
        <v>24.18</v>
      </c>
      <c r="G246">
        <v>0.48</v>
      </c>
      <c r="H246" t="s">
        <v>1211</v>
      </c>
      <c r="I246" s="2" t="s">
        <v>1212</v>
      </c>
      <c r="J246" s="2" t="s">
        <v>1213</v>
      </c>
      <c r="K246" t="str" cm="1">
        <f t="array" ref="K246">_xlfn.IFS(OR($C246="abtest_results",$C246="experimentation_sessions_colour_swatch"),"DROP CONFIRMED",OR($B246="thg-influencer",$B246="thg-ingenuity",$B246="thg-central-marketing",$B246="thg-seoclarity"),"HOLD",TRUE,"REVIEW")</f>
        <v>REVIEW</v>
      </c>
      <c r="L246" t="str" cm="1">
        <f t="array" ref="L246">_xlfn.IFS(OR($C246="abtest_results",$C246="experimentation_sessions_colour_swatch"),"Experimentation team — unused, deprecated format. Safe to drop.",OR($B246="thg-influencer",$B246="thg-ingenuity",$B246="thg-central-marketing",$B246="thg-seoclarity"),"HOLD — Charlie Stringer to review before deletion",TRUE,"")</f>
        <v/>
      </c>
    </row>
    <row r="247" spans="1:12" ht="45.75" customHeight="1">
      <c r="A247" t="s">
        <v>135</v>
      </c>
      <c r="B247" t="s">
        <v>89</v>
      </c>
      <c r="C247" t="s">
        <v>1214</v>
      </c>
      <c r="D247" t="s">
        <v>142</v>
      </c>
      <c r="E247">
        <v>3590</v>
      </c>
      <c r="F247">
        <v>23.4</v>
      </c>
      <c r="G247">
        <v>0.47</v>
      </c>
      <c r="H247" t="s">
        <v>1215</v>
      </c>
      <c r="I247" s="2" t="s">
        <v>1216</v>
      </c>
      <c r="J247" s="2" t="s">
        <v>1217</v>
      </c>
      <c r="K247" t="str" cm="1">
        <f t="array" ref="K247">_xlfn.IFS(OR($C247="abtest_results",$C247="experimentation_sessions_colour_swatch"),"DROP CONFIRMED",OR($B247="thg-influencer",$B247="thg-ingenuity",$B247="thg-central-marketing",$B247="thg-seoclarity"),"HOLD",TRUE,"REVIEW")</f>
        <v>REVIEW</v>
      </c>
      <c r="L247" t="str" cm="1">
        <f t="array" ref="L247">_xlfn.IFS(OR($C247="abtest_results",$C247="experimentation_sessions_colour_swatch"),"Experimentation team — unused, deprecated format. Safe to drop.",OR($B247="thg-influencer",$B247="thg-ingenuity",$B247="thg-central-marketing",$B247="thg-seoclarity"),"HOLD — Charlie Stringer to review before deletion",TRUE,"")</f>
        <v/>
      </c>
    </row>
    <row r="248" spans="1:12" ht="45.75" customHeight="1">
      <c r="A248" t="s">
        <v>135</v>
      </c>
      <c r="B248" t="s">
        <v>89</v>
      </c>
      <c r="C248" t="s">
        <v>1218</v>
      </c>
      <c r="D248" t="s">
        <v>142</v>
      </c>
      <c r="E248">
        <v>1304</v>
      </c>
      <c r="F248">
        <v>23.68</v>
      </c>
      <c r="G248">
        <v>0.47</v>
      </c>
      <c r="H248" t="s">
        <v>1219</v>
      </c>
      <c r="I248" s="2" t="s">
        <v>1220</v>
      </c>
      <c r="J248" s="2" t="s">
        <v>1221</v>
      </c>
      <c r="K248" t="str" cm="1">
        <f t="array" ref="K248">_xlfn.IFS(OR($C248="abtest_results",$C248="experimentation_sessions_colour_swatch"),"DROP CONFIRMED",OR($B248="thg-influencer",$B248="thg-ingenuity",$B248="thg-central-marketing",$B248="thg-seoclarity"),"HOLD",TRUE,"REVIEW")</f>
        <v>REVIEW</v>
      </c>
      <c r="L248" t="str" cm="1">
        <f t="array" ref="L248">_xlfn.IFS(OR($C248="abtest_results",$C248="experimentation_sessions_colour_swatch"),"Experimentation team — unused, deprecated format. Safe to drop.",OR($B248="thg-influencer",$B248="thg-ingenuity",$B248="thg-central-marketing",$B248="thg-seoclarity"),"HOLD — Charlie Stringer to review before deletion",TRUE,"")</f>
        <v/>
      </c>
    </row>
    <row r="249" spans="1:12" ht="45.75" customHeight="1">
      <c r="A249" t="s">
        <v>135</v>
      </c>
      <c r="B249" t="s">
        <v>89</v>
      </c>
      <c r="C249" t="s">
        <v>1222</v>
      </c>
      <c r="D249" t="s">
        <v>1223</v>
      </c>
      <c r="E249">
        <v>1510</v>
      </c>
      <c r="F249">
        <v>23.27</v>
      </c>
      <c r="G249">
        <v>0.47</v>
      </c>
      <c r="H249" t="s">
        <v>1224</v>
      </c>
      <c r="I249" s="2" t="s">
        <v>1225</v>
      </c>
      <c r="J249" s="2" t="s">
        <v>1226</v>
      </c>
      <c r="K249" t="str" cm="1">
        <f t="array" ref="K249">_xlfn.IFS(OR($C249="abtest_results",$C249="experimentation_sessions_colour_swatch"),"DROP CONFIRMED",OR($B249="thg-influencer",$B249="thg-ingenuity",$B249="thg-central-marketing",$B249="thg-seoclarity"),"HOLD",TRUE,"REVIEW")</f>
        <v>REVIEW</v>
      </c>
      <c r="L249" t="str" cm="1">
        <f t="array" ref="L249">_xlfn.IFS(OR($C249="abtest_results",$C249="experimentation_sessions_colour_swatch"),"Experimentation team — unused, deprecated format. Safe to drop.",OR($B249="thg-influencer",$B249="thg-ingenuity",$B249="thg-central-marketing",$B249="thg-seoclarity"),"HOLD — Charlie Stringer to review before deletion",TRUE,"")</f>
        <v/>
      </c>
    </row>
    <row r="250" spans="1:12" ht="45.75" customHeight="1">
      <c r="A250" t="s">
        <v>135</v>
      </c>
      <c r="B250" t="s">
        <v>89</v>
      </c>
      <c r="C250" t="s">
        <v>1227</v>
      </c>
      <c r="D250" t="s">
        <v>1228</v>
      </c>
      <c r="E250">
        <v>1254</v>
      </c>
      <c r="F250">
        <v>23.15</v>
      </c>
      <c r="G250">
        <v>0.46</v>
      </c>
      <c r="H250" t="s">
        <v>1229</v>
      </c>
      <c r="I250" s="2" t="s">
        <v>1230</v>
      </c>
      <c r="J250" s="2" t="s">
        <v>1231</v>
      </c>
      <c r="K250" t="str" cm="1">
        <f t="array" ref="K250">_xlfn.IFS(OR($C250="abtest_results",$C250="experimentation_sessions_colour_swatch"),"DROP CONFIRMED",OR($B250="thg-influencer",$B250="thg-ingenuity",$B250="thg-central-marketing",$B250="thg-seoclarity"),"HOLD",TRUE,"REVIEW")</f>
        <v>REVIEW</v>
      </c>
      <c r="L250" t="str" cm="1">
        <f t="array" ref="L250">_xlfn.IFS(OR($C250="abtest_results",$C250="experimentation_sessions_colour_swatch"),"Experimentation team — unused, deprecated format. Safe to drop.",OR($B250="thg-influencer",$B250="thg-ingenuity",$B250="thg-central-marketing",$B250="thg-seoclarity"),"HOLD — Charlie Stringer to review before deletion",TRUE,"")</f>
        <v/>
      </c>
    </row>
    <row r="251" spans="1:12" ht="45.75" customHeight="1">
      <c r="A251" t="s">
        <v>135</v>
      </c>
      <c r="B251" t="s">
        <v>89</v>
      </c>
      <c r="C251" t="s">
        <v>1232</v>
      </c>
      <c r="D251" t="s">
        <v>142</v>
      </c>
      <c r="E251">
        <v>2784</v>
      </c>
      <c r="F251">
        <v>22.81</v>
      </c>
      <c r="G251">
        <v>0.46</v>
      </c>
      <c r="H251" t="s">
        <v>1233</v>
      </c>
      <c r="I251" s="2" t="s">
        <v>1234</v>
      </c>
      <c r="J251" s="2" t="s">
        <v>1235</v>
      </c>
      <c r="K251" t="str" cm="1">
        <f t="array" ref="K251">_xlfn.IFS(OR($C251="abtest_results",$C251="experimentation_sessions_colour_swatch"),"DROP CONFIRMED",OR($B251="thg-influencer",$B251="thg-ingenuity",$B251="thg-central-marketing",$B251="thg-seoclarity"),"HOLD",TRUE,"REVIEW")</f>
        <v>REVIEW</v>
      </c>
      <c r="L251" t="str" cm="1">
        <f t="array" ref="L251">_xlfn.IFS(OR($C251="abtest_results",$C251="experimentation_sessions_colour_swatch"),"Experimentation team — unused, deprecated format. Safe to drop.",OR($B251="thg-influencer",$B251="thg-ingenuity",$B251="thg-central-marketing",$B251="thg-seoclarity"),"HOLD — Charlie Stringer to review before deletion",TRUE,"")</f>
        <v/>
      </c>
    </row>
    <row r="252" spans="1:12" ht="45.75" customHeight="1">
      <c r="A252" t="s">
        <v>135</v>
      </c>
      <c r="B252" t="s">
        <v>89</v>
      </c>
      <c r="C252" t="s">
        <v>1236</v>
      </c>
      <c r="D252" t="s">
        <v>1237</v>
      </c>
      <c r="E252">
        <v>456</v>
      </c>
      <c r="F252">
        <v>23.11</v>
      </c>
      <c r="G252">
        <v>0.46</v>
      </c>
      <c r="H252" t="s">
        <v>1238</v>
      </c>
      <c r="I252" s="2" t="s">
        <v>1239</v>
      </c>
      <c r="J252" s="2" t="s">
        <v>1240</v>
      </c>
      <c r="K252" t="str" cm="1">
        <f t="array" ref="K252">_xlfn.IFS(OR($C252="abtest_results",$C252="experimentation_sessions_colour_swatch"),"DROP CONFIRMED",OR($B252="thg-influencer",$B252="thg-ingenuity",$B252="thg-central-marketing",$B252="thg-seoclarity"),"HOLD",TRUE,"REVIEW")</f>
        <v>REVIEW</v>
      </c>
      <c r="L252" t="str" cm="1">
        <f t="array" ref="L252">_xlfn.IFS(OR($C252="abtest_results",$C252="experimentation_sessions_colour_swatch"),"Experimentation team — unused, deprecated format. Safe to drop.",OR($B252="thg-influencer",$B252="thg-ingenuity",$B252="thg-central-marketing",$B252="thg-seoclarity"),"HOLD — Charlie Stringer to review before deletion",TRUE,"")</f>
        <v/>
      </c>
    </row>
    <row r="253" spans="1:12" ht="45.75" customHeight="1">
      <c r="A253" t="s">
        <v>135</v>
      </c>
      <c r="B253" t="s">
        <v>89</v>
      </c>
      <c r="C253" t="s">
        <v>1241</v>
      </c>
      <c r="D253" t="s">
        <v>449</v>
      </c>
      <c r="E253">
        <v>14</v>
      </c>
      <c r="F253">
        <v>22.7</v>
      </c>
      <c r="G253">
        <v>0.45</v>
      </c>
      <c r="H253" t="s">
        <v>1242</v>
      </c>
      <c r="I253" s="2" t="s">
        <v>1243</v>
      </c>
      <c r="J253" s="2" t="s">
        <v>1244</v>
      </c>
      <c r="K253" t="str" cm="1">
        <f t="array" ref="K253">_xlfn.IFS(OR($C253="abtest_results",$C253="experimentation_sessions_colour_swatch"),"DROP CONFIRMED",OR($B253="thg-influencer",$B253="thg-ingenuity",$B253="thg-central-marketing",$B253="thg-seoclarity"),"HOLD",TRUE,"REVIEW")</f>
        <v>REVIEW</v>
      </c>
      <c r="L253" t="str" cm="1">
        <f t="array" ref="L253">_xlfn.IFS(OR($C253="abtest_results",$C253="experimentation_sessions_colour_swatch"),"Experimentation team — unused, deprecated format. Safe to drop.",OR($B253="thg-influencer",$B253="thg-ingenuity",$B253="thg-central-marketing",$B253="thg-seoclarity"),"HOLD — Charlie Stringer to review before deletion",TRUE,"")</f>
        <v/>
      </c>
    </row>
    <row r="254" spans="1:12" ht="45.75" customHeight="1">
      <c r="A254" t="s">
        <v>135</v>
      </c>
      <c r="B254" t="s">
        <v>89</v>
      </c>
      <c r="C254" t="s">
        <v>1245</v>
      </c>
      <c r="D254" t="s">
        <v>142</v>
      </c>
      <c r="E254">
        <v>2407</v>
      </c>
      <c r="F254">
        <v>22.66</v>
      </c>
      <c r="G254">
        <v>0.45</v>
      </c>
      <c r="H254" t="s">
        <v>1246</v>
      </c>
      <c r="I254" s="2" t="s">
        <v>1247</v>
      </c>
      <c r="J254" s="2" t="s">
        <v>1248</v>
      </c>
      <c r="K254" t="str" cm="1">
        <f t="array" ref="K254">_xlfn.IFS(OR($C254="abtest_results",$C254="experimentation_sessions_colour_swatch"),"DROP CONFIRMED",OR($B254="thg-influencer",$B254="thg-ingenuity",$B254="thg-central-marketing",$B254="thg-seoclarity"),"HOLD",TRUE,"REVIEW")</f>
        <v>REVIEW</v>
      </c>
      <c r="L254" t="str" cm="1">
        <f t="array" ref="L254">_xlfn.IFS(OR($C254="abtest_results",$C254="experimentation_sessions_colour_swatch"),"Experimentation team — unused, deprecated format. Safe to drop.",OR($B254="thg-influencer",$B254="thg-ingenuity",$B254="thg-central-marketing",$B254="thg-seoclarity"),"HOLD — Charlie Stringer to review before deletion",TRUE,"")</f>
        <v/>
      </c>
    </row>
    <row r="255" spans="1:12" ht="45.75" customHeight="1">
      <c r="A255" t="s">
        <v>135</v>
      </c>
      <c r="B255" t="s">
        <v>89</v>
      </c>
      <c r="C255" t="s">
        <v>1249</v>
      </c>
      <c r="D255" t="s">
        <v>142</v>
      </c>
      <c r="E255">
        <v>3489</v>
      </c>
      <c r="F255">
        <v>22.37</v>
      </c>
      <c r="G255">
        <v>0.45</v>
      </c>
      <c r="H255" t="s">
        <v>1250</v>
      </c>
      <c r="I255" s="2" t="s">
        <v>1251</v>
      </c>
      <c r="J255" s="2" t="s">
        <v>1252</v>
      </c>
      <c r="K255" t="str" cm="1">
        <f t="array" ref="K255">_xlfn.IFS(OR($C255="abtest_results",$C255="experimentation_sessions_colour_swatch"),"DROP CONFIRMED",OR($B255="thg-influencer",$B255="thg-ingenuity",$B255="thg-central-marketing",$B255="thg-seoclarity"),"HOLD",TRUE,"REVIEW")</f>
        <v>REVIEW</v>
      </c>
      <c r="L255" t="str" cm="1">
        <f t="array" ref="L255">_xlfn.IFS(OR($C255="abtest_results",$C255="experimentation_sessions_colour_swatch"),"Experimentation team — unused, deprecated format. Safe to drop.",OR($B255="thg-influencer",$B255="thg-ingenuity",$B255="thg-central-marketing",$B255="thg-seoclarity"),"HOLD — Charlie Stringer to review before deletion",TRUE,"")</f>
        <v/>
      </c>
    </row>
    <row r="256" spans="1:12" ht="45.75" customHeight="1">
      <c r="A256" t="s">
        <v>135</v>
      </c>
      <c r="B256" t="s">
        <v>89</v>
      </c>
      <c r="C256" t="s">
        <v>1253</v>
      </c>
      <c r="D256" t="s">
        <v>142</v>
      </c>
      <c r="E256">
        <v>2980</v>
      </c>
      <c r="F256">
        <v>22.13</v>
      </c>
      <c r="G256">
        <v>0.44</v>
      </c>
      <c r="H256" t="s">
        <v>1254</v>
      </c>
      <c r="I256" s="2" t="s">
        <v>1255</v>
      </c>
      <c r="J256" s="2" t="s">
        <v>1256</v>
      </c>
      <c r="K256" t="str" cm="1">
        <f t="array" ref="K256">_xlfn.IFS(OR($C256="abtest_results",$C256="experimentation_sessions_colour_swatch"),"DROP CONFIRMED",OR($B256="thg-influencer",$B256="thg-ingenuity",$B256="thg-central-marketing",$B256="thg-seoclarity"),"HOLD",TRUE,"REVIEW")</f>
        <v>REVIEW</v>
      </c>
      <c r="L256" t="str" cm="1">
        <f t="array" ref="L256">_xlfn.IFS(OR($C256="abtest_results",$C256="experimentation_sessions_colour_swatch"),"Experimentation team — unused, deprecated format. Safe to drop.",OR($B256="thg-influencer",$B256="thg-ingenuity",$B256="thg-central-marketing",$B256="thg-seoclarity"),"HOLD — Charlie Stringer to review before deletion",TRUE,"")</f>
        <v/>
      </c>
    </row>
    <row r="257" spans="1:12" ht="45.75" customHeight="1">
      <c r="A257" t="s">
        <v>135</v>
      </c>
      <c r="B257" t="s">
        <v>89</v>
      </c>
      <c r="C257" t="s">
        <v>1257</v>
      </c>
      <c r="D257" t="s">
        <v>1258</v>
      </c>
      <c r="E257">
        <v>388</v>
      </c>
      <c r="F257">
        <v>21.11</v>
      </c>
      <c r="G257">
        <v>0.42</v>
      </c>
      <c r="H257" t="s">
        <v>1259</v>
      </c>
      <c r="I257" s="2" t="s">
        <v>1260</v>
      </c>
      <c r="J257" s="2" t="s">
        <v>1261</v>
      </c>
      <c r="K257" t="str" cm="1">
        <f t="array" ref="K257">_xlfn.IFS(OR($C257="abtest_results",$C257="experimentation_sessions_colour_swatch"),"DROP CONFIRMED",OR($B257="thg-influencer",$B257="thg-ingenuity",$B257="thg-central-marketing",$B257="thg-seoclarity"),"HOLD",TRUE,"REVIEW")</f>
        <v>REVIEW</v>
      </c>
      <c r="L257" t="str" cm="1">
        <f t="array" ref="L257">_xlfn.IFS(OR($C257="abtest_results",$C257="experimentation_sessions_colour_swatch"),"Experimentation team — unused, deprecated format. Safe to drop.",OR($B257="thg-influencer",$B257="thg-ingenuity",$B257="thg-central-marketing",$B257="thg-seoclarity"),"HOLD — Charlie Stringer to review before deletion",TRUE,"")</f>
        <v/>
      </c>
    </row>
    <row r="258" spans="1:12" ht="45.75" customHeight="1">
      <c r="A258" t="s">
        <v>135</v>
      </c>
      <c r="B258" t="s">
        <v>89</v>
      </c>
      <c r="C258" t="s">
        <v>1262</v>
      </c>
      <c r="D258" t="s">
        <v>1263</v>
      </c>
      <c r="E258">
        <v>437</v>
      </c>
      <c r="F258">
        <v>21</v>
      </c>
      <c r="G258">
        <v>0.42</v>
      </c>
      <c r="H258" t="s">
        <v>1264</v>
      </c>
      <c r="I258" s="2" t="s">
        <v>1265</v>
      </c>
      <c r="J258" s="2" t="s">
        <v>1266</v>
      </c>
      <c r="K258" t="str" cm="1">
        <f t="array" ref="K258">_xlfn.IFS(OR($C258="abtest_results",$C258="experimentation_sessions_colour_swatch"),"DROP CONFIRMED",OR($B258="thg-influencer",$B258="thg-ingenuity",$B258="thg-central-marketing",$B258="thg-seoclarity"),"HOLD",TRUE,"REVIEW")</f>
        <v>REVIEW</v>
      </c>
      <c r="L258" t="str" cm="1">
        <f t="array" ref="L258">_xlfn.IFS(OR($C258="abtest_results",$C258="experimentation_sessions_colour_swatch"),"Experimentation team — unused, deprecated format. Safe to drop.",OR($B258="thg-influencer",$B258="thg-ingenuity",$B258="thg-central-marketing",$B258="thg-seoclarity"),"HOLD — Charlie Stringer to review before deletion",TRUE,"")</f>
        <v/>
      </c>
    </row>
    <row r="259" spans="1:12" ht="45.75" customHeight="1">
      <c r="A259" t="s">
        <v>135</v>
      </c>
      <c r="B259" t="s">
        <v>91</v>
      </c>
      <c r="C259" t="s">
        <v>161</v>
      </c>
      <c r="D259" t="s">
        <v>1267</v>
      </c>
      <c r="E259">
        <v>7</v>
      </c>
      <c r="F259">
        <v>21.13</v>
      </c>
      <c r="G259">
        <v>0.42</v>
      </c>
      <c r="H259" t="s">
        <v>1268</v>
      </c>
      <c r="I259" s="2" t="s">
        <v>1269</v>
      </c>
      <c r="J259" s="2" t="s">
        <v>1270</v>
      </c>
      <c r="K259" t="str" cm="1">
        <f t="array" ref="K259">_xlfn.IFS(OR($C259="abtest_results",$C259="experimentation_sessions_colour_swatch"),"DROP CONFIRMED",OR($B259="thg-influencer",$B259="thg-ingenuity",$B259="thg-central-marketing",$B259="thg-seoclarity"),"HOLD",TRUE,"REVIEW")</f>
        <v>REVIEW</v>
      </c>
      <c r="L259" t="str" cm="1">
        <f t="array" ref="L259">_xlfn.IFS(OR($C259="abtest_results",$C259="experimentation_sessions_colour_swatch"),"Experimentation team — unused, deprecated format. Safe to drop.",OR($B259="thg-influencer",$B259="thg-ingenuity",$B259="thg-central-marketing",$B259="thg-seoclarity"),"HOLD — Charlie Stringer to review before deletion",TRUE,"")</f>
        <v/>
      </c>
    </row>
    <row r="260" spans="1:12" ht="45.75" customHeight="1">
      <c r="A260" t="s">
        <v>135</v>
      </c>
      <c r="B260" t="s">
        <v>89</v>
      </c>
      <c r="C260" t="s">
        <v>1271</v>
      </c>
      <c r="D260" t="s">
        <v>142</v>
      </c>
      <c r="E260">
        <v>2948</v>
      </c>
      <c r="F260">
        <v>20.399999999999999</v>
      </c>
      <c r="G260">
        <v>0.41</v>
      </c>
      <c r="H260" t="s">
        <v>1272</v>
      </c>
      <c r="I260" s="2" t="s">
        <v>1273</v>
      </c>
      <c r="J260" s="2" t="s">
        <v>1274</v>
      </c>
      <c r="K260" t="str" cm="1">
        <f t="array" ref="K260">_xlfn.IFS(OR($C260="abtest_results",$C260="experimentation_sessions_colour_swatch"),"DROP CONFIRMED",OR($B260="thg-influencer",$B260="thg-ingenuity",$B260="thg-central-marketing",$B260="thg-seoclarity"),"HOLD",TRUE,"REVIEW")</f>
        <v>REVIEW</v>
      </c>
      <c r="L260" t="str" cm="1">
        <f t="array" ref="L260">_xlfn.IFS(OR($C260="abtest_results",$C260="experimentation_sessions_colour_swatch"),"Experimentation team — unused, deprecated format. Safe to drop.",OR($B260="thg-influencer",$B260="thg-ingenuity",$B260="thg-central-marketing",$B260="thg-seoclarity"),"HOLD — Charlie Stringer to review before deletion",TRUE,"")</f>
        <v/>
      </c>
    </row>
    <row r="261" spans="1:12" ht="45.75" customHeight="1">
      <c r="A261" t="s">
        <v>135</v>
      </c>
      <c r="B261" t="s">
        <v>89</v>
      </c>
      <c r="C261" t="s">
        <v>1275</v>
      </c>
      <c r="D261" t="s">
        <v>1237</v>
      </c>
      <c r="E261">
        <v>478</v>
      </c>
      <c r="F261">
        <v>20.260000000000002</v>
      </c>
      <c r="G261">
        <v>0.41</v>
      </c>
      <c r="H261" t="s">
        <v>1276</v>
      </c>
      <c r="I261" s="2" t="s">
        <v>1277</v>
      </c>
      <c r="J261" s="2" t="s">
        <v>1278</v>
      </c>
      <c r="K261" t="str" cm="1">
        <f t="array" ref="K261">_xlfn.IFS(OR($C261="abtest_results",$C261="experimentation_sessions_colour_swatch"),"DROP CONFIRMED",OR($B261="thg-influencer",$B261="thg-ingenuity",$B261="thg-central-marketing",$B261="thg-seoclarity"),"HOLD",TRUE,"REVIEW")</f>
        <v>REVIEW</v>
      </c>
      <c r="L261" t="str" cm="1">
        <f t="array" ref="L261">_xlfn.IFS(OR($C261="abtest_results",$C261="experimentation_sessions_colour_swatch"),"Experimentation team — unused, deprecated format. Safe to drop.",OR($B261="thg-influencer",$B261="thg-ingenuity",$B261="thg-central-marketing",$B261="thg-seoclarity"),"HOLD — Charlie Stringer to review before deletion",TRUE,"")</f>
        <v/>
      </c>
    </row>
    <row r="262" spans="1:12" ht="45.75" customHeight="1">
      <c r="A262" t="s">
        <v>135</v>
      </c>
      <c r="B262" t="s">
        <v>89</v>
      </c>
      <c r="C262" t="s">
        <v>1279</v>
      </c>
      <c r="D262" t="s">
        <v>142</v>
      </c>
      <c r="E262">
        <v>3649</v>
      </c>
      <c r="F262">
        <v>19.79</v>
      </c>
      <c r="G262">
        <v>0.4</v>
      </c>
      <c r="H262" t="s">
        <v>1280</v>
      </c>
      <c r="I262" s="2" t="s">
        <v>1281</v>
      </c>
      <c r="J262" s="2" t="s">
        <v>1282</v>
      </c>
      <c r="K262" t="str" cm="1">
        <f t="array" ref="K262">_xlfn.IFS(OR($C262="abtest_results",$C262="experimentation_sessions_colour_swatch"),"DROP CONFIRMED",OR($B262="thg-influencer",$B262="thg-ingenuity",$B262="thg-central-marketing",$B262="thg-seoclarity"),"HOLD",TRUE,"REVIEW")</f>
        <v>REVIEW</v>
      </c>
      <c r="L262" t="str" cm="1">
        <f t="array" ref="L262">_xlfn.IFS(OR($C262="abtest_results",$C262="experimentation_sessions_colour_swatch"),"Experimentation team — unused, deprecated format. Safe to drop.",OR($B262="thg-influencer",$B262="thg-ingenuity",$B262="thg-central-marketing",$B262="thg-seoclarity"),"HOLD — Charlie Stringer to review before deletion",TRUE,"")</f>
        <v/>
      </c>
    </row>
    <row r="263" spans="1:12" ht="45.75" customHeight="1">
      <c r="A263" t="s">
        <v>135</v>
      </c>
      <c r="B263" t="s">
        <v>89</v>
      </c>
      <c r="C263" t="s">
        <v>1283</v>
      </c>
      <c r="D263" t="s">
        <v>1284</v>
      </c>
      <c r="E263">
        <v>1002</v>
      </c>
      <c r="F263">
        <v>19.32</v>
      </c>
      <c r="G263">
        <v>0.39</v>
      </c>
      <c r="H263" t="s">
        <v>1285</v>
      </c>
      <c r="I263" s="2" t="s">
        <v>1286</v>
      </c>
      <c r="J263" s="2" t="s">
        <v>1287</v>
      </c>
      <c r="K263" t="str" cm="1">
        <f t="array" ref="K263">_xlfn.IFS(OR($C263="abtest_results",$C263="experimentation_sessions_colour_swatch"),"DROP CONFIRMED",OR($B263="thg-influencer",$B263="thg-ingenuity",$B263="thg-central-marketing",$B263="thg-seoclarity"),"HOLD",TRUE,"REVIEW")</f>
        <v>REVIEW</v>
      </c>
      <c r="L263" t="str" cm="1">
        <f t="array" ref="L263">_xlfn.IFS(OR($C263="abtest_results",$C263="experimentation_sessions_colour_swatch"),"Experimentation team — unused, deprecated format. Safe to drop.",OR($B263="thg-influencer",$B263="thg-ingenuity",$B263="thg-central-marketing",$B263="thg-seoclarity"),"HOLD — Charlie Stringer to review before deletion",TRUE,"")</f>
        <v/>
      </c>
    </row>
    <row r="264" spans="1:12" ht="45.75" customHeight="1">
      <c r="A264" t="s">
        <v>135</v>
      </c>
      <c r="B264" t="s">
        <v>89</v>
      </c>
      <c r="C264" t="s">
        <v>1288</v>
      </c>
      <c r="D264" t="s">
        <v>142</v>
      </c>
      <c r="E264">
        <v>1098</v>
      </c>
      <c r="F264">
        <v>19.57</v>
      </c>
      <c r="G264">
        <v>0.39</v>
      </c>
      <c r="H264" t="s">
        <v>1289</v>
      </c>
      <c r="I264" s="2" t="s">
        <v>1290</v>
      </c>
      <c r="J264" s="2" t="s">
        <v>1291</v>
      </c>
      <c r="K264" t="str" cm="1">
        <f t="array" ref="K264">_xlfn.IFS(OR($C264="abtest_results",$C264="experimentation_sessions_colour_swatch"),"DROP CONFIRMED",OR($B264="thg-influencer",$B264="thg-ingenuity",$B264="thg-central-marketing",$B264="thg-seoclarity"),"HOLD",TRUE,"REVIEW")</f>
        <v>REVIEW</v>
      </c>
      <c r="L264" t="str" cm="1">
        <f t="array" ref="L264">_xlfn.IFS(OR($C264="abtest_results",$C264="experimentation_sessions_colour_swatch"),"Experimentation team — unused, deprecated format. Safe to drop.",OR($B264="thg-influencer",$B264="thg-ingenuity",$B264="thg-central-marketing",$B264="thg-seoclarity"),"HOLD — Charlie Stringer to review before deletion",TRUE,"")</f>
        <v/>
      </c>
    </row>
    <row r="265" spans="1:12" ht="45.75" customHeight="1">
      <c r="A265" t="s">
        <v>135</v>
      </c>
      <c r="B265" t="s">
        <v>89</v>
      </c>
      <c r="C265" t="s">
        <v>1292</v>
      </c>
      <c r="D265" t="s">
        <v>142</v>
      </c>
      <c r="E265">
        <v>2903</v>
      </c>
      <c r="F265">
        <v>19.600000000000001</v>
      </c>
      <c r="G265">
        <v>0.39</v>
      </c>
      <c r="H265" t="s">
        <v>1293</v>
      </c>
      <c r="I265" s="2" t="s">
        <v>1294</v>
      </c>
      <c r="J265" s="2" t="s">
        <v>1295</v>
      </c>
      <c r="K265" t="str" cm="1">
        <f t="array" ref="K265">_xlfn.IFS(OR($C265="abtest_results",$C265="experimentation_sessions_colour_swatch"),"DROP CONFIRMED",OR($B265="thg-influencer",$B265="thg-ingenuity",$B265="thg-central-marketing",$B265="thg-seoclarity"),"HOLD",TRUE,"REVIEW")</f>
        <v>REVIEW</v>
      </c>
      <c r="L265" t="str" cm="1">
        <f t="array" ref="L265">_xlfn.IFS(OR($C265="abtest_results",$C265="experimentation_sessions_colour_swatch"),"Experimentation team — unused, deprecated format. Safe to drop.",OR($B265="thg-influencer",$B265="thg-ingenuity",$B265="thg-central-marketing",$B265="thg-seoclarity"),"HOLD — Charlie Stringer to review before deletion",TRUE,"")</f>
        <v/>
      </c>
    </row>
    <row r="266" spans="1:12" ht="45.75" customHeight="1">
      <c r="A266" t="s">
        <v>135</v>
      </c>
      <c r="B266" t="s">
        <v>89</v>
      </c>
      <c r="C266" t="s">
        <v>1296</v>
      </c>
      <c r="D266" t="s">
        <v>647</v>
      </c>
      <c r="E266">
        <v>4</v>
      </c>
      <c r="F266">
        <v>19.46</v>
      </c>
      <c r="G266">
        <v>0.39</v>
      </c>
      <c r="H266" t="s">
        <v>1297</v>
      </c>
      <c r="I266" s="2" t="s">
        <v>1298</v>
      </c>
      <c r="J266" s="2" t="s">
        <v>1299</v>
      </c>
      <c r="K266" t="str" cm="1">
        <f t="array" ref="K266">_xlfn.IFS(OR($C266="abtest_results",$C266="experimentation_sessions_colour_swatch"),"DROP CONFIRMED",OR($B266="thg-influencer",$B266="thg-ingenuity",$B266="thg-central-marketing",$B266="thg-seoclarity"),"HOLD",TRUE,"REVIEW")</f>
        <v>REVIEW</v>
      </c>
      <c r="L266" t="str" cm="1">
        <f t="array" ref="L266">_xlfn.IFS(OR($C266="abtest_results",$C266="experimentation_sessions_colour_swatch"),"Experimentation team — unused, deprecated format. Safe to drop.",OR($B266="thg-influencer",$B266="thg-ingenuity",$B266="thg-central-marketing",$B266="thg-seoclarity"),"HOLD — Charlie Stringer to review before deletion",TRUE,"")</f>
        <v/>
      </c>
    </row>
    <row r="267" spans="1:12" ht="45.75" customHeight="1">
      <c r="A267" t="s">
        <v>135</v>
      </c>
      <c r="B267" t="s">
        <v>90</v>
      </c>
      <c r="C267" t="s">
        <v>1300</v>
      </c>
      <c r="D267" t="s">
        <v>1301</v>
      </c>
      <c r="E267">
        <v>6</v>
      </c>
      <c r="F267">
        <v>18.88</v>
      </c>
      <c r="G267">
        <v>0.38</v>
      </c>
      <c r="H267" t="s">
        <v>1302</v>
      </c>
      <c r="I267" s="2" t="s">
        <v>1303</v>
      </c>
      <c r="J267" s="2" t="s">
        <v>1304</v>
      </c>
      <c r="K267" t="str" cm="1">
        <f t="array" ref="K267">_xlfn.IFS(OR($C267="abtest_results",$C267="experimentation_sessions_colour_swatch"),"DROP CONFIRMED",OR($B267="thg-influencer",$B267="thg-ingenuity",$B267="thg-central-marketing",$B267="thg-seoclarity"),"HOLD",TRUE,"REVIEW")</f>
        <v>REVIEW</v>
      </c>
      <c r="L267" t="str" cm="1">
        <f t="array" ref="L267">_xlfn.IFS(OR($C267="abtest_results",$C267="experimentation_sessions_colour_swatch"),"Experimentation team — unused, deprecated format. Safe to drop.",OR($B267="thg-influencer",$B267="thg-ingenuity",$B267="thg-central-marketing",$B267="thg-seoclarity"),"HOLD — Charlie Stringer to review before deletion",TRUE,"")</f>
        <v/>
      </c>
    </row>
    <row r="268" spans="1:12" ht="45.75" customHeight="1">
      <c r="A268" t="s">
        <v>135</v>
      </c>
      <c r="B268" t="s">
        <v>89</v>
      </c>
      <c r="C268" t="s">
        <v>1305</v>
      </c>
      <c r="D268" t="s">
        <v>1306</v>
      </c>
      <c r="E268">
        <v>1959</v>
      </c>
      <c r="F268">
        <v>18.77</v>
      </c>
      <c r="G268">
        <v>0.38</v>
      </c>
      <c r="H268" t="s">
        <v>1307</v>
      </c>
      <c r="I268" s="2" t="s">
        <v>1308</v>
      </c>
      <c r="J268" s="2" t="s">
        <v>1309</v>
      </c>
      <c r="K268" t="str" cm="1">
        <f t="array" ref="K268">_xlfn.IFS(OR($C268="abtest_results",$C268="experimentation_sessions_colour_swatch"),"DROP CONFIRMED",OR($B268="thg-influencer",$B268="thg-ingenuity",$B268="thg-central-marketing",$B268="thg-seoclarity"),"HOLD",TRUE,"REVIEW")</f>
        <v>REVIEW</v>
      </c>
      <c r="L268" t="str" cm="1">
        <f t="array" ref="L268">_xlfn.IFS(OR($C268="abtest_results",$C268="experimentation_sessions_colour_swatch"),"Experimentation team — unused, deprecated format. Safe to drop.",OR($B268="thg-influencer",$B268="thg-ingenuity",$B268="thg-central-marketing",$B268="thg-seoclarity"),"HOLD — Charlie Stringer to review before deletion",TRUE,"")</f>
        <v/>
      </c>
    </row>
    <row r="269" spans="1:12" ht="45.75" customHeight="1">
      <c r="A269" t="s">
        <v>135</v>
      </c>
      <c r="B269" t="s">
        <v>89</v>
      </c>
      <c r="C269" t="s">
        <v>1310</v>
      </c>
      <c r="D269" t="s">
        <v>1311</v>
      </c>
      <c r="E269">
        <v>241</v>
      </c>
      <c r="F269">
        <v>19.04</v>
      </c>
      <c r="G269">
        <v>0.38</v>
      </c>
      <c r="H269" t="s">
        <v>1312</v>
      </c>
      <c r="I269" s="2" t="s">
        <v>1313</v>
      </c>
      <c r="J269" s="2" t="s">
        <v>1314</v>
      </c>
      <c r="K269" t="str" cm="1">
        <f t="array" ref="K269">_xlfn.IFS(OR($C269="abtest_results",$C269="experimentation_sessions_colour_swatch"),"DROP CONFIRMED",OR($B269="thg-influencer",$B269="thg-ingenuity",$B269="thg-central-marketing",$B269="thg-seoclarity"),"HOLD",TRUE,"REVIEW")</f>
        <v>REVIEW</v>
      </c>
      <c r="L269" t="str" cm="1">
        <f t="array" ref="L269">_xlfn.IFS(OR($C269="abtest_results",$C269="experimentation_sessions_colour_swatch"),"Experimentation team — unused, deprecated format. Safe to drop.",OR($B269="thg-influencer",$B269="thg-ingenuity",$B269="thg-central-marketing",$B269="thg-seoclarity"),"HOLD — Charlie Stringer to review before deletion",TRUE,"")</f>
        <v/>
      </c>
    </row>
    <row r="270" spans="1:12" ht="45.75" customHeight="1">
      <c r="A270" t="s">
        <v>135</v>
      </c>
      <c r="B270" t="s">
        <v>89</v>
      </c>
      <c r="C270" t="s">
        <v>1315</v>
      </c>
      <c r="D270" t="s">
        <v>1316</v>
      </c>
      <c r="E270">
        <v>240</v>
      </c>
      <c r="F270">
        <v>18.98</v>
      </c>
      <c r="G270">
        <v>0.38</v>
      </c>
      <c r="H270" t="s">
        <v>1317</v>
      </c>
      <c r="I270" s="2" t="s">
        <v>1318</v>
      </c>
      <c r="J270" s="2" t="s">
        <v>1319</v>
      </c>
      <c r="K270" t="str" cm="1">
        <f t="array" ref="K270">_xlfn.IFS(OR($C270="abtest_results",$C270="experimentation_sessions_colour_swatch"),"DROP CONFIRMED",OR($B270="thg-influencer",$B270="thg-ingenuity",$B270="thg-central-marketing",$B270="thg-seoclarity"),"HOLD",TRUE,"REVIEW")</f>
        <v>REVIEW</v>
      </c>
      <c r="L270" t="str" cm="1">
        <f t="array" ref="L270">_xlfn.IFS(OR($C270="abtest_results",$C270="experimentation_sessions_colour_swatch"),"Experimentation team — unused, deprecated format. Safe to drop.",OR($B270="thg-influencer",$B270="thg-ingenuity",$B270="thg-central-marketing",$B270="thg-seoclarity"),"HOLD — Charlie Stringer to review before deletion",TRUE,"")</f>
        <v/>
      </c>
    </row>
    <row r="271" spans="1:12" ht="45.75" customHeight="1">
      <c r="A271" t="s">
        <v>135</v>
      </c>
      <c r="B271" t="s">
        <v>89</v>
      </c>
      <c r="C271" t="s">
        <v>1320</v>
      </c>
      <c r="D271" t="s">
        <v>142</v>
      </c>
      <c r="E271">
        <v>2299</v>
      </c>
      <c r="F271">
        <v>19.12</v>
      </c>
      <c r="G271">
        <v>0.38</v>
      </c>
      <c r="H271" t="s">
        <v>1321</v>
      </c>
      <c r="I271" s="2" t="s">
        <v>1322</v>
      </c>
      <c r="J271" s="2" t="s">
        <v>1323</v>
      </c>
      <c r="K271" t="str" cm="1">
        <f t="array" ref="K271">_xlfn.IFS(OR($C271="abtest_results",$C271="experimentation_sessions_colour_swatch"),"DROP CONFIRMED",OR($B271="thg-influencer",$B271="thg-ingenuity",$B271="thg-central-marketing",$B271="thg-seoclarity"),"HOLD",TRUE,"REVIEW")</f>
        <v>REVIEW</v>
      </c>
      <c r="L271" t="str" cm="1">
        <f t="array" ref="L271">_xlfn.IFS(OR($C271="abtest_results",$C271="experimentation_sessions_colour_swatch"),"Experimentation team — unused, deprecated format. Safe to drop.",OR($B271="thg-influencer",$B271="thg-ingenuity",$B271="thg-central-marketing",$B271="thg-seoclarity"),"HOLD — Charlie Stringer to review before deletion",TRUE,"")</f>
        <v/>
      </c>
    </row>
    <row r="272" spans="1:12" ht="45.75" customHeight="1">
      <c r="A272" t="s">
        <v>135</v>
      </c>
      <c r="B272" t="s">
        <v>89</v>
      </c>
      <c r="C272" t="s">
        <v>1324</v>
      </c>
      <c r="D272" t="s">
        <v>142</v>
      </c>
      <c r="E272">
        <v>1865</v>
      </c>
      <c r="F272">
        <v>18.899999999999999</v>
      </c>
      <c r="G272">
        <v>0.38</v>
      </c>
      <c r="H272" t="s">
        <v>1325</v>
      </c>
      <c r="I272" s="2" t="s">
        <v>1326</v>
      </c>
      <c r="J272" s="2" t="s">
        <v>1327</v>
      </c>
      <c r="K272" t="str" cm="1">
        <f t="array" ref="K272">_xlfn.IFS(OR($C272="abtest_results",$C272="experimentation_sessions_colour_swatch"),"DROP CONFIRMED",OR($B272="thg-influencer",$B272="thg-ingenuity",$B272="thg-central-marketing",$B272="thg-seoclarity"),"HOLD",TRUE,"REVIEW")</f>
        <v>REVIEW</v>
      </c>
      <c r="L272" t="str" cm="1">
        <f t="array" ref="L272">_xlfn.IFS(OR($C272="abtest_results",$C272="experimentation_sessions_colour_swatch"),"Experimentation team — unused, deprecated format. Safe to drop.",OR($B272="thg-influencer",$B272="thg-ingenuity",$B272="thg-central-marketing",$B272="thg-seoclarity"),"HOLD — Charlie Stringer to review before deletion",TRUE,"")</f>
        <v/>
      </c>
    </row>
    <row r="273" spans="1:12" ht="45.75" customHeight="1">
      <c r="A273" t="s">
        <v>135</v>
      </c>
      <c r="B273" t="s">
        <v>89</v>
      </c>
      <c r="C273" t="s">
        <v>1328</v>
      </c>
      <c r="D273" t="s">
        <v>142</v>
      </c>
      <c r="E273">
        <v>2480</v>
      </c>
      <c r="F273">
        <v>18.8</v>
      </c>
      <c r="G273">
        <v>0.38</v>
      </c>
      <c r="H273" t="s">
        <v>1329</v>
      </c>
      <c r="I273" s="2" t="s">
        <v>1330</v>
      </c>
      <c r="J273" s="2" t="s">
        <v>1331</v>
      </c>
      <c r="K273" t="str" cm="1">
        <f t="array" ref="K273">_xlfn.IFS(OR($C273="abtest_results",$C273="experimentation_sessions_colour_swatch"),"DROP CONFIRMED",OR($B273="thg-influencer",$B273="thg-ingenuity",$B273="thg-central-marketing",$B273="thg-seoclarity"),"HOLD",TRUE,"REVIEW")</f>
        <v>REVIEW</v>
      </c>
      <c r="L273" t="str" cm="1">
        <f t="array" ref="L273">_xlfn.IFS(OR($C273="abtest_results",$C273="experimentation_sessions_colour_swatch"),"Experimentation team — unused, deprecated format. Safe to drop.",OR($B273="thg-influencer",$B273="thg-ingenuity",$B273="thg-central-marketing",$B273="thg-seoclarity"),"HOLD — Charlie Stringer to review before deletion",TRUE,"")</f>
        <v/>
      </c>
    </row>
    <row r="274" spans="1:12" ht="45.75" customHeight="1">
      <c r="A274" t="s">
        <v>135</v>
      </c>
      <c r="B274" t="s">
        <v>89</v>
      </c>
      <c r="C274" t="s">
        <v>1332</v>
      </c>
      <c r="D274" t="s">
        <v>1333</v>
      </c>
      <c r="E274">
        <v>6813</v>
      </c>
      <c r="F274">
        <v>18.73</v>
      </c>
      <c r="G274">
        <v>0.37</v>
      </c>
      <c r="H274" t="s">
        <v>1334</v>
      </c>
      <c r="I274" s="2" t="s">
        <v>1335</v>
      </c>
      <c r="J274" s="2" t="s">
        <v>1336</v>
      </c>
      <c r="K274" t="str" cm="1">
        <f t="array" ref="K274">_xlfn.IFS(OR($C274="abtest_results",$C274="experimentation_sessions_colour_swatch"),"DROP CONFIRMED",OR($B274="thg-influencer",$B274="thg-ingenuity",$B274="thg-central-marketing",$B274="thg-seoclarity"),"HOLD",TRUE,"REVIEW")</f>
        <v>REVIEW</v>
      </c>
      <c r="L274" t="str" cm="1">
        <f t="array" ref="L274">_xlfn.IFS(OR($C274="abtest_results",$C274="experimentation_sessions_colour_swatch"),"Experimentation team — unused, deprecated format. Safe to drop.",OR($B274="thg-influencer",$B274="thg-ingenuity",$B274="thg-central-marketing",$B274="thg-seoclarity"),"HOLD — Charlie Stringer to review before deletion",TRUE,"")</f>
        <v/>
      </c>
    </row>
    <row r="275" spans="1:12" ht="45.75" customHeight="1">
      <c r="A275" t="s">
        <v>135</v>
      </c>
      <c r="B275" t="s">
        <v>89</v>
      </c>
      <c r="C275" t="s">
        <v>1337</v>
      </c>
      <c r="D275" t="s">
        <v>142</v>
      </c>
      <c r="E275">
        <v>1913</v>
      </c>
      <c r="F275">
        <v>18.28</v>
      </c>
      <c r="G275">
        <v>0.37</v>
      </c>
      <c r="H275" t="s">
        <v>1338</v>
      </c>
      <c r="I275" s="2" t="s">
        <v>1339</v>
      </c>
      <c r="J275" s="2" t="s">
        <v>1340</v>
      </c>
      <c r="K275" t="str" cm="1">
        <f t="array" ref="K275">_xlfn.IFS(OR($C275="abtest_results",$C275="experimentation_sessions_colour_swatch"),"DROP CONFIRMED",OR($B275="thg-influencer",$B275="thg-ingenuity",$B275="thg-central-marketing",$B275="thg-seoclarity"),"HOLD",TRUE,"REVIEW")</f>
        <v>REVIEW</v>
      </c>
      <c r="L275" t="str" cm="1">
        <f t="array" ref="L275">_xlfn.IFS(OR($C275="abtest_results",$C275="experimentation_sessions_colour_swatch"),"Experimentation team — unused, deprecated format. Safe to drop.",OR($B275="thg-influencer",$B275="thg-ingenuity",$B275="thg-central-marketing",$B275="thg-seoclarity"),"HOLD — Charlie Stringer to review before deletion",TRUE,"")</f>
        <v/>
      </c>
    </row>
    <row r="276" spans="1:12" ht="45.75" customHeight="1">
      <c r="A276" t="s">
        <v>135</v>
      </c>
      <c r="B276" t="s">
        <v>89</v>
      </c>
      <c r="C276" t="s">
        <v>1341</v>
      </c>
      <c r="D276" t="s">
        <v>142</v>
      </c>
      <c r="E276">
        <v>1856</v>
      </c>
      <c r="F276">
        <v>17.89</v>
      </c>
      <c r="G276">
        <v>0.36</v>
      </c>
      <c r="H276" t="s">
        <v>1342</v>
      </c>
      <c r="I276" s="2" t="s">
        <v>1343</v>
      </c>
      <c r="J276" s="2" t="s">
        <v>1344</v>
      </c>
      <c r="K276" t="str" cm="1">
        <f t="array" ref="K276">_xlfn.IFS(OR($C276="abtest_results",$C276="experimentation_sessions_colour_swatch"),"DROP CONFIRMED",OR($B276="thg-influencer",$B276="thg-ingenuity",$B276="thg-central-marketing",$B276="thg-seoclarity"),"HOLD",TRUE,"REVIEW")</f>
        <v>REVIEW</v>
      </c>
      <c r="L276" t="str" cm="1">
        <f t="array" ref="L276">_xlfn.IFS(OR($C276="abtest_results",$C276="experimentation_sessions_colour_swatch"),"Experimentation team — unused, deprecated format. Safe to drop.",OR($B276="thg-influencer",$B276="thg-ingenuity",$B276="thg-central-marketing",$B276="thg-seoclarity"),"HOLD — Charlie Stringer to review before deletion",TRUE,"")</f>
        <v/>
      </c>
    </row>
    <row r="277" spans="1:12" ht="45.75" customHeight="1">
      <c r="A277" t="s">
        <v>135</v>
      </c>
      <c r="B277" t="s">
        <v>90</v>
      </c>
      <c r="C277" t="s">
        <v>1345</v>
      </c>
      <c r="D277" t="s">
        <v>1346</v>
      </c>
      <c r="E277">
        <v>168</v>
      </c>
      <c r="F277">
        <v>17.260000000000002</v>
      </c>
      <c r="G277">
        <v>0.35</v>
      </c>
      <c r="H277" t="s">
        <v>1347</v>
      </c>
      <c r="I277" s="2" t="s">
        <v>1348</v>
      </c>
      <c r="J277" s="2" t="s">
        <v>1349</v>
      </c>
      <c r="K277" t="str" cm="1">
        <f t="array" ref="K277">_xlfn.IFS(OR($C277="abtest_results",$C277="experimentation_sessions_colour_swatch"),"DROP CONFIRMED",OR($B277="thg-influencer",$B277="thg-ingenuity",$B277="thg-central-marketing",$B277="thg-seoclarity"),"HOLD",TRUE,"REVIEW")</f>
        <v>REVIEW</v>
      </c>
      <c r="L277" t="str" cm="1">
        <f t="array" ref="L277">_xlfn.IFS(OR($C277="abtest_results",$C277="experimentation_sessions_colour_swatch"),"Experimentation team — unused, deprecated format. Safe to drop.",OR($B277="thg-influencer",$B277="thg-ingenuity",$B277="thg-central-marketing",$B277="thg-seoclarity"),"HOLD — Charlie Stringer to review before deletion",TRUE,"")</f>
        <v/>
      </c>
    </row>
    <row r="278" spans="1:12" ht="45.75" customHeight="1">
      <c r="A278" t="s">
        <v>135</v>
      </c>
      <c r="B278" t="s">
        <v>89</v>
      </c>
      <c r="C278" t="s">
        <v>1350</v>
      </c>
      <c r="D278" t="s">
        <v>1351</v>
      </c>
      <c r="E278">
        <v>487</v>
      </c>
      <c r="F278">
        <v>17.37</v>
      </c>
      <c r="G278">
        <v>0.35</v>
      </c>
      <c r="H278" t="s">
        <v>1352</v>
      </c>
      <c r="I278" s="2" t="s">
        <v>1353</v>
      </c>
      <c r="J278" s="2" t="s">
        <v>1354</v>
      </c>
      <c r="K278" t="str" cm="1">
        <f t="array" ref="K278">_xlfn.IFS(OR($C278="abtest_results",$C278="experimentation_sessions_colour_swatch"),"DROP CONFIRMED",OR($B278="thg-influencer",$B278="thg-ingenuity",$B278="thg-central-marketing",$B278="thg-seoclarity"),"HOLD",TRUE,"REVIEW")</f>
        <v>REVIEW</v>
      </c>
      <c r="L278" t="str" cm="1">
        <f t="array" ref="L278">_xlfn.IFS(OR($C278="abtest_results",$C278="experimentation_sessions_colour_swatch"),"Experimentation team — unused, deprecated format. Safe to drop.",OR($B278="thg-influencer",$B278="thg-ingenuity",$B278="thg-central-marketing",$B278="thg-seoclarity"),"HOLD — Charlie Stringer to review before deletion",TRUE,"")</f>
        <v/>
      </c>
    </row>
    <row r="279" spans="1:12" ht="45.75" customHeight="1">
      <c r="A279" t="s">
        <v>135</v>
      </c>
      <c r="B279" t="s">
        <v>90</v>
      </c>
      <c r="C279" t="s">
        <v>1355</v>
      </c>
      <c r="D279" t="s">
        <v>1356</v>
      </c>
      <c r="E279">
        <v>95</v>
      </c>
      <c r="F279">
        <v>16.66</v>
      </c>
      <c r="G279">
        <v>0.33</v>
      </c>
      <c r="H279" t="s">
        <v>1357</v>
      </c>
      <c r="I279" s="2" t="s">
        <v>1358</v>
      </c>
      <c r="J279" s="2" t="s">
        <v>1359</v>
      </c>
      <c r="K279" t="str" cm="1">
        <f t="array" ref="K279">_xlfn.IFS(OR($C279="abtest_results",$C279="experimentation_sessions_colour_swatch"),"DROP CONFIRMED",OR($B279="thg-influencer",$B279="thg-ingenuity",$B279="thg-central-marketing",$B279="thg-seoclarity"),"HOLD",TRUE,"REVIEW")</f>
        <v>REVIEW</v>
      </c>
      <c r="L279" t="str" cm="1">
        <f t="array" ref="L279">_xlfn.IFS(OR($C279="abtest_results",$C279="experimentation_sessions_colour_swatch"),"Experimentation team — unused, deprecated format. Safe to drop.",OR($B279="thg-influencer",$B279="thg-ingenuity",$B279="thg-central-marketing",$B279="thg-seoclarity"),"HOLD — Charlie Stringer to review before deletion",TRUE,"")</f>
        <v/>
      </c>
    </row>
    <row r="280" spans="1:12" ht="45.75" customHeight="1">
      <c r="A280" t="s">
        <v>135</v>
      </c>
      <c r="B280" t="s">
        <v>89</v>
      </c>
      <c r="C280" t="s">
        <v>1360</v>
      </c>
      <c r="D280" t="s">
        <v>1173</v>
      </c>
      <c r="E280">
        <v>386</v>
      </c>
      <c r="F280">
        <v>16.43</v>
      </c>
      <c r="G280">
        <v>0.33</v>
      </c>
      <c r="H280" t="s">
        <v>1361</v>
      </c>
      <c r="I280" s="2" t="s">
        <v>1362</v>
      </c>
      <c r="J280" s="2" t="s">
        <v>1363</v>
      </c>
      <c r="K280" t="str" cm="1">
        <f t="array" ref="K280">_xlfn.IFS(OR($C280="abtest_results",$C280="experimentation_sessions_colour_swatch"),"DROP CONFIRMED",OR($B280="thg-influencer",$B280="thg-ingenuity",$B280="thg-central-marketing",$B280="thg-seoclarity"),"HOLD",TRUE,"REVIEW")</f>
        <v>REVIEW</v>
      </c>
      <c r="L280" t="str" cm="1">
        <f t="array" ref="L280">_xlfn.IFS(OR($C280="abtest_results",$C280="experimentation_sessions_colour_swatch"),"Experimentation team — unused, deprecated format. Safe to drop.",OR($B280="thg-influencer",$B280="thg-ingenuity",$B280="thg-central-marketing",$B280="thg-seoclarity"),"HOLD — Charlie Stringer to review before deletion",TRUE,"")</f>
        <v/>
      </c>
    </row>
    <row r="281" spans="1:12" ht="45.75" customHeight="1">
      <c r="A281" t="s">
        <v>135</v>
      </c>
      <c r="B281" t="s">
        <v>89</v>
      </c>
      <c r="C281" t="s">
        <v>1364</v>
      </c>
      <c r="D281" t="s">
        <v>142</v>
      </c>
      <c r="E281">
        <v>1328</v>
      </c>
      <c r="F281">
        <v>16.420000000000002</v>
      </c>
      <c r="G281">
        <v>0.33</v>
      </c>
      <c r="H281" t="s">
        <v>1365</v>
      </c>
      <c r="I281" s="2" t="s">
        <v>1366</v>
      </c>
      <c r="J281" s="2" t="s">
        <v>1367</v>
      </c>
      <c r="K281" t="str" cm="1">
        <f t="array" ref="K281">_xlfn.IFS(OR($C281="abtest_results",$C281="experimentation_sessions_colour_swatch"),"DROP CONFIRMED",OR($B281="thg-influencer",$B281="thg-ingenuity",$B281="thg-central-marketing",$B281="thg-seoclarity"),"HOLD",TRUE,"REVIEW")</f>
        <v>REVIEW</v>
      </c>
      <c r="L281" t="str" cm="1">
        <f t="array" ref="L281">_xlfn.IFS(OR($C281="abtest_results",$C281="experimentation_sessions_colour_swatch"),"Experimentation team — unused, deprecated format. Safe to drop.",OR($B281="thg-influencer",$B281="thg-ingenuity",$B281="thg-central-marketing",$B281="thg-seoclarity"),"HOLD — Charlie Stringer to review before deletion",TRUE,"")</f>
        <v/>
      </c>
    </row>
    <row r="282" spans="1:12" ht="45.75" customHeight="1">
      <c r="A282" t="s">
        <v>135</v>
      </c>
      <c r="B282" t="s">
        <v>89</v>
      </c>
      <c r="C282" t="s">
        <v>1368</v>
      </c>
      <c r="D282" t="s">
        <v>1369</v>
      </c>
      <c r="E282">
        <v>391</v>
      </c>
      <c r="F282">
        <v>16.59</v>
      </c>
      <c r="G282">
        <v>0.33</v>
      </c>
      <c r="H282" t="s">
        <v>1370</v>
      </c>
      <c r="I282" s="2" t="s">
        <v>1371</v>
      </c>
      <c r="J282" s="2" t="s">
        <v>1372</v>
      </c>
      <c r="K282" t="str" cm="1">
        <f t="array" ref="K282">_xlfn.IFS(OR($C282="abtest_results",$C282="experimentation_sessions_colour_swatch"),"DROP CONFIRMED",OR($B282="thg-influencer",$B282="thg-ingenuity",$B282="thg-central-marketing",$B282="thg-seoclarity"),"HOLD",TRUE,"REVIEW")</f>
        <v>REVIEW</v>
      </c>
      <c r="L282" t="str" cm="1">
        <f t="array" ref="L282">_xlfn.IFS(OR($C282="abtest_results",$C282="experimentation_sessions_colour_swatch"),"Experimentation team — unused, deprecated format. Safe to drop.",OR($B282="thg-influencer",$B282="thg-ingenuity",$B282="thg-central-marketing",$B282="thg-seoclarity"),"HOLD — Charlie Stringer to review before deletion",TRUE,"")</f>
        <v/>
      </c>
    </row>
    <row r="283" spans="1:12" ht="45.75" customHeight="1">
      <c r="A283" t="s">
        <v>135</v>
      </c>
      <c r="B283" t="s">
        <v>89</v>
      </c>
      <c r="C283" t="s">
        <v>1373</v>
      </c>
      <c r="D283" t="s">
        <v>142</v>
      </c>
      <c r="E283">
        <v>2412</v>
      </c>
      <c r="F283">
        <v>16.03</v>
      </c>
      <c r="G283">
        <v>0.32</v>
      </c>
      <c r="H283" t="s">
        <v>1374</v>
      </c>
      <c r="I283" s="2" t="s">
        <v>1375</v>
      </c>
      <c r="J283" s="2" t="s">
        <v>1376</v>
      </c>
      <c r="K283" t="str" cm="1">
        <f t="array" ref="K283">_xlfn.IFS(OR($C283="abtest_results",$C283="experimentation_sessions_colour_swatch"),"DROP CONFIRMED",OR($B283="thg-influencer",$B283="thg-ingenuity",$B283="thg-central-marketing",$B283="thg-seoclarity"),"HOLD",TRUE,"REVIEW")</f>
        <v>REVIEW</v>
      </c>
      <c r="L283" t="str" cm="1">
        <f t="array" ref="L283">_xlfn.IFS(OR($C283="abtest_results",$C283="experimentation_sessions_colour_swatch"),"Experimentation team — unused, deprecated format. Safe to drop.",OR($B283="thg-influencer",$B283="thg-ingenuity",$B283="thg-central-marketing",$B283="thg-seoclarity"),"HOLD — Charlie Stringer to review before deletion",TRUE,"")</f>
        <v/>
      </c>
    </row>
    <row r="284" spans="1:12" ht="45.75" customHeight="1">
      <c r="A284" t="s">
        <v>135</v>
      </c>
      <c r="B284" t="s">
        <v>89</v>
      </c>
      <c r="C284" t="s">
        <v>1377</v>
      </c>
      <c r="D284" t="s">
        <v>815</v>
      </c>
      <c r="E284">
        <v>3524</v>
      </c>
      <c r="F284">
        <v>15.92</v>
      </c>
      <c r="G284">
        <v>0.32</v>
      </c>
      <c r="H284" t="s">
        <v>1378</v>
      </c>
      <c r="I284" s="2" t="s">
        <v>1379</v>
      </c>
      <c r="J284" s="2" t="s">
        <v>1380</v>
      </c>
      <c r="K284" t="str" cm="1">
        <f t="array" ref="K284">_xlfn.IFS(OR($C284="abtest_results",$C284="experimentation_sessions_colour_swatch"),"DROP CONFIRMED",OR($B284="thg-influencer",$B284="thg-ingenuity",$B284="thg-central-marketing",$B284="thg-seoclarity"),"HOLD",TRUE,"REVIEW")</f>
        <v>REVIEW</v>
      </c>
      <c r="L284" t="str" cm="1">
        <f t="array" ref="L284">_xlfn.IFS(OR($C284="abtest_results",$C284="experimentation_sessions_colour_swatch"),"Experimentation team — unused, deprecated format. Safe to drop.",OR($B284="thg-influencer",$B284="thg-ingenuity",$B284="thg-central-marketing",$B284="thg-seoclarity"),"HOLD — Charlie Stringer to review before deletion",TRUE,"")</f>
        <v/>
      </c>
    </row>
    <row r="285" spans="1:12" ht="45.75" customHeight="1">
      <c r="A285" t="s">
        <v>135</v>
      </c>
      <c r="B285" t="s">
        <v>89</v>
      </c>
      <c r="C285" t="s">
        <v>1381</v>
      </c>
      <c r="D285" t="s">
        <v>142</v>
      </c>
      <c r="E285">
        <v>2438</v>
      </c>
      <c r="F285">
        <v>16.03</v>
      </c>
      <c r="G285">
        <v>0.32</v>
      </c>
      <c r="H285" t="s">
        <v>1382</v>
      </c>
      <c r="I285" s="2" t="s">
        <v>1383</v>
      </c>
      <c r="J285" s="2" t="s">
        <v>1384</v>
      </c>
      <c r="K285" t="str" cm="1">
        <f t="array" ref="K285">_xlfn.IFS(OR($C285="abtest_results",$C285="experimentation_sessions_colour_swatch"),"DROP CONFIRMED",OR($B285="thg-influencer",$B285="thg-ingenuity",$B285="thg-central-marketing",$B285="thg-seoclarity"),"HOLD",TRUE,"REVIEW")</f>
        <v>REVIEW</v>
      </c>
      <c r="L285" t="str" cm="1">
        <f t="array" ref="L285">_xlfn.IFS(OR($C285="abtest_results",$C285="experimentation_sessions_colour_swatch"),"Experimentation team — unused, deprecated format. Safe to drop.",OR($B285="thg-influencer",$B285="thg-ingenuity",$B285="thg-central-marketing",$B285="thg-seoclarity"),"HOLD — Charlie Stringer to review before deletion",TRUE,"")</f>
        <v/>
      </c>
    </row>
    <row r="286" spans="1:12" ht="45.75" customHeight="1">
      <c r="A286" t="s">
        <v>135</v>
      </c>
      <c r="B286" t="s">
        <v>89</v>
      </c>
      <c r="C286" t="s">
        <v>1385</v>
      </c>
      <c r="D286" t="s">
        <v>1386</v>
      </c>
      <c r="E286">
        <v>503</v>
      </c>
      <c r="F286">
        <v>15.92</v>
      </c>
      <c r="G286">
        <v>0.32</v>
      </c>
      <c r="H286" t="s">
        <v>1387</v>
      </c>
      <c r="I286" s="2" t="s">
        <v>1388</v>
      </c>
      <c r="J286" s="2" t="s">
        <v>1389</v>
      </c>
      <c r="K286" t="str" cm="1">
        <f t="array" ref="K286">_xlfn.IFS(OR($C286="abtest_results",$C286="experimentation_sessions_colour_swatch"),"DROP CONFIRMED",OR($B286="thg-influencer",$B286="thg-ingenuity",$B286="thg-central-marketing",$B286="thg-seoclarity"),"HOLD",TRUE,"REVIEW")</f>
        <v>REVIEW</v>
      </c>
      <c r="L286" t="str" cm="1">
        <f t="array" ref="L286">_xlfn.IFS(OR($C286="abtest_results",$C286="experimentation_sessions_colour_swatch"),"Experimentation team — unused, deprecated format. Safe to drop.",OR($B286="thg-influencer",$B286="thg-ingenuity",$B286="thg-central-marketing",$B286="thg-seoclarity"),"HOLD — Charlie Stringer to review before deletion",TRUE,"")</f>
        <v/>
      </c>
    </row>
    <row r="287" spans="1:12" ht="45.75" customHeight="1">
      <c r="A287" t="s">
        <v>135</v>
      </c>
      <c r="B287" t="s">
        <v>89</v>
      </c>
      <c r="C287" t="s">
        <v>1390</v>
      </c>
      <c r="D287" t="s">
        <v>1391</v>
      </c>
      <c r="E287">
        <v>528</v>
      </c>
      <c r="F287">
        <v>15.85</v>
      </c>
      <c r="G287">
        <v>0.32</v>
      </c>
      <c r="H287" t="s">
        <v>1392</v>
      </c>
      <c r="I287" s="2" t="s">
        <v>1393</v>
      </c>
      <c r="J287" s="2" t="s">
        <v>1394</v>
      </c>
      <c r="K287" t="str" cm="1">
        <f t="array" ref="K287">_xlfn.IFS(OR($C287="abtest_results",$C287="experimentation_sessions_colour_swatch"),"DROP CONFIRMED",OR($B287="thg-influencer",$B287="thg-ingenuity",$B287="thg-central-marketing",$B287="thg-seoclarity"),"HOLD",TRUE,"REVIEW")</f>
        <v>REVIEW</v>
      </c>
      <c r="L287" t="str" cm="1">
        <f t="array" ref="L287">_xlfn.IFS(OR($C287="abtest_results",$C287="experimentation_sessions_colour_swatch"),"Experimentation team — unused, deprecated format. Safe to drop.",OR($B287="thg-influencer",$B287="thg-ingenuity",$B287="thg-central-marketing",$B287="thg-seoclarity"),"HOLD — Charlie Stringer to review before deletion",TRUE,"")</f>
        <v/>
      </c>
    </row>
    <row r="288" spans="1:12" ht="45.75" customHeight="1">
      <c r="A288" t="s">
        <v>135</v>
      </c>
      <c r="B288" t="s">
        <v>89</v>
      </c>
      <c r="C288" t="s">
        <v>1395</v>
      </c>
      <c r="D288" t="s">
        <v>1396</v>
      </c>
      <c r="E288">
        <v>444</v>
      </c>
      <c r="F288">
        <v>15.88</v>
      </c>
      <c r="G288">
        <v>0.32</v>
      </c>
      <c r="H288" t="s">
        <v>1397</v>
      </c>
      <c r="I288" s="2" t="s">
        <v>1398</v>
      </c>
      <c r="J288" s="2" t="s">
        <v>1399</v>
      </c>
      <c r="K288" t="str" cm="1">
        <f t="array" ref="K288">_xlfn.IFS(OR($C288="abtest_results",$C288="experimentation_sessions_colour_swatch"),"DROP CONFIRMED",OR($B288="thg-influencer",$B288="thg-ingenuity",$B288="thg-central-marketing",$B288="thg-seoclarity"),"HOLD",TRUE,"REVIEW")</f>
        <v>REVIEW</v>
      </c>
      <c r="L288" t="str" cm="1">
        <f t="array" ref="L288">_xlfn.IFS(OR($C288="abtest_results",$C288="experimentation_sessions_colour_swatch"),"Experimentation team — unused, deprecated format. Safe to drop.",OR($B288="thg-influencer",$B288="thg-ingenuity",$B288="thg-central-marketing",$B288="thg-seoclarity"),"HOLD — Charlie Stringer to review before deletion",TRUE,"")</f>
        <v/>
      </c>
    </row>
    <row r="289" spans="1:12" ht="45.75" customHeight="1">
      <c r="A289" t="s">
        <v>135</v>
      </c>
      <c r="B289" t="s">
        <v>89</v>
      </c>
      <c r="C289" t="s">
        <v>1400</v>
      </c>
      <c r="D289" t="s">
        <v>449</v>
      </c>
      <c r="E289">
        <v>2596</v>
      </c>
      <c r="F289">
        <v>15.75</v>
      </c>
      <c r="G289">
        <v>0.31</v>
      </c>
      <c r="H289" t="s">
        <v>1401</v>
      </c>
      <c r="I289" s="2" t="s">
        <v>1402</v>
      </c>
      <c r="J289" s="2" t="s">
        <v>1403</v>
      </c>
      <c r="K289" t="str" cm="1">
        <f t="array" ref="K289">_xlfn.IFS(OR($C289="abtest_results",$C289="experimentation_sessions_colour_swatch"),"DROP CONFIRMED",OR($B289="thg-influencer",$B289="thg-ingenuity",$B289="thg-central-marketing",$B289="thg-seoclarity"),"HOLD",TRUE,"REVIEW")</f>
        <v>REVIEW</v>
      </c>
      <c r="L289" t="str" cm="1">
        <f t="array" ref="L289">_xlfn.IFS(OR($C289="abtest_results",$C289="experimentation_sessions_colour_swatch"),"Experimentation team — unused, deprecated format. Safe to drop.",OR($B289="thg-influencer",$B289="thg-ingenuity",$B289="thg-central-marketing",$B289="thg-seoclarity"),"HOLD — Charlie Stringer to review before deletion",TRUE,"")</f>
        <v/>
      </c>
    </row>
    <row r="290" spans="1:12" ht="45.75" customHeight="1">
      <c r="A290" t="s">
        <v>135</v>
      </c>
      <c r="B290" t="s">
        <v>89</v>
      </c>
      <c r="C290" t="s">
        <v>1404</v>
      </c>
      <c r="D290" t="s">
        <v>142</v>
      </c>
      <c r="E290">
        <v>1570</v>
      </c>
      <c r="F290">
        <v>15.54</v>
      </c>
      <c r="G290">
        <v>0.31</v>
      </c>
      <c r="H290" t="s">
        <v>1405</v>
      </c>
      <c r="I290" s="2" t="s">
        <v>1406</v>
      </c>
      <c r="J290" s="2" t="s">
        <v>1407</v>
      </c>
      <c r="K290" t="str" cm="1">
        <f t="array" ref="K290">_xlfn.IFS(OR($C290="abtest_results",$C290="experimentation_sessions_colour_swatch"),"DROP CONFIRMED",OR($B290="thg-influencer",$B290="thg-ingenuity",$B290="thg-central-marketing",$B290="thg-seoclarity"),"HOLD",TRUE,"REVIEW")</f>
        <v>REVIEW</v>
      </c>
      <c r="L290" t="str" cm="1">
        <f t="array" ref="L290">_xlfn.IFS(OR($C290="abtest_results",$C290="experimentation_sessions_colour_swatch"),"Experimentation team — unused, deprecated format. Safe to drop.",OR($B290="thg-influencer",$B290="thg-ingenuity",$B290="thg-central-marketing",$B290="thg-seoclarity"),"HOLD — Charlie Stringer to review before deletion",TRUE,"")</f>
        <v/>
      </c>
    </row>
    <row r="291" spans="1:12" ht="45.75" customHeight="1">
      <c r="A291" t="s">
        <v>135</v>
      </c>
      <c r="B291" t="s">
        <v>90</v>
      </c>
      <c r="C291" t="s">
        <v>1408</v>
      </c>
      <c r="D291" t="s">
        <v>897</v>
      </c>
      <c r="E291">
        <v>11</v>
      </c>
      <c r="F291">
        <v>15.12</v>
      </c>
      <c r="G291">
        <v>0.3</v>
      </c>
      <c r="H291" t="s">
        <v>1409</v>
      </c>
      <c r="I291" s="2" t="s">
        <v>1410</v>
      </c>
      <c r="J291" s="2" t="s">
        <v>1411</v>
      </c>
      <c r="K291" t="str" cm="1">
        <f t="array" ref="K291">_xlfn.IFS(OR($C291="abtest_results",$C291="experimentation_sessions_colour_swatch"),"DROP CONFIRMED",OR($B291="thg-influencer",$B291="thg-ingenuity",$B291="thg-central-marketing",$B291="thg-seoclarity"),"HOLD",TRUE,"REVIEW")</f>
        <v>REVIEW</v>
      </c>
      <c r="L291" t="str" cm="1">
        <f t="array" ref="L291">_xlfn.IFS(OR($C291="abtest_results",$C291="experimentation_sessions_colour_swatch"),"Experimentation team — unused, deprecated format. Safe to drop.",OR($B291="thg-influencer",$B291="thg-ingenuity",$B291="thg-central-marketing",$B291="thg-seoclarity"),"HOLD — Charlie Stringer to review before deletion",TRUE,"")</f>
        <v/>
      </c>
    </row>
    <row r="292" spans="1:12" ht="45.75" customHeight="1">
      <c r="A292" t="s">
        <v>135</v>
      </c>
      <c r="B292" t="s">
        <v>89</v>
      </c>
      <c r="C292" t="s">
        <v>1412</v>
      </c>
      <c r="D292" t="s">
        <v>142</v>
      </c>
      <c r="E292">
        <v>1426</v>
      </c>
      <c r="F292">
        <v>15.18</v>
      </c>
      <c r="G292">
        <v>0.3</v>
      </c>
      <c r="H292" t="s">
        <v>1413</v>
      </c>
      <c r="I292" s="2" t="s">
        <v>1414</v>
      </c>
      <c r="J292" s="2" t="s">
        <v>1415</v>
      </c>
      <c r="K292" t="str" cm="1">
        <f t="array" ref="K292">_xlfn.IFS(OR($C292="abtest_results",$C292="experimentation_sessions_colour_swatch"),"DROP CONFIRMED",OR($B292="thg-influencer",$B292="thg-ingenuity",$B292="thg-central-marketing",$B292="thg-seoclarity"),"HOLD",TRUE,"REVIEW")</f>
        <v>REVIEW</v>
      </c>
      <c r="L292" t="str" cm="1">
        <f t="array" ref="L292">_xlfn.IFS(OR($C292="abtest_results",$C292="experimentation_sessions_colour_swatch"),"Experimentation team — unused, deprecated format. Safe to drop.",OR($B292="thg-influencer",$B292="thg-ingenuity",$B292="thg-central-marketing",$B292="thg-seoclarity"),"HOLD — Charlie Stringer to review before deletion",TRUE,"")</f>
        <v/>
      </c>
    </row>
    <row r="293" spans="1:12" ht="45.75" customHeight="1">
      <c r="A293" t="s">
        <v>135</v>
      </c>
      <c r="B293" t="s">
        <v>89</v>
      </c>
      <c r="C293" t="s">
        <v>1416</v>
      </c>
      <c r="D293" t="s">
        <v>142</v>
      </c>
      <c r="E293">
        <v>2250</v>
      </c>
      <c r="F293">
        <v>14.82</v>
      </c>
      <c r="G293">
        <v>0.3</v>
      </c>
      <c r="H293" t="s">
        <v>1417</v>
      </c>
      <c r="I293" s="2" t="s">
        <v>1418</v>
      </c>
      <c r="J293" s="2" t="s">
        <v>1419</v>
      </c>
      <c r="K293" t="str" cm="1">
        <f t="array" ref="K293">_xlfn.IFS(OR($C293="abtest_results",$C293="experimentation_sessions_colour_swatch"),"DROP CONFIRMED",OR($B293="thg-influencer",$B293="thg-ingenuity",$B293="thg-central-marketing",$B293="thg-seoclarity"),"HOLD",TRUE,"REVIEW")</f>
        <v>REVIEW</v>
      </c>
      <c r="L293" t="str" cm="1">
        <f t="array" ref="L293">_xlfn.IFS(OR($C293="abtest_results",$C293="experimentation_sessions_colour_swatch"),"Experimentation team — unused, deprecated format. Safe to drop.",OR($B293="thg-influencer",$B293="thg-ingenuity",$B293="thg-central-marketing",$B293="thg-seoclarity"),"HOLD — Charlie Stringer to review before deletion",TRUE,"")</f>
        <v/>
      </c>
    </row>
    <row r="294" spans="1:12" ht="45.75" customHeight="1">
      <c r="A294" t="s">
        <v>135</v>
      </c>
      <c r="B294" t="s">
        <v>89</v>
      </c>
      <c r="C294" t="s">
        <v>1420</v>
      </c>
      <c r="D294" t="s">
        <v>142</v>
      </c>
      <c r="E294">
        <v>2477</v>
      </c>
      <c r="F294">
        <v>14.81</v>
      </c>
      <c r="G294">
        <v>0.3</v>
      </c>
      <c r="H294" t="s">
        <v>1421</v>
      </c>
      <c r="I294" s="2" t="s">
        <v>1422</v>
      </c>
      <c r="J294" s="2" t="s">
        <v>1423</v>
      </c>
      <c r="K294" t="str" cm="1">
        <f t="array" ref="K294">_xlfn.IFS(OR($C294="abtest_results",$C294="experimentation_sessions_colour_swatch"),"DROP CONFIRMED",OR($B294="thg-influencer",$B294="thg-ingenuity",$B294="thg-central-marketing",$B294="thg-seoclarity"),"HOLD",TRUE,"REVIEW")</f>
        <v>REVIEW</v>
      </c>
      <c r="L294" t="str" cm="1">
        <f t="array" ref="L294">_xlfn.IFS(OR($C294="abtest_results",$C294="experimentation_sessions_colour_swatch"),"Experimentation team — unused, deprecated format. Safe to drop.",OR($B294="thg-influencer",$B294="thg-ingenuity",$B294="thg-central-marketing",$B294="thg-seoclarity"),"HOLD — Charlie Stringer to review before deletion",TRUE,"")</f>
        <v/>
      </c>
    </row>
    <row r="295" spans="1:12" ht="45.75" customHeight="1">
      <c r="A295" t="s">
        <v>135</v>
      </c>
      <c r="B295" t="s">
        <v>90</v>
      </c>
      <c r="C295" t="s">
        <v>1424</v>
      </c>
      <c r="D295" t="s">
        <v>184</v>
      </c>
      <c r="E295">
        <v>518</v>
      </c>
      <c r="F295">
        <v>14.73</v>
      </c>
      <c r="G295">
        <v>0.28999999999999998</v>
      </c>
      <c r="H295" t="s">
        <v>1425</v>
      </c>
      <c r="I295" s="2" t="s">
        <v>1426</v>
      </c>
      <c r="J295" s="2" t="s">
        <v>1427</v>
      </c>
      <c r="K295" t="str" cm="1">
        <f t="array" ref="K295">_xlfn.IFS(OR($C295="abtest_results",$C295="experimentation_sessions_colour_swatch"),"DROP CONFIRMED",OR($B295="thg-influencer",$B295="thg-ingenuity",$B295="thg-central-marketing",$B295="thg-seoclarity"),"HOLD",TRUE,"REVIEW")</f>
        <v>REVIEW</v>
      </c>
      <c r="L295" t="str" cm="1">
        <f t="array" ref="L295">_xlfn.IFS(OR($C295="abtest_results",$C295="experimentation_sessions_colour_swatch"),"Experimentation team — unused, deprecated format. Safe to drop.",OR($B295="thg-influencer",$B295="thg-ingenuity",$B295="thg-central-marketing",$B295="thg-seoclarity"),"HOLD — Charlie Stringer to review before deletion",TRUE,"")</f>
        <v/>
      </c>
    </row>
    <row r="296" spans="1:12" ht="45.75" customHeight="1">
      <c r="A296" t="s">
        <v>135</v>
      </c>
      <c r="B296" t="s">
        <v>89</v>
      </c>
      <c r="C296" t="s">
        <v>1428</v>
      </c>
      <c r="D296" t="s">
        <v>142</v>
      </c>
      <c r="E296">
        <v>2734</v>
      </c>
      <c r="F296">
        <v>14.36</v>
      </c>
      <c r="G296">
        <v>0.28999999999999998</v>
      </c>
      <c r="H296" t="s">
        <v>1429</v>
      </c>
      <c r="I296" s="2" t="s">
        <v>1430</v>
      </c>
      <c r="J296" s="2" t="s">
        <v>1431</v>
      </c>
      <c r="K296" t="str" cm="1">
        <f t="array" ref="K296">_xlfn.IFS(OR($C296="abtest_results",$C296="experimentation_sessions_colour_swatch"),"DROP CONFIRMED",OR($B296="thg-influencer",$B296="thg-ingenuity",$B296="thg-central-marketing",$B296="thg-seoclarity"),"HOLD",TRUE,"REVIEW")</f>
        <v>REVIEW</v>
      </c>
      <c r="L296" t="str" cm="1">
        <f t="array" ref="L296">_xlfn.IFS(OR($C296="abtest_results",$C296="experimentation_sessions_colour_swatch"),"Experimentation team — unused, deprecated format. Safe to drop.",OR($B296="thg-influencer",$B296="thg-ingenuity",$B296="thg-central-marketing",$B296="thg-seoclarity"),"HOLD — Charlie Stringer to review before deletion",TRUE,"")</f>
        <v/>
      </c>
    </row>
    <row r="297" spans="1:12" ht="45.75" customHeight="1">
      <c r="A297" t="s">
        <v>135</v>
      </c>
      <c r="B297" t="s">
        <v>89</v>
      </c>
      <c r="C297" t="s">
        <v>1432</v>
      </c>
      <c r="D297" t="s">
        <v>1433</v>
      </c>
      <c r="E297">
        <v>474</v>
      </c>
      <c r="F297">
        <v>14.36</v>
      </c>
      <c r="G297">
        <v>0.28999999999999998</v>
      </c>
      <c r="H297" t="s">
        <v>1434</v>
      </c>
      <c r="I297" s="2" t="s">
        <v>1435</v>
      </c>
      <c r="J297" s="2" t="s">
        <v>1436</v>
      </c>
      <c r="K297" t="str" cm="1">
        <f t="array" ref="K297">_xlfn.IFS(OR($C297="abtest_results",$C297="experimentation_sessions_colour_swatch"),"DROP CONFIRMED",OR($B297="thg-influencer",$B297="thg-ingenuity",$B297="thg-central-marketing",$B297="thg-seoclarity"),"HOLD",TRUE,"REVIEW")</f>
        <v>REVIEW</v>
      </c>
      <c r="L297" t="str" cm="1">
        <f t="array" ref="L297">_xlfn.IFS(OR($C297="abtest_results",$C297="experimentation_sessions_colour_swatch"),"Experimentation team — unused, deprecated format. Safe to drop.",OR($B297="thg-influencer",$B297="thg-ingenuity",$B297="thg-central-marketing",$B297="thg-seoclarity"),"HOLD — Charlie Stringer to review before deletion",TRUE,"")</f>
        <v/>
      </c>
    </row>
    <row r="298" spans="1:12" ht="45.75" customHeight="1">
      <c r="A298" t="s">
        <v>135</v>
      </c>
      <c r="B298" t="s">
        <v>89</v>
      </c>
      <c r="C298" t="s">
        <v>1437</v>
      </c>
      <c r="D298" t="s">
        <v>1438</v>
      </c>
      <c r="E298">
        <v>480</v>
      </c>
      <c r="F298">
        <v>13.81</v>
      </c>
      <c r="G298">
        <v>0.28000000000000003</v>
      </c>
      <c r="H298" t="s">
        <v>1439</v>
      </c>
      <c r="I298" s="2" t="s">
        <v>1440</v>
      </c>
      <c r="J298" s="2" t="s">
        <v>1441</v>
      </c>
      <c r="K298" t="str" cm="1">
        <f t="array" ref="K298">_xlfn.IFS(OR($C298="abtest_results",$C298="experimentation_sessions_colour_swatch"),"DROP CONFIRMED",OR($B298="thg-influencer",$B298="thg-ingenuity",$B298="thg-central-marketing",$B298="thg-seoclarity"),"HOLD",TRUE,"REVIEW")</f>
        <v>REVIEW</v>
      </c>
      <c r="L298" t="str" cm="1">
        <f t="array" ref="L298">_xlfn.IFS(OR($C298="abtest_results",$C298="experimentation_sessions_colour_swatch"),"Experimentation team — unused, deprecated format. Safe to drop.",OR($B298="thg-influencer",$B298="thg-ingenuity",$B298="thg-central-marketing",$B298="thg-seoclarity"),"HOLD — Charlie Stringer to review before deletion",TRUE,"")</f>
        <v/>
      </c>
    </row>
    <row r="299" spans="1:12" ht="45.75" customHeight="1">
      <c r="A299" t="s">
        <v>135</v>
      </c>
      <c r="B299" t="s">
        <v>89</v>
      </c>
      <c r="C299" t="s">
        <v>1442</v>
      </c>
      <c r="D299" t="s">
        <v>612</v>
      </c>
      <c r="E299">
        <v>1444</v>
      </c>
      <c r="F299">
        <v>13.93</v>
      </c>
      <c r="G299">
        <v>0.28000000000000003</v>
      </c>
      <c r="H299" t="s">
        <v>1443</v>
      </c>
      <c r="I299" s="2" t="s">
        <v>1444</v>
      </c>
      <c r="J299" s="2" t="s">
        <v>1445</v>
      </c>
      <c r="K299" t="str" cm="1">
        <f t="array" ref="K299">_xlfn.IFS(OR($C299="abtest_results",$C299="experimentation_sessions_colour_swatch"),"DROP CONFIRMED",OR($B299="thg-influencer",$B299="thg-ingenuity",$B299="thg-central-marketing",$B299="thg-seoclarity"),"HOLD",TRUE,"REVIEW")</f>
        <v>REVIEW</v>
      </c>
      <c r="L299" t="str" cm="1">
        <f t="array" ref="L299">_xlfn.IFS(OR($C299="abtest_results",$C299="experimentation_sessions_colour_swatch"),"Experimentation team — unused, deprecated format. Safe to drop.",OR($B299="thg-influencer",$B299="thg-ingenuity",$B299="thg-central-marketing",$B299="thg-seoclarity"),"HOLD — Charlie Stringer to review before deletion",TRUE,"")</f>
        <v/>
      </c>
    </row>
    <row r="300" spans="1:12" ht="45.75" customHeight="1">
      <c r="A300" t="s">
        <v>135</v>
      </c>
      <c r="B300" t="s">
        <v>89</v>
      </c>
      <c r="C300" t="s">
        <v>1446</v>
      </c>
      <c r="D300" t="s">
        <v>142</v>
      </c>
      <c r="E300">
        <v>2447</v>
      </c>
      <c r="F300">
        <v>14.02</v>
      </c>
      <c r="G300">
        <v>0.28000000000000003</v>
      </c>
      <c r="H300" t="s">
        <v>1447</v>
      </c>
      <c r="I300" s="2" t="s">
        <v>1448</v>
      </c>
      <c r="J300" s="2" t="s">
        <v>1449</v>
      </c>
      <c r="K300" t="str" cm="1">
        <f t="array" ref="K300">_xlfn.IFS(OR($C300="abtest_results",$C300="experimentation_sessions_colour_swatch"),"DROP CONFIRMED",OR($B300="thg-influencer",$B300="thg-ingenuity",$B300="thg-central-marketing",$B300="thg-seoclarity"),"HOLD",TRUE,"REVIEW")</f>
        <v>REVIEW</v>
      </c>
      <c r="L300" t="str" cm="1">
        <f t="array" ref="L300">_xlfn.IFS(OR($C300="abtest_results",$C300="experimentation_sessions_colour_swatch"),"Experimentation team — unused, deprecated format. Safe to drop.",OR($B300="thg-influencer",$B300="thg-ingenuity",$B300="thg-central-marketing",$B300="thg-seoclarity"),"HOLD — Charlie Stringer to review before deletion",TRUE,"")</f>
        <v/>
      </c>
    </row>
    <row r="301" spans="1:12" ht="45.75" customHeight="1">
      <c r="A301" t="s">
        <v>135</v>
      </c>
      <c r="B301" t="s">
        <v>91</v>
      </c>
      <c r="C301" t="s">
        <v>258</v>
      </c>
      <c r="D301" t="s">
        <v>1450</v>
      </c>
      <c r="E301">
        <v>4</v>
      </c>
      <c r="F301">
        <v>13.76</v>
      </c>
      <c r="G301">
        <v>0.28000000000000003</v>
      </c>
      <c r="H301" t="s">
        <v>1451</v>
      </c>
      <c r="I301" s="2" t="s">
        <v>1452</v>
      </c>
      <c r="J301" s="2" t="s">
        <v>1453</v>
      </c>
      <c r="K301" t="str" cm="1">
        <f t="array" ref="K301">_xlfn.IFS(OR($C301="abtest_results",$C301="experimentation_sessions_colour_swatch"),"DROP CONFIRMED",OR($B301="thg-influencer",$B301="thg-ingenuity",$B301="thg-central-marketing",$B301="thg-seoclarity"),"HOLD",TRUE,"REVIEW")</f>
        <v>REVIEW</v>
      </c>
      <c r="L301" t="str" cm="1">
        <f t="array" ref="L301">_xlfn.IFS(OR($C301="abtest_results",$C301="experimentation_sessions_colour_swatch"),"Experimentation team — unused, deprecated format. Safe to drop.",OR($B301="thg-influencer",$B301="thg-ingenuity",$B301="thg-central-marketing",$B301="thg-seoclarity"),"HOLD — Charlie Stringer to review before deletion",TRUE,"")</f>
        <v/>
      </c>
    </row>
    <row r="302" spans="1:12" ht="45.75" customHeight="1">
      <c r="A302" t="s">
        <v>135</v>
      </c>
      <c r="B302" t="s">
        <v>89</v>
      </c>
      <c r="C302" t="s">
        <v>1454</v>
      </c>
      <c r="D302" t="s">
        <v>142</v>
      </c>
      <c r="E302">
        <v>2409</v>
      </c>
      <c r="F302">
        <v>13.44</v>
      </c>
      <c r="G302">
        <v>0.27</v>
      </c>
      <c r="H302" t="s">
        <v>1455</v>
      </c>
      <c r="I302" s="2" t="s">
        <v>1456</v>
      </c>
      <c r="J302" s="2" t="s">
        <v>1457</v>
      </c>
      <c r="K302" t="str" cm="1">
        <f t="array" ref="K302">_xlfn.IFS(OR($C302="abtest_results",$C302="experimentation_sessions_colour_swatch"),"DROP CONFIRMED",OR($B302="thg-influencer",$B302="thg-ingenuity",$B302="thg-central-marketing",$B302="thg-seoclarity"),"HOLD",TRUE,"REVIEW")</f>
        <v>REVIEW</v>
      </c>
      <c r="L302" t="str" cm="1">
        <f t="array" ref="L302">_xlfn.IFS(OR($C302="abtest_results",$C302="experimentation_sessions_colour_swatch"),"Experimentation team — unused, deprecated format. Safe to drop.",OR($B302="thg-influencer",$B302="thg-ingenuity",$B302="thg-central-marketing",$B302="thg-seoclarity"),"HOLD — Charlie Stringer to review before deletion",TRUE,"")</f>
        <v/>
      </c>
    </row>
    <row r="303" spans="1:12" ht="45.75" customHeight="1">
      <c r="A303" t="s">
        <v>135</v>
      </c>
      <c r="B303" t="s">
        <v>89</v>
      </c>
      <c r="C303" t="s">
        <v>1458</v>
      </c>
      <c r="D303" t="s">
        <v>142</v>
      </c>
      <c r="E303">
        <v>1247</v>
      </c>
      <c r="F303">
        <v>13.35</v>
      </c>
      <c r="G303">
        <v>0.27</v>
      </c>
      <c r="H303" t="s">
        <v>1459</v>
      </c>
      <c r="I303" s="2" t="s">
        <v>1460</v>
      </c>
      <c r="J303" s="2" t="s">
        <v>1461</v>
      </c>
      <c r="K303" t="str" cm="1">
        <f t="array" ref="K303">_xlfn.IFS(OR($C303="abtest_results",$C303="experimentation_sessions_colour_swatch"),"DROP CONFIRMED",OR($B303="thg-influencer",$B303="thg-ingenuity",$B303="thg-central-marketing",$B303="thg-seoclarity"),"HOLD",TRUE,"REVIEW")</f>
        <v>REVIEW</v>
      </c>
      <c r="L303" t="str" cm="1">
        <f t="array" ref="L303">_xlfn.IFS(OR($C303="abtest_results",$C303="experimentation_sessions_colour_swatch"),"Experimentation team — unused, deprecated format. Safe to drop.",OR($B303="thg-influencer",$B303="thg-ingenuity",$B303="thg-central-marketing",$B303="thg-seoclarity"),"HOLD — Charlie Stringer to review before deletion",TRUE,"")</f>
        <v/>
      </c>
    </row>
    <row r="304" spans="1:12" ht="45.75" customHeight="1">
      <c r="A304" t="s">
        <v>135</v>
      </c>
      <c r="B304" t="s">
        <v>89</v>
      </c>
      <c r="C304" t="s">
        <v>1462</v>
      </c>
      <c r="D304" t="s">
        <v>1463</v>
      </c>
      <c r="E304">
        <v>17</v>
      </c>
      <c r="F304">
        <v>13.37</v>
      </c>
      <c r="G304">
        <v>0.27</v>
      </c>
      <c r="H304" t="s">
        <v>1464</v>
      </c>
      <c r="I304" s="2" t="s">
        <v>1465</v>
      </c>
      <c r="J304" s="2" t="s">
        <v>1466</v>
      </c>
      <c r="K304" t="str" cm="1">
        <f t="array" ref="K304">_xlfn.IFS(OR($C304="abtest_results",$C304="experimentation_sessions_colour_swatch"),"DROP CONFIRMED",OR($B304="thg-influencer",$B304="thg-ingenuity",$B304="thg-central-marketing",$B304="thg-seoclarity"),"HOLD",TRUE,"REVIEW")</f>
        <v>REVIEW</v>
      </c>
      <c r="L304" t="str" cm="1">
        <f t="array" ref="L304">_xlfn.IFS(OR($C304="abtest_results",$C304="experimentation_sessions_colour_swatch"),"Experimentation team — unused, deprecated format. Safe to drop.",OR($B304="thg-influencer",$B304="thg-ingenuity",$B304="thg-central-marketing",$B304="thg-seoclarity"),"HOLD — Charlie Stringer to review before deletion",TRUE,"")</f>
        <v/>
      </c>
    </row>
    <row r="305" spans="1:12" ht="45.75" customHeight="1">
      <c r="A305" t="s">
        <v>135</v>
      </c>
      <c r="B305" t="s">
        <v>89</v>
      </c>
      <c r="C305" t="s">
        <v>1467</v>
      </c>
      <c r="D305" t="s">
        <v>142</v>
      </c>
      <c r="E305">
        <v>1575</v>
      </c>
      <c r="F305">
        <v>13.47</v>
      </c>
      <c r="G305">
        <v>0.27</v>
      </c>
      <c r="H305" t="s">
        <v>1468</v>
      </c>
      <c r="I305" s="2" t="s">
        <v>1469</v>
      </c>
      <c r="J305" s="2" t="s">
        <v>1470</v>
      </c>
      <c r="K305" t="str" cm="1">
        <f t="array" ref="K305">_xlfn.IFS(OR($C305="abtest_results",$C305="experimentation_sessions_colour_swatch"),"DROP CONFIRMED",OR($B305="thg-influencer",$B305="thg-ingenuity",$B305="thg-central-marketing",$B305="thg-seoclarity"),"HOLD",TRUE,"REVIEW")</f>
        <v>REVIEW</v>
      </c>
      <c r="L305" t="str" cm="1">
        <f t="array" ref="L305">_xlfn.IFS(OR($C305="abtest_results",$C305="experimentation_sessions_colour_swatch"),"Experimentation team — unused, deprecated format. Safe to drop.",OR($B305="thg-influencer",$B305="thg-ingenuity",$B305="thg-central-marketing",$B305="thg-seoclarity"),"HOLD — Charlie Stringer to review before deletion",TRUE,"")</f>
        <v/>
      </c>
    </row>
    <row r="306" spans="1:12" ht="45.75" customHeight="1">
      <c r="A306" t="s">
        <v>753</v>
      </c>
      <c r="B306" t="s">
        <v>1471</v>
      </c>
      <c r="C306" t="s">
        <v>1472</v>
      </c>
      <c r="D306" t="s">
        <v>1473</v>
      </c>
      <c r="E306">
        <v>8</v>
      </c>
      <c r="F306">
        <v>13.67</v>
      </c>
      <c r="G306">
        <v>0.27</v>
      </c>
      <c r="H306" t="s">
        <v>1474</v>
      </c>
      <c r="I306" s="2" t="s">
        <v>1475</v>
      </c>
      <c r="J306" s="2" t="s">
        <v>1476</v>
      </c>
      <c r="K306" t="str" cm="1">
        <f t="array" ref="K306">_xlfn.IFS(OR($C306="abtest_results",$C306="experimentation_sessions_colour_swatch"),"DROP CONFIRMED",OR($B306="thg-influencer",$B306="thg-ingenuity",$B306="thg-central-marketing",$B306="thg-seoclarity"),"HOLD",TRUE,"REVIEW")</f>
        <v>REVIEW</v>
      </c>
      <c r="L306" t="str" cm="1">
        <f t="array" ref="L306">_xlfn.IFS(OR($C306="abtest_results",$C306="experimentation_sessions_colour_swatch"),"Experimentation team — unused, deprecated format. Safe to drop.",OR($B306="thg-influencer",$B306="thg-ingenuity",$B306="thg-central-marketing",$B306="thg-seoclarity"),"HOLD — Charlie Stringer to review before deletion",TRUE,"")</f>
        <v/>
      </c>
    </row>
    <row r="307" spans="1:12" ht="45.75" customHeight="1">
      <c r="A307" t="s">
        <v>135</v>
      </c>
      <c r="B307" t="s">
        <v>89</v>
      </c>
      <c r="C307" t="s">
        <v>1477</v>
      </c>
      <c r="D307" t="s">
        <v>1478</v>
      </c>
      <c r="E307">
        <v>478</v>
      </c>
      <c r="F307">
        <v>12.87</v>
      </c>
      <c r="G307">
        <v>0.26</v>
      </c>
      <c r="H307" t="s">
        <v>1479</v>
      </c>
      <c r="I307" s="2" t="s">
        <v>1480</v>
      </c>
      <c r="J307" s="2" t="s">
        <v>1481</v>
      </c>
      <c r="K307" t="str" cm="1">
        <f t="array" ref="K307">_xlfn.IFS(OR($C307="abtest_results",$C307="experimentation_sessions_colour_swatch"),"DROP CONFIRMED",OR($B307="thg-influencer",$B307="thg-ingenuity",$B307="thg-central-marketing",$B307="thg-seoclarity"),"HOLD",TRUE,"REVIEW")</f>
        <v>REVIEW</v>
      </c>
      <c r="L307" t="str" cm="1">
        <f t="array" ref="L307">_xlfn.IFS(OR($C307="abtest_results",$C307="experimentation_sessions_colour_swatch"),"Experimentation team — unused, deprecated format. Safe to drop.",OR($B307="thg-influencer",$B307="thg-ingenuity",$B307="thg-central-marketing",$B307="thg-seoclarity"),"HOLD — Charlie Stringer to review before deletion",TRUE,"")</f>
        <v/>
      </c>
    </row>
    <row r="308" spans="1:12" ht="45.75" customHeight="1">
      <c r="A308" t="s">
        <v>135</v>
      </c>
      <c r="B308" t="s">
        <v>89</v>
      </c>
      <c r="C308" t="s">
        <v>1482</v>
      </c>
      <c r="D308" t="s">
        <v>142</v>
      </c>
      <c r="E308">
        <v>499</v>
      </c>
      <c r="F308">
        <v>12.84</v>
      </c>
      <c r="G308">
        <v>0.26</v>
      </c>
      <c r="H308" t="s">
        <v>1483</v>
      </c>
      <c r="I308" s="2" t="s">
        <v>1484</v>
      </c>
      <c r="J308" s="2" t="s">
        <v>1485</v>
      </c>
      <c r="K308" t="str" cm="1">
        <f t="array" ref="K308">_xlfn.IFS(OR($C308="abtest_results",$C308="experimentation_sessions_colour_swatch"),"DROP CONFIRMED",OR($B308="thg-influencer",$B308="thg-ingenuity",$B308="thg-central-marketing",$B308="thg-seoclarity"),"HOLD",TRUE,"REVIEW")</f>
        <v>REVIEW</v>
      </c>
      <c r="L308" t="str" cm="1">
        <f t="array" ref="L308">_xlfn.IFS(OR($C308="abtest_results",$C308="experimentation_sessions_colour_swatch"),"Experimentation team — unused, deprecated format. Safe to drop.",OR($B308="thg-influencer",$B308="thg-ingenuity",$B308="thg-central-marketing",$B308="thg-seoclarity"),"HOLD — Charlie Stringer to review before deletion",TRUE,"")</f>
        <v/>
      </c>
    </row>
    <row r="309" spans="1:12" ht="45.75" customHeight="1">
      <c r="A309" t="s">
        <v>135</v>
      </c>
      <c r="B309" t="s">
        <v>89</v>
      </c>
      <c r="C309" t="s">
        <v>1486</v>
      </c>
      <c r="D309" t="s">
        <v>142</v>
      </c>
      <c r="E309">
        <v>2350</v>
      </c>
      <c r="F309">
        <v>12.7</v>
      </c>
      <c r="G309">
        <v>0.25</v>
      </c>
      <c r="H309" t="s">
        <v>1487</v>
      </c>
      <c r="I309" s="2" t="s">
        <v>1488</v>
      </c>
      <c r="J309" s="2" t="s">
        <v>1489</v>
      </c>
      <c r="K309" t="str" cm="1">
        <f t="array" ref="K309">_xlfn.IFS(OR($C309="abtest_results",$C309="experimentation_sessions_colour_swatch"),"DROP CONFIRMED",OR($B309="thg-influencer",$B309="thg-ingenuity",$B309="thg-central-marketing",$B309="thg-seoclarity"),"HOLD",TRUE,"REVIEW")</f>
        <v>REVIEW</v>
      </c>
      <c r="L309" t="str" cm="1">
        <f t="array" ref="L309">_xlfn.IFS(OR($C309="abtest_results",$C309="experimentation_sessions_colour_swatch"),"Experimentation team — unused, deprecated format. Safe to drop.",OR($B309="thg-influencer",$B309="thg-ingenuity",$B309="thg-central-marketing",$B309="thg-seoclarity"),"HOLD — Charlie Stringer to review before deletion",TRUE,"")</f>
        <v/>
      </c>
    </row>
    <row r="310" spans="1:12" ht="45.75" customHeight="1">
      <c r="A310" t="s">
        <v>135</v>
      </c>
      <c r="B310" t="s">
        <v>89</v>
      </c>
      <c r="C310" t="s">
        <v>1490</v>
      </c>
      <c r="D310" t="s">
        <v>1491</v>
      </c>
      <c r="E310">
        <v>386</v>
      </c>
      <c r="F310">
        <v>12.37</v>
      </c>
      <c r="G310">
        <v>0.25</v>
      </c>
      <c r="H310" t="s">
        <v>1492</v>
      </c>
      <c r="I310" s="2" t="s">
        <v>1493</v>
      </c>
      <c r="J310" s="2" t="s">
        <v>1494</v>
      </c>
      <c r="K310" t="str" cm="1">
        <f t="array" ref="K310">_xlfn.IFS(OR($C310="abtest_results",$C310="experimentation_sessions_colour_swatch"),"DROP CONFIRMED",OR($B310="thg-influencer",$B310="thg-ingenuity",$B310="thg-central-marketing",$B310="thg-seoclarity"),"HOLD",TRUE,"REVIEW")</f>
        <v>REVIEW</v>
      </c>
      <c r="L310" t="str" cm="1">
        <f t="array" ref="L310">_xlfn.IFS(OR($C310="abtest_results",$C310="experimentation_sessions_colour_swatch"),"Experimentation team — unused, deprecated format. Safe to drop.",OR($B310="thg-influencer",$B310="thg-ingenuity",$B310="thg-central-marketing",$B310="thg-seoclarity"),"HOLD — Charlie Stringer to review before deletion",TRUE,"")</f>
        <v/>
      </c>
    </row>
    <row r="311" spans="1:12" ht="45.75" customHeight="1">
      <c r="A311" t="s">
        <v>135</v>
      </c>
      <c r="B311" t="s">
        <v>89</v>
      </c>
      <c r="C311" t="s">
        <v>1495</v>
      </c>
      <c r="D311" t="s">
        <v>142</v>
      </c>
      <c r="E311">
        <v>2651</v>
      </c>
      <c r="F311">
        <v>12.57</v>
      </c>
      <c r="G311">
        <v>0.25</v>
      </c>
      <c r="H311" t="s">
        <v>1496</v>
      </c>
      <c r="I311" s="2" t="s">
        <v>1497</v>
      </c>
      <c r="J311" s="2" t="s">
        <v>1498</v>
      </c>
      <c r="K311" t="str" cm="1">
        <f t="array" ref="K311">_xlfn.IFS(OR($C311="abtest_results",$C311="experimentation_sessions_colour_swatch"),"DROP CONFIRMED",OR($B311="thg-influencer",$B311="thg-ingenuity",$B311="thg-central-marketing",$B311="thg-seoclarity"),"HOLD",TRUE,"REVIEW")</f>
        <v>REVIEW</v>
      </c>
      <c r="L311" t="str" cm="1">
        <f t="array" ref="L311">_xlfn.IFS(OR($C311="abtest_results",$C311="experimentation_sessions_colour_swatch"),"Experimentation team — unused, deprecated format. Safe to drop.",OR($B311="thg-influencer",$B311="thg-ingenuity",$B311="thg-central-marketing",$B311="thg-seoclarity"),"HOLD — Charlie Stringer to review before deletion",TRUE,"")</f>
        <v/>
      </c>
    </row>
    <row r="312" spans="1:12" ht="45.75" customHeight="1">
      <c r="A312" t="s">
        <v>135</v>
      </c>
      <c r="B312" t="s">
        <v>89</v>
      </c>
      <c r="C312" t="s">
        <v>1499</v>
      </c>
      <c r="D312" t="s">
        <v>1500</v>
      </c>
      <c r="E312">
        <v>468</v>
      </c>
      <c r="F312">
        <v>12.44</v>
      </c>
      <c r="G312">
        <v>0.25</v>
      </c>
      <c r="H312" t="s">
        <v>1501</v>
      </c>
      <c r="I312" s="2" t="s">
        <v>1502</v>
      </c>
      <c r="J312" s="2" t="s">
        <v>1503</v>
      </c>
      <c r="K312" t="str" cm="1">
        <f t="array" ref="K312">_xlfn.IFS(OR($C312="abtest_results",$C312="experimentation_sessions_colour_swatch"),"DROP CONFIRMED",OR($B312="thg-influencer",$B312="thg-ingenuity",$B312="thg-central-marketing",$B312="thg-seoclarity"),"HOLD",TRUE,"REVIEW")</f>
        <v>REVIEW</v>
      </c>
      <c r="L312" t="str" cm="1">
        <f t="array" ref="L312">_xlfn.IFS(OR($C312="abtest_results",$C312="experimentation_sessions_colour_swatch"),"Experimentation team — unused, deprecated format. Safe to drop.",OR($B312="thg-influencer",$B312="thg-ingenuity",$B312="thg-central-marketing",$B312="thg-seoclarity"),"HOLD — Charlie Stringer to review before deletion",TRUE,"")</f>
        <v/>
      </c>
    </row>
    <row r="313" spans="1:12" ht="45.75" customHeight="1">
      <c r="A313" t="s">
        <v>135</v>
      </c>
      <c r="B313" t="s">
        <v>90</v>
      </c>
      <c r="C313" t="s">
        <v>1504</v>
      </c>
      <c r="D313" t="s">
        <v>1505</v>
      </c>
      <c r="E313">
        <v>631</v>
      </c>
      <c r="F313">
        <v>12.02</v>
      </c>
      <c r="G313">
        <v>0.24</v>
      </c>
      <c r="H313" t="s">
        <v>1506</v>
      </c>
      <c r="I313" s="2" t="s">
        <v>1507</v>
      </c>
      <c r="J313" s="2" t="s">
        <v>1508</v>
      </c>
      <c r="K313" t="str" cm="1">
        <f t="array" ref="K313">_xlfn.IFS(OR($C313="abtest_results",$C313="experimentation_sessions_colour_swatch"),"DROP CONFIRMED",OR($B313="thg-influencer",$B313="thg-ingenuity",$B313="thg-central-marketing",$B313="thg-seoclarity"),"HOLD",TRUE,"REVIEW")</f>
        <v>REVIEW</v>
      </c>
      <c r="L313" t="str" cm="1">
        <f t="array" ref="L313">_xlfn.IFS(OR($C313="abtest_results",$C313="experimentation_sessions_colour_swatch"),"Experimentation team — unused, deprecated format. Safe to drop.",OR($B313="thg-influencer",$B313="thg-ingenuity",$B313="thg-central-marketing",$B313="thg-seoclarity"),"HOLD — Charlie Stringer to review before deletion",TRUE,"")</f>
        <v/>
      </c>
    </row>
    <row r="314" spans="1:12" ht="45.75" customHeight="1">
      <c r="A314" t="s">
        <v>135</v>
      </c>
      <c r="B314" t="s">
        <v>90</v>
      </c>
      <c r="C314" t="s">
        <v>1509</v>
      </c>
      <c r="D314" t="s">
        <v>1510</v>
      </c>
      <c r="E314">
        <v>2619</v>
      </c>
      <c r="F314">
        <v>12.16</v>
      </c>
      <c r="G314">
        <v>0.24</v>
      </c>
      <c r="H314" t="s">
        <v>1511</v>
      </c>
      <c r="I314" s="2" t="s">
        <v>1512</v>
      </c>
      <c r="J314" s="2" t="s">
        <v>1513</v>
      </c>
      <c r="K314" t="str" cm="1">
        <f t="array" ref="K314">_xlfn.IFS(OR($C314="abtest_results",$C314="experimentation_sessions_colour_swatch"),"DROP CONFIRMED",OR($B314="thg-influencer",$B314="thg-ingenuity",$B314="thg-central-marketing",$B314="thg-seoclarity"),"HOLD",TRUE,"REVIEW")</f>
        <v>REVIEW</v>
      </c>
      <c r="L314" t="str" cm="1">
        <f t="array" ref="L314">_xlfn.IFS(OR($C314="abtest_results",$C314="experimentation_sessions_colour_swatch"),"Experimentation team — unused, deprecated format. Safe to drop.",OR($B314="thg-influencer",$B314="thg-ingenuity",$B314="thg-central-marketing",$B314="thg-seoclarity"),"HOLD — Charlie Stringer to review before deletion",TRUE,"")</f>
        <v/>
      </c>
    </row>
    <row r="315" spans="1:12" ht="45.75" customHeight="1">
      <c r="A315" t="s">
        <v>135</v>
      </c>
      <c r="B315" t="s">
        <v>89</v>
      </c>
      <c r="C315" t="s">
        <v>1514</v>
      </c>
      <c r="D315" t="s">
        <v>1515</v>
      </c>
      <c r="E315">
        <v>382</v>
      </c>
      <c r="F315">
        <v>11.9</v>
      </c>
      <c r="G315">
        <v>0.24</v>
      </c>
      <c r="H315" t="s">
        <v>1516</v>
      </c>
      <c r="I315" s="2" t="s">
        <v>1517</v>
      </c>
      <c r="J315" s="2" t="s">
        <v>1518</v>
      </c>
      <c r="K315" t="str" cm="1">
        <f t="array" ref="K315">_xlfn.IFS(OR($C315="abtest_results",$C315="experimentation_sessions_colour_swatch"),"DROP CONFIRMED",OR($B315="thg-influencer",$B315="thg-ingenuity",$B315="thg-central-marketing",$B315="thg-seoclarity"),"HOLD",TRUE,"REVIEW")</f>
        <v>REVIEW</v>
      </c>
      <c r="L315" t="str" cm="1">
        <f t="array" ref="L315">_xlfn.IFS(OR($C315="abtest_results",$C315="experimentation_sessions_colour_swatch"),"Experimentation team — unused, deprecated format. Safe to drop.",OR($B315="thg-influencer",$B315="thg-ingenuity",$B315="thg-central-marketing",$B315="thg-seoclarity"),"HOLD — Charlie Stringer to review before deletion",TRUE,"")</f>
        <v/>
      </c>
    </row>
    <row r="316" spans="1:12" ht="45.75" customHeight="1">
      <c r="A316" t="s">
        <v>135</v>
      </c>
      <c r="B316" t="s">
        <v>89</v>
      </c>
      <c r="C316" t="s">
        <v>1519</v>
      </c>
      <c r="D316" t="s">
        <v>1520</v>
      </c>
      <c r="E316">
        <v>384</v>
      </c>
      <c r="F316">
        <v>11.35</v>
      </c>
      <c r="G316">
        <v>0.23</v>
      </c>
      <c r="H316" t="s">
        <v>1521</v>
      </c>
      <c r="I316" s="2" t="s">
        <v>1522</v>
      </c>
      <c r="J316" s="2" t="s">
        <v>1523</v>
      </c>
      <c r="K316" t="str" cm="1">
        <f t="array" ref="K316">_xlfn.IFS(OR($C316="abtest_results",$C316="experimentation_sessions_colour_swatch"),"DROP CONFIRMED",OR($B316="thg-influencer",$B316="thg-ingenuity",$B316="thg-central-marketing",$B316="thg-seoclarity"),"HOLD",TRUE,"REVIEW")</f>
        <v>REVIEW</v>
      </c>
      <c r="L316" t="str" cm="1">
        <f t="array" ref="L316">_xlfn.IFS(OR($C316="abtest_results",$C316="experimentation_sessions_colour_swatch"),"Experimentation team — unused, deprecated format. Safe to drop.",OR($B316="thg-influencer",$B316="thg-ingenuity",$B316="thg-central-marketing",$B316="thg-seoclarity"),"HOLD — Charlie Stringer to review before deletion",TRUE,"")</f>
        <v/>
      </c>
    </row>
    <row r="317" spans="1:12" ht="45.75" customHeight="1">
      <c r="A317" t="s">
        <v>135</v>
      </c>
      <c r="B317" t="s">
        <v>89</v>
      </c>
      <c r="C317" t="s">
        <v>1524</v>
      </c>
      <c r="D317" t="s">
        <v>647</v>
      </c>
      <c r="E317">
        <v>3197</v>
      </c>
      <c r="F317">
        <v>11.36</v>
      </c>
      <c r="G317">
        <v>0.23</v>
      </c>
      <c r="H317" t="s">
        <v>1525</v>
      </c>
      <c r="I317" s="2" t="s">
        <v>1526</v>
      </c>
      <c r="J317" s="2" t="s">
        <v>1527</v>
      </c>
      <c r="K317" t="str" cm="1">
        <f t="array" ref="K317">_xlfn.IFS(OR($C317="abtest_results",$C317="experimentation_sessions_colour_swatch"),"DROP CONFIRMED",OR($B317="thg-influencer",$B317="thg-ingenuity",$B317="thg-central-marketing",$B317="thg-seoclarity"),"HOLD",TRUE,"REVIEW")</f>
        <v>REVIEW</v>
      </c>
      <c r="L317" t="str" cm="1">
        <f t="array" ref="L317">_xlfn.IFS(OR($C317="abtest_results",$C317="experimentation_sessions_colour_swatch"),"Experimentation team — unused, deprecated format. Safe to drop.",OR($B317="thg-influencer",$B317="thg-ingenuity",$B317="thg-central-marketing",$B317="thg-seoclarity"),"HOLD — Charlie Stringer to review before deletion",TRUE,"")</f>
        <v/>
      </c>
    </row>
    <row r="318" spans="1:12" ht="45.75" customHeight="1">
      <c r="A318" t="s">
        <v>135</v>
      </c>
      <c r="B318" t="s">
        <v>89</v>
      </c>
      <c r="C318" t="s">
        <v>1528</v>
      </c>
      <c r="D318" t="s">
        <v>1529</v>
      </c>
      <c r="E318">
        <v>407</v>
      </c>
      <c r="F318">
        <v>11.52</v>
      </c>
      <c r="G318">
        <v>0.23</v>
      </c>
      <c r="H318" t="s">
        <v>1530</v>
      </c>
      <c r="I318" s="2" t="s">
        <v>1531</v>
      </c>
      <c r="J318" s="2" t="s">
        <v>1532</v>
      </c>
      <c r="K318" t="str" cm="1">
        <f t="array" ref="K318">_xlfn.IFS(OR($C318="abtest_results",$C318="experimentation_sessions_colour_swatch"),"DROP CONFIRMED",OR($B318="thg-influencer",$B318="thg-ingenuity",$B318="thg-central-marketing",$B318="thg-seoclarity"),"HOLD",TRUE,"REVIEW")</f>
        <v>REVIEW</v>
      </c>
      <c r="L318" t="str" cm="1">
        <f t="array" ref="L318">_xlfn.IFS(OR($C318="abtest_results",$C318="experimentation_sessions_colour_swatch"),"Experimentation team — unused, deprecated format. Safe to drop.",OR($B318="thg-influencer",$B318="thg-ingenuity",$B318="thg-central-marketing",$B318="thg-seoclarity"),"HOLD — Charlie Stringer to review before deletion",TRUE,"")</f>
        <v/>
      </c>
    </row>
    <row r="319" spans="1:12" ht="45.75" customHeight="1">
      <c r="A319" t="s">
        <v>135</v>
      </c>
      <c r="B319" t="s">
        <v>89</v>
      </c>
      <c r="C319" t="s">
        <v>1533</v>
      </c>
      <c r="D319" t="s">
        <v>1534</v>
      </c>
      <c r="E319">
        <v>420</v>
      </c>
      <c r="F319">
        <v>10.96</v>
      </c>
      <c r="G319">
        <v>0.22</v>
      </c>
      <c r="H319" t="s">
        <v>1535</v>
      </c>
      <c r="I319" s="2" t="s">
        <v>1536</v>
      </c>
      <c r="J319" s="2" t="s">
        <v>1537</v>
      </c>
      <c r="K319" t="str" cm="1">
        <f t="array" ref="K319">_xlfn.IFS(OR($C319="abtest_results",$C319="experimentation_sessions_colour_swatch"),"DROP CONFIRMED",OR($B319="thg-influencer",$B319="thg-ingenuity",$B319="thg-central-marketing",$B319="thg-seoclarity"),"HOLD",TRUE,"REVIEW")</f>
        <v>REVIEW</v>
      </c>
      <c r="L319" t="str" cm="1">
        <f t="array" ref="L319">_xlfn.IFS(OR($C319="abtest_results",$C319="experimentation_sessions_colour_swatch"),"Experimentation team — unused, deprecated format. Safe to drop.",OR($B319="thg-influencer",$B319="thg-ingenuity",$B319="thg-central-marketing",$B319="thg-seoclarity"),"HOLD — Charlie Stringer to review before deletion",TRUE,"")</f>
        <v/>
      </c>
    </row>
    <row r="320" spans="1:12" ht="45.75" customHeight="1">
      <c r="A320" t="s">
        <v>135</v>
      </c>
      <c r="B320" t="s">
        <v>89</v>
      </c>
      <c r="C320" t="s">
        <v>1538</v>
      </c>
      <c r="D320" t="s">
        <v>1539</v>
      </c>
      <c r="E320">
        <v>2</v>
      </c>
      <c r="F320">
        <v>10.79</v>
      </c>
      <c r="G320">
        <v>0.22</v>
      </c>
      <c r="H320" t="s">
        <v>1540</v>
      </c>
      <c r="I320" s="2" t="s">
        <v>1541</v>
      </c>
      <c r="J320" s="2" t="s">
        <v>1542</v>
      </c>
      <c r="K320" t="str" cm="1">
        <f t="array" ref="K320">_xlfn.IFS(OR($C320="abtest_results",$C320="experimentation_sessions_colour_swatch"),"DROP CONFIRMED",OR($B320="thg-influencer",$B320="thg-ingenuity",$B320="thg-central-marketing",$B320="thg-seoclarity"),"HOLD",TRUE,"REVIEW")</f>
        <v>REVIEW</v>
      </c>
      <c r="L320" t="str" cm="1">
        <f t="array" ref="L320">_xlfn.IFS(OR($C320="abtest_results",$C320="experimentation_sessions_colour_swatch"),"Experimentation team — unused, deprecated format. Safe to drop.",OR($B320="thg-influencer",$B320="thg-ingenuity",$B320="thg-central-marketing",$B320="thg-seoclarity"),"HOLD — Charlie Stringer to review before deletion",TRUE,"")</f>
        <v/>
      </c>
    </row>
    <row r="321" spans="1:12" ht="45.75" customHeight="1">
      <c r="A321" t="s">
        <v>135</v>
      </c>
      <c r="B321" t="s">
        <v>89</v>
      </c>
      <c r="C321" t="s">
        <v>1543</v>
      </c>
      <c r="D321" t="s">
        <v>1539</v>
      </c>
      <c r="E321">
        <v>2</v>
      </c>
      <c r="F321">
        <v>10.79</v>
      </c>
      <c r="G321">
        <v>0.22</v>
      </c>
      <c r="H321" t="s">
        <v>1544</v>
      </c>
      <c r="I321" s="2" t="s">
        <v>1545</v>
      </c>
      <c r="J321" s="2" t="s">
        <v>1546</v>
      </c>
      <c r="K321" t="str" cm="1">
        <f t="array" ref="K321">_xlfn.IFS(OR($C321="abtest_results",$C321="experimentation_sessions_colour_swatch"),"DROP CONFIRMED",OR($B321="thg-influencer",$B321="thg-ingenuity",$B321="thg-central-marketing",$B321="thg-seoclarity"),"HOLD",TRUE,"REVIEW")</f>
        <v>REVIEW</v>
      </c>
      <c r="L321" t="str" cm="1">
        <f t="array" ref="L321">_xlfn.IFS(OR($C321="abtest_results",$C321="experimentation_sessions_colour_swatch"),"Experimentation team — unused, deprecated format. Safe to drop.",OR($B321="thg-influencer",$B321="thg-ingenuity",$B321="thg-central-marketing",$B321="thg-seoclarity"),"HOLD — Charlie Stringer to review before deletion",TRUE,"")</f>
        <v/>
      </c>
    </row>
    <row r="322" spans="1:12" ht="45.75" customHeight="1">
      <c r="A322" t="s">
        <v>135</v>
      </c>
      <c r="B322" t="s">
        <v>89</v>
      </c>
      <c r="C322" t="s">
        <v>1547</v>
      </c>
      <c r="D322" t="s">
        <v>1548</v>
      </c>
      <c r="E322">
        <v>505</v>
      </c>
      <c r="F322">
        <v>11.18</v>
      </c>
      <c r="G322">
        <v>0.22</v>
      </c>
      <c r="H322" t="s">
        <v>1549</v>
      </c>
      <c r="I322" s="2" t="s">
        <v>1550</v>
      </c>
      <c r="J322" s="2" t="s">
        <v>1551</v>
      </c>
      <c r="K322" t="str" cm="1">
        <f t="array" ref="K322">_xlfn.IFS(OR($C322="abtest_results",$C322="experimentation_sessions_colour_swatch"),"DROP CONFIRMED",OR($B322="thg-influencer",$B322="thg-ingenuity",$B322="thg-central-marketing",$B322="thg-seoclarity"),"HOLD",TRUE,"REVIEW")</f>
        <v>REVIEW</v>
      </c>
      <c r="L322" t="str" cm="1">
        <f t="array" ref="L322">_xlfn.IFS(OR($C322="abtest_results",$C322="experimentation_sessions_colour_swatch"),"Experimentation team — unused, deprecated format. Safe to drop.",OR($B322="thg-influencer",$B322="thg-ingenuity",$B322="thg-central-marketing",$B322="thg-seoclarity"),"HOLD — Charlie Stringer to review before deletion",TRUE,"")</f>
        <v/>
      </c>
    </row>
    <row r="323" spans="1:12" ht="45.75" customHeight="1">
      <c r="A323" t="s">
        <v>135</v>
      </c>
      <c r="B323" t="s">
        <v>89</v>
      </c>
      <c r="C323" t="s">
        <v>1552</v>
      </c>
      <c r="D323" t="s">
        <v>1553</v>
      </c>
      <c r="E323">
        <v>28</v>
      </c>
      <c r="F323">
        <v>10.81</v>
      </c>
      <c r="G323">
        <v>0.22</v>
      </c>
      <c r="H323" t="s">
        <v>1554</v>
      </c>
      <c r="I323" s="2" t="s">
        <v>1555</v>
      </c>
      <c r="J323" s="2" t="s">
        <v>1556</v>
      </c>
      <c r="K323" t="str" cm="1">
        <f t="array" ref="K323">_xlfn.IFS(OR($C323="abtest_results",$C323="experimentation_sessions_colour_swatch"),"DROP CONFIRMED",OR($B323="thg-influencer",$B323="thg-ingenuity",$B323="thg-central-marketing",$B323="thg-seoclarity"),"HOLD",TRUE,"REVIEW")</f>
        <v>REVIEW</v>
      </c>
      <c r="L323" t="str" cm="1">
        <f t="array" ref="L323">_xlfn.IFS(OR($C323="abtest_results",$C323="experimentation_sessions_colour_swatch"),"Experimentation team — unused, deprecated format. Safe to drop.",OR($B323="thg-influencer",$B323="thg-ingenuity",$B323="thg-central-marketing",$B323="thg-seoclarity"),"HOLD — Charlie Stringer to review before deletion",TRUE,"")</f>
        <v/>
      </c>
    </row>
    <row r="324" spans="1:12" ht="45.75" customHeight="1">
      <c r="A324" t="s">
        <v>135</v>
      </c>
      <c r="B324" t="s">
        <v>89</v>
      </c>
      <c r="C324" t="s">
        <v>1557</v>
      </c>
      <c r="D324" t="s">
        <v>1539</v>
      </c>
      <c r="E324">
        <v>2</v>
      </c>
      <c r="F324">
        <v>10.79</v>
      </c>
      <c r="G324">
        <v>0.22</v>
      </c>
      <c r="H324" t="s">
        <v>1558</v>
      </c>
      <c r="I324" s="2" t="s">
        <v>1559</v>
      </c>
      <c r="J324" s="2" t="s">
        <v>1560</v>
      </c>
      <c r="K324" t="str" cm="1">
        <f t="array" ref="K324">_xlfn.IFS(OR($C324="abtest_results",$C324="experimentation_sessions_colour_swatch"),"DROP CONFIRMED",OR($B324="thg-influencer",$B324="thg-ingenuity",$B324="thg-central-marketing",$B324="thg-seoclarity"),"HOLD",TRUE,"REVIEW")</f>
        <v>REVIEW</v>
      </c>
      <c r="L324" t="str" cm="1">
        <f t="array" ref="L324">_xlfn.IFS(OR($C324="abtest_results",$C324="experimentation_sessions_colour_swatch"),"Experimentation team — unused, deprecated format. Safe to drop.",OR($B324="thg-influencer",$B324="thg-ingenuity",$B324="thg-central-marketing",$B324="thg-seoclarity"),"HOLD — Charlie Stringer to review before deletion",TRUE,"")</f>
        <v/>
      </c>
    </row>
    <row r="325" spans="1:12" ht="45.75" customHeight="1">
      <c r="A325" t="s">
        <v>135</v>
      </c>
      <c r="B325" t="s">
        <v>89</v>
      </c>
      <c r="C325" t="s">
        <v>1561</v>
      </c>
      <c r="D325" t="s">
        <v>1539</v>
      </c>
      <c r="E325">
        <v>2</v>
      </c>
      <c r="F325">
        <v>10.79</v>
      </c>
      <c r="G325">
        <v>0.22</v>
      </c>
      <c r="H325" t="s">
        <v>1562</v>
      </c>
      <c r="I325" s="2" t="s">
        <v>1563</v>
      </c>
      <c r="J325" s="2" t="s">
        <v>1564</v>
      </c>
      <c r="K325" t="str" cm="1">
        <f t="array" ref="K325">_xlfn.IFS(OR($C325="abtest_results",$C325="experimentation_sessions_colour_swatch"),"DROP CONFIRMED",OR($B325="thg-influencer",$B325="thg-ingenuity",$B325="thg-central-marketing",$B325="thg-seoclarity"),"HOLD",TRUE,"REVIEW")</f>
        <v>REVIEW</v>
      </c>
      <c r="L325" t="str" cm="1">
        <f t="array" ref="L325">_xlfn.IFS(OR($C325="abtest_results",$C325="experimentation_sessions_colour_swatch"),"Experimentation team — unused, deprecated format. Safe to drop.",OR($B325="thg-influencer",$B325="thg-ingenuity",$B325="thg-central-marketing",$B325="thg-seoclarity"),"HOLD — Charlie Stringer to review before deletion",TRUE,"")</f>
        <v/>
      </c>
    </row>
    <row r="326" spans="1:12" ht="45.75" customHeight="1">
      <c r="A326" t="s">
        <v>135</v>
      </c>
      <c r="B326" t="s">
        <v>89</v>
      </c>
      <c r="C326" t="s">
        <v>1565</v>
      </c>
      <c r="D326" t="s">
        <v>142</v>
      </c>
      <c r="E326">
        <v>3586</v>
      </c>
      <c r="F326">
        <v>11</v>
      </c>
      <c r="G326">
        <v>0.22</v>
      </c>
      <c r="H326" t="s">
        <v>1566</v>
      </c>
      <c r="I326" s="2" t="s">
        <v>1567</v>
      </c>
      <c r="J326" s="2" t="s">
        <v>1568</v>
      </c>
      <c r="K326" t="str" cm="1">
        <f t="array" ref="K326">_xlfn.IFS(OR($C326="abtest_results",$C326="experimentation_sessions_colour_swatch"),"DROP CONFIRMED",OR($B326="thg-influencer",$B326="thg-ingenuity",$B326="thg-central-marketing",$B326="thg-seoclarity"),"HOLD",TRUE,"REVIEW")</f>
        <v>REVIEW</v>
      </c>
      <c r="L326" t="str" cm="1">
        <f t="array" ref="L326">_xlfn.IFS(OR($C326="abtest_results",$C326="experimentation_sessions_colour_swatch"),"Experimentation team — unused, deprecated format. Safe to drop.",OR($B326="thg-influencer",$B326="thg-ingenuity",$B326="thg-central-marketing",$B326="thg-seoclarity"),"HOLD — Charlie Stringer to review before deletion",TRUE,"")</f>
        <v/>
      </c>
    </row>
    <row r="327" spans="1:12" ht="45.75" customHeight="1">
      <c r="A327" t="s">
        <v>135</v>
      </c>
      <c r="B327" t="s">
        <v>89</v>
      </c>
      <c r="C327" t="s">
        <v>1569</v>
      </c>
      <c r="D327" t="s">
        <v>1539</v>
      </c>
      <c r="E327">
        <v>2</v>
      </c>
      <c r="F327">
        <v>10.79</v>
      </c>
      <c r="G327">
        <v>0.22</v>
      </c>
      <c r="H327" t="s">
        <v>1570</v>
      </c>
      <c r="I327" s="2" t="s">
        <v>1571</v>
      </c>
      <c r="J327" s="2" t="s">
        <v>1572</v>
      </c>
      <c r="K327" t="str" cm="1">
        <f t="array" ref="K327">_xlfn.IFS(OR($C327="abtest_results",$C327="experimentation_sessions_colour_swatch"),"DROP CONFIRMED",OR($B327="thg-influencer",$B327="thg-ingenuity",$B327="thg-central-marketing",$B327="thg-seoclarity"),"HOLD",TRUE,"REVIEW")</f>
        <v>REVIEW</v>
      </c>
      <c r="L327" t="str" cm="1">
        <f t="array" ref="L327">_xlfn.IFS(OR($C327="abtest_results",$C327="experimentation_sessions_colour_swatch"),"Experimentation team — unused, deprecated format. Safe to drop.",OR($B327="thg-influencer",$B327="thg-ingenuity",$B327="thg-central-marketing",$B327="thg-seoclarity"),"HOLD — Charlie Stringer to review before deletion",TRUE,"")</f>
        <v/>
      </c>
    </row>
    <row r="328" spans="1:12" ht="45.75" customHeight="1">
      <c r="A328" t="s">
        <v>135</v>
      </c>
      <c r="B328" t="s">
        <v>89</v>
      </c>
      <c r="C328" t="s">
        <v>1573</v>
      </c>
      <c r="D328" t="s">
        <v>1574</v>
      </c>
      <c r="E328">
        <v>383</v>
      </c>
      <c r="F328">
        <v>10.78</v>
      </c>
      <c r="G328">
        <v>0.22</v>
      </c>
      <c r="H328" t="s">
        <v>1575</v>
      </c>
      <c r="I328" s="2" t="s">
        <v>1576</v>
      </c>
      <c r="J328" s="2" t="s">
        <v>1577</v>
      </c>
      <c r="K328" t="str" cm="1">
        <f t="array" ref="K328">_xlfn.IFS(OR($C328="abtest_results",$C328="experimentation_sessions_colour_swatch"),"DROP CONFIRMED",OR($B328="thg-influencer",$B328="thg-ingenuity",$B328="thg-central-marketing",$B328="thg-seoclarity"),"HOLD",TRUE,"REVIEW")</f>
        <v>REVIEW</v>
      </c>
      <c r="L328" t="str" cm="1">
        <f t="array" ref="L328">_xlfn.IFS(OR($C328="abtest_results",$C328="experimentation_sessions_colour_swatch"),"Experimentation team — unused, deprecated format. Safe to drop.",OR($B328="thg-influencer",$B328="thg-ingenuity",$B328="thg-central-marketing",$B328="thg-seoclarity"),"HOLD — Charlie Stringer to review before deletion",TRUE,"")</f>
        <v/>
      </c>
    </row>
    <row r="329" spans="1:12" ht="45.75" customHeight="1">
      <c r="A329" t="s">
        <v>135</v>
      </c>
      <c r="B329" t="s">
        <v>89</v>
      </c>
      <c r="C329" t="s">
        <v>1578</v>
      </c>
      <c r="D329" t="s">
        <v>1579</v>
      </c>
      <c r="E329">
        <v>947</v>
      </c>
      <c r="F329">
        <v>10.42</v>
      </c>
      <c r="G329">
        <v>0.21</v>
      </c>
      <c r="H329" t="s">
        <v>1580</v>
      </c>
      <c r="I329" s="2" t="s">
        <v>1581</v>
      </c>
      <c r="J329" s="2" t="s">
        <v>1582</v>
      </c>
      <c r="K329" t="str" cm="1">
        <f t="array" ref="K329">_xlfn.IFS(OR($C329="abtest_results",$C329="experimentation_sessions_colour_swatch"),"DROP CONFIRMED",OR($B329="thg-influencer",$B329="thg-ingenuity",$B329="thg-central-marketing",$B329="thg-seoclarity"),"HOLD",TRUE,"REVIEW")</f>
        <v>REVIEW</v>
      </c>
      <c r="L329" t="str" cm="1">
        <f t="array" ref="L329">_xlfn.IFS(OR($C329="abtest_results",$C329="experimentation_sessions_colour_swatch"),"Experimentation team — unused, deprecated format. Safe to drop.",OR($B329="thg-influencer",$B329="thg-ingenuity",$B329="thg-central-marketing",$B329="thg-seoclarity"),"HOLD — Charlie Stringer to review before deletion",TRUE,"")</f>
        <v/>
      </c>
    </row>
    <row r="330" spans="1:12" ht="45.75" customHeight="1">
      <c r="A330" t="s">
        <v>135</v>
      </c>
      <c r="B330" t="s">
        <v>89</v>
      </c>
      <c r="C330" t="s">
        <v>1583</v>
      </c>
      <c r="D330" t="s">
        <v>1584</v>
      </c>
      <c r="E330">
        <v>46</v>
      </c>
      <c r="F330">
        <v>10.44</v>
      </c>
      <c r="G330">
        <v>0.21</v>
      </c>
      <c r="H330" t="s">
        <v>1585</v>
      </c>
      <c r="I330" s="2" t="s">
        <v>1586</v>
      </c>
      <c r="J330" s="2" t="s">
        <v>1587</v>
      </c>
      <c r="K330" t="str" cm="1">
        <f t="array" ref="K330">_xlfn.IFS(OR($C330="abtest_results",$C330="experimentation_sessions_colour_swatch"),"DROP CONFIRMED",OR($B330="thg-influencer",$B330="thg-ingenuity",$B330="thg-central-marketing",$B330="thg-seoclarity"),"HOLD",TRUE,"REVIEW")</f>
        <v>REVIEW</v>
      </c>
      <c r="L330" t="str" cm="1">
        <f t="array" ref="L330">_xlfn.IFS(OR($C330="abtest_results",$C330="experimentation_sessions_colour_swatch"),"Experimentation team — unused, deprecated format. Safe to drop.",OR($B330="thg-influencer",$B330="thg-ingenuity",$B330="thg-central-marketing",$B330="thg-seoclarity"),"HOLD — Charlie Stringer to review before deletion",TRUE,"")</f>
        <v/>
      </c>
    </row>
    <row r="331" spans="1:12" ht="45.75" customHeight="1">
      <c r="A331" t="s">
        <v>135</v>
      </c>
      <c r="B331" t="s">
        <v>89</v>
      </c>
      <c r="C331" t="s">
        <v>1588</v>
      </c>
      <c r="D331" t="s">
        <v>1589</v>
      </c>
      <c r="E331">
        <v>500</v>
      </c>
      <c r="F331">
        <v>10.67</v>
      </c>
      <c r="G331">
        <v>0.21</v>
      </c>
      <c r="H331" t="s">
        <v>1590</v>
      </c>
      <c r="I331" s="2" t="s">
        <v>1591</v>
      </c>
      <c r="J331" s="2" t="s">
        <v>1592</v>
      </c>
      <c r="K331" t="str" cm="1">
        <f t="array" ref="K331">_xlfn.IFS(OR($C331="abtest_results",$C331="experimentation_sessions_colour_swatch"),"DROP CONFIRMED",OR($B331="thg-influencer",$B331="thg-ingenuity",$B331="thg-central-marketing",$B331="thg-seoclarity"),"HOLD",TRUE,"REVIEW")</f>
        <v>REVIEW</v>
      </c>
      <c r="L331" t="str" cm="1">
        <f t="array" ref="L331">_xlfn.IFS(OR($C331="abtest_results",$C331="experimentation_sessions_colour_swatch"),"Experimentation team — unused, deprecated format. Safe to drop.",OR($B331="thg-influencer",$B331="thg-ingenuity",$B331="thg-central-marketing",$B331="thg-seoclarity"),"HOLD — Charlie Stringer to review before deletion",TRUE,"")</f>
        <v/>
      </c>
    </row>
    <row r="332" spans="1:12" ht="45.75" customHeight="1">
      <c r="A332" t="s">
        <v>135</v>
      </c>
      <c r="B332" t="s">
        <v>89</v>
      </c>
      <c r="C332" t="s">
        <v>1593</v>
      </c>
      <c r="D332" t="s">
        <v>1594</v>
      </c>
      <c r="E332">
        <v>958</v>
      </c>
      <c r="F332">
        <v>10.58</v>
      </c>
      <c r="G332">
        <v>0.21</v>
      </c>
      <c r="H332" t="s">
        <v>1595</v>
      </c>
      <c r="I332" s="2" t="s">
        <v>1596</v>
      </c>
      <c r="J332" s="2" t="s">
        <v>1597</v>
      </c>
      <c r="K332" t="str" cm="1">
        <f t="array" ref="K332">_xlfn.IFS(OR($C332="abtest_results",$C332="experimentation_sessions_colour_swatch"),"DROP CONFIRMED",OR($B332="thg-influencer",$B332="thg-ingenuity",$B332="thg-central-marketing",$B332="thg-seoclarity"),"HOLD",TRUE,"REVIEW")</f>
        <v>REVIEW</v>
      </c>
      <c r="L332" t="str" cm="1">
        <f t="array" ref="L332">_xlfn.IFS(OR($C332="abtest_results",$C332="experimentation_sessions_colour_swatch"),"Experimentation team — unused, deprecated format. Safe to drop.",OR($B332="thg-influencer",$B332="thg-ingenuity",$B332="thg-central-marketing",$B332="thg-seoclarity"),"HOLD — Charlie Stringer to review before deletion",TRUE,"")</f>
        <v/>
      </c>
    </row>
    <row r="333" spans="1:12" ht="45.75" customHeight="1">
      <c r="A333" t="s">
        <v>135</v>
      </c>
      <c r="B333" t="s">
        <v>89</v>
      </c>
      <c r="C333" t="s">
        <v>1598</v>
      </c>
      <c r="D333" t="s">
        <v>142</v>
      </c>
      <c r="E333">
        <v>1863</v>
      </c>
      <c r="F333">
        <v>10.57</v>
      </c>
      <c r="G333">
        <v>0.21</v>
      </c>
      <c r="H333" t="s">
        <v>1599</v>
      </c>
      <c r="I333" s="2" t="s">
        <v>1600</v>
      </c>
      <c r="J333" s="2" t="s">
        <v>1601</v>
      </c>
      <c r="K333" t="str" cm="1">
        <f t="array" ref="K333">_xlfn.IFS(OR($C333="abtest_results",$C333="experimentation_sessions_colour_swatch"),"DROP CONFIRMED",OR($B333="thg-influencer",$B333="thg-ingenuity",$B333="thg-central-marketing",$B333="thg-seoclarity"),"HOLD",TRUE,"REVIEW")</f>
        <v>REVIEW</v>
      </c>
      <c r="L333" t="str" cm="1">
        <f t="array" ref="L333">_xlfn.IFS(OR($C333="abtest_results",$C333="experimentation_sessions_colour_swatch"),"Experimentation team — unused, deprecated format. Safe to drop.",OR($B333="thg-influencer",$B333="thg-ingenuity",$B333="thg-central-marketing",$B333="thg-seoclarity"),"HOLD — Charlie Stringer to review before deletion",TRUE,"")</f>
        <v/>
      </c>
    </row>
    <row r="334" spans="1:12" ht="45.75" customHeight="1">
      <c r="A334" t="s">
        <v>135</v>
      </c>
      <c r="B334" t="s">
        <v>89</v>
      </c>
      <c r="C334" t="s">
        <v>1602</v>
      </c>
      <c r="D334" t="s">
        <v>1603</v>
      </c>
      <c r="E334">
        <v>531</v>
      </c>
      <c r="F334">
        <v>10.55</v>
      </c>
      <c r="G334">
        <v>0.21</v>
      </c>
      <c r="H334" t="s">
        <v>1604</v>
      </c>
      <c r="I334" s="2" t="s">
        <v>1605</v>
      </c>
      <c r="J334" s="2" t="s">
        <v>1606</v>
      </c>
      <c r="K334" t="str" cm="1">
        <f t="array" ref="K334">_xlfn.IFS(OR($C334="abtest_results",$C334="experimentation_sessions_colour_swatch"),"DROP CONFIRMED",OR($B334="thg-influencer",$B334="thg-ingenuity",$B334="thg-central-marketing",$B334="thg-seoclarity"),"HOLD",TRUE,"REVIEW")</f>
        <v>REVIEW</v>
      </c>
      <c r="L334" t="str" cm="1">
        <f t="array" ref="L334">_xlfn.IFS(OR($C334="abtest_results",$C334="experimentation_sessions_colour_swatch"),"Experimentation team — unused, deprecated format. Safe to drop.",OR($B334="thg-influencer",$B334="thg-ingenuity",$B334="thg-central-marketing",$B334="thg-seoclarity"),"HOLD — Charlie Stringer to review before deletion",TRUE,"")</f>
        <v/>
      </c>
    </row>
  </sheetData>
  <autoFilter ref="A1:J334" xr:uid="{00000000-0009-0000-0000-000001000000}">
    <sortState xmlns:xlrd2="http://schemas.microsoft.com/office/spreadsheetml/2017/richdata2" ref="A2:J334">
      <sortCondition descending="1" ref="G1:G334"/>
    </sortState>
  </autoFilter>
  <conditionalFormatting sqref="B1:B1048576">
    <cfRule type="containsText" dxfId="11" priority="1" operator="containsText" text="thg-influencer">
      <formula>NOT(ISERROR(SEARCH("thg-influencer",B1)))</formula>
    </cfRule>
    <cfRule type="containsText" dxfId="10" priority="2" operator="containsText" text="thg-ingenuity">
      <formula>NOT(ISERROR(SEARCH("thg-ingenuity",B1)))</formula>
    </cfRule>
    <cfRule type="containsText" dxfId="9" priority="3" operator="containsText" text="thg-seoclarity ">
      <formula>NOT(ISERROR(SEARCH("thg-seoclarity ",B1)))</formula>
    </cfRule>
    <cfRule type="containsText" dxfId="8" priority="5" operator="containsText" text="thg-central-marketing">
      <formula>NOT(ISERROR(SEARCH("thg-central-marketing",B1)))</formula>
    </cfRule>
  </conditionalFormatting>
  <conditionalFormatting sqref="K2:K334">
    <cfRule type="cellIs" dxfId="7" priority="6" operator="equal">
      <formula>"DROP CONFIRMED"</formula>
    </cfRule>
  </conditionalFormatting>
  <conditionalFormatting sqref="K2:K334">
    <cfRule type="cellIs" dxfId="6" priority="7" operator="equal">
      <formula>"HOLD"</formula>
    </cfRule>
  </conditionalFormatting>
  <conditionalFormatting sqref="K2:K334">
    <cfRule type="cellIs" dxfId="5" priority="8" operator="equal">
      <formula>"REVIEW"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2098"/>
  <sheetViews>
    <sheetView tabSelected="1" topLeftCell="M1" workbookViewId="0">
      <selection activeCell="R797" sqref="R797"/>
    </sheetView>
  </sheetViews>
  <sheetFormatPr defaultRowHeight="15"/>
  <cols>
    <col min="1" max="1" width="26.28515625" bestFit="1" customWidth="1"/>
    <col min="2" max="2" width="13.7109375" bestFit="1" customWidth="1"/>
    <col min="3" max="3" width="52" bestFit="1" customWidth="1"/>
    <col min="4" max="4" width="62" style="2" customWidth="1"/>
    <col min="5" max="5" width="10.42578125" bestFit="1" customWidth="1"/>
    <col min="6" max="6" width="16.140625" bestFit="1" customWidth="1"/>
    <col min="7" max="7" width="45.7109375" bestFit="1" customWidth="1"/>
    <col min="8" max="8" width="15.7109375" bestFit="1" customWidth="1"/>
    <col min="9" max="9" width="24.5703125" bestFit="1" customWidth="1"/>
    <col min="10" max="10" width="26" bestFit="1" customWidth="1"/>
    <col min="11" max="11" width="19.5703125" bestFit="1" customWidth="1"/>
    <col min="12" max="12" width="18.42578125" bestFit="1" customWidth="1"/>
    <col min="13" max="13" width="117.28515625" style="2" customWidth="1"/>
    <col min="14" max="14" width="108.5703125" style="2" customWidth="1"/>
    <col min="15" max="15" width="19.5703125" bestFit="1" customWidth="1"/>
    <col min="16" max="16" width="53.85546875" customWidth="1"/>
    <col min="17" max="17" width="32.42578125" customWidth="1"/>
    <col min="18" max="18" width="72.42578125" customWidth="1"/>
    <col min="19" max="19" width="32.140625" bestFit="1" customWidth="1"/>
  </cols>
  <sheetData>
    <row r="1" spans="1:19">
      <c r="A1" s="6" t="s">
        <v>84</v>
      </c>
      <c r="B1" s="6" t="s">
        <v>1607</v>
      </c>
      <c r="C1" s="6" t="s">
        <v>99</v>
      </c>
      <c r="D1" s="7" t="s">
        <v>1608</v>
      </c>
      <c r="E1" s="6" t="s">
        <v>50</v>
      </c>
      <c r="F1" s="6" t="s">
        <v>51</v>
      </c>
      <c r="G1" s="6" t="s">
        <v>48</v>
      </c>
      <c r="H1" s="6" t="s">
        <v>1609</v>
      </c>
      <c r="I1" s="6" t="s">
        <v>1610</v>
      </c>
      <c r="J1" s="6" t="s">
        <v>1611</v>
      </c>
      <c r="K1" s="6" t="s">
        <v>1612</v>
      </c>
      <c r="L1" s="6" t="s">
        <v>1613</v>
      </c>
      <c r="M1" s="7" t="s">
        <v>1614</v>
      </c>
      <c r="N1" s="7" t="s">
        <v>1615</v>
      </c>
      <c r="O1" s="6" t="s">
        <v>1616</v>
      </c>
      <c r="P1" s="72" t="s">
        <v>1617</v>
      </c>
      <c r="Q1" s="73" t="s">
        <v>103</v>
      </c>
      <c r="R1" s="73" t="s">
        <v>134</v>
      </c>
      <c r="S1" t="s">
        <v>1618</v>
      </c>
    </row>
    <row r="2" spans="1:19" ht="76.5" hidden="1">
      <c r="A2" t="s">
        <v>92</v>
      </c>
      <c r="B2" t="s">
        <v>1619</v>
      </c>
      <c r="C2" t="s">
        <v>1620</v>
      </c>
      <c r="D2" s="2" t="s">
        <v>1621</v>
      </c>
      <c r="E2">
        <v>13280.86</v>
      </c>
      <c r="F2">
        <v>265.62</v>
      </c>
      <c r="G2" t="s">
        <v>79</v>
      </c>
      <c r="H2" t="s">
        <v>81</v>
      </c>
      <c r="I2">
        <v>0</v>
      </c>
      <c r="J2">
        <v>0</v>
      </c>
      <c r="K2" s="5">
        <v>46197.419789270833</v>
      </c>
      <c r="L2" s="5">
        <v>46197.241056516214</v>
      </c>
      <c r="M2" s="2" t="s">
        <v>1622</v>
      </c>
      <c r="N2" s="2" t="s">
        <v>1623</v>
      </c>
      <c r="O2" s="5">
        <v>46197.241071851851</v>
      </c>
      <c r="P2" t="str">
        <f>IF($Q2="DELETE",IF($S2="CONFIRMED: NO MODS &gt; 1YR","CONFIRMED: NO MODS &gt; 1YR","DO NOT DELETE — not defensibly confirmed"),IF($Q2="HOLD","DO NOT DELETE — HOLD (Charlie review)",IF($Q2="KEEP","DO NOT DELETE — KEEP",IF(ISNUMBER(SEARCH("REVIEW",$Q2)),"DO NOT DELETE — REVIEW pending",$S2))))</f>
        <v>CONFIRMED: NO MODS &gt; 1YR</v>
      </c>
      <c r="Q2" t="str" cm="1">
        <f t="array" ref="Q2">_xlfn.IFS(AND($A2="thg-beauty",ISNUMBER(SEARCH("liveramp",$C2))),"DELETE",$A2="agile-bonbon-662",_xlfn.IFS(LEFT($G2,9)="Tranche 1","DELETE",$C2="Sessions_Level_1_All_Sites","KEEP",ISNUMBER(--$C2),"REVIEW — UA raw logs",$C2="Emag_Reporting","KEEP",$C2="Nutrition_Data_Archived_Tables","KEEP",$C2="EU_Data","KEEP",TRUE,"REVIEW"),OR($A2="thg-influencer",$A2="thg-ingenuity",$A2="thg-central-marketing",$A2="thg-seoclarity"),"HOLD",TRUE,"")</f>
        <v/>
      </c>
      <c r="R2" t="str" cm="1">
        <f t="array" ref="R2">_xlfn.IFS(AND($A2="thg-beauty",ISNUMBER(SEARCH("liveramp",$C2))),"thg-beauty Liveramp dataset — confirmed safe to delete",$A2="agile-bonbon-662",_xlfn.IFS(LEFT($G2,9)="Tranche 1","Tranche 1: cleared",$C2="Sessions_Level_1_All_Sites","Downstream aggregation of UA raw logs — keep if raw tables go",ISNUMBER(--$C2),"UA raw site logs (account ID) — keep pending audit-retention check",$C2="Emag_Reporting","Legacy but likely needed",$C2="Nutrition_Data_Archived_Tables","Worth keeping",$C2="EU_Data","Static lookup tables — scripts still reference (smoke-test risk)",TRUE,"Review"),OR($A2="thg-influencer",$A2="thg-ingenuity",$A2="thg-central-marketing",$A2="thg-seoclarity"),"HOLD — Charlie Stringer to review before deletion",TRUE,"")</f>
        <v/>
      </c>
      <c r="S2" t="s">
        <v>1624</v>
      </c>
    </row>
    <row r="3" spans="1:19" ht="76.5" hidden="1">
      <c r="A3" t="s">
        <v>92</v>
      </c>
      <c r="B3" t="s">
        <v>1619</v>
      </c>
      <c r="C3" t="s">
        <v>1625</v>
      </c>
      <c r="D3" s="2" t="s">
        <v>1621</v>
      </c>
      <c r="E3">
        <v>6902.77</v>
      </c>
      <c r="F3">
        <v>138.06</v>
      </c>
      <c r="G3" t="s">
        <v>79</v>
      </c>
      <c r="H3" t="s">
        <v>81</v>
      </c>
      <c r="I3">
        <v>0</v>
      </c>
      <c r="J3">
        <v>0</v>
      </c>
      <c r="K3" s="5">
        <v>46197.446162141197</v>
      </c>
      <c r="L3" s="5">
        <v>46197.436678368053</v>
      </c>
      <c r="M3" s="2" t="s">
        <v>1626</v>
      </c>
      <c r="N3" s="2" t="s">
        <v>1627</v>
      </c>
      <c r="O3" s="5">
        <v>46197.440073599537</v>
      </c>
      <c r="P3" t="str">
        <f>IF($Q3="DELETE",IF($S3="CONFIRMED: NO MODS &gt; 1YR","CONFIRMED: NO MODS &gt; 1YR","DO NOT DELETE — not defensibly confirmed"),IF($Q3="HOLD","DO NOT DELETE — HOLD (Charlie review)",IF($Q3="KEEP","DO NOT DELETE — KEEP",IF(ISNUMBER(SEARCH("REVIEW",$Q3)),"DO NOT DELETE — REVIEW pending",$S3))))</f>
        <v>CONFIRMED: NO MODS &gt; 1YR</v>
      </c>
      <c r="Q3" t="str" cm="1">
        <f t="array" ref="Q3">_xlfn.IFS(AND($A3="thg-beauty",ISNUMBER(SEARCH("liveramp",$C3))),"DELETE",$A3="agile-bonbon-662",_xlfn.IFS(LEFT($G3,9)="Tranche 1","DELETE",$C3="Sessions_Level_1_All_Sites","KEEP",ISNUMBER(--$C3),"REVIEW — UA raw logs",$C3="Emag_Reporting","KEEP",$C3="Nutrition_Data_Archived_Tables","KEEP",$C3="EU_Data","KEEP",TRUE,"REVIEW"),OR($A3="thg-influencer",$A3="thg-ingenuity",$A3="thg-central-marketing",$A3="thg-seoclarity"),"HOLD",TRUE,"")</f>
        <v/>
      </c>
      <c r="R3" t="str" cm="1">
        <f t="array" ref="R3">_xlfn.IFS(AND($A3="thg-beauty",ISNUMBER(SEARCH("liveramp",$C3))),"thg-beauty Liveramp dataset — confirmed safe to delete",$A3="agile-bonbon-662",_xlfn.IFS(LEFT($G3,9)="Tranche 1","Tranche 1: cleared",$C3="Sessions_Level_1_All_Sites","Downstream aggregation of UA raw logs — keep if raw tables go",ISNUMBER(--$C3),"UA raw site logs (account ID) — keep pending audit-retention check",$C3="Emag_Reporting","Legacy but likely needed",$C3="Nutrition_Data_Archived_Tables","Worth keeping",$C3="EU_Data","Static lookup tables — scripts still reference (smoke-test risk)",TRUE,"Review"),OR($A3="thg-influencer",$A3="thg-ingenuity",$A3="thg-central-marketing",$A3="thg-seoclarity"),"HOLD — Charlie Stringer to review before deletion",TRUE,"")</f>
        <v/>
      </c>
      <c r="S3" t="s">
        <v>1624</v>
      </c>
    </row>
    <row r="4" spans="1:19" ht="76.5" hidden="1">
      <c r="A4" t="s">
        <v>92</v>
      </c>
      <c r="B4" t="s">
        <v>1619</v>
      </c>
      <c r="C4" t="s">
        <v>1628</v>
      </c>
      <c r="D4" s="2" t="s">
        <v>1621</v>
      </c>
      <c r="E4">
        <v>4983.25</v>
      </c>
      <c r="F4">
        <v>99.66</v>
      </c>
      <c r="G4" t="s">
        <v>79</v>
      </c>
      <c r="H4" t="s">
        <v>81</v>
      </c>
      <c r="I4">
        <v>0</v>
      </c>
      <c r="J4">
        <v>0</v>
      </c>
      <c r="K4" s="5">
        <v>46197.402848252314</v>
      </c>
      <c r="L4" s="5">
        <v>46197.270925543977</v>
      </c>
      <c r="M4" s="2" t="s">
        <v>1629</v>
      </c>
      <c r="N4" s="2" t="s">
        <v>1630</v>
      </c>
      <c r="O4" s="5">
        <v>46197.272394826388</v>
      </c>
      <c r="P4" t="str">
        <f>IF($Q4="DELETE",IF($S4="CONFIRMED: NO MODS &gt; 1YR","CONFIRMED: NO MODS &gt; 1YR","DO NOT DELETE — not defensibly confirmed"),IF($Q4="HOLD","DO NOT DELETE — HOLD (Charlie review)",IF($Q4="KEEP","DO NOT DELETE — KEEP",IF(ISNUMBER(SEARCH("REVIEW",$Q4)),"DO NOT DELETE — REVIEW pending",$S4))))</f>
        <v>REVIEW</v>
      </c>
      <c r="Q4" t="str" cm="1">
        <f t="array" ref="Q4">_xlfn.IFS(AND($A4="thg-beauty",ISNUMBER(SEARCH("liveramp",$C4))),"DELETE",$A4="agile-bonbon-662",_xlfn.IFS(LEFT($G4,9)="Tranche 1","DELETE",$C4="Sessions_Level_1_All_Sites","KEEP",ISNUMBER(--$C4),"REVIEW — UA raw logs",$C4="Emag_Reporting","KEEP",$C4="Nutrition_Data_Archived_Tables","KEEP",$C4="EU_Data","KEEP",TRUE,"REVIEW"),OR($A4="thg-influencer",$A4="thg-ingenuity",$A4="thg-central-marketing",$A4="thg-seoclarity"),"HOLD",TRUE,"")</f>
        <v/>
      </c>
      <c r="R4" t="str" cm="1">
        <f t="array" ref="R4">_xlfn.IFS(AND($A4="thg-beauty",ISNUMBER(SEARCH("liveramp",$C4))),"thg-beauty Liveramp dataset — confirmed safe to delete",$A4="agile-bonbon-662",_xlfn.IFS(LEFT($G4,9)="Tranche 1","Tranche 1: cleared",$C4="Sessions_Level_1_All_Sites","Downstream aggregation of UA raw logs — keep if raw tables go",ISNUMBER(--$C4),"UA raw site logs (account ID) — keep pending audit-retention check",$C4="Emag_Reporting","Legacy but likely needed",$C4="Nutrition_Data_Archived_Tables","Worth keeping",$C4="EU_Data","Static lookup tables — scripts still reference (smoke-test risk)",TRUE,"Review"),OR($A4="thg-influencer",$A4="thg-ingenuity",$A4="thg-central-marketing",$A4="thg-seoclarity"),"HOLD — Charlie Stringer to review before deletion",TRUE,"")</f>
        <v/>
      </c>
      <c r="S4" t="s">
        <v>1631</v>
      </c>
    </row>
    <row r="5" spans="1:19" ht="76.5" hidden="1">
      <c r="A5" t="s">
        <v>92</v>
      </c>
      <c r="B5" t="s">
        <v>1619</v>
      </c>
      <c r="C5" t="s">
        <v>1632</v>
      </c>
      <c r="D5" s="2" t="s">
        <v>1621</v>
      </c>
      <c r="E5">
        <v>3742.88</v>
      </c>
      <c r="F5">
        <v>74.86</v>
      </c>
      <c r="G5" t="s">
        <v>79</v>
      </c>
      <c r="H5" t="s">
        <v>81</v>
      </c>
      <c r="I5">
        <v>0</v>
      </c>
      <c r="J5">
        <v>0</v>
      </c>
      <c r="K5" s="5">
        <v>46197.351098043982</v>
      </c>
      <c r="L5" s="5">
        <v>46197.325805462962</v>
      </c>
      <c r="M5" s="2" t="s">
        <v>1633</v>
      </c>
      <c r="N5" s="2" t="s">
        <v>1634</v>
      </c>
      <c r="O5" s="5">
        <v>46197.325831458344</v>
      </c>
      <c r="P5" t="str">
        <f>IF($Q5="DELETE",IF($S5="CONFIRMED: NO MODS &gt; 1YR","CONFIRMED: NO MODS &gt; 1YR","DO NOT DELETE — not defensibly confirmed"),IF($Q5="HOLD","DO NOT DELETE — HOLD (Charlie review)",IF($Q5="KEEP","DO NOT DELETE — KEEP",IF(ISNUMBER(SEARCH("REVIEW",$Q5)),"DO NOT DELETE — REVIEW pending",$S5))))</f>
        <v>CONFIRMED: NO MODS &gt; 1YR</v>
      </c>
      <c r="Q5" t="str" cm="1">
        <f t="array" ref="Q5">_xlfn.IFS(AND($A5="thg-beauty",ISNUMBER(SEARCH("liveramp",$C5))),"DELETE",$A5="agile-bonbon-662",_xlfn.IFS(LEFT($G5,9)="Tranche 1","DELETE",$C5="Sessions_Level_1_All_Sites","KEEP",ISNUMBER(--$C5),"REVIEW — UA raw logs",$C5="Emag_Reporting","KEEP",$C5="Nutrition_Data_Archived_Tables","KEEP",$C5="EU_Data","KEEP",TRUE,"REVIEW"),OR($A5="thg-influencer",$A5="thg-ingenuity",$A5="thg-central-marketing",$A5="thg-seoclarity"),"HOLD",TRUE,"")</f>
        <v/>
      </c>
      <c r="R5" t="str" cm="1">
        <f t="array" ref="R5">_xlfn.IFS(AND($A5="thg-beauty",ISNUMBER(SEARCH("liveramp",$C5))),"thg-beauty Liveramp dataset — confirmed safe to delete",$A5="agile-bonbon-662",_xlfn.IFS(LEFT($G5,9)="Tranche 1","Tranche 1: cleared",$C5="Sessions_Level_1_All_Sites","Downstream aggregation of UA raw logs — keep if raw tables go",ISNUMBER(--$C5),"UA raw site logs (account ID) — keep pending audit-retention check",$C5="Emag_Reporting","Legacy but likely needed",$C5="Nutrition_Data_Archived_Tables","Worth keeping",$C5="EU_Data","Static lookup tables — scripts still reference (smoke-test risk)",TRUE,"Review"),OR($A5="thg-influencer",$A5="thg-ingenuity",$A5="thg-central-marketing",$A5="thg-seoclarity"),"HOLD — Charlie Stringer to review before deletion",TRUE,"")</f>
        <v/>
      </c>
      <c r="S5" t="s">
        <v>1624</v>
      </c>
    </row>
    <row r="6" spans="1:19" ht="76.5" hidden="1">
      <c r="A6" t="s">
        <v>92</v>
      </c>
      <c r="B6" t="s">
        <v>1619</v>
      </c>
      <c r="C6" t="s">
        <v>1635</v>
      </c>
      <c r="D6" s="2" t="s">
        <v>1621</v>
      </c>
      <c r="E6">
        <v>2765.99</v>
      </c>
      <c r="F6">
        <v>55.32</v>
      </c>
      <c r="G6" t="s">
        <v>79</v>
      </c>
      <c r="H6" t="s">
        <v>81</v>
      </c>
      <c r="I6">
        <v>0</v>
      </c>
      <c r="J6">
        <v>0</v>
      </c>
      <c r="K6" s="5">
        <v>46197.451269606478</v>
      </c>
      <c r="L6" s="5">
        <v>46197.390421446762</v>
      </c>
      <c r="M6" s="2" t="s">
        <v>1636</v>
      </c>
      <c r="N6" s="2" t="s">
        <v>1637</v>
      </c>
      <c r="O6" s="5">
        <v>46197.390643576393</v>
      </c>
      <c r="P6" t="str">
        <f>IF($Q6="DELETE",IF($S6="CONFIRMED: NO MODS &gt; 1YR","CONFIRMED: NO MODS &gt; 1YR","DO NOT DELETE — not defensibly confirmed"),IF($Q6="HOLD","DO NOT DELETE — HOLD (Charlie review)",IF($Q6="KEEP","DO NOT DELETE — KEEP",IF(ISNUMBER(SEARCH("REVIEW",$Q6)),"DO NOT DELETE — REVIEW pending",$S6))))</f>
        <v>CONFIRMED: NO MODS &gt; 1YR</v>
      </c>
      <c r="Q6" t="str" cm="1">
        <f t="array" ref="Q6">_xlfn.IFS(AND($A6="thg-beauty",ISNUMBER(SEARCH("liveramp",$C6))),"DELETE",$A6="agile-bonbon-662",_xlfn.IFS(LEFT($G6,9)="Tranche 1","DELETE",$C6="Sessions_Level_1_All_Sites","KEEP",ISNUMBER(--$C6),"REVIEW — UA raw logs",$C6="Emag_Reporting","KEEP",$C6="Nutrition_Data_Archived_Tables","KEEP",$C6="EU_Data","KEEP",TRUE,"REVIEW"),OR($A6="thg-influencer",$A6="thg-ingenuity",$A6="thg-central-marketing",$A6="thg-seoclarity"),"HOLD",TRUE,"")</f>
        <v/>
      </c>
      <c r="R6" t="str" cm="1">
        <f t="array" ref="R6">_xlfn.IFS(AND($A6="thg-beauty",ISNUMBER(SEARCH("liveramp",$C6))),"thg-beauty Liveramp dataset — confirmed safe to delete",$A6="agile-bonbon-662",_xlfn.IFS(LEFT($G6,9)="Tranche 1","Tranche 1: cleared",$C6="Sessions_Level_1_All_Sites","Downstream aggregation of UA raw logs — keep if raw tables go",ISNUMBER(--$C6),"UA raw site logs (account ID) — keep pending audit-retention check",$C6="Emag_Reporting","Legacy but likely needed",$C6="Nutrition_Data_Archived_Tables","Worth keeping",$C6="EU_Data","Static lookup tables — scripts still reference (smoke-test risk)",TRUE,"Review"),OR($A6="thg-influencer",$A6="thg-ingenuity",$A6="thg-central-marketing",$A6="thg-seoclarity"),"HOLD — Charlie Stringer to review before deletion",TRUE,"")</f>
        <v/>
      </c>
      <c r="S6" t="s">
        <v>1624</v>
      </c>
    </row>
    <row r="7" spans="1:19" ht="76.5" hidden="1">
      <c r="A7" t="s">
        <v>92</v>
      </c>
      <c r="B7" t="s">
        <v>1619</v>
      </c>
      <c r="C7" t="s">
        <v>1638</v>
      </c>
      <c r="D7" s="2" t="s">
        <v>1621</v>
      </c>
      <c r="E7">
        <v>2285.3000000000002</v>
      </c>
      <c r="F7">
        <v>45.71</v>
      </c>
      <c r="G7" t="s">
        <v>79</v>
      </c>
      <c r="H7" t="s">
        <v>81</v>
      </c>
      <c r="I7">
        <v>0</v>
      </c>
      <c r="J7">
        <v>0</v>
      </c>
      <c r="K7" s="5">
        <v>46197.336596828703</v>
      </c>
      <c r="L7" s="5">
        <v>46197.296386354174</v>
      </c>
      <c r="M7" s="2" t="s">
        <v>1639</v>
      </c>
      <c r="N7" s="2" t="s">
        <v>1640</v>
      </c>
      <c r="O7" s="5">
        <v>46197.296402476852</v>
      </c>
      <c r="P7" t="str">
        <f>IF($Q7="DELETE",IF($S7="CONFIRMED: NO MODS &gt; 1YR","CONFIRMED: NO MODS &gt; 1YR","DO NOT DELETE — not defensibly confirmed"),IF($Q7="HOLD","DO NOT DELETE — HOLD (Charlie review)",IF($Q7="KEEP","DO NOT DELETE — KEEP",IF(ISNUMBER(SEARCH("REVIEW",$Q7)),"DO NOT DELETE — REVIEW pending",$S7))))</f>
        <v>CONFIRMED: NO MODS &gt; 1YR</v>
      </c>
      <c r="Q7" t="str" cm="1">
        <f t="array" ref="Q7">_xlfn.IFS(AND($A7="thg-beauty",ISNUMBER(SEARCH("liveramp",$C7))),"DELETE",$A7="agile-bonbon-662",_xlfn.IFS(LEFT($G7,9)="Tranche 1","DELETE",$C7="Sessions_Level_1_All_Sites","KEEP",ISNUMBER(--$C7),"REVIEW — UA raw logs",$C7="Emag_Reporting","KEEP",$C7="Nutrition_Data_Archived_Tables","KEEP",$C7="EU_Data","KEEP",TRUE,"REVIEW"),OR($A7="thg-influencer",$A7="thg-ingenuity",$A7="thg-central-marketing",$A7="thg-seoclarity"),"HOLD",TRUE,"")</f>
        <v/>
      </c>
      <c r="R7" t="str" cm="1">
        <f t="array" ref="R7">_xlfn.IFS(AND($A7="thg-beauty",ISNUMBER(SEARCH("liveramp",$C7))),"thg-beauty Liveramp dataset — confirmed safe to delete",$A7="agile-bonbon-662",_xlfn.IFS(LEFT($G7,9)="Tranche 1","Tranche 1: cleared",$C7="Sessions_Level_1_All_Sites","Downstream aggregation of UA raw logs — keep if raw tables go",ISNUMBER(--$C7),"UA raw site logs (account ID) — keep pending audit-retention check",$C7="Emag_Reporting","Legacy but likely needed",$C7="Nutrition_Data_Archived_Tables","Worth keeping",$C7="EU_Data","Static lookup tables — scripts still reference (smoke-test risk)",TRUE,"Review"),OR($A7="thg-influencer",$A7="thg-ingenuity",$A7="thg-central-marketing",$A7="thg-seoclarity"),"HOLD — Charlie Stringer to review before deletion",TRUE,"")</f>
        <v/>
      </c>
      <c r="S7" t="s">
        <v>1624</v>
      </c>
    </row>
    <row r="8" spans="1:19" ht="76.5" hidden="1">
      <c r="A8" t="s">
        <v>92</v>
      </c>
      <c r="B8" t="s">
        <v>1619</v>
      </c>
      <c r="C8" t="s">
        <v>1641</v>
      </c>
      <c r="D8" s="2" t="s">
        <v>1621</v>
      </c>
      <c r="E8">
        <v>1922.79</v>
      </c>
      <c r="F8">
        <v>38.46</v>
      </c>
      <c r="G8" t="s">
        <v>79</v>
      </c>
      <c r="H8" t="s">
        <v>81</v>
      </c>
      <c r="I8">
        <v>0</v>
      </c>
      <c r="J8">
        <v>0</v>
      </c>
      <c r="K8" s="5">
        <v>46197.43405408565</v>
      </c>
      <c r="L8" s="5">
        <v>46197.210321550927</v>
      </c>
      <c r="M8" s="2" t="s">
        <v>1642</v>
      </c>
      <c r="N8" s="2" t="s">
        <v>1643</v>
      </c>
      <c r="O8" s="5">
        <v>46197.210360127312</v>
      </c>
      <c r="P8" t="str">
        <f>IF($Q8="DELETE",IF($S8="CONFIRMED: NO MODS &gt; 1YR","CONFIRMED: NO MODS &gt; 1YR","DO NOT DELETE — not defensibly confirmed"),IF($Q8="HOLD","DO NOT DELETE — HOLD (Charlie review)",IF($Q8="KEEP","DO NOT DELETE — KEEP",IF(ISNUMBER(SEARCH("REVIEW",$Q8)),"DO NOT DELETE — REVIEW pending",$S8))))</f>
        <v>CONFIRMED: NO MODS &gt; 1YR</v>
      </c>
      <c r="Q8" t="str" cm="1">
        <f t="array" ref="Q8">_xlfn.IFS(AND($A8="thg-beauty",ISNUMBER(SEARCH("liveramp",$C8))),"DELETE",$A8="agile-bonbon-662",_xlfn.IFS(LEFT($G8,9)="Tranche 1","DELETE",$C8="Sessions_Level_1_All_Sites","KEEP",ISNUMBER(--$C8),"REVIEW — UA raw logs",$C8="Emag_Reporting","KEEP",$C8="Nutrition_Data_Archived_Tables","KEEP",$C8="EU_Data","KEEP",TRUE,"REVIEW"),OR($A8="thg-influencer",$A8="thg-ingenuity",$A8="thg-central-marketing",$A8="thg-seoclarity"),"HOLD",TRUE,"")</f>
        <v/>
      </c>
      <c r="R8" t="str" cm="1">
        <f t="array" ref="R8">_xlfn.IFS(AND($A8="thg-beauty",ISNUMBER(SEARCH("liveramp",$C8))),"thg-beauty Liveramp dataset — confirmed safe to delete",$A8="agile-bonbon-662",_xlfn.IFS(LEFT($G8,9)="Tranche 1","Tranche 1: cleared",$C8="Sessions_Level_1_All_Sites","Downstream aggregation of UA raw logs — keep if raw tables go",ISNUMBER(--$C8),"UA raw site logs (account ID) — keep pending audit-retention check",$C8="Emag_Reporting","Legacy but likely needed",$C8="Nutrition_Data_Archived_Tables","Worth keeping",$C8="EU_Data","Static lookup tables — scripts still reference (smoke-test risk)",TRUE,"Review"),OR($A8="thg-influencer",$A8="thg-ingenuity",$A8="thg-central-marketing",$A8="thg-seoclarity"),"HOLD — Charlie Stringer to review before deletion",TRUE,"")</f>
        <v/>
      </c>
      <c r="S8" t="s">
        <v>1624</v>
      </c>
    </row>
    <row r="9" spans="1:19" ht="76.5" hidden="1">
      <c r="A9" t="s">
        <v>92</v>
      </c>
      <c r="B9" t="s">
        <v>1619</v>
      </c>
      <c r="C9" t="s">
        <v>1644</v>
      </c>
      <c r="D9" s="2" t="s">
        <v>1621</v>
      </c>
      <c r="E9">
        <v>1357.69</v>
      </c>
      <c r="F9">
        <v>27.15</v>
      </c>
      <c r="G9" t="s">
        <v>79</v>
      </c>
      <c r="H9" t="s">
        <v>81</v>
      </c>
      <c r="I9">
        <v>0</v>
      </c>
      <c r="J9">
        <v>0</v>
      </c>
      <c r="K9" s="5">
        <v>46197.175332488427</v>
      </c>
      <c r="L9" s="5">
        <v>46197.109013738424</v>
      </c>
      <c r="M9" s="2" t="s">
        <v>1645</v>
      </c>
      <c r="N9" s="2" t="s">
        <v>1646</v>
      </c>
      <c r="O9" s="5">
        <v>46197.110383946761</v>
      </c>
      <c r="P9" t="str">
        <f>IF($Q9="DELETE",IF($S9="CONFIRMED: NO MODS &gt; 1YR","CONFIRMED: NO MODS &gt; 1YR","DO NOT DELETE — not defensibly confirmed"),IF($Q9="HOLD","DO NOT DELETE — HOLD (Charlie review)",IF($Q9="KEEP","DO NOT DELETE — KEEP",IF(ISNUMBER(SEARCH("REVIEW",$Q9)),"DO NOT DELETE — REVIEW pending",$S9))))</f>
        <v>CONFIRMED: NO MODS &gt; 1YR</v>
      </c>
      <c r="Q9" t="str" cm="1">
        <f t="array" ref="Q9">_xlfn.IFS(AND($A9="thg-beauty",ISNUMBER(SEARCH("liveramp",$C9))),"DELETE",$A9="agile-bonbon-662",_xlfn.IFS(LEFT($G9,9)="Tranche 1","DELETE",$C9="Sessions_Level_1_All_Sites","KEEP",ISNUMBER(--$C9),"REVIEW — UA raw logs",$C9="Emag_Reporting","KEEP",$C9="Nutrition_Data_Archived_Tables","KEEP",$C9="EU_Data","KEEP",TRUE,"REVIEW"),OR($A9="thg-influencer",$A9="thg-ingenuity",$A9="thg-central-marketing",$A9="thg-seoclarity"),"HOLD",TRUE,"")</f>
        <v/>
      </c>
      <c r="R9" t="str" cm="1">
        <f t="array" ref="R9">_xlfn.IFS(AND($A9="thg-beauty",ISNUMBER(SEARCH("liveramp",$C9))),"thg-beauty Liveramp dataset — confirmed safe to delete",$A9="agile-bonbon-662",_xlfn.IFS(LEFT($G9,9)="Tranche 1","Tranche 1: cleared",$C9="Sessions_Level_1_All_Sites","Downstream aggregation of UA raw logs — keep if raw tables go",ISNUMBER(--$C9),"UA raw site logs (account ID) — keep pending audit-retention check",$C9="Emag_Reporting","Legacy but likely needed",$C9="Nutrition_Data_Archived_Tables","Worth keeping",$C9="EU_Data","Static lookup tables — scripts still reference (smoke-test risk)",TRUE,"Review"),OR($A9="thg-influencer",$A9="thg-ingenuity",$A9="thg-central-marketing",$A9="thg-seoclarity"),"HOLD — Charlie Stringer to review before deletion",TRUE,"")</f>
        <v/>
      </c>
      <c r="S9" t="s">
        <v>1624</v>
      </c>
    </row>
    <row r="10" spans="1:19" ht="76.5" hidden="1">
      <c r="A10" t="s">
        <v>92</v>
      </c>
      <c r="B10" t="s">
        <v>1619</v>
      </c>
      <c r="C10" t="s">
        <v>1647</v>
      </c>
      <c r="D10" s="2" t="s">
        <v>1621</v>
      </c>
      <c r="E10">
        <v>1302.0999999999999</v>
      </c>
      <c r="F10">
        <v>26.04</v>
      </c>
      <c r="G10" t="s">
        <v>79</v>
      </c>
      <c r="H10" t="s">
        <v>81</v>
      </c>
      <c r="I10">
        <v>0</v>
      </c>
      <c r="J10">
        <v>0</v>
      </c>
      <c r="K10" s="5">
        <v>46197.451269606478</v>
      </c>
      <c r="L10" s="5">
        <v>46197.099352106481</v>
      </c>
      <c r="M10" s="2" t="s">
        <v>1636</v>
      </c>
      <c r="N10" s="2" t="s">
        <v>1648</v>
      </c>
      <c r="O10" s="5">
        <v>46197.099895648149</v>
      </c>
      <c r="P10" t="str">
        <f>IF($Q10="DELETE",IF($S10="CONFIRMED: NO MODS &gt; 1YR","CONFIRMED: NO MODS &gt; 1YR","DO NOT DELETE — not defensibly confirmed"),IF($Q10="HOLD","DO NOT DELETE — HOLD (Charlie review)",IF($Q10="KEEP","DO NOT DELETE — KEEP",IF(ISNUMBER(SEARCH("REVIEW",$Q10)),"DO NOT DELETE — REVIEW pending",$S10))))</f>
        <v>CONFIRMED: NO MODS &gt; 1YR</v>
      </c>
      <c r="Q10" t="str" cm="1">
        <f t="array" ref="Q10">_xlfn.IFS(AND($A10="thg-beauty",ISNUMBER(SEARCH("liveramp",$C10))),"DELETE",$A10="agile-bonbon-662",_xlfn.IFS(LEFT($G10,9)="Tranche 1","DELETE",$C10="Sessions_Level_1_All_Sites","KEEP",ISNUMBER(--$C10),"REVIEW — UA raw logs",$C10="Emag_Reporting","KEEP",$C10="Nutrition_Data_Archived_Tables","KEEP",$C10="EU_Data","KEEP",TRUE,"REVIEW"),OR($A10="thg-influencer",$A10="thg-ingenuity",$A10="thg-central-marketing",$A10="thg-seoclarity"),"HOLD",TRUE,"")</f>
        <v/>
      </c>
      <c r="R10" t="str" cm="1">
        <f t="array" ref="R10">_xlfn.IFS(AND($A10="thg-beauty",ISNUMBER(SEARCH("liveramp",$C10))),"thg-beauty Liveramp dataset — confirmed safe to delete",$A10="agile-bonbon-662",_xlfn.IFS(LEFT($G10,9)="Tranche 1","Tranche 1: cleared",$C10="Sessions_Level_1_All_Sites","Downstream aggregation of UA raw logs — keep if raw tables go",ISNUMBER(--$C10),"UA raw site logs (account ID) — keep pending audit-retention check",$C10="Emag_Reporting","Legacy but likely needed",$C10="Nutrition_Data_Archived_Tables","Worth keeping",$C10="EU_Data","Static lookup tables — scripts still reference (smoke-test risk)",TRUE,"Review"),OR($A10="thg-influencer",$A10="thg-ingenuity",$A10="thg-central-marketing",$A10="thg-seoclarity"),"HOLD — Charlie Stringer to review before deletion",TRUE,"")</f>
        <v/>
      </c>
      <c r="S10" t="s">
        <v>1624</v>
      </c>
    </row>
    <row r="11" spans="1:19" ht="76.5" hidden="1">
      <c r="A11" t="s">
        <v>92</v>
      </c>
      <c r="B11" t="s">
        <v>1619</v>
      </c>
      <c r="C11" t="s">
        <v>1649</v>
      </c>
      <c r="D11" s="2" t="s">
        <v>1621</v>
      </c>
      <c r="E11">
        <v>850.97</v>
      </c>
      <c r="F11">
        <v>17.02</v>
      </c>
      <c r="G11" t="s">
        <v>79</v>
      </c>
      <c r="H11" t="s">
        <v>81</v>
      </c>
      <c r="I11">
        <v>0</v>
      </c>
      <c r="J11">
        <v>0</v>
      </c>
      <c r="K11" s="5">
        <v>46197.42291814815</v>
      </c>
      <c r="L11" s="5">
        <v>46197.312592002323</v>
      </c>
      <c r="M11" s="2" t="s">
        <v>1650</v>
      </c>
      <c r="N11" s="2" t="s">
        <v>1651</v>
      </c>
      <c r="O11" s="5">
        <v>46197.312626261577</v>
      </c>
      <c r="P11" t="str">
        <f>IF($Q11="DELETE",IF($S11="CONFIRMED: NO MODS &gt; 1YR","CONFIRMED: NO MODS &gt; 1YR","DO NOT DELETE — not defensibly confirmed"),IF($Q11="HOLD","DO NOT DELETE — HOLD (Charlie review)",IF($Q11="KEEP","DO NOT DELETE — KEEP",IF(ISNUMBER(SEARCH("REVIEW",$Q11)),"DO NOT DELETE — REVIEW pending",$S11))))</f>
        <v>CONFIRMED: NO MODS &gt; 1YR</v>
      </c>
      <c r="Q11" t="str" cm="1">
        <f t="array" ref="Q11">_xlfn.IFS(AND($A11="thg-beauty",ISNUMBER(SEARCH("liveramp",$C11))),"DELETE",$A11="agile-bonbon-662",_xlfn.IFS(LEFT($G11,9)="Tranche 1","DELETE",$C11="Sessions_Level_1_All_Sites","KEEP",ISNUMBER(--$C11),"REVIEW — UA raw logs",$C11="Emag_Reporting","KEEP",$C11="Nutrition_Data_Archived_Tables","KEEP",$C11="EU_Data","KEEP",TRUE,"REVIEW"),OR($A11="thg-influencer",$A11="thg-ingenuity",$A11="thg-central-marketing",$A11="thg-seoclarity"),"HOLD",TRUE,"")</f>
        <v/>
      </c>
      <c r="R11" t="str" cm="1">
        <f t="array" ref="R11">_xlfn.IFS(AND($A11="thg-beauty",ISNUMBER(SEARCH("liveramp",$C11))),"thg-beauty Liveramp dataset — confirmed safe to delete",$A11="agile-bonbon-662",_xlfn.IFS(LEFT($G11,9)="Tranche 1","Tranche 1: cleared",$C11="Sessions_Level_1_All_Sites","Downstream aggregation of UA raw logs — keep if raw tables go",ISNUMBER(--$C11),"UA raw site logs (account ID) — keep pending audit-retention check",$C11="Emag_Reporting","Legacy but likely needed",$C11="Nutrition_Data_Archived_Tables","Worth keeping",$C11="EU_Data","Static lookup tables — scripts still reference (smoke-test risk)",TRUE,"Review"),OR($A11="thg-influencer",$A11="thg-ingenuity",$A11="thg-central-marketing",$A11="thg-seoclarity"),"HOLD — Charlie Stringer to review before deletion",TRUE,"")</f>
        <v/>
      </c>
      <c r="S11" t="s">
        <v>1624</v>
      </c>
    </row>
    <row r="12" spans="1:19" ht="76.5" hidden="1">
      <c r="A12" t="s">
        <v>92</v>
      </c>
      <c r="B12" t="s">
        <v>1619</v>
      </c>
      <c r="C12" t="s">
        <v>1652</v>
      </c>
      <c r="D12" s="2" t="s">
        <v>1621</v>
      </c>
      <c r="E12">
        <v>740.27</v>
      </c>
      <c r="F12">
        <v>14.81</v>
      </c>
      <c r="G12" t="s">
        <v>79</v>
      </c>
      <c r="H12" t="s">
        <v>81</v>
      </c>
      <c r="I12">
        <v>0</v>
      </c>
      <c r="J12">
        <v>0</v>
      </c>
      <c r="K12" s="5">
        <v>46197.335640069447</v>
      </c>
      <c r="L12" s="5">
        <v>46197.107318645831</v>
      </c>
      <c r="M12" s="2" t="s">
        <v>1653</v>
      </c>
      <c r="N12" s="2" t="s">
        <v>1654</v>
      </c>
      <c r="O12" s="5">
        <v>46197.107494999997</v>
      </c>
      <c r="P12" t="str">
        <f>IF($Q12="DELETE",IF($S12="CONFIRMED: NO MODS &gt; 1YR","CONFIRMED: NO MODS &gt; 1YR","DO NOT DELETE — not defensibly confirmed"),IF($Q12="HOLD","DO NOT DELETE — HOLD (Charlie review)",IF($Q12="KEEP","DO NOT DELETE — KEEP",IF(ISNUMBER(SEARCH("REVIEW",$Q12)),"DO NOT DELETE — REVIEW pending",$S12))))</f>
        <v>CONFIRMED: NO MODS &gt; 1YR</v>
      </c>
      <c r="Q12" t="str" cm="1">
        <f t="array" ref="Q12">_xlfn.IFS(AND($A12="thg-beauty",ISNUMBER(SEARCH("liveramp",$C12))),"DELETE",$A12="agile-bonbon-662",_xlfn.IFS(LEFT($G12,9)="Tranche 1","DELETE",$C12="Sessions_Level_1_All_Sites","KEEP",ISNUMBER(--$C12),"REVIEW — UA raw logs",$C12="Emag_Reporting","KEEP",$C12="Nutrition_Data_Archived_Tables","KEEP",$C12="EU_Data","KEEP",TRUE,"REVIEW"),OR($A12="thg-influencer",$A12="thg-ingenuity",$A12="thg-central-marketing",$A12="thg-seoclarity"),"HOLD",TRUE,"")</f>
        <v/>
      </c>
      <c r="R12" t="str" cm="1">
        <f t="array" ref="R12">_xlfn.IFS(AND($A12="thg-beauty",ISNUMBER(SEARCH("liveramp",$C12))),"thg-beauty Liveramp dataset — confirmed safe to delete",$A12="agile-bonbon-662",_xlfn.IFS(LEFT($G12,9)="Tranche 1","Tranche 1: cleared",$C12="Sessions_Level_1_All_Sites","Downstream aggregation of UA raw logs — keep if raw tables go",ISNUMBER(--$C12),"UA raw site logs (account ID) — keep pending audit-retention check",$C12="Emag_Reporting","Legacy but likely needed",$C12="Nutrition_Data_Archived_Tables","Worth keeping",$C12="EU_Data","Static lookup tables — scripts still reference (smoke-test risk)",TRUE,"Review"),OR($A12="thg-influencer",$A12="thg-ingenuity",$A12="thg-central-marketing",$A12="thg-seoclarity"),"HOLD — Charlie Stringer to review before deletion",TRUE,"")</f>
        <v/>
      </c>
      <c r="S12" t="s">
        <v>1624</v>
      </c>
    </row>
    <row r="13" spans="1:19" ht="76.5" hidden="1">
      <c r="A13" t="s">
        <v>92</v>
      </c>
      <c r="B13" t="s">
        <v>1619</v>
      </c>
      <c r="C13" t="s">
        <v>1655</v>
      </c>
      <c r="D13" s="2" t="s">
        <v>1621</v>
      </c>
      <c r="E13">
        <v>719.05</v>
      </c>
      <c r="F13">
        <v>14.38</v>
      </c>
      <c r="G13" t="s">
        <v>79</v>
      </c>
      <c r="H13" t="s">
        <v>81</v>
      </c>
      <c r="I13">
        <v>0</v>
      </c>
      <c r="J13">
        <v>0</v>
      </c>
      <c r="K13" s="5">
        <v>46197.377356307872</v>
      </c>
      <c r="L13" s="5">
        <v>46197.121091689813</v>
      </c>
      <c r="M13" s="2" t="s">
        <v>1656</v>
      </c>
      <c r="N13" s="2" t="s">
        <v>1657</v>
      </c>
      <c r="O13" s="5">
        <v>46197.121448402781</v>
      </c>
      <c r="P13" t="str">
        <f>IF($Q13="DELETE",IF($S13="CONFIRMED: NO MODS &gt; 1YR","CONFIRMED: NO MODS &gt; 1YR","DO NOT DELETE — not defensibly confirmed"),IF($Q13="HOLD","DO NOT DELETE — HOLD (Charlie review)",IF($Q13="KEEP","DO NOT DELETE — KEEP",IF(ISNUMBER(SEARCH("REVIEW",$Q13)),"DO NOT DELETE — REVIEW pending",$S13))))</f>
        <v>CONFIRMED: NO MODS &gt; 1YR</v>
      </c>
      <c r="Q13" t="str" cm="1">
        <f t="array" ref="Q13">_xlfn.IFS(AND($A13="thg-beauty",ISNUMBER(SEARCH("liveramp",$C13))),"DELETE",$A13="agile-bonbon-662",_xlfn.IFS(LEFT($G13,9)="Tranche 1","DELETE",$C13="Sessions_Level_1_All_Sites","KEEP",ISNUMBER(--$C13),"REVIEW — UA raw logs",$C13="Emag_Reporting","KEEP",$C13="Nutrition_Data_Archived_Tables","KEEP",$C13="EU_Data","KEEP",TRUE,"REVIEW"),OR($A13="thg-influencer",$A13="thg-ingenuity",$A13="thg-central-marketing",$A13="thg-seoclarity"),"HOLD",TRUE,"")</f>
        <v/>
      </c>
      <c r="R13" t="str" cm="1">
        <f t="array" ref="R13">_xlfn.IFS(AND($A13="thg-beauty",ISNUMBER(SEARCH("liveramp",$C13))),"thg-beauty Liveramp dataset — confirmed safe to delete",$A13="agile-bonbon-662",_xlfn.IFS(LEFT($G13,9)="Tranche 1","Tranche 1: cleared",$C13="Sessions_Level_1_All_Sites","Downstream aggregation of UA raw logs — keep if raw tables go",ISNUMBER(--$C13),"UA raw site logs (account ID) — keep pending audit-retention check",$C13="Emag_Reporting","Legacy but likely needed",$C13="Nutrition_Data_Archived_Tables","Worth keeping",$C13="EU_Data","Static lookup tables — scripts still reference (smoke-test risk)",TRUE,"Review"),OR($A13="thg-influencer",$A13="thg-ingenuity",$A13="thg-central-marketing",$A13="thg-seoclarity"),"HOLD — Charlie Stringer to review before deletion",TRUE,"")</f>
        <v/>
      </c>
      <c r="S13" t="s">
        <v>1624</v>
      </c>
    </row>
    <row r="14" spans="1:19" ht="76.5" hidden="1">
      <c r="A14" t="s">
        <v>92</v>
      </c>
      <c r="B14" t="s">
        <v>1619</v>
      </c>
      <c r="C14" t="s">
        <v>1658</v>
      </c>
      <c r="D14" s="2" t="s">
        <v>1621</v>
      </c>
      <c r="E14">
        <v>473.61</v>
      </c>
      <c r="F14">
        <v>9.4700000000000006</v>
      </c>
      <c r="G14" t="s">
        <v>79</v>
      </c>
      <c r="H14" t="s">
        <v>81</v>
      </c>
      <c r="I14">
        <v>0</v>
      </c>
      <c r="J14">
        <v>0</v>
      </c>
      <c r="K14" s="5">
        <v>46197.434437245371</v>
      </c>
      <c r="L14" s="5">
        <v>46197.104473969906</v>
      </c>
      <c r="M14" s="2" t="s">
        <v>1659</v>
      </c>
      <c r="N14" s="2" t="s">
        <v>1660</v>
      </c>
      <c r="O14" s="5">
        <v>46197.107964965267</v>
      </c>
      <c r="P14" t="str">
        <f>IF($Q14="DELETE",IF($S14="CONFIRMED: NO MODS &gt; 1YR","CONFIRMED: NO MODS &gt; 1YR","DO NOT DELETE — not defensibly confirmed"),IF($Q14="HOLD","DO NOT DELETE — HOLD (Charlie review)",IF($Q14="KEEP","DO NOT DELETE — KEEP",IF(ISNUMBER(SEARCH("REVIEW",$Q14)),"DO NOT DELETE — REVIEW pending",$S14))))</f>
        <v>CONFIRMED: NO MODS &gt; 1YR</v>
      </c>
      <c r="Q14" t="str" cm="1">
        <f t="array" ref="Q14">_xlfn.IFS(AND($A14="thg-beauty",ISNUMBER(SEARCH("liveramp",$C14))),"DELETE",$A14="agile-bonbon-662",_xlfn.IFS(LEFT($G14,9)="Tranche 1","DELETE",$C14="Sessions_Level_1_All_Sites","KEEP",ISNUMBER(--$C14),"REVIEW — UA raw logs",$C14="Emag_Reporting","KEEP",$C14="Nutrition_Data_Archived_Tables","KEEP",$C14="EU_Data","KEEP",TRUE,"REVIEW"),OR($A14="thg-influencer",$A14="thg-ingenuity",$A14="thg-central-marketing",$A14="thg-seoclarity"),"HOLD",TRUE,"")</f>
        <v/>
      </c>
      <c r="R14" t="str" cm="1">
        <f t="array" ref="R14">_xlfn.IFS(AND($A14="thg-beauty",ISNUMBER(SEARCH("liveramp",$C14))),"thg-beauty Liveramp dataset — confirmed safe to delete",$A14="agile-bonbon-662",_xlfn.IFS(LEFT($G14,9)="Tranche 1","Tranche 1: cleared",$C14="Sessions_Level_1_All_Sites","Downstream aggregation of UA raw logs — keep if raw tables go",ISNUMBER(--$C14),"UA raw site logs (account ID) — keep pending audit-retention check",$C14="Emag_Reporting","Legacy but likely needed",$C14="Nutrition_Data_Archived_Tables","Worth keeping",$C14="EU_Data","Static lookup tables — scripts still reference (smoke-test risk)",TRUE,"Review"),OR($A14="thg-influencer",$A14="thg-ingenuity",$A14="thg-central-marketing",$A14="thg-seoclarity"),"HOLD — Charlie Stringer to review before deletion",TRUE,"")</f>
        <v/>
      </c>
      <c r="S14" t="s">
        <v>1624</v>
      </c>
    </row>
    <row r="15" spans="1:19" ht="76.5" hidden="1">
      <c r="A15" t="s">
        <v>92</v>
      </c>
      <c r="B15" t="s">
        <v>1619</v>
      </c>
      <c r="C15" t="s">
        <v>1661</v>
      </c>
      <c r="D15" s="2" t="s">
        <v>1621</v>
      </c>
      <c r="E15">
        <v>380.61</v>
      </c>
      <c r="F15">
        <v>7.61</v>
      </c>
      <c r="G15" t="s">
        <v>79</v>
      </c>
      <c r="H15" t="s">
        <v>81</v>
      </c>
      <c r="I15">
        <v>0</v>
      </c>
      <c r="J15">
        <v>0</v>
      </c>
      <c r="K15" s="5">
        <v>46197.451269606478</v>
      </c>
      <c r="L15" s="5">
        <v>46197.295663541663</v>
      </c>
      <c r="M15" s="2" t="s">
        <v>1636</v>
      </c>
      <c r="N15" s="2" t="s">
        <v>1662</v>
      </c>
      <c r="O15" s="5">
        <v>46197.295792106481</v>
      </c>
      <c r="P15" t="str">
        <f>IF($Q15="DELETE",IF($S15="CONFIRMED: NO MODS &gt; 1YR","CONFIRMED: NO MODS &gt; 1YR","DO NOT DELETE — not defensibly confirmed"),IF($Q15="HOLD","DO NOT DELETE — HOLD (Charlie review)",IF($Q15="KEEP","DO NOT DELETE — KEEP",IF(ISNUMBER(SEARCH("REVIEW",$Q15)),"DO NOT DELETE — REVIEW pending",$S15))))</f>
        <v>CONFIRMED: NO MODS &gt; 1YR</v>
      </c>
      <c r="Q15" t="str" cm="1">
        <f t="array" ref="Q15">_xlfn.IFS(AND($A15="thg-beauty",ISNUMBER(SEARCH("liveramp",$C15))),"DELETE",$A15="agile-bonbon-662",_xlfn.IFS(LEFT($G15,9)="Tranche 1","DELETE",$C15="Sessions_Level_1_All_Sites","KEEP",ISNUMBER(--$C15),"REVIEW — UA raw logs",$C15="Emag_Reporting","KEEP",$C15="Nutrition_Data_Archived_Tables","KEEP",$C15="EU_Data","KEEP",TRUE,"REVIEW"),OR($A15="thg-influencer",$A15="thg-ingenuity",$A15="thg-central-marketing",$A15="thg-seoclarity"),"HOLD",TRUE,"")</f>
        <v/>
      </c>
      <c r="R15" t="str" cm="1">
        <f t="array" ref="R15">_xlfn.IFS(AND($A15="thg-beauty",ISNUMBER(SEARCH("liveramp",$C15))),"thg-beauty Liveramp dataset — confirmed safe to delete",$A15="agile-bonbon-662",_xlfn.IFS(LEFT($G15,9)="Tranche 1","Tranche 1: cleared",$C15="Sessions_Level_1_All_Sites","Downstream aggregation of UA raw logs — keep if raw tables go",ISNUMBER(--$C15),"UA raw site logs (account ID) — keep pending audit-retention check",$C15="Emag_Reporting","Legacy but likely needed",$C15="Nutrition_Data_Archived_Tables","Worth keeping",$C15="EU_Data","Static lookup tables — scripts still reference (smoke-test risk)",TRUE,"Review"),OR($A15="thg-influencer",$A15="thg-ingenuity",$A15="thg-central-marketing",$A15="thg-seoclarity"),"HOLD — Charlie Stringer to review before deletion",TRUE,"")</f>
        <v/>
      </c>
      <c r="S15" t="s">
        <v>1624</v>
      </c>
    </row>
    <row r="16" spans="1:19" ht="76.5" hidden="1">
      <c r="A16" t="s">
        <v>92</v>
      </c>
      <c r="B16" t="s">
        <v>1619</v>
      </c>
      <c r="C16" t="s">
        <v>1663</v>
      </c>
      <c r="D16" s="2" t="s">
        <v>1621</v>
      </c>
      <c r="E16">
        <v>323.82</v>
      </c>
      <c r="F16">
        <v>6.48</v>
      </c>
      <c r="G16" t="s">
        <v>79</v>
      </c>
      <c r="H16" t="s">
        <v>81</v>
      </c>
      <c r="I16">
        <v>0</v>
      </c>
      <c r="J16">
        <v>0</v>
      </c>
      <c r="K16" s="5">
        <v>46197.398014583327</v>
      </c>
      <c r="L16" s="5">
        <v>46197.33566931713</v>
      </c>
      <c r="M16" s="2" t="s">
        <v>1664</v>
      </c>
      <c r="N16" s="2" t="s">
        <v>1665</v>
      </c>
      <c r="O16" s="5">
        <v>46197.335689421299</v>
      </c>
      <c r="P16" t="str">
        <f>IF($Q16="DELETE",IF($S16="CONFIRMED: NO MODS &gt; 1YR","CONFIRMED: NO MODS &gt; 1YR","DO NOT DELETE — not defensibly confirmed"),IF($Q16="HOLD","DO NOT DELETE — HOLD (Charlie review)",IF($Q16="KEEP","DO NOT DELETE — KEEP",IF(ISNUMBER(SEARCH("REVIEW",$Q16)),"DO NOT DELETE — REVIEW pending",$S16))))</f>
        <v>CONFIRMED: NO MODS &gt; 1YR</v>
      </c>
      <c r="Q16" t="str" cm="1">
        <f t="array" ref="Q16">_xlfn.IFS(AND($A16="thg-beauty",ISNUMBER(SEARCH("liveramp",$C16))),"DELETE",$A16="agile-bonbon-662",_xlfn.IFS(LEFT($G16,9)="Tranche 1","DELETE",$C16="Sessions_Level_1_All_Sites","KEEP",ISNUMBER(--$C16),"REVIEW — UA raw logs",$C16="Emag_Reporting","KEEP",$C16="Nutrition_Data_Archived_Tables","KEEP",$C16="EU_Data","KEEP",TRUE,"REVIEW"),OR($A16="thg-influencer",$A16="thg-ingenuity",$A16="thg-central-marketing",$A16="thg-seoclarity"),"HOLD",TRUE,"")</f>
        <v/>
      </c>
      <c r="R16" t="str" cm="1">
        <f t="array" ref="R16">_xlfn.IFS(AND($A16="thg-beauty",ISNUMBER(SEARCH("liveramp",$C16))),"thg-beauty Liveramp dataset — confirmed safe to delete",$A16="agile-bonbon-662",_xlfn.IFS(LEFT($G16,9)="Tranche 1","Tranche 1: cleared",$C16="Sessions_Level_1_All_Sites","Downstream aggregation of UA raw logs — keep if raw tables go",ISNUMBER(--$C16),"UA raw site logs (account ID) — keep pending audit-retention check",$C16="Emag_Reporting","Legacy but likely needed",$C16="Nutrition_Data_Archived_Tables","Worth keeping",$C16="EU_Data","Static lookup tables — scripts still reference (smoke-test risk)",TRUE,"Review"),OR($A16="thg-influencer",$A16="thg-ingenuity",$A16="thg-central-marketing",$A16="thg-seoclarity"),"HOLD — Charlie Stringer to review before deletion",TRUE,"")</f>
        <v/>
      </c>
      <c r="S16" t="s">
        <v>1624</v>
      </c>
    </row>
    <row r="17" spans="1:19" ht="76.5" hidden="1">
      <c r="A17" t="s">
        <v>92</v>
      </c>
      <c r="B17" t="s">
        <v>1619</v>
      </c>
      <c r="C17" t="s">
        <v>1666</v>
      </c>
      <c r="D17" s="2" t="s">
        <v>1621</v>
      </c>
      <c r="E17">
        <v>256.38</v>
      </c>
      <c r="F17">
        <v>5.13</v>
      </c>
      <c r="G17" t="s">
        <v>79</v>
      </c>
      <c r="H17" t="s">
        <v>81</v>
      </c>
      <c r="I17">
        <v>0</v>
      </c>
      <c r="J17">
        <v>0</v>
      </c>
      <c r="K17" s="5">
        <v>46197.129880613429</v>
      </c>
      <c r="L17" s="5">
        <v>46197.105842129633</v>
      </c>
      <c r="M17" s="2" t="s">
        <v>1667</v>
      </c>
      <c r="N17" s="2" t="s">
        <v>1668</v>
      </c>
      <c r="O17" s="5">
        <v>46197.110486979167</v>
      </c>
      <c r="P17" t="str">
        <f>IF($Q17="DELETE",IF($S17="CONFIRMED: NO MODS &gt; 1YR","CONFIRMED: NO MODS &gt; 1YR","DO NOT DELETE — not defensibly confirmed"),IF($Q17="HOLD","DO NOT DELETE — HOLD (Charlie review)",IF($Q17="KEEP","DO NOT DELETE — KEEP",IF(ISNUMBER(SEARCH("REVIEW",$Q17)),"DO NOT DELETE — REVIEW pending",$S17))))</f>
        <v>CONFIRMED: NO MODS &gt; 1YR</v>
      </c>
      <c r="Q17" t="str" cm="1">
        <f t="array" ref="Q17">_xlfn.IFS(AND($A17="thg-beauty",ISNUMBER(SEARCH("liveramp",$C17))),"DELETE",$A17="agile-bonbon-662",_xlfn.IFS(LEFT($G17,9)="Tranche 1","DELETE",$C17="Sessions_Level_1_All_Sites","KEEP",ISNUMBER(--$C17),"REVIEW — UA raw logs",$C17="Emag_Reporting","KEEP",$C17="Nutrition_Data_Archived_Tables","KEEP",$C17="EU_Data","KEEP",TRUE,"REVIEW"),OR($A17="thg-influencer",$A17="thg-ingenuity",$A17="thg-central-marketing",$A17="thg-seoclarity"),"HOLD",TRUE,"")</f>
        <v/>
      </c>
      <c r="R17" t="str" cm="1">
        <f t="array" ref="R17">_xlfn.IFS(AND($A17="thg-beauty",ISNUMBER(SEARCH("liveramp",$C17))),"thg-beauty Liveramp dataset — confirmed safe to delete",$A17="agile-bonbon-662",_xlfn.IFS(LEFT($G17,9)="Tranche 1","Tranche 1: cleared",$C17="Sessions_Level_1_All_Sites","Downstream aggregation of UA raw logs — keep if raw tables go",ISNUMBER(--$C17),"UA raw site logs (account ID) — keep pending audit-retention check",$C17="Emag_Reporting","Legacy but likely needed",$C17="Nutrition_Data_Archived_Tables","Worth keeping",$C17="EU_Data","Static lookup tables — scripts still reference (smoke-test risk)",TRUE,"Review"),OR($A17="thg-influencer",$A17="thg-ingenuity",$A17="thg-central-marketing",$A17="thg-seoclarity"),"HOLD — Charlie Stringer to review before deletion",TRUE,"")</f>
        <v/>
      </c>
      <c r="S17" t="s">
        <v>1624</v>
      </c>
    </row>
    <row r="18" spans="1:19" ht="76.5" hidden="1">
      <c r="A18" t="s">
        <v>92</v>
      </c>
      <c r="B18" t="s">
        <v>1619</v>
      </c>
      <c r="C18" t="s">
        <v>1669</v>
      </c>
      <c r="D18" s="2" t="s">
        <v>1621</v>
      </c>
      <c r="E18">
        <v>216.45</v>
      </c>
      <c r="F18">
        <v>4.33</v>
      </c>
      <c r="G18" t="s">
        <v>79</v>
      </c>
      <c r="H18" t="s">
        <v>81</v>
      </c>
      <c r="I18">
        <v>6</v>
      </c>
      <c r="J18">
        <v>8</v>
      </c>
      <c r="K18" s="5">
        <v>46191.43432537037</v>
      </c>
      <c r="L18" s="5">
        <v>46188.457353819453</v>
      </c>
      <c r="M18" s="2" t="s">
        <v>1670</v>
      </c>
      <c r="N18" s="2" t="s">
        <v>1671</v>
      </c>
      <c r="O18" s="5">
        <v>46188.457515729169</v>
      </c>
      <c r="P18" t="str">
        <f>IF($Q18="DELETE",IF($S18="CONFIRMED: NO MODS &gt; 1YR","CONFIRMED: NO MODS &gt; 1YR","DO NOT DELETE — not defensibly confirmed"),IF($Q18="HOLD","DO NOT DELETE — HOLD (Charlie review)",IF($Q18="KEEP","DO NOT DELETE — KEEP",IF(ISNUMBER(SEARCH("REVIEW",$Q18)),"DO NOT DELETE — REVIEW pending",$S18))))</f>
        <v>CONFIRMED: NO MODS &gt; 1YR</v>
      </c>
      <c r="Q18" t="str" cm="1">
        <f t="array" ref="Q18">_xlfn.IFS(AND($A18="thg-beauty",ISNUMBER(SEARCH("liveramp",$C18))),"DELETE",$A18="agile-bonbon-662",_xlfn.IFS(LEFT($G18,9)="Tranche 1","DELETE",$C18="Sessions_Level_1_All_Sites","KEEP",ISNUMBER(--$C18),"REVIEW — UA raw logs",$C18="Emag_Reporting","KEEP",$C18="Nutrition_Data_Archived_Tables","KEEP",$C18="EU_Data","KEEP",TRUE,"REVIEW"),OR($A18="thg-influencer",$A18="thg-ingenuity",$A18="thg-central-marketing",$A18="thg-seoclarity"),"HOLD",TRUE,"")</f>
        <v/>
      </c>
      <c r="R18" t="str" cm="1">
        <f t="array" ref="R18">_xlfn.IFS(AND($A18="thg-beauty",ISNUMBER(SEARCH("liveramp",$C18))),"thg-beauty Liveramp dataset — confirmed safe to delete",$A18="agile-bonbon-662",_xlfn.IFS(LEFT($G18,9)="Tranche 1","Tranche 1: cleared",$C18="Sessions_Level_1_All_Sites","Downstream aggregation of UA raw logs — keep if raw tables go",ISNUMBER(--$C18),"UA raw site logs (account ID) — keep pending audit-retention check",$C18="Emag_Reporting","Legacy but likely needed",$C18="Nutrition_Data_Archived_Tables","Worth keeping",$C18="EU_Data","Static lookup tables — scripts still reference (smoke-test risk)",TRUE,"Review"),OR($A18="thg-influencer",$A18="thg-ingenuity",$A18="thg-central-marketing",$A18="thg-seoclarity"),"HOLD — Charlie Stringer to review before deletion",TRUE,"")</f>
        <v/>
      </c>
      <c r="S18" t="s">
        <v>1624</v>
      </c>
    </row>
    <row r="19" spans="1:19" ht="76.5" hidden="1">
      <c r="A19" t="s">
        <v>92</v>
      </c>
      <c r="B19" t="s">
        <v>1619</v>
      </c>
      <c r="C19" t="s">
        <v>1672</v>
      </c>
      <c r="D19" s="2" t="s">
        <v>1621</v>
      </c>
      <c r="E19">
        <v>214.44</v>
      </c>
      <c r="F19">
        <v>4.29</v>
      </c>
      <c r="G19" t="s">
        <v>79</v>
      </c>
      <c r="H19" t="s">
        <v>81</v>
      </c>
      <c r="I19">
        <v>5</v>
      </c>
      <c r="J19">
        <v>6</v>
      </c>
      <c r="K19" s="5">
        <v>46191.47121625</v>
      </c>
      <c r="L19" s="5">
        <v>46191.441278101847</v>
      </c>
      <c r="M19" s="2" t="s">
        <v>1673</v>
      </c>
      <c r="N19" s="2" t="s">
        <v>1674</v>
      </c>
      <c r="O19" s="5">
        <v>46191.452237372687</v>
      </c>
      <c r="P19" t="str">
        <f>IF($Q19="DELETE",IF($S19="CONFIRMED: NO MODS &gt; 1YR","CONFIRMED: NO MODS &gt; 1YR","DO NOT DELETE — not defensibly confirmed"),IF($Q19="HOLD","DO NOT DELETE — HOLD (Charlie review)",IF($Q19="KEEP","DO NOT DELETE — KEEP",IF(ISNUMBER(SEARCH("REVIEW",$Q19)),"DO NOT DELETE — REVIEW pending",$S19))))</f>
        <v>CONFIRMED: NO MODS &gt; 1YR</v>
      </c>
      <c r="Q19" t="str" cm="1">
        <f t="array" ref="Q19">_xlfn.IFS(AND($A19="thg-beauty",ISNUMBER(SEARCH("liveramp",$C19))),"DELETE",$A19="agile-bonbon-662",_xlfn.IFS(LEFT($G19,9)="Tranche 1","DELETE",$C19="Sessions_Level_1_All_Sites","KEEP",ISNUMBER(--$C19),"REVIEW — UA raw logs",$C19="Emag_Reporting","KEEP",$C19="Nutrition_Data_Archived_Tables","KEEP",$C19="EU_Data","KEEP",TRUE,"REVIEW"),OR($A19="thg-influencer",$A19="thg-ingenuity",$A19="thg-central-marketing",$A19="thg-seoclarity"),"HOLD",TRUE,"")</f>
        <v/>
      </c>
      <c r="R19" t="str" cm="1">
        <f t="array" ref="R19">_xlfn.IFS(AND($A19="thg-beauty",ISNUMBER(SEARCH("liveramp",$C19))),"thg-beauty Liveramp dataset — confirmed safe to delete",$A19="agile-bonbon-662",_xlfn.IFS(LEFT($G19,9)="Tranche 1","Tranche 1: cleared",$C19="Sessions_Level_1_All_Sites","Downstream aggregation of UA raw logs — keep if raw tables go",ISNUMBER(--$C19),"UA raw site logs (account ID) — keep pending audit-retention check",$C19="Emag_Reporting","Legacy but likely needed",$C19="Nutrition_Data_Archived_Tables","Worth keeping",$C19="EU_Data","Static lookup tables — scripts still reference (smoke-test risk)",TRUE,"Review"),OR($A19="thg-influencer",$A19="thg-ingenuity",$A19="thg-central-marketing",$A19="thg-seoclarity"),"HOLD — Charlie Stringer to review before deletion",TRUE,"")</f>
        <v/>
      </c>
      <c r="S19" t="s">
        <v>1624</v>
      </c>
    </row>
    <row r="20" spans="1:19" ht="76.5" hidden="1">
      <c r="A20" t="s">
        <v>92</v>
      </c>
      <c r="B20" t="s">
        <v>1619</v>
      </c>
      <c r="C20" t="s">
        <v>1675</v>
      </c>
      <c r="D20" s="2" t="s">
        <v>1621</v>
      </c>
      <c r="E20">
        <v>212.7</v>
      </c>
      <c r="F20">
        <v>4.25</v>
      </c>
      <c r="G20" t="s">
        <v>79</v>
      </c>
      <c r="H20" t="s">
        <v>81</v>
      </c>
      <c r="I20">
        <v>0</v>
      </c>
      <c r="J20">
        <v>0</v>
      </c>
      <c r="K20" s="5">
        <v>46197.434437245371</v>
      </c>
      <c r="L20" s="5">
        <v>46197.292155162038</v>
      </c>
      <c r="M20" s="2" t="s">
        <v>1676</v>
      </c>
      <c r="N20" s="2" t="s">
        <v>1677</v>
      </c>
      <c r="O20" s="5">
        <v>46197.292276689812</v>
      </c>
      <c r="P20" t="str">
        <f>IF($Q20="DELETE",IF($S20="CONFIRMED: NO MODS &gt; 1YR","CONFIRMED: NO MODS &gt; 1YR","DO NOT DELETE — not defensibly confirmed"),IF($Q20="HOLD","DO NOT DELETE — HOLD (Charlie review)",IF($Q20="KEEP","DO NOT DELETE — KEEP",IF(ISNUMBER(SEARCH("REVIEW",$Q20)),"DO NOT DELETE — REVIEW pending",$S20))))</f>
        <v>CONFIRMED: NO MODS &gt; 1YR</v>
      </c>
      <c r="Q20" t="str" cm="1">
        <f t="array" ref="Q20">_xlfn.IFS(AND($A20="thg-beauty",ISNUMBER(SEARCH("liveramp",$C20))),"DELETE",$A20="agile-bonbon-662",_xlfn.IFS(LEFT($G20,9)="Tranche 1","DELETE",$C20="Sessions_Level_1_All_Sites","KEEP",ISNUMBER(--$C20),"REVIEW — UA raw logs",$C20="Emag_Reporting","KEEP",$C20="Nutrition_Data_Archived_Tables","KEEP",$C20="EU_Data","KEEP",TRUE,"REVIEW"),OR($A20="thg-influencer",$A20="thg-ingenuity",$A20="thg-central-marketing",$A20="thg-seoclarity"),"HOLD",TRUE,"")</f>
        <v/>
      </c>
      <c r="R20" t="str" cm="1">
        <f t="array" ref="R20">_xlfn.IFS(AND($A20="thg-beauty",ISNUMBER(SEARCH("liveramp",$C20))),"thg-beauty Liveramp dataset — confirmed safe to delete",$A20="agile-bonbon-662",_xlfn.IFS(LEFT($G20,9)="Tranche 1","Tranche 1: cleared",$C20="Sessions_Level_1_All_Sites","Downstream aggregation of UA raw logs — keep if raw tables go",ISNUMBER(--$C20),"UA raw site logs (account ID) — keep pending audit-retention check",$C20="Emag_Reporting","Legacy but likely needed",$C20="Nutrition_Data_Archived_Tables","Worth keeping",$C20="EU_Data","Static lookup tables — scripts still reference (smoke-test risk)",TRUE,"Review"),OR($A20="thg-influencer",$A20="thg-ingenuity",$A20="thg-central-marketing",$A20="thg-seoclarity"),"HOLD — Charlie Stringer to review before deletion",TRUE,"")</f>
        <v/>
      </c>
      <c r="S20" t="s">
        <v>1624</v>
      </c>
    </row>
    <row r="21" spans="1:19" ht="76.5" hidden="1">
      <c r="A21" t="s">
        <v>92</v>
      </c>
      <c r="B21" t="s">
        <v>1619</v>
      </c>
      <c r="C21" t="s">
        <v>1678</v>
      </c>
      <c r="D21" s="2" t="s">
        <v>1621</v>
      </c>
      <c r="E21">
        <v>184.05</v>
      </c>
      <c r="F21">
        <v>3.68</v>
      </c>
      <c r="G21" t="s">
        <v>79</v>
      </c>
      <c r="H21" t="s">
        <v>81</v>
      </c>
      <c r="I21">
        <v>0</v>
      </c>
      <c r="J21">
        <v>0</v>
      </c>
      <c r="K21" s="5">
        <v>46197.234346620367</v>
      </c>
      <c r="L21" s="5">
        <v>46197.110866539348</v>
      </c>
      <c r="M21" s="2" t="s">
        <v>1679</v>
      </c>
      <c r="N21" s="2" t="s">
        <v>1680</v>
      </c>
      <c r="O21" s="5">
        <v>46197.112564479168</v>
      </c>
      <c r="P21" t="str">
        <f>IF($Q21="DELETE",IF($S21="CONFIRMED: NO MODS &gt; 1YR","CONFIRMED: NO MODS &gt; 1YR","DO NOT DELETE — not defensibly confirmed"),IF($Q21="HOLD","DO NOT DELETE — HOLD (Charlie review)",IF($Q21="KEEP","DO NOT DELETE — KEEP",IF(ISNUMBER(SEARCH("REVIEW",$Q21)),"DO NOT DELETE — REVIEW pending",$S21))))</f>
        <v>CONFIRMED: NO MODS &gt; 1YR</v>
      </c>
      <c r="Q21" t="str" cm="1">
        <f t="array" ref="Q21">_xlfn.IFS(AND($A21="thg-beauty",ISNUMBER(SEARCH("liveramp",$C21))),"DELETE",$A21="agile-bonbon-662",_xlfn.IFS(LEFT($G21,9)="Tranche 1","DELETE",$C21="Sessions_Level_1_All_Sites","KEEP",ISNUMBER(--$C21),"REVIEW — UA raw logs",$C21="Emag_Reporting","KEEP",$C21="Nutrition_Data_Archived_Tables","KEEP",$C21="EU_Data","KEEP",TRUE,"REVIEW"),OR($A21="thg-influencer",$A21="thg-ingenuity",$A21="thg-central-marketing",$A21="thg-seoclarity"),"HOLD",TRUE,"")</f>
        <v/>
      </c>
      <c r="R21" t="str" cm="1">
        <f t="array" ref="R21">_xlfn.IFS(AND($A21="thg-beauty",ISNUMBER(SEARCH("liveramp",$C21))),"thg-beauty Liveramp dataset — confirmed safe to delete",$A21="agile-bonbon-662",_xlfn.IFS(LEFT($G21,9)="Tranche 1","Tranche 1: cleared",$C21="Sessions_Level_1_All_Sites","Downstream aggregation of UA raw logs — keep if raw tables go",ISNUMBER(--$C21),"UA raw site logs (account ID) — keep pending audit-retention check",$C21="Emag_Reporting","Legacy but likely needed",$C21="Nutrition_Data_Archived_Tables","Worth keeping",$C21="EU_Data","Static lookup tables — scripts still reference (smoke-test risk)",TRUE,"Review"),OR($A21="thg-influencer",$A21="thg-ingenuity",$A21="thg-central-marketing",$A21="thg-seoclarity"),"HOLD — Charlie Stringer to review before deletion",TRUE,"")</f>
        <v/>
      </c>
      <c r="S21" t="s">
        <v>1624</v>
      </c>
    </row>
    <row r="22" spans="1:19" ht="76.5" hidden="1">
      <c r="A22" t="s">
        <v>92</v>
      </c>
      <c r="B22" t="s">
        <v>1619</v>
      </c>
      <c r="C22" t="s">
        <v>1681</v>
      </c>
      <c r="D22" s="2" t="s">
        <v>1621</v>
      </c>
      <c r="E22">
        <v>178.24</v>
      </c>
      <c r="F22">
        <v>3.56</v>
      </c>
      <c r="G22" t="s">
        <v>79</v>
      </c>
      <c r="H22" t="s">
        <v>81</v>
      </c>
      <c r="I22">
        <v>0</v>
      </c>
      <c r="J22">
        <v>165</v>
      </c>
      <c r="K22" s="5">
        <v>46197.229324745371</v>
      </c>
      <c r="L22" s="5">
        <v>46031.486748784722</v>
      </c>
      <c r="M22" s="2" t="s">
        <v>1682</v>
      </c>
      <c r="N22" s="2" t="s">
        <v>1683</v>
      </c>
      <c r="O22" s="5">
        <v>46031.486769293981</v>
      </c>
      <c r="P22" t="str">
        <f>IF($Q22="DELETE",IF($S22="CONFIRMED: NO MODS &gt; 1YR","CONFIRMED: NO MODS &gt; 1YR","DO NOT DELETE — not defensibly confirmed"),IF($Q22="HOLD","DO NOT DELETE — HOLD (Charlie review)",IF($Q22="KEEP","DO NOT DELETE — KEEP",IF(ISNUMBER(SEARCH("REVIEW",$Q22)),"DO NOT DELETE — REVIEW pending",$S22))))</f>
        <v>CONFIRMED: NO MODS &gt; 1YR</v>
      </c>
      <c r="Q22" t="str" cm="1">
        <f t="array" ref="Q22">_xlfn.IFS(AND($A22="thg-beauty",ISNUMBER(SEARCH("liveramp",$C22))),"DELETE",$A22="agile-bonbon-662",_xlfn.IFS(LEFT($G22,9)="Tranche 1","DELETE",$C22="Sessions_Level_1_All_Sites","KEEP",ISNUMBER(--$C22),"REVIEW — UA raw logs",$C22="Emag_Reporting","KEEP",$C22="Nutrition_Data_Archived_Tables","KEEP",$C22="EU_Data","KEEP",TRUE,"REVIEW"),OR($A22="thg-influencer",$A22="thg-ingenuity",$A22="thg-central-marketing",$A22="thg-seoclarity"),"HOLD",TRUE,"")</f>
        <v/>
      </c>
      <c r="R22" t="str" cm="1">
        <f t="array" ref="R22">_xlfn.IFS(AND($A22="thg-beauty",ISNUMBER(SEARCH("liveramp",$C22))),"thg-beauty Liveramp dataset — confirmed safe to delete",$A22="agile-bonbon-662",_xlfn.IFS(LEFT($G22,9)="Tranche 1","Tranche 1: cleared",$C22="Sessions_Level_1_All_Sites","Downstream aggregation of UA raw logs — keep if raw tables go",ISNUMBER(--$C22),"UA raw site logs (account ID) — keep pending audit-retention check",$C22="Emag_Reporting","Legacy but likely needed",$C22="Nutrition_Data_Archived_Tables","Worth keeping",$C22="EU_Data","Static lookup tables — scripts still reference (smoke-test risk)",TRUE,"Review"),OR($A22="thg-influencer",$A22="thg-ingenuity",$A22="thg-central-marketing",$A22="thg-seoclarity"),"HOLD — Charlie Stringer to review before deletion",TRUE,"")</f>
        <v/>
      </c>
      <c r="S22" t="s">
        <v>1624</v>
      </c>
    </row>
    <row r="23" spans="1:19" ht="76.5" hidden="1">
      <c r="A23" t="s">
        <v>92</v>
      </c>
      <c r="B23" t="s">
        <v>1619</v>
      </c>
      <c r="C23" t="s">
        <v>1684</v>
      </c>
      <c r="D23" s="2" t="s">
        <v>1621</v>
      </c>
      <c r="E23">
        <v>175.96</v>
      </c>
      <c r="F23">
        <v>3.52</v>
      </c>
      <c r="G23" t="s">
        <v>79</v>
      </c>
      <c r="H23" t="s">
        <v>81</v>
      </c>
      <c r="I23">
        <v>0</v>
      </c>
      <c r="J23">
        <v>0</v>
      </c>
      <c r="K23" s="5">
        <v>46197.377356307872</v>
      </c>
      <c r="L23" s="5">
        <v>46197.120500613433</v>
      </c>
      <c r="M23" s="2" t="s">
        <v>1685</v>
      </c>
      <c r="N23" s="2" t="s">
        <v>1686</v>
      </c>
      <c r="O23" s="5">
        <v>46197.122013796303</v>
      </c>
      <c r="P23" t="str">
        <f>IF($Q23="DELETE",IF($S23="CONFIRMED: NO MODS &gt; 1YR","CONFIRMED: NO MODS &gt; 1YR","DO NOT DELETE — not defensibly confirmed"),IF($Q23="HOLD","DO NOT DELETE — HOLD (Charlie review)",IF($Q23="KEEP","DO NOT DELETE — KEEP",IF(ISNUMBER(SEARCH("REVIEW",$Q23)),"DO NOT DELETE — REVIEW pending",$S23))))</f>
        <v>CONFIRMED: NO MODS &gt; 1YR</v>
      </c>
      <c r="Q23" t="str" cm="1">
        <f t="array" ref="Q23">_xlfn.IFS(AND($A23="thg-beauty",ISNUMBER(SEARCH("liveramp",$C23))),"DELETE",$A23="agile-bonbon-662",_xlfn.IFS(LEFT($G23,9)="Tranche 1","DELETE",$C23="Sessions_Level_1_All_Sites","KEEP",ISNUMBER(--$C23),"REVIEW — UA raw logs",$C23="Emag_Reporting","KEEP",$C23="Nutrition_Data_Archived_Tables","KEEP",$C23="EU_Data","KEEP",TRUE,"REVIEW"),OR($A23="thg-influencer",$A23="thg-ingenuity",$A23="thg-central-marketing",$A23="thg-seoclarity"),"HOLD",TRUE,"")</f>
        <v/>
      </c>
      <c r="R23" t="str" cm="1">
        <f t="array" ref="R23">_xlfn.IFS(AND($A23="thg-beauty",ISNUMBER(SEARCH("liveramp",$C23))),"thg-beauty Liveramp dataset — confirmed safe to delete",$A23="agile-bonbon-662",_xlfn.IFS(LEFT($G23,9)="Tranche 1","Tranche 1: cleared",$C23="Sessions_Level_1_All_Sites","Downstream aggregation of UA raw logs — keep if raw tables go",ISNUMBER(--$C23),"UA raw site logs (account ID) — keep pending audit-retention check",$C23="Emag_Reporting","Legacy but likely needed",$C23="Nutrition_Data_Archived_Tables","Worth keeping",$C23="EU_Data","Static lookup tables — scripts still reference (smoke-test risk)",TRUE,"Review"),OR($A23="thg-influencer",$A23="thg-ingenuity",$A23="thg-central-marketing",$A23="thg-seoclarity"),"HOLD — Charlie Stringer to review before deletion",TRUE,"")</f>
        <v/>
      </c>
      <c r="S23" t="s">
        <v>1624</v>
      </c>
    </row>
    <row r="24" spans="1:19" ht="76.5" hidden="1">
      <c r="A24" t="s">
        <v>92</v>
      </c>
      <c r="B24" t="s">
        <v>1619</v>
      </c>
      <c r="C24" t="s">
        <v>1687</v>
      </c>
      <c r="D24" s="2" t="s">
        <v>1621</v>
      </c>
      <c r="E24">
        <v>175.52</v>
      </c>
      <c r="F24">
        <v>3.51</v>
      </c>
      <c r="G24" t="s">
        <v>79</v>
      </c>
      <c r="H24" t="s">
        <v>81</v>
      </c>
      <c r="I24">
        <v>0</v>
      </c>
      <c r="J24">
        <v>0</v>
      </c>
      <c r="K24" s="5">
        <v>46197.300066388889</v>
      </c>
      <c r="L24" s="5">
        <v>46197.107782361112</v>
      </c>
      <c r="M24" s="2" t="s">
        <v>1688</v>
      </c>
      <c r="N24" s="2" t="s">
        <v>1689</v>
      </c>
      <c r="O24" s="5">
        <v>46197.107882847216</v>
      </c>
      <c r="P24" t="str">
        <f>IF($Q24="DELETE",IF($S24="CONFIRMED: NO MODS &gt; 1YR","CONFIRMED: NO MODS &gt; 1YR","DO NOT DELETE — not defensibly confirmed"),IF($Q24="HOLD","DO NOT DELETE — HOLD (Charlie review)",IF($Q24="KEEP","DO NOT DELETE — KEEP",IF(ISNUMBER(SEARCH("REVIEW",$Q24)),"DO NOT DELETE — REVIEW pending",$S24))))</f>
        <v>CONFIRMED: NO MODS &gt; 1YR</v>
      </c>
      <c r="Q24" t="str" cm="1">
        <f t="array" ref="Q24">_xlfn.IFS(AND($A24="thg-beauty",ISNUMBER(SEARCH("liveramp",$C24))),"DELETE",$A24="agile-bonbon-662",_xlfn.IFS(LEFT($G24,9)="Tranche 1","DELETE",$C24="Sessions_Level_1_All_Sites","KEEP",ISNUMBER(--$C24),"REVIEW — UA raw logs",$C24="Emag_Reporting","KEEP",$C24="Nutrition_Data_Archived_Tables","KEEP",$C24="EU_Data","KEEP",TRUE,"REVIEW"),OR($A24="thg-influencer",$A24="thg-ingenuity",$A24="thg-central-marketing",$A24="thg-seoclarity"),"HOLD",TRUE,"")</f>
        <v/>
      </c>
      <c r="R24" t="str" cm="1">
        <f t="array" ref="R24">_xlfn.IFS(AND($A24="thg-beauty",ISNUMBER(SEARCH("liveramp",$C24))),"thg-beauty Liveramp dataset — confirmed safe to delete",$A24="agile-bonbon-662",_xlfn.IFS(LEFT($G24,9)="Tranche 1","Tranche 1: cleared",$C24="Sessions_Level_1_All_Sites","Downstream aggregation of UA raw logs — keep if raw tables go",ISNUMBER(--$C24),"UA raw site logs (account ID) — keep pending audit-retention check",$C24="Emag_Reporting","Legacy but likely needed",$C24="Nutrition_Data_Archived_Tables","Worth keeping",$C24="EU_Data","Static lookup tables — scripts still reference (smoke-test risk)",TRUE,"Review"),OR($A24="thg-influencer",$A24="thg-ingenuity",$A24="thg-central-marketing",$A24="thg-seoclarity"),"HOLD — Charlie Stringer to review before deletion",TRUE,"")</f>
        <v/>
      </c>
      <c r="S24" t="s">
        <v>1624</v>
      </c>
    </row>
    <row r="25" spans="1:19" ht="76.5" hidden="1">
      <c r="A25" t="s">
        <v>92</v>
      </c>
      <c r="B25" t="s">
        <v>1619</v>
      </c>
      <c r="C25" t="s">
        <v>1690</v>
      </c>
      <c r="D25" s="2" t="s">
        <v>1621</v>
      </c>
      <c r="E25">
        <v>168.08</v>
      </c>
      <c r="F25">
        <v>3.36</v>
      </c>
      <c r="G25" t="s">
        <v>79</v>
      </c>
      <c r="H25" t="s">
        <v>81</v>
      </c>
      <c r="I25">
        <v>0</v>
      </c>
      <c r="J25">
        <v>0</v>
      </c>
      <c r="K25" s="5">
        <v>46197.329969571758</v>
      </c>
      <c r="L25" s="5">
        <v>46197.32635984954</v>
      </c>
      <c r="M25" s="2" t="s">
        <v>1691</v>
      </c>
      <c r="N25" s="2" t="s">
        <v>1692</v>
      </c>
      <c r="O25" s="5">
        <v>46197.204677256937</v>
      </c>
      <c r="P25" t="str">
        <f>IF($Q25="DELETE",IF($S25="CONFIRMED: NO MODS &gt; 1YR","CONFIRMED: NO MODS &gt; 1YR","DO NOT DELETE — not defensibly confirmed"),IF($Q25="HOLD","DO NOT DELETE — HOLD (Charlie review)",IF($Q25="KEEP","DO NOT DELETE — KEEP",IF(ISNUMBER(SEARCH("REVIEW",$Q25)),"DO NOT DELETE — REVIEW pending",$S25))))</f>
        <v>CONFIRMED: NO MODS &gt; 1YR</v>
      </c>
      <c r="Q25" t="str" cm="1">
        <f t="array" ref="Q25">_xlfn.IFS(AND($A25="thg-beauty",ISNUMBER(SEARCH("liveramp",$C25))),"DELETE",$A25="agile-bonbon-662",_xlfn.IFS(LEFT($G25,9)="Tranche 1","DELETE",$C25="Sessions_Level_1_All_Sites","KEEP",ISNUMBER(--$C25),"REVIEW — UA raw logs",$C25="Emag_Reporting","KEEP",$C25="Nutrition_Data_Archived_Tables","KEEP",$C25="EU_Data","KEEP",TRUE,"REVIEW"),OR($A25="thg-influencer",$A25="thg-ingenuity",$A25="thg-central-marketing",$A25="thg-seoclarity"),"HOLD",TRUE,"")</f>
        <v/>
      </c>
      <c r="R25" t="str" cm="1">
        <f t="array" ref="R25">_xlfn.IFS(AND($A25="thg-beauty",ISNUMBER(SEARCH("liveramp",$C25))),"thg-beauty Liveramp dataset — confirmed safe to delete",$A25="agile-bonbon-662",_xlfn.IFS(LEFT($G25,9)="Tranche 1","Tranche 1: cleared",$C25="Sessions_Level_1_All_Sites","Downstream aggregation of UA raw logs — keep if raw tables go",ISNUMBER(--$C25),"UA raw site logs (account ID) — keep pending audit-retention check",$C25="Emag_Reporting","Legacy but likely needed",$C25="Nutrition_Data_Archived_Tables","Worth keeping",$C25="EU_Data","Static lookup tables — scripts still reference (smoke-test risk)",TRUE,"Review"),OR($A25="thg-influencer",$A25="thg-ingenuity",$A25="thg-central-marketing",$A25="thg-seoclarity"),"HOLD — Charlie Stringer to review before deletion",TRUE,"")</f>
        <v/>
      </c>
      <c r="S25" t="s">
        <v>1624</v>
      </c>
    </row>
    <row r="26" spans="1:19" ht="76.5" hidden="1">
      <c r="A26" t="s">
        <v>92</v>
      </c>
      <c r="B26" t="s">
        <v>1619</v>
      </c>
      <c r="C26" t="s">
        <v>1693</v>
      </c>
      <c r="D26" s="2" t="s">
        <v>1621</v>
      </c>
      <c r="E26">
        <v>139.35</v>
      </c>
      <c r="F26">
        <v>2.79</v>
      </c>
      <c r="G26" t="s">
        <v>79</v>
      </c>
      <c r="H26" t="s">
        <v>81</v>
      </c>
      <c r="I26">
        <v>0</v>
      </c>
      <c r="J26">
        <v>0</v>
      </c>
      <c r="K26" s="5">
        <v>46197.378562592603</v>
      </c>
      <c r="L26" s="5">
        <v>46197.378562592603</v>
      </c>
      <c r="M26" s="2" t="s">
        <v>1694</v>
      </c>
      <c r="N26" s="2" t="s">
        <v>1695</v>
      </c>
      <c r="O26" s="5">
        <v>46197.378505532397</v>
      </c>
      <c r="P26" t="str">
        <f>IF($Q26="DELETE",IF($S26="CONFIRMED: NO MODS &gt; 1YR","CONFIRMED: NO MODS &gt; 1YR","DO NOT DELETE — not defensibly confirmed"),IF($Q26="HOLD","DO NOT DELETE — HOLD (Charlie review)",IF($Q26="KEEP","DO NOT DELETE — KEEP",IF(ISNUMBER(SEARCH("REVIEW",$Q26)),"DO NOT DELETE — REVIEW pending",$S26))))</f>
        <v>CONFIRMED: NO MODS &gt; 1YR</v>
      </c>
      <c r="Q26" t="str" cm="1">
        <f t="array" ref="Q26">_xlfn.IFS(AND($A26="thg-beauty",ISNUMBER(SEARCH("liveramp",$C26))),"DELETE",$A26="agile-bonbon-662",_xlfn.IFS(LEFT($G26,9)="Tranche 1","DELETE",$C26="Sessions_Level_1_All_Sites","KEEP",ISNUMBER(--$C26),"REVIEW — UA raw logs",$C26="Emag_Reporting","KEEP",$C26="Nutrition_Data_Archived_Tables","KEEP",$C26="EU_Data","KEEP",TRUE,"REVIEW"),OR($A26="thg-influencer",$A26="thg-ingenuity",$A26="thg-central-marketing",$A26="thg-seoclarity"),"HOLD",TRUE,"")</f>
        <v/>
      </c>
      <c r="R26" t="str" cm="1">
        <f t="array" ref="R26">_xlfn.IFS(AND($A26="thg-beauty",ISNUMBER(SEARCH("liveramp",$C26))),"thg-beauty Liveramp dataset — confirmed safe to delete",$A26="agile-bonbon-662",_xlfn.IFS(LEFT($G26,9)="Tranche 1","Tranche 1: cleared",$C26="Sessions_Level_1_All_Sites","Downstream aggregation of UA raw logs — keep if raw tables go",ISNUMBER(--$C26),"UA raw site logs (account ID) — keep pending audit-retention check",$C26="Emag_Reporting","Legacy but likely needed",$C26="Nutrition_Data_Archived_Tables","Worth keeping",$C26="EU_Data","Static lookup tables — scripts still reference (smoke-test risk)",TRUE,"Review"),OR($A26="thg-influencer",$A26="thg-ingenuity",$A26="thg-central-marketing",$A26="thg-seoclarity"),"HOLD — Charlie Stringer to review before deletion",TRUE,"")</f>
        <v/>
      </c>
      <c r="S26" t="s">
        <v>1624</v>
      </c>
    </row>
    <row r="27" spans="1:19" ht="76.5" hidden="1">
      <c r="A27" t="s">
        <v>93</v>
      </c>
      <c r="B27" t="s">
        <v>1619</v>
      </c>
      <c r="C27" t="s">
        <v>1696</v>
      </c>
      <c r="D27" s="2" t="s">
        <v>1621</v>
      </c>
      <c r="E27">
        <v>7.0000000000000007E-2</v>
      </c>
      <c r="F27">
        <v>0</v>
      </c>
      <c r="G27" t="s">
        <v>79</v>
      </c>
      <c r="H27" t="s">
        <v>81</v>
      </c>
      <c r="I27">
        <v>169</v>
      </c>
      <c r="J27">
        <v>170</v>
      </c>
      <c r="K27" s="5">
        <v>46027.46330502315</v>
      </c>
      <c r="L27" s="5">
        <v>46027.381506481477</v>
      </c>
      <c r="M27" s="2" t="s">
        <v>1697</v>
      </c>
      <c r="N27" s="2" t="s">
        <v>1698</v>
      </c>
      <c r="O27" s="5">
        <v>46027.381527337973</v>
      </c>
      <c r="P27" t="str">
        <f>IF($Q27="DELETE",IF($S27="CONFIRMED: NO MODS &gt; 1YR","CONFIRMED: NO MODS &gt; 1YR","DO NOT DELETE — not defensibly confirmed"),IF($Q27="HOLD","DO NOT DELETE — HOLD (Charlie review)",IF($Q27="KEEP","DO NOT DELETE — KEEP",IF(ISNUMBER(SEARCH("REVIEW",$Q27)),"DO NOT DELETE — REVIEW pending",$S27))))</f>
        <v>CONFIRMED: NO MODS &gt; 1YR</v>
      </c>
      <c r="Q27" t="str" cm="1">
        <f t="array" ref="Q27">_xlfn.IFS(AND($A27="thg-beauty",ISNUMBER(SEARCH("liveramp",$C27))),"DELETE",$A27="agile-bonbon-662",_xlfn.IFS(LEFT($G27,9)="Tranche 1","DELETE",$C27="Sessions_Level_1_All_Sites","KEEP",ISNUMBER(--$C27),"REVIEW — UA raw logs",$C27="Emag_Reporting","KEEP",$C27="Nutrition_Data_Archived_Tables","KEEP",$C27="EU_Data","KEEP",TRUE,"REVIEW"),OR($A27="thg-influencer",$A27="thg-ingenuity",$A27="thg-central-marketing",$A27="thg-seoclarity"),"HOLD",TRUE,"")</f>
        <v/>
      </c>
      <c r="R27" t="str" cm="1">
        <f t="array" ref="R27">_xlfn.IFS(AND($A27="thg-beauty",ISNUMBER(SEARCH("liveramp",$C27))),"thg-beauty Liveramp dataset — confirmed safe to delete",$A27="agile-bonbon-662",_xlfn.IFS(LEFT($G27,9)="Tranche 1","Tranche 1: cleared",$C27="Sessions_Level_1_All_Sites","Downstream aggregation of UA raw logs — keep if raw tables go",ISNUMBER(--$C27),"UA raw site logs (account ID) — keep pending audit-retention check",$C27="Emag_Reporting","Legacy but likely needed",$C27="Nutrition_Data_Archived_Tables","Worth keeping",$C27="EU_Data","Static lookup tables — scripts still reference (smoke-test risk)",TRUE,"Review"),OR($A27="thg-influencer",$A27="thg-ingenuity",$A27="thg-central-marketing",$A27="thg-seoclarity"),"HOLD — Charlie Stringer to review before deletion",TRUE,"")</f>
        <v/>
      </c>
      <c r="S27" t="s">
        <v>1624</v>
      </c>
    </row>
    <row r="28" spans="1:19" ht="30.75" hidden="1">
      <c r="A28" t="s">
        <v>93</v>
      </c>
      <c r="B28" t="s">
        <v>1619</v>
      </c>
      <c r="C28" t="s">
        <v>1699</v>
      </c>
      <c r="D28" s="2" t="s">
        <v>1621</v>
      </c>
      <c r="E28">
        <v>0.05</v>
      </c>
      <c r="F28">
        <v>0</v>
      </c>
      <c r="G28" t="s">
        <v>79</v>
      </c>
      <c r="H28" t="s">
        <v>81</v>
      </c>
      <c r="I28">
        <v>169</v>
      </c>
      <c r="J28">
        <v>169</v>
      </c>
      <c r="K28" s="5">
        <v>46027.459505798608</v>
      </c>
      <c r="M28" s="2" t="s">
        <v>1700</v>
      </c>
      <c r="N28" s="2" t="s">
        <v>1701</v>
      </c>
      <c r="O28" s="5">
        <v>46027.483307407398</v>
      </c>
      <c r="P28" t="str">
        <f>IF($Q28="DELETE",IF($S28="CONFIRMED: NO MODS &gt; 1YR","CONFIRMED: NO MODS &gt; 1YR","DO NOT DELETE — not defensibly confirmed"),IF($Q28="HOLD","DO NOT DELETE — HOLD (Charlie review)",IF($Q28="KEEP","DO NOT DELETE — KEEP",IF(ISNUMBER(SEARCH("REVIEW",$Q28)),"DO NOT DELETE — REVIEW pending",$S28))))</f>
        <v>CONFIRMED: NO MODS &gt; 1YR</v>
      </c>
      <c r="Q28" t="str" cm="1">
        <f t="array" ref="Q28">_xlfn.IFS(AND($A28="thg-beauty",ISNUMBER(SEARCH("liveramp",$C28))),"DELETE",$A28="agile-bonbon-662",_xlfn.IFS(LEFT($G28,9)="Tranche 1","DELETE",$C28="Sessions_Level_1_All_Sites","KEEP",ISNUMBER(--$C28),"REVIEW — UA raw logs",$C28="Emag_Reporting","KEEP",$C28="Nutrition_Data_Archived_Tables","KEEP",$C28="EU_Data","KEEP",TRUE,"REVIEW"),OR($A28="thg-influencer",$A28="thg-ingenuity",$A28="thg-central-marketing",$A28="thg-seoclarity"),"HOLD",TRUE,"")</f>
        <v/>
      </c>
      <c r="R28" t="str" cm="1">
        <f t="array" ref="R28">_xlfn.IFS(AND($A28="thg-beauty",ISNUMBER(SEARCH("liveramp",$C28))),"thg-beauty Liveramp dataset — confirmed safe to delete",$A28="agile-bonbon-662",_xlfn.IFS(LEFT($G28,9)="Tranche 1","Tranche 1: cleared",$C28="Sessions_Level_1_All_Sites","Downstream aggregation of UA raw logs — keep if raw tables go",ISNUMBER(--$C28),"UA raw site logs (account ID) — keep pending audit-retention check",$C28="Emag_Reporting","Legacy but likely needed",$C28="Nutrition_Data_Archived_Tables","Worth keeping",$C28="EU_Data","Static lookup tables — scripts still reference (smoke-test risk)",TRUE,"Review"),OR($A28="thg-influencer",$A28="thg-ingenuity",$A28="thg-central-marketing",$A28="thg-seoclarity"),"HOLD — Charlie Stringer to review before deletion",TRUE,"")</f>
        <v/>
      </c>
      <c r="S28" t="s">
        <v>1624</v>
      </c>
    </row>
    <row r="29" spans="1:19" ht="76.5" hidden="1">
      <c r="A29" t="s">
        <v>1702</v>
      </c>
      <c r="B29" t="s">
        <v>1619</v>
      </c>
      <c r="C29" t="s">
        <v>1703</v>
      </c>
      <c r="D29" s="2" t="s">
        <v>1621</v>
      </c>
      <c r="E29">
        <v>0.16</v>
      </c>
      <c r="F29">
        <v>0</v>
      </c>
      <c r="G29" t="s">
        <v>79</v>
      </c>
      <c r="H29" t="s">
        <v>81</v>
      </c>
      <c r="I29">
        <v>166</v>
      </c>
      <c r="J29">
        <v>172</v>
      </c>
      <c r="K29" s="5">
        <v>46030.467055694447</v>
      </c>
      <c r="M29" s="2" t="s">
        <v>1704</v>
      </c>
      <c r="N29" s="2" t="s">
        <v>1701</v>
      </c>
      <c r="O29" s="5">
        <v>46024.51508769676</v>
      </c>
      <c r="P29" t="str">
        <f>IF($Q29="DELETE",IF($S29="CONFIRMED: NO MODS &gt; 1YR","CONFIRMED: NO MODS &gt; 1YR","DO NOT DELETE — not defensibly confirmed"),IF($Q29="HOLD","DO NOT DELETE — HOLD (Charlie review)",IF($Q29="KEEP","DO NOT DELETE — KEEP",IF(ISNUMBER(SEARCH("REVIEW",$Q29)),"DO NOT DELETE — REVIEW pending",$S29))))</f>
        <v>CONFIRMED: NO MODS &gt; 1YR</v>
      </c>
      <c r="Q29" t="str" cm="1">
        <f t="array" ref="Q29">_xlfn.IFS(AND($A29="thg-beauty",ISNUMBER(SEARCH("liveramp",$C29))),"DELETE",$A29="agile-bonbon-662",_xlfn.IFS(LEFT($G29,9)="Tranche 1","DELETE",$C29="Sessions_Level_1_All_Sites","KEEP",ISNUMBER(--$C29),"REVIEW — UA raw logs",$C29="Emag_Reporting","KEEP",$C29="Nutrition_Data_Archived_Tables","KEEP",$C29="EU_Data","KEEP",TRUE,"REVIEW"),OR($A29="thg-influencer",$A29="thg-ingenuity",$A29="thg-central-marketing",$A29="thg-seoclarity"),"HOLD",TRUE,"")</f>
        <v/>
      </c>
      <c r="R29" t="str" cm="1">
        <f t="array" ref="R29">_xlfn.IFS(AND($A29="thg-beauty",ISNUMBER(SEARCH("liveramp",$C29))),"thg-beauty Liveramp dataset — confirmed safe to delete",$A29="agile-bonbon-662",_xlfn.IFS(LEFT($G29,9)="Tranche 1","Tranche 1: cleared",$C29="Sessions_Level_1_All_Sites","Downstream aggregation of UA raw logs — keep if raw tables go",ISNUMBER(--$C29),"UA raw site logs (account ID) — keep pending audit-retention check",$C29="Emag_Reporting","Legacy but likely needed",$C29="Nutrition_Data_Archived_Tables","Worth keeping",$C29="EU_Data","Static lookup tables — scripts still reference (smoke-test risk)",TRUE,"Review"),OR($A29="thg-influencer",$A29="thg-ingenuity",$A29="thg-central-marketing",$A29="thg-seoclarity"),"HOLD — Charlie Stringer to review before deletion",TRUE,"")</f>
        <v/>
      </c>
      <c r="S29" t="s">
        <v>1624</v>
      </c>
    </row>
    <row r="30" spans="1:19" ht="76.5" hidden="1">
      <c r="A30" t="s">
        <v>95</v>
      </c>
      <c r="B30" t="s">
        <v>1619</v>
      </c>
      <c r="C30" t="s">
        <v>1705</v>
      </c>
      <c r="D30" s="2" t="s">
        <v>1621</v>
      </c>
      <c r="E30">
        <v>1.7</v>
      </c>
      <c r="F30">
        <v>0.03</v>
      </c>
      <c r="G30" t="s">
        <v>79</v>
      </c>
      <c r="H30" t="s">
        <v>81</v>
      </c>
      <c r="I30">
        <v>156</v>
      </c>
      <c r="J30">
        <v>156</v>
      </c>
      <c r="K30" s="5">
        <v>46041.212258981483</v>
      </c>
      <c r="L30" s="5">
        <v>46041.328069780087</v>
      </c>
      <c r="M30" s="2" t="s">
        <v>1706</v>
      </c>
      <c r="N30" s="2" t="s">
        <v>1707</v>
      </c>
      <c r="O30" s="5">
        <v>46041.328094837962</v>
      </c>
      <c r="P30" t="str">
        <f>IF($Q30="DELETE",IF($S30="CONFIRMED: NO MODS &gt; 1YR","CONFIRMED: NO MODS &gt; 1YR","DO NOT DELETE — not defensibly confirmed"),IF($Q30="HOLD","DO NOT DELETE — HOLD (Charlie review)",IF($Q30="KEEP","DO NOT DELETE — KEEP",IF(ISNUMBER(SEARCH("REVIEW",$Q30)),"DO NOT DELETE — REVIEW pending",$S30))))</f>
        <v>CONFIRMED: NO MODS &gt; 1YR</v>
      </c>
      <c r="Q30" t="str" cm="1">
        <f t="array" ref="Q30">_xlfn.IFS(AND($A30="thg-beauty",ISNUMBER(SEARCH("liveramp",$C30))),"DELETE",$A30="agile-bonbon-662",_xlfn.IFS(LEFT($G30,9)="Tranche 1","DELETE",$C30="Sessions_Level_1_All_Sites","KEEP",ISNUMBER(--$C30),"REVIEW — UA raw logs",$C30="Emag_Reporting","KEEP",$C30="Nutrition_Data_Archived_Tables","KEEP",$C30="EU_Data","KEEP",TRUE,"REVIEW"),OR($A30="thg-influencer",$A30="thg-ingenuity",$A30="thg-central-marketing",$A30="thg-seoclarity"),"HOLD",TRUE,"")</f>
        <v/>
      </c>
      <c r="R30" t="str" cm="1">
        <f t="array" ref="R30">_xlfn.IFS(AND($A30="thg-beauty",ISNUMBER(SEARCH("liveramp",$C30))),"thg-beauty Liveramp dataset — confirmed safe to delete",$A30="agile-bonbon-662",_xlfn.IFS(LEFT($G30,9)="Tranche 1","Tranche 1: cleared",$C30="Sessions_Level_1_All_Sites","Downstream aggregation of UA raw logs — keep if raw tables go",ISNUMBER(--$C30),"UA raw site logs (account ID) — keep pending audit-retention check",$C30="Emag_Reporting","Legacy but likely needed",$C30="Nutrition_Data_Archived_Tables","Worth keeping",$C30="EU_Data","Static lookup tables — scripts still reference (smoke-test risk)",TRUE,"Review"),OR($A30="thg-influencer",$A30="thg-ingenuity",$A30="thg-central-marketing",$A30="thg-seoclarity"),"HOLD — Charlie Stringer to review before deletion",TRUE,"")</f>
        <v/>
      </c>
      <c r="S30" t="s">
        <v>1624</v>
      </c>
    </row>
    <row r="31" spans="1:19" ht="76.5" hidden="1">
      <c r="A31" t="s">
        <v>38</v>
      </c>
      <c r="B31" t="s">
        <v>1619</v>
      </c>
      <c r="C31" t="s">
        <v>1708</v>
      </c>
      <c r="D31" s="2" t="s">
        <v>1621</v>
      </c>
      <c r="E31">
        <v>0.06</v>
      </c>
      <c r="F31">
        <v>0</v>
      </c>
      <c r="G31" t="s">
        <v>79</v>
      </c>
      <c r="H31" t="s">
        <v>81</v>
      </c>
      <c r="I31">
        <v>152</v>
      </c>
      <c r="J31">
        <v>152</v>
      </c>
      <c r="K31" s="5">
        <v>46045.419060138891</v>
      </c>
      <c r="L31" s="5">
        <v>46045.368175601849</v>
      </c>
      <c r="M31" s="2" t="s">
        <v>1709</v>
      </c>
      <c r="N31" s="2" t="s">
        <v>1710</v>
      </c>
      <c r="O31" s="5">
        <v>46045.368216122682</v>
      </c>
      <c r="P31" t="str">
        <f>IF($Q31="DELETE",IF($S31="CONFIRMED: NO MODS &gt; 1YR","CONFIRMED: NO MODS &gt; 1YR","DO NOT DELETE — not defensibly confirmed"),IF($Q31="HOLD","DO NOT DELETE — HOLD (Charlie review)",IF($Q31="KEEP","DO NOT DELETE — KEEP",IF(ISNUMBER(SEARCH("REVIEW",$Q31)),"DO NOT DELETE — REVIEW pending",$S31))))</f>
        <v>DO NOT DELETE — HOLD (Charlie review)</v>
      </c>
      <c r="Q31" t="str" cm="1">
        <f t="array" ref="Q31">_xlfn.IFS(AND($A31="thg-beauty",ISNUMBER(SEARCH("liveramp",$C31))),"DELETE",$A31="agile-bonbon-662",_xlfn.IFS(LEFT($G31,9)="Tranche 1","DELETE",$C31="Sessions_Level_1_All_Sites","KEEP",ISNUMBER(--$C31),"REVIEW — UA raw logs",$C31="Emag_Reporting","KEEP",$C31="Nutrition_Data_Archived_Tables","KEEP",$C31="EU_Data","KEEP",TRUE,"REVIEW"),OR($A31="thg-influencer",$A31="thg-ingenuity",$A31="thg-central-marketing",$A31="thg-seoclarity"),"HOLD",TRUE,"")</f>
        <v>HOLD</v>
      </c>
      <c r="R31" t="str" cm="1">
        <f t="array" ref="R31">_xlfn.IFS(AND($A31="thg-beauty",ISNUMBER(SEARCH("liveramp",$C31))),"thg-beauty Liveramp dataset — confirmed safe to delete",$A31="agile-bonbon-662",_xlfn.IFS(LEFT($G31,9)="Tranche 1","Tranche 1: cleared",$C31="Sessions_Level_1_All_Sites","Downstream aggregation of UA raw logs — keep if raw tables go",ISNUMBER(--$C31),"UA raw site logs (account ID) — keep pending audit-retention check",$C31="Emag_Reporting","Legacy but likely needed",$C31="Nutrition_Data_Archived_Tables","Worth keeping",$C31="EU_Data","Static lookup tables — scripts still reference (smoke-test risk)",TRUE,"Review"),OR($A31="thg-influencer",$A31="thg-ingenuity",$A31="thg-central-marketing",$A31="thg-seoclarity"),"HOLD — Charlie Stringer to review before deletion",TRUE,"")</f>
        <v>HOLD — Charlie Stringer to review before deletion</v>
      </c>
      <c r="S31" t="s">
        <v>1624</v>
      </c>
    </row>
    <row r="32" spans="1:19" ht="76.5" hidden="1">
      <c r="A32" t="s">
        <v>1471</v>
      </c>
      <c r="B32" t="s">
        <v>1619</v>
      </c>
      <c r="C32" t="s">
        <v>1711</v>
      </c>
      <c r="D32" s="2" t="s">
        <v>1621</v>
      </c>
      <c r="E32">
        <v>89.15</v>
      </c>
      <c r="F32">
        <v>1.78</v>
      </c>
      <c r="G32" t="s">
        <v>79</v>
      </c>
      <c r="H32" t="s">
        <v>81</v>
      </c>
      <c r="I32">
        <v>147</v>
      </c>
      <c r="J32">
        <v>355</v>
      </c>
      <c r="K32" s="5">
        <v>46049.821437164363</v>
      </c>
      <c r="L32" s="5">
        <v>46049.821437164363</v>
      </c>
      <c r="M32" s="2" t="s">
        <v>1712</v>
      </c>
      <c r="N32" s="2" t="s">
        <v>1713</v>
      </c>
      <c r="O32" s="5">
        <v>45842.374466458343</v>
      </c>
      <c r="P32" t="str">
        <f>IF($Q32="DELETE",IF($S32="CONFIRMED: NO MODS &gt; 1YR","CONFIRMED: NO MODS &gt; 1YR","DO NOT DELETE — not defensibly confirmed"),IF($Q32="HOLD","DO NOT DELETE — HOLD (Charlie review)",IF($Q32="KEEP","DO NOT DELETE — KEEP",IF(ISNUMBER(SEARCH("REVIEW",$Q32)),"DO NOT DELETE — REVIEW pending",$S32))))</f>
        <v>CONFIRMED: NO MODS &gt; 1YR</v>
      </c>
      <c r="Q32" t="str" cm="1">
        <f t="array" ref="Q32">_xlfn.IFS(AND($A32="thg-beauty",ISNUMBER(SEARCH("liveramp",$C32))),"DELETE",$A32="agile-bonbon-662",_xlfn.IFS(LEFT($G32,9)="Tranche 1","DELETE",$C32="Sessions_Level_1_All_Sites","KEEP",ISNUMBER(--$C32),"REVIEW — UA raw logs",$C32="Emag_Reporting","KEEP",$C32="Nutrition_Data_Archived_Tables","KEEP",$C32="EU_Data","KEEP",TRUE,"REVIEW"),OR($A32="thg-influencer",$A32="thg-ingenuity",$A32="thg-central-marketing",$A32="thg-seoclarity"),"HOLD",TRUE,"")</f>
        <v/>
      </c>
      <c r="R32" t="str" cm="1">
        <f t="array" ref="R32">_xlfn.IFS(AND($A32="thg-beauty",ISNUMBER(SEARCH("liveramp",$C32))),"thg-beauty Liveramp dataset — confirmed safe to delete",$A32="agile-bonbon-662",_xlfn.IFS(LEFT($G32,9)="Tranche 1","Tranche 1: cleared",$C32="Sessions_Level_1_All_Sites","Downstream aggregation of UA raw logs — keep if raw tables go",ISNUMBER(--$C32),"UA raw site logs (account ID) — keep pending audit-retention check",$C32="Emag_Reporting","Legacy but likely needed",$C32="Nutrition_Data_Archived_Tables","Worth keeping",$C32="EU_Data","Static lookup tables — scripts still reference (smoke-test risk)",TRUE,"Review"),OR($A32="thg-influencer",$A32="thg-ingenuity",$A32="thg-central-marketing",$A32="thg-seoclarity"),"HOLD — Charlie Stringer to review before deletion",TRUE,"")</f>
        <v/>
      </c>
      <c r="S32" t="s">
        <v>1624</v>
      </c>
    </row>
    <row r="33" spans="1:19" hidden="1">
      <c r="A33" t="s">
        <v>38</v>
      </c>
      <c r="B33" t="s">
        <v>1619</v>
      </c>
      <c r="C33" t="s">
        <v>1714</v>
      </c>
      <c r="D33" s="2" t="s">
        <v>1621</v>
      </c>
      <c r="E33">
        <v>0.01</v>
      </c>
      <c r="F33">
        <v>0</v>
      </c>
      <c r="G33" t="s">
        <v>79</v>
      </c>
      <c r="H33" t="s">
        <v>81</v>
      </c>
      <c r="I33">
        <v>133</v>
      </c>
      <c r="J33">
        <v>133</v>
      </c>
      <c r="L33" s="5">
        <v>46064.397261736107</v>
      </c>
      <c r="M33" s="2" t="s">
        <v>1715</v>
      </c>
      <c r="N33" s="2" t="s">
        <v>1716</v>
      </c>
      <c r="O33" s="5">
        <v>46064.397322592587</v>
      </c>
      <c r="P33" t="str">
        <f>IF($Q33="DELETE",IF($S33="CONFIRMED: NO MODS &gt; 1YR","CONFIRMED: NO MODS &gt; 1YR","DO NOT DELETE — not defensibly confirmed"),IF($Q33="HOLD","DO NOT DELETE — HOLD (Charlie review)",IF($Q33="KEEP","DO NOT DELETE — KEEP",IF(ISNUMBER(SEARCH("REVIEW",$Q33)),"DO NOT DELETE — REVIEW pending",$S33))))</f>
        <v>DO NOT DELETE — HOLD (Charlie review)</v>
      </c>
      <c r="Q33" t="str" cm="1">
        <f t="array" ref="Q33">_xlfn.IFS(AND($A33="thg-beauty",ISNUMBER(SEARCH("liveramp",$C33))),"DELETE",$A33="agile-bonbon-662",_xlfn.IFS(LEFT($G33,9)="Tranche 1","DELETE",$C33="Sessions_Level_1_All_Sites","KEEP",ISNUMBER(--$C33),"REVIEW — UA raw logs",$C33="Emag_Reporting","KEEP",$C33="Nutrition_Data_Archived_Tables","KEEP",$C33="EU_Data","KEEP",TRUE,"REVIEW"),OR($A33="thg-influencer",$A33="thg-ingenuity",$A33="thg-central-marketing",$A33="thg-seoclarity"),"HOLD",TRUE,"")</f>
        <v>HOLD</v>
      </c>
      <c r="R33" t="str" cm="1">
        <f t="array" ref="R33">_xlfn.IFS(AND($A33="thg-beauty",ISNUMBER(SEARCH("liveramp",$C33))),"thg-beauty Liveramp dataset — confirmed safe to delete",$A33="agile-bonbon-662",_xlfn.IFS(LEFT($G33,9)="Tranche 1","Tranche 1: cleared",$C33="Sessions_Level_1_All_Sites","Downstream aggregation of UA raw logs — keep if raw tables go",ISNUMBER(--$C33),"UA raw site logs (account ID) — keep pending audit-retention check",$C33="Emag_Reporting","Legacy but likely needed",$C33="Nutrition_Data_Archived_Tables","Worth keeping",$C33="EU_Data","Static lookup tables — scripts still reference (smoke-test risk)",TRUE,"Review"),OR($A33="thg-influencer",$A33="thg-ingenuity",$A33="thg-central-marketing",$A33="thg-seoclarity"),"HOLD — Charlie Stringer to review before deletion",TRUE,"")</f>
        <v>HOLD — Charlie Stringer to review before deletion</v>
      </c>
      <c r="S33" t="s">
        <v>1624</v>
      </c>
    </row>
    <row r="34" spans="1:19" ht="76.5" hidden="1">
      <c r="A34" t="s">
        <v>93</v>
      </c>
      <c r="B34" t="s">
        <v>1619</v>
      </c>
      <c r="C34" t="s">
        <v>1717</v>
      </c>
      <c r="D34" s="2" t="s">
        <v>1621</v>
      </c>
      <c r="E34">
        <v>0.02</v>
      </c>
      <c r="F34">
        <v>0</v>
      </c>
      <c r="G34" t="s">
        <v>79</v>
      </c>
      <c r="H34" t="s">
        <v>81</v>
      </c>
      <c r="I34">
        <v>124</v>
      </c>
      <c r="J34">
        <v>124</v>
      </c>
      <c r="K34" s="5">
        <v>46072.482064444448</v>
      </c>
      <c r="L34" s="5">
        <v>46072.474418252314</v>
      </c>
      <c r="M34" s="2" t="s">
        <v>1718</v>
      </c>
      <c r="N34" s="2" t="s">
        <v>1719</v>
      </c>
      <c r="O34" s="5">
        <v>46072.474431666669</v>
      </c>
      <c r="P34" t="str">
        <f>IF($Q34="DELETE",IF($S34="CONFIRMED: NO MODS &gt; 1YR","CONFIRMED: NO MODS &gt; 1YR","DO NOT DELETE — not defensibly confirmed"),IF($Q34="HOLD","DO NOT DELETE — HOLD (Charlie review)",IF($Q34="KEEP","DO NOT DELETE — KEEP",IF(ISNUMBER(SEARCH("REVIEW",$Q34)),"DO NOT DELETE — REVIEW pending",$S34))))</f>
        <v>CONFIRMED: NO MODS &gt; 1YR</v>
      </c>
      <c r="Q34" t="str" cm="1">
        <f t="array" ref="Q34">_xlfn.IFS(AND($A34="thg-beauty",ISNUMBER(SEARCH("liveramp",$C34))),"DELETE",$A34="agile-bonbon-662",_xlfn.IFS(LEFT($G34,9)="Tranche 1","DELETE",$C34="Sessions_Level_1_All_Sites","KEEP",ISNUMBER(--$C34),"REVIEW — UA raw logs",$C34="Emag_Reporting","KEEP",$C34="Nutrition_Data_Archived_Tables","KEEP",$C34="EU_Data","KEEP",TRUE,"REVIEW"),OR($A34="thg-influencer",$A34="thg-ingenuity",$A34="thg-central-marketing",$A34="thg-seoclarity"),"HOLD",TRUE,"")</f>
        <v/>
      </c>
      <c r="R34" t="str" cm="1">
        <f t="array" ref="R34">_xlfn.IFS(AND($A34="thg-beauty",ISNUMBER(SEARCH("liveramp",$C34))),"thg-beauty Liveramp dataset — confirmed safe to delete",$A34="agile-bonbon-662",_xlfn.IFS(LEFT($G34,9)="Tranche 1","Tranche 1: cleared",$C34="Sessions_Level_1_All_Sites","Downstream aggregation of UA raw logs — keep if raw tables go",ISNUMBER(--$C34),"UA raw site logs (account ID) — keep pending audit-retention check",$C34="Emag_Reporting","Legacy but likely needed",$C34="Nutrition_Data_Archived_Tables","Worth keeping",$C34="EU_Data","Static lookup tables — scripts still reference (smoke-test risk)",TRUE,"Review"),OR($A34="thg-influencer",$A34="thg-ingenuity",$A34="thg-central-marketing",$A34="thg-seoclarity"),"HOLD — Charlie Stringer to review before deletion",TRUE,"")</f>
        <v/>
      </c>
      <c r="S34" t="s">
        <v>1624</v>
      </c>
    </row>
    <row r="35" spans="1:19" ht="76.5" hidden="1">
      <c r="A35" t="s">
        <v>92</v>
      </c>
      <c r="B35" t="s">
        <v>1619</v>
      </c>
      <c r="C35" t="s">
        <v>1720</v>
      </c>
      <c r="D35" s="2" t="s">
        <v>1621</v>
      </c>
      <c r="E35">
        <v>135.36000000000001</v>
      </c>
      <c r="F35">
        <v>2.71</v>
      </c>
      <c r="G35" t="s">
        <v>79</v>
      </c>
      <c r="H35" t="s">
        <v>81</v>
      </c>
      <c r="I35">
        <v>0</v>
      </c>
      <c r="J35">
        <v>0</v>
      </c>
      <c r="K35" s="5">
        <v>46196.510324016213</v>
      </c>
      <c r="L35" s="5">
        <v>46197.250482662042</v>
      </c>
      <c r="M35" s="2" t="s">
        <v>1721</v>
      </c>
      <c r="N35" s="2" t="s">
        <v>1722</v>
      </c>
      <c r="O35" s="5">
        <v>46197.250501967603</v>
      </c>
      <c r="P35" t="str">
        <f>IF($Q35="DELETE",IF($S35="CONFIRMED: NO MODS &gt; 1YR","CONFIRMED: NO MODS &gt; 1YR","DO NOT DELETE — not defensibly confirmed"),IF($Q35="HOLD","DO NOT DELETE — HOLD (Charlie review)",IF($Q35="KEEP","DO NOT DELETE — KEEP",IF(ISNUMBER(SEARCH("REVIEW",$Q35)),"DO NOT DELETE — REVIEW pending",$S35))))</f>
        <v>CONFIRMED: NO MODS &gt; 1YR</v>
      </c>
      <c r="Q35" t="str" cm="1">
        <f t="array" ref="Q35">_xlfn.IFS(AND($A35="thg-beauty",ISNUMBER(SEARCH("liveramp",$C35))),"DELETE",$A35="agile-bonbon-662",_xlfn.IFS(LEFT($G35,9)="Tranche 1","DELETE",$C35="Sessions_Level_1_All_Sites","KEEP",ISNUMBER(--$C35),"REVIEW — UA raw logs",$C35="Emag_Reporting","KEEP",$C35="Nutrition_Data_Archived_Tables","KEEP",$C35="EU_Data","KEEP",TRUE,"REVIEW"),OR($A35="thg-influencer",$A35="thg-ingenuity",$A35="thg-central-marketing",$A35="thg-seoclarity"),"HOLD",TRUE,"")</f>
        <v/>
      </c>
      <c r="R35" t="str" cm="1">
        <f t="array" ref="R35">_xlfn.IFS(AND($A35="thg-beauty",ISNUMBER(SEARCH("liveramp",$C35))),"thg-beauty Liveramp dataset — confirmed safe to delete",$A35="agile-bonbon-662",_xlfn.IFS(LEFT($G35,9)="Tranche 1","Tranche 1: cleared",$C35="Sessions_Level_1_All_Sites","Downstream aggregation of UA raw logs — keep if raw tables go",ISNUMBER(--$C35),"UA raw site logs (account ID) — keep pending audit-retention check",$C35="Emag_Reporting","Legacy but likely needed",$C35="Nutrition_Data_Archived_Tables","Worth keeping",$C35="EU_Data","Static lookup tables — scripts still reference (smoke-test risk)",TRUE,"Review"),OR($A35="thg-influencer",$A35="thg-ingenuity",$A35="thg-central-marketing",$A35="thg-seoclarity"),"HOLD — Charlie Stringer to review before deletion",TRUE,"")</f>
        <v/>
      </c>
      <c r="S35" t="s">
        <v>1624</v>
      </c>
    </row>
    <row r="36" spans="1:19" ht="30.75" hidden="1">
      <c r="A36" t="s">
        <v>1723</v>
      </c>
      <c r="B36" t="s">
        <v>1724</v>
      </c>
      <c r="C36" t="s">
        <v>1725</v>
      </c>
      <c r="D36" s="2" t="s">
        <v>1726</v>
      </c>
      <c r="E36">
        <v>0</v>
      </c>
      <c r="F36">
        <v>0</v>
      </c>
      <c r="G36" t="s">
        <v>79</v>
      </c>
      <c r="H36" t="s">
        <v>81</v>
      </c>
      <c r="I36">
        <v>120</v>
      </c>
      <c r="K36" s="5">
        <v>46077.374674363433</v>
      </c>
      <c r="M36" s="2" t="s">
        <v>1727</v>
      </c>
      <c r="N36" s="2" t="s">
        <v>1701</v>
      </c>
      <c r="P36" t="str">
        <f>IF($Q36="DELETE",IF($S36="CONFIRMED: NO MODS &gt; 1YR","CONFIRMED: NO MODS &gt; 1YR","DO NOT DELETE — not defensibly confirmed"),IF($Q36="HOLD","DO NOT DELETE — HOLD (Charlie review)",IF($Q36="KEEP","DO NOT DELETE — KEEP",IF(ISNUMBER(SEARCH("REVIEW",$Q36)),"DO NOT DELETE — REVIEW pending",$S36))))</f>
        <v>REVIEW</v>
      </c>
      <c r="Q36" t="str" cm="1">
        <f t="array" ref="Q36">_xlfn.IFS(AND($A36="thg-beauty",ISNUMBER(SEARCH("liveramp",$C36))),"DELETE",$A36="agile-bonbon-662",_xlfn.IFS(LEFT($G36,9)="Tranche 1","DELETE",$C36="Sessions_Level_1_All_Sites","KEEP",ISNUMBER(--$C36),"REVIEW — UA raw logs",$C36="Emag_Reporting","KEEP",$C36="Nutrition_Data_Archived_Tables","KEEP",$C36="EU_Data","KEEP",TRUE,"REVIEW"),OR($A36="thg-influencer",$A36="thg-ingenuity",$A36="thg-central-marketing",$A36="thg-seoclarity"),"HOLD",TRUE,"")</f>
        <v/>
      </c>
      <c r="R36" t="str" cm="1">
        <f t="array" ref="R36">_xlfn.IFS(AND($A36="thg-beauty",ISNUMBER(SEARCH("liveramp",$C36))),"thg-beauty Liveramp dataset — confirmed safe to delete",$A36="agile-bonbon-662",_xlfn.IFS(LEFT($G36,9)="Tranche 1","Tranche 1: cleared",$C36="Sessions_Level_1_All_Sites","Downstream aggregation of UA raw logs — keep if raw tables go",ISNUMBER(--$C36),"UA raw site logs (account ID) — keep pending audit-retention check",$C36="Emag_Reporting","Legacy but likely needed",$C36="Nutrition_Data_Archived_Tables","Worth keeping",$C36="EU_Data","Static lookup tables — scripts still reference (smoke-test risk)",TRUE,"Review"),OR($A36="thg-influencer",$A36="thg-ingenuity",$A36="thg-central-marketing",$A36="thg-seoclarity"),"HOLD — Charlie Stringer to review before deletion",TRUE,"")</f>
        <v/>
      </c>
      <c r="S36" t="s">
        <v>1631</v>
      </c>
    </row>
    <row r="37" spans="1:19" ht="45.75" hidden="1">
      <c r="A37" t="s">
        <v>1723</v>
      </c>
      <c r="B37" t="s">
        <v>1724</v>
      </c>
      <c r="C37" t="s">
        <v>1728</v>
      </c>
      <c r="D37" s="2" t="s">
        <v>1726</v>
      </c>
      <c r="E37">
        <v>0</v>
      </c>
      <c r="F37">
        <v>0</v>
      </c>
      <c r="G37" t="s">
        <v>79</v>
      </c>
      <c r="H37" t="s">
        <v>81</v>
      </c>
      <c r="I37">
        <v>120</v>
      </c>
      <c r="K37" s="5">
        <v>46077.37431003472</v>
      </c>
      <c r="M37" s="2" t="s">
        <v>1729</v>
      </c>
      <c r="N37" s="2" t="s">
        <v>1701</v>
      </c>
      <c r="P37" t="str">
        <f>IF($Q37="DELETE",IF($S37="CONFIRMED: NO MODS &gt; 1YR","CONFIRMED: NO MODS &gt; 1YR","DO NOT DELETE — not defensibly confirmed"),IF($Q37="HOLD","DO NOT DELETE — HOLD (Charlie review)",IF($Q37="KEEP","DO NOT DELETE — KEEP",IF(ISNUMBER(SEARCH("REVIEW",$Q37)),"DO NOT DELETE — REVIEW pending",$S37))))</f>
        <v>CONFIRMED: NO MODS &gt; 1YR</v>
      </c>
      <c r="Q37" t="str" cm="1">
        <f t="array" ref="Q37">_xlfn.IFS(AND($A37="thg-beauty",ISNUMBER(SEARCH("liveramp",$C37))),"DELETE",$A37="agile-bonbon-662",_xlfn.IFS(LEFT($G37,9)="Tranche 1","DELETE",$C37="Sessions_Level_1_All_Sites","KEEP",ISNUMBER(--$C37),"REVIEW — UA raw logs",$C37="Emag_Reporting","KEEP",$C37="Nutrition_Data_Archived_Tables","KEEP",$C37="EU_Data","KEEP",TRUE,"REVIEW"),OR($A37="thg-influencer",$A37="thg-ingenuity",$A37="thg-central-marketing",$A37="thg-seoclarity"),"HOLD",TRUE,"")</f>
        <v/>
      </c>
      <c r="R37" t="str" cm="1">
        <f t="array" ref="R37">_xlfn.IFS(AND($A37="thg-beauty",ISNUMBER(SEARCH("liveramp",$C37))),"thg-beauty Liveramp dataset — confirmed safe to delete",$A37="agile-bonbon-662",_xlfn.IFS(LEFT($G37,9)="Tranche 1","Tranche 1: cleared",$C37="Sessions_Level_1_All_Sites","Downstream aggregation of UA raw logs — keep if raw tables go",ISNUMBER(--$C37),"UA raw site logs (account ID) — keep pending audit-retention check",$C37="Emag_Reporting","Legacy but likely needed",$C37="Nutrition_Data_Archived_Tables","Worth keeping",$C37="EU_Data","Static lookup tables — scripts still reference (smoke-test risk)",TRUE,"Review"),OR($A37="thg-influencer",$A37="thg-ingenuity",$A37="thg-central-marketing",$A37="thg-seoclarity"),"HOLD — Charlie Stringer to review before deletion",TRUE,"")</f>
        <v/>
      </c>
      <c r="S37" t="s">
        <v>1624</v>
      </c>
    </row>
    <row r="38" spans="1:19" ht="76.5" hidden="1">
      <c r="A38" t="s">
        <v>92</v>
      </c>
      <c r="B38" t="s">
        <v>1619</v>
      </c>
      <c r="C38" t="s">
        <v>1730</v>
      </c>
      <c r="D38" s="2" t="s">
        <v>1621</v>
      </c>
      <c r="E38">
        <v>99.6</v>
      </c>
      <c r="F38">
        <v>1.99</v>
      </c>
      <c r="G38" t="s">
        <v>79</v>
      </c>
      <c r="H38" t="s">
        <v>81</v>
      </c>
      <c r="I38">
        <v>1</v>
      </c>
      <c r="J38">
        <v>42</v>
      </c>
      <c r="K38" s="5">
        <v>46195.466603912027</v>
      </c>
      <c r="L38" s="5">
        <v>46155.388720960647</v>
      </c>
      <c r="M38" s="2" t="s">
        <v>1731</v>
      </c>
      <c r="N38" s="2" t="s">
        <v>1732</v>
      </c>
      <c r="O38" s="5">
        <v>46155.389118761574</v>
      </c>
      <c r="P38" t="str">
        <f>IF($Q38="DELETE",IF($S38="CONFIRMED: NO MODS &gt; 1YR","CONFIRMED: NO MODS &gt; 1YR","DO NOT DELETE — not defensibly confirmed"),IF($Q38="HOLD","DO NOT DELETE — HOLD (Charlie review)",IF($Q38="KEEP","DO NOT DELETE — KEEP",IF(ISNUMBER(SEARCH("REVIEW",$Q38)),"DO NOT DELETE — REVIEW pending",$S38))))</f>
        <v>CONFIRMED: NO MODS &gt; 1YR</v>
      </c>
      <c r="Q38" t="str" cm="1">
        <f t="array" ref="Q38">_xlfn.IFS(AND($A38="thg-beauty",ISNUMBER(SEARCH("liveramp",$C38))),"DELETE",$A38="agile-bonbon-662",_xlfn.IFS(LEFT($G38,9)="Tranche 1","DELETE",$C38="Sessions_Level_1_All_Sites","KEEP",ISNUMBER(--$C38),"REVIEW — UA raw logs",$C38="Emag_Reporting","KEEP",$C38="Nutrition_Data_Archived_Tables","KEEP",$C38="EU_Data","KEEP",TRUE,"REVIEW"),OR($A38="thg-influencer",$A38="thg-ingenuity",$A38="thg-central-marketing",$A38="thg-seoclarity"),"HOLD",TRUE,"")</f>
        <v/>
      </c>
      <c r="R38" t="str" cm="1">
        <f t="array" ref="R38">_xlfn.IFS(AND($A38="thg-beauty",ISNUMBER(SEARCH("liveramp",$C38))),"thg-beauty Liveramp dataset — confirmed safe to delete",$A38="agile-bonbon-662",_xlfn.IFS(LEFT($G38,9)="Tranche 1","Tranche 1: cleared",$C38="Sessions_Level_1_All_Sites","Downstream aggregation of UA raw logs — keep if raw tables go",ISNUMBER(--$C38),"UA raw site logs (account ID) — keep pending audit-retention check",$C38="Emag_Reporting","Legacy but likely needed",$C38="Nutrition_Data_Archived_Tables","Worth keeping",$C38="EU_Data","Static lookup tables — scripts still reference (smoke-test risk)",TRUE,"Review"),OR($A38="thg-influencer",$A38="thg-ingenuity",$A38="thg-central-marketing",$A38="thg-seoclarity"),"HOLD — Charlie Stringer to review before deletion",TRUE,"")</f>
        <v/>
      </c>
      <c r="S38" t="s">
        <v>1624</v>
      </c>
    </row>
    <row r="39" spans="1:19" ht="76.5" hidden="1">
      <c r="A39" t="s">
        <v>38</v>
      </c>
      <c r="B39" t="s">
        <v>1619</v>
      </c>
      <c r="C39" t="s">
        <v>1733</v>
      </c>
      <c r="D39" s="2" t="s">
        <v>1621</v>
      </c>
      <c r="E39">
        <v>4.76</v>
      </c>
      <c r="F39">
        <v>0.1</v>
      </c>
      <c r="G39" t="s">
        <v>79</v>
      </c>
      <c r="H39" t="s">
        <v>81</v>
      </c>
      <c r="I39">
        <v>116</v>
      </c>
      <c r="J39">
        <v>116</v>
      </c>
      <c r="K39" s="5">
        <v>46081.041798796286</v>
      </c>
      <c r="L39" s="5">
        <v>46081.041798796286</v>
      </c>
      <c r="M39" s="2" t="s">
        <v>1734</v>
      </c>
      <c r="N39" s="2" t="s">
        <v>1735</v>
      </c>
      <c r="O39" s="5">
        <v>46081.041852812501</v>
      </c>
      <c r="P39" t="str">
        <f>IF($Q39="DELETE",IF($S39="CONFIRMED: NO MODS &gt; 1YR","CONFIRMED: NO MODS &gt; 1YR","DO NOT DELETE — not defensibly confirmed"),IF($Q39="HOLD","DO NOT DELETE — HOLD (Charlie review)",IF($Q39="KEEP","DO NOT DELETE — KEEP",IF(ISNUMBER(SEARCH("REVIEW",$Q39)),"DO NOT DELETE — REVIEW pending",$S39))))</f>
        <v>DO NOT DELETE — HOLD (Charlie review)</v>
      </c>
      <c r="Q39" t="str" cm="1">
        <f t="array" ref="Q39">_xlfn.IFS(AND($A39="thg-beauty",ISNUMBER(SEARCH("liveramp",$C39))),"DELETE",$A39="agile-bonbon-662",_xlfn.IFS(LEFT($G39,9)="Tranche 1","DELETE",$C39="Sessions_Level_1_All_Sites","KEEP",ISNUMBER(--$C39),"REVIEW — UA raw logs",$C39="Emag_Reporting","KEEP",$C39="Nutrition_Data_Archived_Tables","KEEP",$C39="EU_Data","KEEP",TRUE,"REVIEW"),OR($A39="thg-influencer",$A39="thg-ingenuity",$A39="thg-central-marketing",$A39="thg-seoclarity"),"HOLD",TRUE,"")</f>
        <v>HOLD</v>
      </c>
      <c r="R39" t="str" cm="1">
        <f t="array" ref="R39">_xlfn.IFS(AND($A39="thg-beauty",ISNUMBER(SEARCH("liveramp",$C39))),"thg-beauty Liveramp dataset — confirmed safe to delete",$A39="agile-bonbon-662",_xlfn.IFS(LEFT($G39,9)="Tranche 1","Tranche 1: cleared",$C39="Sessions_Level_1_All_Sites","Downstream aggregation of UA raw logs — keep if raw tables go",ISNUMBER(--$C39),"UA raw site logs (account ID) — keep pending audit-retention check",$C39="Emag_Reporting","Legacy but likely needed",$C39="Nutrition_Data_Archived_Tables","Worth keeping",$C39="EU_Data","Static lookup tables — scripts still reference (smoke-test risk)",TRUE,"Review"),OR($A39="thg-influencer",$A39="thg-ingenuity",$A39="thg-central-marketing",$A39="thg-seoclarity"),"HOLD — Charlie Stringer to review before deletion",TRUE,"")</f>
        <v>HOLD — Charlie Stringer to review before deletion</v>
      </c>
      <c r="S39" t="s">
        <v>1624</v>
      </c>
    </row>
    <row r="40" spans="1:19" ht="76.5" hidden="1">
      <c r="A40" t="s">
        <v>38</v>
      </c>
      <c r="B40" t="s">
        <v>1619</v>
      </c>
      <c r="C40" t="s">
        <v>1736</v>
      </c>
      <c r="D40" s="2" t="s">
        <v>1621</v>
      </c>
      <c r="E40">
        <v>0.02</v>
      </c>
      <c r="F40">
        <v>0</v>
      </c>
      <c r="G40" t="s">
        <v>79</v>
      </c>
      <c r="H40" t="s">
        <v>81</v>
      </c>
      <c r="I40">
        <v>116</v>
      </c>
      <c r="J40">
        <v>116</v>
      </c>
      <c r="L40" s="5">
        <v>46080.615369236111</v>
      </c>
      <c r="M40" s="2" t="s">
        <v>1715</v>
      </c>
      <c r="N40" s="2" t="s">
        <v>1737</v>
      </c>
      <c r="O40" s="5">
        <v>46080.615531354168</v>
      </c>
      <c r="P40" t="str">
        <f>IF($Q40="DELETE",IF($S40="CONFIRMED: NO MODS &gt; 1YR","CONFIRMED: NO MODS &gt; 1YR","DO NOT DELETE — not defensibly confirmed"),IF($Q40="HOLD","DO NOT DELETE — HOLD (Charlie review)",IF($Q40="KEEP","DO NOT DELETE — KEEP",IF(ISNUMBER(SEARCH("REVIEW",$Q40)),"DO NOT DELETE — REVIEW pending",$S40))))</f>
        <v>DO NOT DELETE — HOLD (Charlie review)</v>
      </c>
      <c r="Q40" t="str" cm="1">
        <f t="array" ref="Q40">_xlfn.IFS(AND($A40="thg-beauty",ISNUMBER(SEARCH("liveramp",$C40))),"DELETE",$A40="agile-bonbon-662",_xlfn.IFS(LEFT($G40,9)="Tranche 1","DELETE",$C40="Sessions_Level_1_All_Sites","KEEP",ISNUMBER(--$C40),"REVIEW — UA raw logs",$C40="Emag_Reporting","KEEP",$C40="Nutrition_Data_Archived_Tables","KEEP",$C40="EU_Data","KEEP",TRUE,"REVIEW"),OR($A40="thg-influencer",$A40="thg-ingenuity",$A40="thg-central-marketing",$A40="thg-seoclarity"),"HOLD",TRUE,"")</f>
        <v>HOLD</v>
      </c>
      <c r="R40" t="str" cm="1">
        <f t="array" ref="R40">_xlfn.IFS(AND($A40="thg-beauty",ISNUMBER(SEARCH("liveramp",$C40))),"thg-beauty Liveramp dataset — confirmed safe to delete",$A40="agile-bonbon-662",_xlfn.IFS(LEFT($G40,9)="Tranche 1","Tranche 1: cleared",$C40="Sessions_Level_1_All_Sites","Downstream aggregation of UA raw logs — keep if raw tables go",ISNUMBER(--$C40),"UA raw site logs (account ID) — keep pending audit-retention check",$C40="Emag_Reporting","Legacy but likely needed",$C40="Nutrition_Data_Archived_Tables","Worth keeping",$C40="EU_Data","Static lookup tables — scripts still reference (smoke-test risk)",TRUE,"Review"),OR($A40="thg-influencer",$A40="thg-ingenuity",$A40="thg-central-marketing",$A40="thg-seoclarity"),"HOLD — Charlie Stringer to review before deletion",TRUE,"")</f>
        <v>HOLD — Charlie Stringer to review before deletion</v>
      </c>
      <c r="S40" t="s">
        <v>1624</v>
      </c>
    </row>
    <row r="41" spans="1:19" ht="76.5" hidden="1">
      <c r="A41" t="s">
        <v>1738</v>
      </c>
      <c r="B41" t="s">
        <v>1724</v>
      </c>
      <c r="C41" t="s">
        <v>1739</v>
      </c>
      <c r="D41" s="2" t="s">
        <v>1621</v>
      </c>
      <c r="E41">
        <v>81.97</v>
      </c>
      <c r="F41">
        <v>1.64</v>
      </c>
      <c r="G41" t="s">
        <v>79</v>
      </c>
      <c r="H41" t="s">
        <v>81</v>
      </c>
      <c r="I41">
        <v>114</v>
      </c>
      <c r="J41">
        <v>308</v>
      </c>
      <c r="K41" s="5">
        <v>46083.413976944437</v>
      </c>
      <c r="M41" s="2" t="s">
        <v>1740</v>
      </c>
      <c r="N41" s="2" t="s">
        <v>1701</v>
      </c>
      <c r="O41" s="5">
        <v>45889.049683449077</v>
      </c>
      <c r="P41" t="str">
        <f>IF($Q41="DELETE",IF($S41="CONFIRMED: NO MODS &gt; 1YR","CONFIRMED: NO MODS &gt; 1YR","DO NOT DELETE — not defensibly confirmed"),IF($Q41="HOLD","DO NOT DELETE — HOLD (Charlie review)",IF($Q41="KEEP","DO NOT DELETE — KEEP",IF(ISNUMBER(SEARCH("REVIEW",$Q41)),"DO NOT DELETE — REVIEW pending",$S41))))</f>
        <v>CONFIRMED: NO MODS &gt; 1YR</v>
      </c>
      <c r="Q41" t="str" cm="1">
        <f t="array" ref="Q41">_xlfn.IFS(AND($A41="thg-beauty",ISNUMBER(SEARCH("liveramp",$C41))),"DELETE",$A41="agile-bonbon-662",_xlfn.IFS(LEFT($G41,9)="Tranche 1","DELETE",$C41="Sessions_Level_1_All_Sites","KEEP",ISNUMBER(--$C41),"REVIEW — UA raw logs",$C41="Emag_Reporting","KEEP",$C41="Nutrition_Data_Archived_Tables","KEEP",$C41="EU_Data","KEEP",TRUE,"REVIEW"),OR($A41="thg-influencer",$A41="thg-ingenuity",$A41="thg-central-marketing",$A41="thg-seoclarity"),"HOLD",TRUE,"")</f>
        <v/>
      </c>
      <c r="R41" t="str" cm="1">
        <f t="array" ref="R41">_xlfn.IFS(AND($A41="thg-beauty",ISNUMBER(SEARCH("liveramp",$C41))),"thg-beauty Liveramp dataset — confirmed safe to delete",$A41="agile-bonbon-662",_xlfn.IFS(LEFT($G41,9)="Tranche 1","Tranche 1: cleared",$C41="Sessions_Level_1_All_Sites","Downstream aggregation of UA raw logs — keep if raw tables go",ISNUMBER(--$C41),"UA raw site logs (account ID) — keep pending audit-retention check",$C41="Emag_Reporting","Legacy but likely needed",$C41="Nutrition_Data_Archived_Tables","Worth keeping",$C41="EU_Data","Static lookup tables — scripts still reference (smoke-test risk)",TRUE,"Review"),OR($A41="thg-influencer",$A41="thg-ingenuity",$A41="thg-central-marketing",$A41="thg-seoclarity"),"HOLD — Charlie Stringer to review before deletion",TRUE,"")</f>
        <v/>
      </c>
      <c r="S41" t="s">
        <v>1624</v>
      </c>
    </row>
    <row r="42" spans="1:19" ht="76.5" hidden="1">
      <c r="A42" t="s">
        <v>38</v>
      </c>
      <c r="B42" t="s">
        <v>1619</v>
      </c>
      <c r="C42" t="s">
        <v>1741</v>
      </c>
      <c r="D42" s="2" t="s">
        <v>1621</v>
      </c>
      <c r="E42">
        <v>1.96</v>
      </c>
      <c r="F42">
        <v>0.04</v>
      </c>
      <c r="G42" t="s">
        <v>79</v>
      </c>
      <c r="H42" t="s">
        <v>81</v>
      </c>
      <c r="I42">
        <v>111</v>
      </c>
      <c r="J42">
        <v>111</v>
      </c>
      <c r="K42" s="5">
        <v>46086.41893310185</v>
      </c>
      <c r="L42" s="5">
        <v>46086.363255462973</v>
      </c>
      <c r="M42" s="2" t="s">
        <v>1742</v>
      </c>
      <c r="N42" s="2" t="s">
        <v>1743</v>
      </c>
      <c r="O42" s="5">
        <v>46086.363293773153</v>
      </c>
      <c r="P42" t="str">
        <f>IF($Q42="DELETE",IF($S42="CONFIRMED: NO MODS &gt; 1YR","CONFIRMED: NO MODS &gt; 1YR","DO NOT DELETE — not defensibly confirmed"),IF($Q42="HOLD","DO NOT DELETE — HOLD (Charlie review)",IF($Q42="KEEP","DO NOT DELETE — KEEP",IF(ISNUMBER(SEARCH("REVIEW",$Q42)),"DO NOT DELETE — REVIEW pending",$S42))))</f>
        <v>DO NOT DELETE — HOLD (Charlie review)</v>
      </c>
      <c r="Q42" t="str" cm="1">
        <f t="array" ref="Q42">_xlfn.IFS(AND($A42="thg-beauty",ISNUMBER(SEARCH("liveramp",$C42))),"DELETE",$A42="agile-bonbon-662",_xlfn.IFS(LEFT($G42,9)="Tranche 1","DELETE",$C42="Sessions_Level_1_All_Sites","KEEP",ISNUMBER(--$C42),"REVIEW — UA raw logs",$C42="Emag_Reporting","KEEP",$C42="Nutrition_Data_Archived_Tables","KEEP",$C42="EU_Data","KEEP",TRUE,"REVIEW"),OR($A42="thg-influencer",$A42="thg-ingenuity",$A42="thg-central-marketing",$A42="thg-seoclarity"),"HOLD",TRUE,"")</f>
        <v>HOLD</v>
      </c>
      <c r="R42" t="str" cm="1">
        <f t="array" ref="R42">_xlfn.IFS(AND($A42="thg-beauty",ISNUMBER(SEARCH("liveramp",$C42))),"thg-beauty Liveramp dataset — confirmed safe to delete",$A42="agile-bonbon-662",_xlfn.IFS(LEFT($G42,9)="Tranche 1","Tranche 1: cleared",$C42="Sessions_Level_1_All_Sites","Downstream aggregation of UA raw logs — keep if raw tables go",ISNUMBER(--$C42),"UA raw site logs (account ID) — keep pending audit-retention check",$C42="Emag_Reporting","Legacy but likely needed",$C42="Nutrition_Data_Archived_Tables","Worth keeping",$C42="EU_Data","Static lookup tables — scripts still reference (smoke-test risk)",TRUE,"Review"),OR($A42="thg-influencer",$A42="thg-ingenuity",$A42="thg-central-marketing",$A42="thg-seoclarity"),"HOLD — Charlie Stringer to review before deletion",TRUE,"")</f>
        <v>HOLD — Charlie Stringer to review before deletion</v>
      </c>
      <c r="S42" t="s">
        <v>1624</v>
      </c>
    </row>
    <row r="43" spans="1:19" ht="76.5" hidden="1">
      <c r="A43" t="s">
        <v>38</v>
      </c>
      <c r="B43" t="s">
        <v>1619</v>
      </c>
      <c r="C43" t="s">
        <v>1744</v>
      </c>
      <c r="D43" s="2" t="s">
        <v>1621</v>
      </c>
      <c r="E43">
        <v>5.33</v>
      </c>
      <c r="F43">
        <v>0.11</v>
      </c>
      <c r="G43" t="s">
        <v>79</v>
      </c>
      <c r="H43" t="s">
        <v>81</v>
      </c>
      <c r="I43">
        <v>110</v>
      </c>
      <c r="J43">
        <v>110</v>
      </c>
      <c r="L43" s="5">
        <v>46087.336395509257</v>
      </c>
      <c r="M43" s="2" t="s">
        <v>1715</v>
      </c>
      <c r="N43" s="2" t="s">
        <v>1745</v>
      </c>
      <c r="O43" s="5">
        <v>46087.336502615741</v>
      </c>
      <c r="P43" t="str">
        <f>IF($Q43="DELETE",IF($S43="CONFIRMED: NO MODS &gt; 1YR","CONFIRMED: NO MODS &gt; 1YR","DO NOT DELETE — not defensibly confirmed"),IF($Q43="HOLD","DO NOT DELETE — HOLD (Charlie review)",IF($Q43="KEEP","DO NOT DELETE — KEEP",IF(ISNUMBER(SEARCH("REVIEW",$Q43)),"DO NOT DELETE — REVIEW pending",$S43))))</f>
        <v>DO NOT DELETE — HOLD (Charlie review)</v>
      </c>
      <c r="Q43" t="str" cm="1">
        <f t="array" ref="Q43">_xlfn.IFS(AND($A43="thg-beauty",ISNUMBER(SEARCH("liveramp",$C43))),"DELETE",$A43="agile-bonbon-662",_xlfn.IFS(LEFT($G43,9)="Tranche 1","DELETE",$C43="Sessions_Level_1_All_Sites","KEEP",ISNUMBER(--$C43),"REVIEW — UA raw logs",$C43="Emag_Reporting","KEEP",$C43="Nutrition_Data_Archived_Tables","KEEP",$C43="EU_Data","KEEP",TRUE,"REVIEW"),OR($A43="thg-influencer",$A43="thg-ingenuity",$A43="thg-central-marketing",$A43="thg-seoclarity"),"HOLD",TRUE,"")</f>
        <v>HOLD</v>
      </c>
      <c r="R43" t="str" cm="1">
        <f t="array" ref="R43">_xlfn.IFS(AND($A43="thg-beauty",ISNUMBER(SEARCH("liveramp",$C43))),"thg-beauty Liveramp dataset — confirmed safe to delete",$A43="agile-bonbon-662",_xlfn.IFS(LEFT($G43,9)="Tranche 1","Tranche 1: cleared",$C43="Sessions_Level_1_All_Sites","Downstream aggregation of UA raw logs — keep if raw tables go",ISNUMBER(--$C43),"UA raw site logs (account ID) — keep pending audit-retention check",$C43="Emag_Reporting","Legacy but likely needed",$C43="Nutrition_Data_Archived_Tables","Worth keeping",$C43="EU_Data","Static lookup tables — scripts still reference (smoke-test risk)",TRUE,"Review"),OR($A43="thg-influencer",$A43="thg-ingenuity",$A43="thg-central-marketing",$A43="thg-seoclarity"),"HOLD — Charlie Stringer to review before deletion",TRUE,"")</f>
        <v>HOLD — Charlie Stringer to review before deletion</v>
      </c>
      <c r="S43" t="s">
        <v>1624</v>
      </c>
    </row>
    <row r="44" spans="1:19" ht="76.5" hidden="1">
      <c r="A44" t="s">
        <v>92</v>
      </c>
      <c r="B44" t="s">
        <v>1619</v>
      </c>
      <c r="C44" t="s">
        <v>1746</v>
      </c>
      <c r="D44" s="2" t="s">
        <v>1621</v>
      </c>
      <c r="E44">
        <v>98.55</v>
      </c>
      <c r="F44">
        <v>1.97</v>
      </c>
      <c r="G44" t="s">
        <v>79</v>
      </c>
      <c r="H44" t="s">
        <v>81</v>
      </c>
      <c r="I44">
        <v>0</v>
      </c>
      <c r="J44">
        <v>0</v>
      </c>
      <c r="K44" s="5">
        <v>46197.448999270833</v>
      </c>
      <c r="L44" s="5">
        <v>46197.120634791667</v>
      </c>
      <c r="M44" s="2" t="s">
        <v>1747</v>
      </c>
      <c r="N44" s="2" t="s">
        <v>1748</v>
      </c>
      <c r="O44" s="5">
        <v>46197.12477159722</v>
      </c>
      <c r="P44" t="str">
        <f>IF($Q44="DELETE",IF($S44="CONFIRMED: NO MODS &gt; 1YR","CONFIRMED: NO MODS &gt; 1YR","DO NOT DELETE — not defensibly confirmed"),IF($Q44="HOLD","DO NOT DELETE — HOLD (Charlie review)",IF($Q44="KEEP","DO NOT DELETE — KEEP",IF(ISNUMBER(SEARCH("REVIEW",$Q44)),"DO NOT DELETE — REVIEW pending",$S44))))</f>
        <v>CONFIRMED: NO MODS &gt; 1YR</v>
      </c>
      <c r="Q44" t="str" cm="1">
        <f t="array" ref="Q44">_xlfn.IFS(AND($A44="thg-beauty",ISNUMBER(SEARCH("liveramp",$C44))),"DELETE",$A44="agile-bonbon-662",_xlfn.IFS(LEFT($G44,9)="Tranche 1","DELETE",$C44="Sessions_Level_1_All_Sites","KEEP",ISNUMBER(--$C44),"REVIEW — UA raw logs",$C44="Emag_Reporting","KEEP",$C44="Nutrition_Data_Archived_Tables","KEEP",$C44="EU_Data","KEEP",TRUE,"REVIEW"),OR($A44="thg-influencer",$A44="thg-ingenuity",$A44="thg-central-marketing",$A44="thg-seoclarity"),"HOLD",TRUE,"")</f>
        <v/>
      </c>
      <c r="R44" t="str" cm="1">
        <f t="array" ref="R44">_xlfn.IFS(AND($A44="thg-beauty",ISNUMBER(SEARCH("liveramp",$C44))),"thg-beauty Liveramp dataset — confirmed safe to delete",$A44="agile-bonbon-662",_xlfn.IFS(LEFT($G44,9)="Tranche 1","Tranche 1: cleared",$C44="Sessions_Level_1_All_Sites","Downstream aggregation of UA raw logs — keep if raw tables go",ISNUMBER(--$C44),"UA raw site logs (account ID) — keep pending audit-retention check",$C44="Emag_Reporting","Legacy but likely needed",$C44="Nutrition_Data_Archived_Tables","Worth keeping",$C44="EU_Data","Static lookup tables — scripts still reference (smoke-test risk)",TRUE,"Review"),OR($A44="thg-influencer",$A44="thg-ingenuity",$A44="thg-central-marketing",$A44="thg-seoclarity"),"HOLD — Charlie Stringer to review before deletion",TRUE,"")</f>
        <v/>
      </c>
      <c r="S44" t="s">
        <v>1624</v>
      </c>
    </row>
    <row r="45" spans="1:19" ht="76.5" hidden="1">
      <c r="A45" t="s">
        <v>1749</v>
      </c>
      <c r="B45" t="s">
        <v>1724</v>
      </c>
      <c r="C45" t="s">
        <v>1750</v>
      </c>
      <c r="D45" s="2" t="s">
        <v>1726</v>
      </c>
      <c r="E45">
        <v>0</v>
      </c>
      <c r="F45">
        <v>0</v>
      </c>
      <c r="G45" t="s">
        <v>79</v>
      </c>
      <c r="H45" t="s">
        <v>81</v>
      </c>
      <c r="I45">
        <v>98</v>
      </c>
      <c r="J45">
        <v>98</v>
      </c>
      <c r="K45" s="5">
        <v>46077.415734155089</v>
      </c>
      <c r="L45" s="5">
        <v>46073.756753576388</v>
      </c>
      <c r="M45" s="2" t="s">
        <v>1751</v>
      </c>
      <c r="N45" s="2" t="s">
        <v>1752</v>
      </c>
      <c r="O45" s="5">
        <v>46098.633484641206</v>
      </c>
      <c r="P45" t="str">
        <f>IF($Q45="DELETE",IF($S45="CONFIRMED: NO MODS &gt; 1YR","CONFIRMED: NO MODS &gt; 1YR","DO NOT DELETE — not defensibly confirmed"),IF($Q45="HOLD","DO NOT DELETE — HOLD (Charlie review)",IF($Q45="KEEP","DO NOT DELETE — KEEP",IF(ISNUMBER(SEARCH("REVIEW",$Q45)),"DO NOT DELETE — REVIEW pending",$S45))))</f>
        <v>CONFIRMED: NO MODS &gt; 1YR</v>
      </c>
      <c r="Q45" t="str" cm="1">
        <f t="array" ref="Q45">_xlfn.IFS(AND($A45="thg-beauty",ISNUMBER(SEARCH("liveramp",$C45))),"DELETE",$A45="agile-bonbon-662",_xlfn.IFS(LEFT($G45,9)="Tranche 1","DELETE",$C45="Sessions_Level_1_All_Sites","KEEP",ISNUMBER(--$C45),"REVIEW — UA raw logs",$C45="Emag_Reporting","KEEP",$C45="Nutrition_Data_Archived_Tables","KEEP",$C45="EU_Data","KEEP",TRUE,"REVIEW"),OR($A45="thg-influencer",$A45="thg-ingenuity",$A45="thg-central-marketing",$A45="thg-seoclarity"),"HOLD",TRUE,"")</f>
        <v/>
      </c>
      <c r="R45" t="str" cm="1">
        <f t="array" ref="R45">_xlfn.IFS(AND($A45="thg-beauty",ISNUMBER(SEARCH("liveramp",$C45))),"thg-beauty Liveramp dataset — confirmed safe to delete",$A45="agile-bonbon-662",_xlfn.IFS(LEFT($G45,9)="Tranche 1","Tranche 1: cleared",$C45="Sessions_Level_1_All_Sites","Downstream aggregation of UA raw logs — keep if raw tables go",ISNUMBER(--$C45),"UA raw site logs (account ID) — keep pending audit-retention check",$C45="Emag_Reporting","Legacy but likely needed",$C45="Nutrition_Data_Archived_Tables","Worth keeping",$C45="EU_Data","Static lookup tables — scripts still reference (smoke-test risk)",TRUE,"Review"),OR($A45="thg-influencer",$A45="thg-ingenuity",$A45="thg-central-marketing",$A45="thg-seoclarity"),"HOLD — Charlie Stringer to review before deletion",TRUE,"")</f>
        <v/>
      </c>
      <c r="S45" t="s">
        <v>1624</v>
      </c>
    </row>
    <row r="46" spans="1:19" ht="76.5" hidden="1">
      <c r="A46" t="s">
        <v>93</v>
      </c>
      <c r="B46" t="s">
        <v>1619</v>
      </c>
      <c r="C46" t="s">
        <v>1753</v>
      </c>
      <c r="D46" s="2" t="s">
        <v>1621</v>
      </c>
      <c r="E46">
        <v>0</v>
      </c>
      <c r="F46">
        <v>0</v>
      </c>
      <c r="G46" t="s">
        <v>79</v>
      </c>
      <c r="H46" t="s">
        <v>81</v>
      </c>
      <c r="I46">
        <v>93</v>
      </c>
      <c r="J46">
        <v>148</v>
      </c>
      <c r="K46" s="5">
        <v>46104.384124652781</v>
      </c>
      <c r="M46" s="2" t="s">
        <v>1754</v>
      </c>
      <c r="N46" s="2" t="s">
        <v>1701</v>
      </c>
      <c r="O46" s="5">
        <v>46049.430774282409</v>
      </c>
      <c r="P46" t="str">
        <f>IF($Q46="DELETE",IF($S46="CONFIRMED: NO MODS &gt; 1YR","CONFIRMED: NO MODS &gt; 1YR","DO NOT DELETE — not defensibly confirmed"),IF($Q46="HOLD","DO NOT DELETE — HOLD (Charlie review)",IF($Q46="KEEP","DO NOT DELETE — KEEP",IF(ISNUMBER(SEARCH("REVIEW",$Q46)),"DO NOT DELETE — REVIEW pending",$S46))))</f>
        <v>CONFIRMED: NO MODS &gt; 1YR</v>
      </c>
      <c r="Q46" t="str" cm="1">
        <f t="array" ref="Q46">_xlfn.IFS(AND($A46="thg-beauty",ISNUMBER(SEARCH("liveramp",$C46))),"DELETE",$A46="agile-bonbon-662",_xlfn.IFS(LEFT($G46,9)="Tranche 1","DELETE",$C46="Sessions_Level_1_All_Sites","KEEP",ISNUMBER(--$C46),"REVIEW — UA raw logs",$C46="Emag_Reporting","KEEP",$C46="Nutrition_Data_Archived_Tables","KEEP",$C46="EU_Data","KEEP",TRUE,"REVIEW"),OR($A46="thg-influencer",$A46="thg-ingenuity",$A46="thg-central-marketing",$A46="thg-seoclarity"),"HOLD",TRUE,"")</f>
        <v/>
      </c>
      <c r="R46" t="str" cm="1">
        <f t="array" ref="R46">_xlfn.IFS(AND($A46="thg-beauty",ISNUMBER(SEARCH("liveramp",$C46))),"thg-beauty Liveramp dataset — confirmed safe to delete",$A46="agile-bonbon-662",_xlfn.IFS(LEFT($G46,9)="Tranche 1","Tranche 1: cleared",$C46="Sessions_Level_1_All_Sites","Downstream aggregation of UA raw logs — keep if raw tables go",ISNUMBER(--$C46),"UA raw site logs (account ID) — keep pending audit-retention check",$C46="Emag_Reporting","Legacy but likely needed",$C46="Nutrition_Data_Archived_Tables","Worth keeping",$C46="EU_Data","Static lookup tables — scripts still reference (smoke-test risk)",TRUE,"Review"),OR($A46="thg-influencer",$A46="thg-ingenuity",$A46="thg-central-marketing",$A46="thg-seoclarity"),"HOLD — Charlie Stringer to review before deletion",TRUE,"")</f>
        <v/>
      </c>
      <c r="S46" t="s">
        <v>1624</v>
      </c>
    </row>
    <row r="47" spans="1:19" ht="76.5" hidden="1">
      <c r="A47" t="s">
        <v>38</v>
      </c>
      <c r="B47" t="s">
        <v>1619</v>
      </c>
      <c r="C47" t="s">
        <v>1755</v>
      </c>
      <c r="D47" s="2" t="s">
        <v>1621</v>
      </c>
      <c r="E47">
        <v>9.89</v>
      </c>
      <c r="F47">
        <v>0.2</v>
      </c>
      <c r="G47" t="s">
        <v>79</v>
      </c>
      <c r="H47" t="s">
        <v>81</v>
      </c>
      <c r="I47">
        <v>90</v>
      </c>
      <c r="J47">
        <v>90</v>
      </c>
      <c r="K47" s="5">
        <v>46107.335120034717</v>
      </c>
      <c r="L47" s="5">
        <v>46107.324493321757</v>
      </c>
      <c r="M47" s="2" t="s">
        <v>1756</v>
      </c>
      <c r="N47" s="2" t="s">
        <v>1757</v>
      </c>
      <c r="O47" s="5">
        <v>46107.324529560188</v>
      </c>
      <c r="P47" t="str">
        <f>IF($Q47="DELETE",IF($S47="CONFIRMED: NO MODS &gt; 1YR","CONFIRMED: NO MODS &gt; 1YR","DO NOT DELETE — not defensibly confirmed"),IF($Q47="HOLD","DO NOT DELETE — HOLD (Charlie review)",IF($Q47="KEEP","DO NOT DELETE — KEEP",IF(ISNUMBER(SEARCH("REVIEW",$Q47)),"DO NOT DELETE — REVIEW pending",$S47))))</f>
        <v>DO NOT DELETE — HOLD (Charlie review)</v>
      </c>
      <c r="Q47" t="str" cm="1">
        <f t="array" ref="Q47">_xlfn.IFS(AND($A47="thg-beauty",ISNUMBER(SEARCH("liveramp",$C47))),"DELETE",$A47="agile-bonbon-662",_xlfn.IFS(LEFT($G47,9)="Tranche 1","DELETE",$C47="Sessions_Level_1_All_Sites","KEEP",ISNUMBER(--$C47),"REVIEW — UA raw logs",$C47="Emag_Reporting","KEEP",$C47="Nutrition_Data_Archived_Tables","KEEP",$C47="EU_Data","KEEP",TRUE,"REVIEW"),OR($A47="thg-influencer",$A47="thg-ingenuity",$A47="thg-central-marketing",$A47="thg-seoclarity"),"HOLD",TRUE,"")</f>
        <v>HOLD</v>
      </c>
      <c r="R47" t="str" cm="1">
        <f t="array" ref="R47">_xlfn.IFS(AND($A47="thg-beauty",ISNUMBER(SEARCH("liveramp",$C47))),"thg-beauty Liveramp dataset — confirmed safe to delete",$A47="agile-bonbon-662",_xlfn.IFS(LEFT($G47,9)="Tranche 1","Tranche 1: cleared",$C47="Sessions_Level_1_All_Sites","Downstream aggregation of UA raw logs — keep if raw tables go",ISNUMBER(--$C47),"UA raw site logs (account ID) — keep pending audit-retention check",$C47="Emag_Reporting","Legacy but likely needed",$C47="Nutrition_Data_Archived_Tables","Worth keeping",$C47="EU_Data","Static lookup tables — scripts still reference (smoke-test risk)",TRUE,"Review"),OR($A47="thg-influencer",$A47="thg-ingenuity",$A47="thg-central-marketing",$A47="thg-seoclarity"),"HOLD — Charlie Stringer to review before deletion",TRUE,"")</f>
        <v>HOLD — Charlie Stringer to review before deletion</v>
      </c>
      <c r="S47" t="s">
        <v>1624</v>
      </c>
    </row>
    <row r="48" spans="1:19" ht="76.5" hidden="1">
      <c r="A48" t="s">
        <v>38</v>
      </c>
      <c r="B48" t="s">
        <v>1619</v>
      </c>
      <c r="C48" t="s">
        <v>1758</v>
      </c>
      <c r="D48" s="2" t="s">
        <v>1621</v>
      </c>
      <c r="E48">
        <v>14.74</v>
      </c>
      <c r="F48">
        <v>0.28999999999999998</v>
      </c>
      <c r="G48" t="s">
        <v>79</v>
      </c>
      <c r="H48" t="s">
        <v>81</v>
      </c>
      <c r="I48">
        <v>87</v>
      </c>
      <c r="J48">
        <v>87</v>
      </c>
      <c r="K48" s="5">
        <v>46110.335164710646</v>
      </c>
      <c r="L48" s="5">
        <v>46110.322801736111</v>
      </c>
      <c r="M48" s="2" t="s">
        <v>1759</v>
      </c>
      <c r="N48" s="2" t="s">
        <v>1760</v>
      </c>
      <c r="O48" s="5">
        <v>46110.323638634261</v>
      </c>
      <c r="P48" t="str">
        <f>IF($Q48="DELETE",IF($S48="CONFIRMED: NO MODS &gt; 1YR","CONFIRMED: NO MODS &gt; 1YR","DO NOT DELETE — not defensibly confirmed"),IF($Q48="HOLD","DO NOT DELETE — HOLD (Charlie review)",IF($Q48="KEEP","DO NOT DELETE — KEEP",IF(ISNUMBER(SEARCH("REVIEW",$Q48)),"DO NOT DELETE — REVIEW pending",$S48))))</f>
        <v>DO NOT DELETE — HOLD (Charlie review)</v>
      </c>
      <c r="Q48" t="str" cm="1">
        <f t="array" ref="Q48">_xlfn.IFS(AND($A48="thg-beauty",ISNUMBER(SEARCH("liveramp",$C48))),"DELETE",$A48="agile-bonbon-662",_xlfn.IFS(LEFT($G48,9)="Tranche 1","DELETE",$C48="Sessions_Level_1_All_Sites","KEEP",ISNUMBER(--$C48),"REVIEW — UA raw logs",$C48="Emag_Reporting","KEEP",$C48="Nutrition_Data_Archived_Tables","KEEP",$C48="EU_Data","KEEP",TRUE,"REVIEW"),OR($A48="thg-influencer",$A48="thg-ingenuity",$A48="thg-central-marketing",$A48="thg-seoclarity"),"HOLD",TRUE,"")</f>
        <v>HOLD</v>
      </c>
      <c r="R48" t="str" cm="1">
        <f t="array" ref="R48">_xlfn.IFS(AND($A48="thg-beauty",ISNUMBER(SEARCH("liveramp",$C48))),"thg-beauty Liveramp dataset — confirmed safe to delete",$A48="agile-bonbon-662",_xlfn.IFS(LEFT($G48,9)="Tranche 1","Tranche 1: cleared",$C48="Sessions_Level_1_All_Sites","Downstream aggregation of UA raw logs — keep if raw tables go",ISNUMBER(--$C48),"UA raw site logs (account ID) — keep pending audit-retention check",$C48="Emag_Reporting","Legacy but likely needed",$C48="Nutrition_Data_Archived_Tables","Worth keeping",$C48="EU_Data","Static lookup tables — scripts still reference (smoke-test risk)",TRUE,"Review"),OR($A48="thg-influencer",$A48="thg-ingenuity",$A48="thg-central-marketing",$A48="thg-seoclarity"),"HOLD — Charlie Stringer to review before deletion",TRUE,"")</f>
        <v>HOLD — Charlie Stringer to review before deletion</v>
      </c>
      <c r="S48" t="s">
        <v>1624</v>
      </c>
    </row>
    <row r="49" spans="1:19" ht="76.5" hidden="1">
      <c r="A49" t="s">
        <v>92</v>
      </c>
      <c r="B49" t="s">
        <v>1619</v>
      </c>
      <c r="C49" t="s">
        <v>1761</v>
      </c>
      <c r="D49" s="2" t="s">
        <v>1621</v>
      </c>
      <c r="E49">
        <v>80.650000000000006</v>
      </c>
      <c r="F49">
        <v>1.61</v>
      </c>
      <c r="G49" t="s">
        <v>79</v>
      </c>
      <c r="H49" t="s">
        <v>81</v>
      </c>
      <c r="I49">
        <v>0</v>
      </c>
      <c r="J49">
        <v>0</v>
      </c>
      <c r="K49" s="5">
        <v>46197.296448726847</v>
      </c>
      <c r="L49" s="5">
        <v>46197.11543834491</v>
      </c>
      <c r="M49" s="2" t="s">
        <v>1762</v>
      </c>
      <c r="N49" s="2" t="s">
        <v>1763</v>
      </c>
      <c r="O49" s="5">
        <v>46197.115458807872</v>
      </c>
      <c r="P49" t="str">
        <f>IF($Q49="DELETE",IF($S49="CONFIRMED: NO MODS &gt; 1YR","CONFIRMED: NO MODS &gt; 1YR","DO NOT DELETE — not defensibly confirmed"),IF($Q49="HOLD","DO NOT DELETE — HOLD (Charlie review)",IF($Q49="KEEP","DO NOT DELETE — KEEP",IF(ISNUMBER(SEARCH("REVIEW",$Q49)),"DO NOT DELETE — REVIEW pending",$S49))))</f>
        <v>CONFIRMED: NO MODS &gt; 1YR</v>
      </c>
      <c r="Q49" t="str" cm="1">
        <f t="array" ref="Q49">_xlfn.IFS(AND($A49="thg-beauty",ISNUMBER(SEARCH("liveramp",$C49))),"DELETE",$A49="agile-bonbon-662",_xlfn.IFS(LEFT($G49,9)="Tranche 1","DELETE",$C49="Sessions_Level_1_All_Sites","KEEP",ISNUMBER(--$C49),"REVIEW — UA raw logs",$C49="Emag_Reporting","KEEP",$C49="Nutrition_Data_Archived_Tables","KEEP",$C49="EU_Data","KEEP",TRUE,"REVIEW"),OR($A49="thg-influencer",$A49="thg-ingenuity",$A49="thg-central-marketing",$A49="thg-seoclarity"),"HOLD",TRUE,"")</f>
        <v/>
      </c>
      <c r="R49" t="str" cm="1">
        <f t="array" ref="R49">_xlfn.IFS(AND($A49="thg-beauty",ISNUMBER(SEARCH("liveramp",$C49))),"thg-beauty Liveramp dataset — confirmed safe to delete",$A49="agile-bonbon-662",_xlfn.IFS(LEFT($G49,9)="Tranche 1","Tranche 1: cleared",$C49="Sessions_Level_1_All_Sites","Downstream aggregation of UA raw logs — keep if raw tables go",ISNUMBER(--$C49),"UA raw site logs (account ID) — keep pending audit-retention check",$C49="Emag_Reporting","Legacy but likely needed",$C49="Nutrition_Data_Archived_Tables","Worth keeping",$C49="EU_Data","Static lookup tables — scripts still reference (smoke-test risk)",TRUE,"Review"),OR($A49="thg-influencer",$A49="thg-ingenuity",$A49="thg-central-marketing",$A49="thg-seoclarity"),"HOLD — Charlie Stringer to review before deletion",TRUE,"")</f>
        <v/>
      </c>
      <c r="S49" t="s">
        <v>1624</v>
      </c>
    </row>
    <row r="50" spans="1:19" hidden="1">
      <c r="A50" t="s">
        <v>38</v>
      </c>
      <c r="B50" t="s">
        <v>1619</v>
      </c>
      <c r="C50" t="s">
        <v>1764</v>
      </c>
      <c r="D50" s="2" t="s">
        <v>1621</v>
      </c>
      <c r="E50">
        <v>56.48</v>
      </c>
      <c r="F50">
        <v>1.1299999999999999</v>
      </c>
      <c r="G50" t="s">
        <v>79</v>
      </c>
      <c r="H50" t="s">
        <v>81</v>
      </c>
      <c r="I50">
        <v>82</v>
      </c>
      <c r="J50">
        <v>82</v>
      </c>
      <c r="K50" s="5">
        <v>46115.419020439818</v>
      </c>
      <c r="L50" s="5">
        <v>46115.414591782413</v>
      </c>
      <c r="M50" s="2" t="s">
        <v>1765</v>
      </c>
      <c r="N50" s="2" t="s">
        <v>1766</v>
      </c>
      <c r="O50" s="5">
        <v>46115.414631412037</v>
      </c>
      <c r="P50" t="str">
        <f>IF($Q50="DELETE",IF($S50="CONFIRMED: NO MODS &gt; 1YR","CONFIRMED: NO MODS &gt; 1YR","DO NOT DELETE — not defensibly confirmed"),IF($Q50="HOLD","DO NOT DELETE — HOLD (Charlie review)",IF($Q50="KEEP","DO NOT DELETE — KEEP",IF(ISNUMBER(SEARCH("REVIEW",$Q50)),"DO NOT DELETE — REVIEW pending",$S50))))</f>
        <v>DO NOT DELETE — HOLD (Charlie review)</v>
      </c>
      <c r="Q50" t="str" cm="1">
        <f t="array" ref="Q50">_xlfn.IFS(AND($A50="thg-beauty",ISNUMBER(SEARCH("liveramp",$C50))),"DELETE",$A50="agile-bonbon-662",_xlfn.IFS(LEFT($G50,9)="Tranche 1","DELETE",$C50="Sessions_Level_1_All_Sites","KEEP",ISNUMBER(--$C50),"REVIEW — UA raw logs",$C50="Emag_Reporting","KEEP",$C50="Nutrition_Data_Archived_Tables","KEEP",$C50="EU_Data","KEEP",TRUE,"REVIEW"),OR($A50="thg-influencer",$A50="thg-ingenuity",$A50="thg-central-marketing",$A50="thg-seoclarity"),"HOLD",TRUE,"")</f>
        <v>HOLD</v>
      </c>
      <c r="R50" t="str" cm="1">
        <f t="array" ref="R50">_xlfn.IFS(AND($A50="thg-beauty",ISNUMBER(SEARCH("liveramp",$C50))),"thg-beauty Liveramp dataset — confirmed safe to delete",$A50="agile-bonbon-662",_xlfn.IFS(LEFT($G50,9)="Tranche 1","Tranche 1: cleared",$C50="Sessions_Level_1_All_Sites","Downstream aggregation of UA raw logs — keep if raw tables go",ISNUMBER(--$C50),"UA raw site logs (account ID) — keep pending audit-retention check",$C50="Emag_Reporting","Legacy but likely needed",$C50="Nutrition_Data_Archived_Tables","Worth keeping",$C50="EU_Data","Static lookup tables — scripts still reference (smoke-test risk)",TRUE,"Review"),OR($A50="thg-influencer",$A50="thg-ingenuity",$A50="thg-central-marketing",$A50="thg-seoclarity"),"HOLD — Charlie Stringer to review before deletion",TRUE,"")</f>
        <v>HOLD — Charlie Stringer to review before deletion</v>
      </c>
      <c r="S50" t="s">
        <v>1624</v>
      </c>
    </row>
    <row r="51" spans="1:19" ht="76.5" hidden="1">
      <c r="A51" t="s">
        <v>93</v>
      </c>
      <c r="B51" t="s">
        <v>1619</v>
      </c>
      <c r="C51" t="s">
        <v>1703</v>
      </c>
      <c r="D51" s="2" t="s">
        <v>1621</v>
      </c>
      <c r="E51">
        <v>2.38</v>
      </c>
      <c r="F51">
        <v>0.05</v>
      </c>
      <c r="G51" t="s">
        <v>79</v>
      </c>
      <c r="H51" t="s">
        <v>81</v>
      </c>
      <c r="I51">
        <v>77</v>
      </c>
      <c r="J51">
        <v>77</v>
      </c>
      <c r="K51" s="5">
        <v>46043.247620752307</v>
      </c>
      <c r="M51" s="2" t="s">
        <v>1767</v>
      </c>
      <c r="N51" s="2" t="s">
        <v>1701</v>
      </c>
      <c r="O51" s="5">
        <v>46120.383983993059</v>
      </c>
      <c r="P51" t="str">
        <f>IF($Q51="DELETE",IF($S51="CONFIRMED: NO MODS &gt; 1YR","CONFIRMED: NO MODS &gt; 1YR","DO NOT DELETE — not defensibly confirmed"),IF($Q51="HOLD","DO NOT DELETE — HOLD (Charlie review)",IF($Q51="KEEP","DO NOT DELETE — KEEP",IF(ISNUMBER(SEARCH("REVIEW",$Q51)),"DO NOT DELETE — REVIEW pending",$S51))))</f>
        <v>CONFIRMED: NO MODS &gt; 1YR</v>
      </c>
      <c r="Q51" t="str" cm="1">
        <f t="array" ref="Q51">_xlfn.IFS(AND($A51="thg-beauty",ISNUMBER(SEARCH("liveramp",$C51))),"DELETE",$A51="agile-bonbon-662",_xlfn.IFS(LEFT($G51,9)="Tranche 1","DELETE",$C51="Sessions_Level_1_All_Sites","KEEP",ISNUMBER(--$C51),"REVIEW — UA raw logs",$C51="Emag_Reporting","KEEP",$C51="Nutrition_Data_Archived_Tables","KEEP",$C51="EU_Data","KEEP",TRUE,"REVIEW"),OR($A51="thg-influencer",$A51="thg-ingenuity",$A51="thg-central-marketing",$A51="thg-seoclarity"),"HOLD",TRUE,"")</f>
        <v/>
      </c>
      <c r="R51" t="str" cm="1">
        <f t="array" ref="R51">_xlfn.IFS(AND($A51="thg-beauty",ISNUMBER(SEARCH("liveramp",$C51))),"thg-beauty Liveramp dataset — confirmed safe to delete",$A51="agile-bonbon-662",_xlfn.IFS(LEFT($G51,9)="Tranche 1","Tranche 1: cleared",$C51="Sessions_Level_1_All_Sites","Downstream aggregation of UA raw logs — keep if raw tables go",ISNUMBER(--$C51),"UA raw site logs (account ID) — keep pending audit-retention check",$C51="Emag_Reporting","Legacy but likely needed",$C51="Nutrition_Data_Archived_Tables","Worth keeping",$C51="EU_Data","Static lookup tables — scripts still reference (smoke-test risk)",TRUE,"Review"),OR($A51="thg-influencer",$A51="thg-ingenuity",$A51="thg-central-marketing",$A51="thg-seoclarity"),"HOLD — Charlie Stringer to review before deletion",TRUE,"")</f>
        <v/>
      </c>
      <c r="S51" t="s">
        <v>1624</v>
      </c>
    </row>
    <row r="52" spans="1:19" ht="76.5" hidden="1">
      <c r="A52" t="s">
        <v>1768</v>
      </c>
      <c r="B52" t="s">
        <v>1619</v>
      </c>
      <c r="C52" t="s">
        <v>1717</v>
      </c>
      <c r="D52" s="2" t="s">
        <v>1621</v>
      </c>
      <c r="E52">
        <v>0.02</v>
      </c>
      <c r="F52">
        <v>0</v>
      </c>
      <c r="G52" t="s">
        <v>79</v>
      </c>
      <c r="H52" t="s">
        <v>81</v>
      </c>
      <c r="I52">
        <v>68</v>
      </c>
      <c r="J52">
        <v>168</v>
      </c>
      <c r="K52" s="5">
        <v>46129.427346886572</v>
      </c>
      <c r="L52" s="5">
        <v>46028.747028530102</v>
      </c>
      <c r="M52" s="2" t="s">
        <v>1769</v>
      </c>
      <c r="N52" s="2" t="s">
        <v>1770</v>
      </c>
      <c r="O52" s="5">
        <v>46028.747048101854</v>
      </c>
      <c r="P52" t="str">
        <f>IF($Q52="DELETE",IF($S52="CONFIRMED: NO MODS &gt; 1YR","CONFIRMED: NO MODS &gt; 1YR","DO NOT DELETE — not defensibly confirmed"),IF($Q52="HOLD","DO NOT DELETE — HOLD (Charlie review)",IF($Q52="KEEP","DO NOT DELETE — KEEP",IF(ISNUMBER(SEARCH("REVIEW",$Q52)),"DO NOT DELETE — REVIEW pending",$S52))))</f>
        <v>CONFIRMED: NO MODS &gt; 1YR</v>
      </c>
      <c r="Q52" t="str" cm="1">
        <f t="array" ref="Q52">_xlfn.IFS(AND($A52="thg-beauty",ISNUMBER(SEARCH("liveramp",$C52))),"DELETE",$A52="agile-bonbon-662",_xlfn.IFS(LEFT($G52,9)="Tranche 1","DELETE",$C52="Sessions_Level_1_All_Sites","KEEP",ISNUMBER(--$C52),"REVIEW — UA raw logs",$C52="Emag_Reporting","KEEP",$C52="Nutrition_Data_Archived_Tables","KEEP",$C52="EU_Data","KEEP",TRUE,"REVIEW"),OR($A52="thg-influencer",$A52="thg-ingenuity",$A52="thg-central-marketing",$A52="thg-seoclarity"),"HOLD",TRUE,"")</f>
        <v/>
      </c>
      <c r="R52" t="str" cm="1">
        <f t="array" ref="R52">_xlfn.IFS(AND($A52="thg-beauty",ISNUMBER(SEARCH("liveramp",$C52))),"thg-beauty Liveramp dataset — confirmed safe to delete",$A52="agile-bonbon-662",_xlfn.IFS(LEFT($G52,9)="Tranche 1","Tranche 1: cleared",$C52="Sessions_Level_1_All_Sites","Downstream aggregation of UA raw logs — keep if raw tables go",ISNUMBER(--$C52),"UA raw site logs (account ID) — keep pending audit-retention check",$C52="Emag_Reporting","Legacy but likely needed",$C52="Nutrition_Data_Archived_Tables","Worth keeping",$C52="EU_Data","Static lookup tables — scripts still reference (smoke-test risk)",TRUE,"Review"),OR($A52="thg-influencer",$A52="thg-ingenuity",$A52="thg-central-marketing",$A52="thg-seoclarity"),"HOLD — Charlie Stringer to review before deletion",TRUE,"")</f>
        <v/>
      </c>
      <c r="S52" t="s">
        <v>1624</v>
      </c>
    </row>
    <row r="53" spans="1:19" ht="76.5" hidden="1">
      <c r="A53" t="s">
        <v>93</v>
      </c>
      <c r="B53" t="s">
        <v>1619</v>
      </c>
      <c r="C53" t="s">
        <v>1771</v>
      </c>
      <c r="D53" s="2" t="s">
        <v>1621</v>
      </c>
      <c r="E53">
        <v>174.5</v>
      </c>
      <c r="F53">
        <v>3.49</v>
      </c>
      <c r="G53" t="s">
        <v>79</v>
      </c>
      <c r="H53" t="s">
        <v>81</v>
      </c>
      <c r="I53">
        <v>66</v>
      </c>
      <c r="J53">
        <v>91</v>
      </c>
      <c r="K53" s="5">
        <v>46131.144910439813</v>
      </c>
      <c r="L53" s="5">
        <v>46106.303227962962</v>
      </c>
      <c r="M53" s="2" t="s">
        <v>1772</v>
      </c>
      <c r="N53" s="2" t="s">
        <v>1773</v>
      </c>
      <c r="O53" s="5">
        <v>46106.303281053239</v>
      </c>
      <c r="P53" t="str">
        <f>IF($Q53="DELETE",IF($S53="CONFIRMED: NO MODS &gt; 1YR","CONFIRMED: NO MODS &gt; 1YR","DO NOT DELETE — not defensibly confirmed"),IF($Q53="HOLD","DO NOT DELETE — HOLD (Charlie review)",IF($Q53="KEEP","DO NOT DELETE — KEEP",IF(ISNUMBER(SEARCH("REVIEW",$Q53)),"DO NOT DELETE — REVIEW pending",$S53))))</f>
        <v>CONFIRMED: NO MODS &gt; 1YR</v>
      </c>
      <c r="Q53" t="str" cm="1">
        <f t="array" ref="Q53">_xlfn.IFS(AND($A53="thg-beauty",ISNUMBER(SEARCH("liveramp",$C53))),"DELETE",$A53="agile-bonbon-662",_xlfn.IFS(LEFT($G53,9)="Tranche 1","DELETE",$C53="Sessions_Level_1_All_Sites","KEEP",ISNUMBER(--$C53),"REVIEW — UA raw logs",$C53="Emag_Reporting","KEEP",$C53="Nutrition_Data_Archived_Tables","KEEP",$C53="EU_Data","KEEP",TRUE,"REVIEW"),OR($A53="thg-influencer",$A53="thg-ingenuity",$A53="thg-central-marketing",$A53="thg-seoclarity"),"HOLD",TRUE,"")</f>
        <v/>
      </c>
      <c r="R53" t="str" cm="1">
        <f t="array" ref="R53">_xlfn.IFS(AND($A53="thg-beauty",ISNUMBER(SEARCH("liveramp",$C53))),"thg-beauty Liveramp dataset — confirmed safe to delete",$A53="agile-bonbon-662",_xlfn.IFS(LEFT($G53,9)="Tranche 1","Tranche 1: cleared",$C53="Sessions_Level_1_All_Sites","Downstream aggregation of UA raw logs — keep if raw tables go",ISNUMBER(--$C53),"UA raw site logs (account ID) — keep pending audit-retention check",$C53="Emag_Reporting","Legacy but likely needed",$C53="Nutrition_Data_Archived_Tables","Worth keeping",$C53="EU_Data","Static lookup tables — scripts still reference (smoke-test risk)",TRUE,"Review"),OR($A53="thg-influencer",$A53="thg-ingenuity",$A53="thg-central-marketing",$A53="thg-seoclarity"),"HOLD — Charlie Stringer to review before deletion",TRUE,"")</f>
        <v/>
      </c>
      <c r="S53" t="s">
        <v>1624</v>
      </c>
    </row>
    <row r="54" spans="1:19" ht="76.5" hidden="1">
      <c r="A54" t="s">
        <v>92</v>
      </c>
      <c r="B54" t="s">
        <v>1619</v>
      </c>
      <c r="C54" t="s">
        <v>1774</v>
      </c>
      <c r="D54" s="2" t="s">
        <v>1621</v>
      </c>
      <c r="E54">
        <v>63.43</v>
      </c>
      <c r="F54">
        <v>1.27</v>
      </c>
      <c r="G54" t="s">
        <v>79</v>
      </c>
      <c r="H54" t="s">
        <v>81</v>
      </c>
      <c r="I54">
        <v>0</v>
      </c>
      <c r="J54">
        <v>3</v>
      </c>
      <c r="K54" s="5">
        <v>46197.230238715281</v>
      </c>
      <c r="L54" s="5">
        <v>46194.229509907411</v>
      </c>
      <c r="M54" s="2" t="s">
        <v>1775</v>
      </c>
      <c r="N54" s="2" t="s">
        <v>1776</v>
      </c>
      <c r="O54" s="5">
        <v>46194.229579803243</v>
      </c>
      <c r="P54" t="str">
        <f>IF($Q54="DELETE",IF($S54="CONFIRMED: NO MODS &gt; 1YR","CONFIRMED: NO MODS &gt; 1YR","DO NOT DELETE — not defensibly confirmed"),IF($Q54="HOLD","DO NOT DELETE — HOLD (Charlie review)",IF($Q54="KEEP","DO NOT DELETE — KEEP",IF(ISNUMBER(SEARCH("REVIEW",$Q54)),"DO NOT DELETE — REVIEW pending",$S54))))</f>
        <v>CONFIRMED: NO MODS &gt; 1YR</v>
      </c>
      <c r="Q54" t="str" cm="1">
        <f t="array" ref="Q54">_xlfn.IFS(AND($A54="thg-beauty",ISNUMBER(SEARCH("liveramp",$C54))),"DELETE",$A54="agile-bonbon-662",_xlfn.IFS(LEFT($G54,9)="Tranche 1","DELETE",$C54="Sessions_Level_1_All_Sites","KEEP",ISNUMBER(--$C54),"REVIEW — UA raw logs",$C54="Emag_Reporting","KEEP",$C54="Nutrition_Data_Archived_Tables","KEEP",$C54="EU_Data","KEEP",TRUE,"REVIEW"),OR($A54="thg-influencer",$A54="thg-ingenuity",$A54="thg-central-marketing",$A54="thg-seoclarity"),"HOLD",TRUE,"")</f>
        <v/>
      </c>
      <c r="R54" t="str" cm="1">
        <f t="array" ref="R54">_xlfn.IFS(AND($A54="thg-beauty",ISNUMBER(SEARCH("liveramp",$C54))),"thg-beauty Liveramp dataset — confirmed safe to delete",$A54="agile-bonbon-662",_xlfn.IFS(LEFT($G54,9)="Tranche 1","Tranche 1: cleared",$C54="Sessions_Level_1_All_Sites","Downstream aggregation of UA raw logs — keep if raw tables go",ISNUMBER(--$C54),"UA raw site logs (account ID) — keep pending audit-retention check",$C54="Emag_Reporting","Legacy but likely needed",$C54="Nutrition_Data_Archived_Tables","Worth keeping",$C54="EU_Data","Static lookup tables — scripts still reference (smoke-test risk)",TRUE,"Review"),OR($A54="thg-influencer",$A54="thg-ingenuity",$A54="thg-central-marketing",$A54="thg-seoclarity"),"HOLD — Charlie Stringer to review before deletion",TRUE,"")</f>
        <v/>
      </c>
      <c r="S54" t="s">
        <v>1624</v>
      </c>
    </row>
    <row r="55" spans="1:19" ht="76.5" hidden="1">
      <c r="A55" t="s">
        <v>93</v>
      </c>
      <c r="B55" t="s">
        <v>1724</v>
      </c>
      <c r="C55" t="s">
        <v>1777</v>
      </c>
      <c r="D55" s="2" t="s">
        <v>1621</v>
      </c>
      <c r="E55">
        <v>0.19</v>
      </c>
      <c r="F55">
        <v>0</v>
      </c>
      <c r="G55" t="s">
        <v>79</v>
      </c>
      <c r="H55" t="s">
        <v>81</v>
      </c>
      <c r="I55">
        <v>64</v>
      </c>
      <c r="J55">
        <v>64</v>
      </c>
      <c r="K55" s="5">
        <v>46132.461125844908</v>
      </c>
      <c r="L55" s="5">
        <v>46132.461125844908</v>
      </c>
      <c r="M55" s="2" t="s">
        <v>1778</v>
      </c>
      <c r="N55" s="2" t="s">
        <v>1778</v>
      </c>
      <c r="O55" s="5">
        <v>46132.461142476852</v>
      </c>
      <c r="P55" t="str">
        <f>IF($Q55="DELETE",IF($S55="CONFIRMED: NO MODS &gt; 1YR","CONFIRMED: NO MODS &gt; 1YR","DO NOT DELETE — not defensibly confirmed"),IF($Q55="HOLD","DO NOT DELETE — HOLD (Charlie review)",IF($Q55="KEEP","DO NOT DELETE — KEEP",IF(ISNUMBER(SEARCH("REVIEW",$Q55)),"DO NOT DELETE — REVIEW pending",$S55))))</f>
        <v>CONFIRMED: NO MODS &gt; 1YR</v>
      </c>
      <c r="Q55" t="str" cm="1">
        <f t="array" ref="Q55">_xlfn.IFS(AND($A55="thg-beauty",ISNUMBER(SEARCH("liveramp",$C55))),"DELETE",$A55="agile-bonbon-662",_xlfn.IFS(LEFT($G55,9)="Tranche 1","DELETE",$C55="Sessions_Level_1_All_Sites","KEEP",ISNUMBER(--$C55),"REVIEW — UA raw logs",$C55="Emag_Reporting","KEEP",$C55="Nutrition_Data_Archived_Tables","KEEP",$C55="EU_Data","KEEP",TRUE,"REVIEW"),OR($A55="thg-influencer",$A55="thg-ingenuity",$A55="thg-central-marketing",$A55="thg-seoclarity"),"HOLD",TRUE,"")</f>
        <v/>
      </c>
      <c r="R55" t="str" cm="1">
        <f t="array" ref="R55">_xlfn.IFS(AND($A55="thg-beauty",ISNUMBER(SEARCH("liveramp",$C55))),"thg-beauty Liveramp dataset — confirmed safe to delete",$A55="agile-bonbon-662",_xlfn.IFS(LEFT($G55,9)="Tranche 1","Tranche 1: cleared",$C55="Sessions_Level_1_All_Sites","Downstream aggregation of UA raw logs — keep if raw tables go",ISNUMBER(--$C55),"UA raw site logs (account ID) — keep pending audit-retention check",$C55="Emag_Reporting","Legacy but likely needed",$C55="Nutrition_Data_Archived_Tables","Worth keeping",$C55="EU_Data","Static lookup tables — scripts still reference (smoke-test risk)",TRUE,"Review"),OR($A55="thg-influencer",$A55="thg-ingenuity",$A55="thg-central-marketing",$A55="thg-seoclarity"),"HOLD — Charlie Stringer to review before deletion",TRUE,"")</f>
        <v/>
      </c>
      <c r="S55" t="s">
        <v>1624</v>
      </c>
    </row>
    <row r="56" spans="1:19" ht="45.75" hidden="1">
      <c r="A56" t="s">
        <v>1738</v>
      </c>
      <c r="B56" t="s">
        <v>1724</v>
      </c>
      <c r="C56" t="s">
        <v>1779</v>
      </c>
      <c r="D56" s="2" t="s">
        <v>1621</v>
      </c>
      <c r="E56">
        <v>0</v>
      </c>
      <c r="F56">
        <v>0</v>
      </c>
      <c r="G56" t="s">
        <v>79</v>
      </c>
      <c r="H56" t="s">
        <v>81</v>
      </c>
      <c r="I56">
        <v>64</v>
      </c>
      <c r="L56" s="5">
        <v>46132.533193067131</v>
      </c>
      <c r="M56" s="2" t="s">
        <v>1715</v>
      </c>
      <c r="N56" s="2" t="s">
        <v>1780</v>
      </c>
      <c r="P56" t="str">
        <f>IF($Q56="DELETE",IF($S56="CONFIRMED: NO MODS &gt; 1YR","CONFIRMED: NO MODS &gt; 1YR","DO NOT DELETE — not defensibly confirmed"),IF($Q56="HOLD","DO NOT DELETE — HOLD (Charlie review)",IF($Q56="KEEP","DO NOT DELETE — KEEP",IF(ISNUMBER(SEARCH("REVIEW",$Q56)),"DO NOT DELETE — REVIEW pending",$S56))))</f>
        <v>CONFIRMED: NO MODS &gt; 1YR</v>
      </c>
      <c r="Q56" t="str" cm="1">
        <f t="array" ref="Q56">_xlfn.IFS(AND($A56="thg-beauty",ISNUMBER(SEARCH("liveramp",$C56))),"DELETE",$A56="agile-bonbon-662",_xlfn.IFS(LEFT($G56,9)="Tranche 1","DELETE",$C56="Sessions_Level_1_All_Sites","KEEP",ISNUMBER(--$C56),"REVIEW — UA raw logs",$C56="Emag_Reporting","KEEP",$C56="Nutrition_Data_Archived_Tables","KEEP",$C56="EU_Data","KEEP",TRUE,"REVIEW"),OR($A56="thg-influencer",$A56="thg-ingenuity",$A56="thg-central-marketing",$A56="thg-seoclarity"),"HOLD",TRUE,"")</f>
        <v/>
      </c>
      <c r="R56" t="str" cm="1">
        <f t="array" ref="R56">_xlfn.IFS(AND($A56="thg-beauty",ISNUMBER(SEARCH("liveramp",$C56))),"thg-beauty Liveramp dataset — confirmed safe to delete",$A56="agile-bonbon-662",_xlfn.IFS(LEFT($G56,9)="Tranche 1","Tranche 1: cleared",$C56="Sessions_Level_1_All_Sites","Downstream aggregation of UA raw logs — keep if raw tables go",ISNUMBER(--$C56),"UA raw site logs (account ID) — keep pending audit-retention check",$C56="Emag_Reporting","Legacy but likely needed",$C56="Nutrition_Data_Archived_Tables","Worth keeping",$C56="EU_Data","Static lookup tables — scripts still reference (smoke-test risk)",TRUE,"Review"),OR($A56="thg-influencer",$A56="thg-ingenuity",$A56="thg-central-marketing",$A56="thg-seoclarity"),"HOLD — Charlie Stringer to review before deletion",TRUE,"")</f>
        <v/>
      </c>
      <c r="S56" t="s">
        <v>1624</v>
      </c>
    </row>
    <row r="57" spans="1:19" ht="76.5" hidden="1">
      <c r="A57" t="s">
        <v>35</v>
      </c>
      <c r="B57" t="s">
        <v>1619</v>
      </c>
      <c r="C57" t="s">
        <v>1781</v>
      </c>
      <c r="D57" s="2" t="s">
        <v>1621</v>
      </c>
      <c r="E57">
        <v>0</v>
      </c>
      <c r="F57">
        <v>0</v>
      </c>
      <c r="G57" t="s">
        <v>79</v>
      </c>
      <c r="H57" t="s">
        <v>81</v>
      </c>
      <c r="I57">
        <v>63</v>
      </c>
      <c r="K57" s="5">
        <v>46133.55242537037</v>
      </c>
      <c r="L57" s="5">
        <v>46133.552388113429</v>
      </c>
      <c r="M57" s="2" t="s">
        <v>1782</v>
      </c>
      <c r="N57" s="2" t="s">
        <v>1782</v>
      </c>
      <c r="P57" t="str">
        <f>IF($Q57="DELETE",IF($S57="CONFIRMED: NO MODS &gt; 1YR","CONFIRMED: NO MODS &gt; 1YR","DO NOT DELETE — not defensibly confirmed"),IF($Q57="HOLD","DO NOT DELETE — HOLD (Charlie review)",IF($Q57="KEEP","DO NOT DELETE — KEEP",IF(ISNUMBER(SEARCH("REVIEW",$Q57)),"DO NOT DELETE — REVIEW pending",$S57))))</f>
        <v>DO NOT DELETE — HOLD (Charlie review)</v>
      </c>
      <c r="Q57" t="str" cm="1">
        <f t="array" ref="Q57">_xlfn.IFS(AND($A57="thg-beauty",ISNUMBER(SEARCH("liveramp",$C57))),"DELETE",$A57="agile-bonbon-662",_xlfn.IFS(LEFT($G57,9)="Tranche 1","DELETE",$C57="Sessions_Level_1_All_Sites","KEEP",ISNUMBER(--$C57),"REVIEW — UA raw logs",$C57="Emag_Reporting","KEEP",$C57="Nutrition_Data_Archived_Tables","KEEP",$C57="EU_Data","KEEP",TRUE,"REVIEW"),OR($A57="thg-influencer",$A57="thg-ingenuity",$A57="thg-central-marketing",$A57="thg-seoclarity"),"HOLD",TRUE,"")</f>
        <v>HOLD</v>
      </c>
      <c r="R57" t="str" cm="1">
        <f t="array" ref="R57">_xlfn.IFS(AND($A57="thg-beauty",ISNUMBER(SEARCH("liveramp",$C57))),"thg-beauty Liveramp dataset — confirmed safe to delete",$A57="agile-bonbon-662",_xlfn.IFS(LEFT($G57,9)="Tranche 1","Tranche 1: cleared",$C57="Sessions_Level_1_All_Sites","Downstream aggregation of UA raw logs — keep if raw tables go",ISNUMBER(--$C57),"UA raw site logs (account ID) — keep pending audit-retention check",$C57="Emag_Reporting","Legacy but likely needed",$C57="Nutrition_Data_Archived_Tables","Worth keeping",$C57="EU_Data","Static lookup tables — scripts still reference (smoke-test risk)",TRUE,"Review"),OR($A57="thg-influencer",$A57="thg-ingenuity",$A57="thg-central-marketing",$A57="thg-seoclarity"),"HOLD — Charlie Stringer to review before deletion",TRUE,"")</f>
        <v>HOLD — Charlie Stringer to review before deletion</v>
      </c>
      <c r="S57" t="s">
        <v>1624</v>
      </c>
    </row>
    <row r="58" spans="1:19" ht="76.5" hidden="1">
      <c r="A58" t="s">
        <v>93</v>
      </c>
      <c r="B58" t="s">
        <v>1619</v>
      </c>
      <c r="C58" t="s">
        <v>1783</v>
      </c>
      <c r="D58" s="2" t="s">
        <v>1621</v>
      </c>
      <c r="E58">
        <v>0.62</v>
      </c>
      <c r="F58">
        <v>0.01</v>
      </c>
      <c r="G58" t="s">
        <v>79</v>
      </c>
      <c r="H58" t="s">
        <v>81</v>
      </c>
      <c r="I58">
        <v>62</v>
      </c>
      <c r="J58">
        <v>96</v>
      </c>
      <c r="K58" s="5">
        <v>46134.466045312503</v>
      </c>
      <c r="L58" s="5">
        <v>46101.448585763887</v>
      </c>
      <c r="M58" s="2" t="s">
        <v>1784</v>
      </c>
      <c r="N58" s="2" t="s">
        <v>1785</v>
      </c>
      <c r="O58" s="5">
        <v>46101.448603912038</v>
      </c>
      <c r="P58" t="str">
        <f>IF($Q58="DELETE",IF($S58="CONFIRMED: NO MODS &gt; 1YR","CONFIRMED: NO MODS &gt; 1YR","DO NOT DELETE — not defensibly confirmed"),IF($Q58="HOLD","DO NOT DELETE — HOLD (Charlie review)",IF($Q58="KEEP","DO NOT DELETE — KEEP",IF(ISNUMBER(SEARCH("REVIEW",$Q58)),"DO NOT DELETE — REVIEW pending",$S58))))</f>
        <v>CONFIRMED: NO MODS &gt; 1YR</v>
      </c>
      <c r="Q58" t="str" cm="1">
        <f t="array" ref="Q58">_xlfn.IFS(AND($A58="thg-beauty",ISNUMBER(SEARCH("liveramp",$C58))),"DELETE",$A58="agile-bonbon-662",_xlfn.IFS(LEFT($G58,9)="Tranche 1","DELETE",$C58="Sessions_Level_1_All_Sites","KEEP",ISNUMBER(--$C58),"REVIEW — UA raw logs",$C58="Emag_Reporting","KEEP",$C58="Nutrition_Data_Archived_Tables","KEEP",$C58="EU_Data","KEEP",TRUE,"REVIEW"),OR($A58="thg-influencer",$A58="thg-ingenuity",$A58="thg-central-marketing",$A58="thg-seoclarity"),"HOLD",TRUE,"")</f>
        <v/>
      </c>
      <c r="R58" t="str" cm="1">
        <f t="array" ref="R58">_xlfn.IFS(AND($A58="thg-beauty",ISNUMBER(SEARCH("liveramp",$C58))),"thg-beauty Liveramp dataset — confirmed safe to delete",$A58="agile-bonbon-662",_xlfn.IFS(LEFT($G58,9)="Tranche 1","Tranche 1: cleared",$C58="Sessions_Level_1_All_Sites","Downstream aggregation of UA raw logs — keep if raw tables go",ISNUMBER(--$C58),"UA raw site logs (account ID) — keep pending audit-retention check",$C58="Emag_Reporting","Legacy but likely needed",$C58="Nutrition_Data_Archived_Tables","Worth keeping",$C58="EU_Data","Static lookup tables — scripts still reference (smoke-test risk)",TRUE,"Review"),OR($A58="thg-influencer",$A58="thg-ingenuity",$A58="thg-central-marketing",$A58="thg-seoclarity"),"HOLD — Charlie Stringer to review before deletion",TRUE,"")</f>
        <v/>
      </c>
      <c r="S58" t="s">
        <v>1624</v>
      </c>
    </row>
    <row r="59" spans="1:19" ht="76.5" hidden="1">
      <c r="A59" t="s">
        <v>1768</v>
      </c>
      <c r="B59" t="s">
        <v>1724</v>
      </c>
      <c r="C59" t="s">
        <v>1777</v>
      </c>
      <c r="D59" s="2" t="s">
        <v>1621</v>
      </c>
      <c r="E59">
        <v>0.02</v>
      </c>
      <c r="F59">
        <v>0</v>
      </c>
      <c r="G59" t="s">
        <v>79</v>
      </c>
      <c r="H59" t="s">
        <v>81</v>
      </c>
      <c r="I59">
        <v>62</v>
      </c>
      <c r="J59">
        <v>62</v>
      </c>
      <c r="K59" s="5">
        <v>46135.447049120368</v>
      </c>
      <c r="L59" s="5">
        <v>46135.447049120368</v>
      </c>
      <c r="M59" s="2" t="s">
        <v>1786</v>
      </c>
      <c r="N59" s="2" t="s">
        <v>1786</v>
      </c>
      <c r="O59" s="5">
        <v>46135.447065300927</v>
      </c>
      <c r="P59" t="str">
        <f>IF($Q59="DELETE",IF($S59="CONFIRMED: NO MODS &gt; 1YR","CONFIRMED: NO MODS &gt; 1YR","DO NOT DELETE — not defensibly confirmed"),IF($Q59="HOLD","DO NOT DELETE — HOLD (Charlie review)",IF($Q59="KEEP","DO NOT DELETE — KEEP",IF(ISNUMBER(SEARCH("REVIEW",$Q59)),"DO NOT DELETE — REVIEW pending",$S59))))</f>
        <v>CONFIRMED: NO MODS &gt; 1YR</v>
      </c>
      <c r="Q59" t="str" cm="1">
        <f t="array" ref="Q59">_xlfn.IFS(AND($A59="thg-beauty",ISNUMBER(SEARCH("liveramp",$C59))),"DELETE",$A59="agile-bonbon-662",_xlfn.IFS(LEFT($G59,9)="Tranche 1","DELETE",$C59="Sessions_Level_1_All_Sites","KEEP",ISNUMBER(--$C59),"REVIEW — UA raw logs",$C59="Emag_Reporting","KEEP",$C59="Nutrition_Data_Archived_Tables","KEEP",$C59="EU_Data","KEEP",TRUE,"REVIEW"),OR($A59="thg-influencer",$A59="thg-ingenuity",$A59="thg-central-marketing",$A59="thg-seoclarity"),"HOLD",TRUE,"")</f>
        <v/>
      </c>
      <c r="R59" t="str" cm="1">
        <f t="array" ref="R59">_xlfn.IFS(AND($A59="thg-beauty",ISNUMBER(SEARCH("liveramp",$C59))),"thg-beauty Liveramp dataset — confirmed safe to delete",$A59="agile-bonbon-662",_xlfn.IFS(LEFT($G59,9)="Tranche 1","Tranche 1: cleared",$C59="Sessions_Level_1_All_Sites","Downstream aggregation of UA raw logs — keep if raw tables go",ISNUMBER(--$C59),"UA raw site logs (account ID) — keep pending audit-retention check",$C59="Emag_Reporting","Legacy but likely needed",$C59="Nutrition_Data_Archived_Tables","Worth keeping",$C59="EU_Data","Static lookup tables — scripts still reference (smoke-test risk)",TRUE,"Review"),OR($A59="thg-influencer",$A59="thg-ingenuity",$A59="thg-central-marketing",$A59="thg-seoclarity"),"HOLD — Charlie Stringer to review before deletion",TRUE,"")</f>
        <v/>
      </c>
      <c r="S59" t="s">
        <v>1624</v>
      </c>
    </row>
    <row r="60" spans="1:19" ht="76.5" hidden="1">
      <c r="A60" t="s">
        <v>92</v>
      </c>
      <c r="B60" t="s">
        <v>1619</v>
      </c>
      <c r="C60" t="s">
        <v>1787</v>
      </c>
      <c r="D60" s="2" t="s">
        <v>1621</v>
      </c>
      <c r="E60">
        <v>59.01</v>
      </c>
      <c r="F60">
        <v>1.18</v>
      </c>
      <c r="G60" t="s">
        <v>79</v>
      </c>
      <c r="H60" t="s">
        <v>81</v>
      </c>
      <c r="I60">
        <v>0</v>
      </c>
      <c r="J60">
        <v>0</v>
      </c>
      <c r="K60" s="5">
        <v>46197.421128981478</v>
      </c>
      <c r="L60" s="5">
        <v>46197.110426064814</v>
      </c>
      <c r="M60" s="2" t="s">
        <v>1788</v>
      </c>
      <c r="N60" s="2" t="s">
        <v>1789</v>
      </c>
      <c r="O60" s="5">
        <v>46197.110466087957</v>
      </c>
      <c r="P60" t="str">
        <f>IF($Q60="DELETE",IF($S60="CONFIRMED: NO MODS &gt; 1YR","CONFIRMED: NO MODS &gt; 1YR","DO NOT DELETE — not defensibly confirmed"),IF($Q60="HOLD","DO NOT DELETE — HOLD (Charlie review)",IF($Q60="KEEP","DO NOT DELETE — KEEP",IF(ISNUMBER(SEARCH("REVIEW",$Q60)),"DO NOT DELETE — REVIEW pending",$S60))))</f>
        <v>CONFIRMED: NO MODS &gt; 1YR</v>
      </c>
      <c r="Q60" t="str" cm="1">
        <f t="array" ref="Q60">_xlfn.IFS(AND($A60="thg-beauty",ISNUMBER(SEARCH("liveramp",$C60))),"DELETE",$A60="agile-bonbon-662",_xlfn.IFS(LEFT($G60,9)="Tranche 1","DELETE",$C60="Sessions_Level_1_All_Sites","KEEP",ISNUMBER(--$C60),"REVIEW — UA raw logs",$C60="Emag_Reporting","KEEP",$C60="Nutrition_Data_Archived_Tables","KEEP",$C60="EU_Data","KEEP",TRUE,"REVIEW"),OR($A60="thg-influencer",$A60="thg-ingenuity",$A60="thg-central-marketing",$A60="thg-seoclarity"),"HOLD",TRUE,"")</f>
        <v/>
      </c>
      <c r="R60" t="str" cm="1">
        <f t="array" ref="R60">_xlfn.IFS(AND($A60="thg-beauty",ISNUMBER(SEARCH("liveramp",$C60))),"thg-beauty Liveramp dataset — confirmed safe to delete",$A60="agile-bonbon-662",_xlfn.IFS(LEFT($G60,9)="Tranche 1","Tranche 1: cleared",$C60="Sessions_Level_1_All_Sites","Downstream aggregation of UA raw logs — keep if raw tables go",ISNUMBER(--$C60),"UA raw site logs (account ID) — keep pending audit-retention check",$C60="Emag_Reporting","Legacy but likely needed",$C60="Nutrition_Data_Archived_Tables","Worth keeping",$C60="EU_Data","Static lookup tables — scripts still reference (smoke-test risk)",TRUE,"Review"),OR($A60="thg-influencer",$A60="thg-ingenuity",$A60="thg-central-marketing",$A60="thg-seoclarity"),"HOLD — Charlie Stringer to review before deletion",TRUE,"")</f>
        <v/>
      </c>
      <c r="S60" t="s">
        <v>1624</v>
      </c>
    </row>
    <row r="61" spans="1:19" ht="76.5" hidden="1">
      <c r="A61" t="s">
        <v>92</v>
      </c>
      <c r="B61" t="s">
        <v>1619</v>
      </c>
      <c r="C61" t="s">
        <v>1790</v>
      </c>
      <c r="D61" s="2" t="s">
        <v>1621</v>
      </c>
      <c r="E61">
        <v>55.23</v>
      </c>
      <c r="F61">
        <v>1.1000000000000001</v>
      </c>
      <c r="G61" t="s">
        <v>79</v>
      </c>
      <c r="H61" t="s">
        <v>81</v>
      </c>
      <c r="I61">
        <v>0</v>
      </c>
      <c r="J61">
        <v>0</v>
      </c>
      <c r="K61" s="5">
        <v>46197.233432152767</v>
      </c>
      <c r="L61" s="5">
        <v>46197.231785277778</v>
      </c>
      <c r="M61" s="2" t="s">
        <v>1791</v>
      </c>
      <c r="N61" s="2" t="s">
        <v>1792</v>
      </c>
      <c r="O61" s="5">
        <v>46197.231826967603</v>
      </c>
      <c r="P61" t="str">
        <f>IF($Q61="DELETE",IF($S61="CONFIRMED: NO MODS &gt; 1YR","CONFIRMED: NO MODS &gt; 1YR","DO NOT DELETE — not defensibly confirmed"),IF($Q61="HOLD","DO NOT DELETE — HOLD (Charlie review)",IF($Q61="KEEP","DO NOT DELETE — KEEP",IF(ISNUMBER(SEARCH("REVIEW",$Q61)),"DO NOT DELETE — REVIEW pending",$S61))))</f>
        <v>CONFIRMED: NO MODS &gt; 1YR</v>
      </c>
      <c r="Q61" t="str" cm="1">
        <f t="array" ref="Q61">_xlfn.IFS(AND($A61="thg-beauty",ISNUMBER(SEARCH("liveramp",$C61))),"DELETE",$A61="agile-bonbon-662",_xlfn.IFS(LEFT($G61,9)="Tranche 1","DELETE",$C61="Sessions_Level_1_All_Sites","KEEP",ISNUMBER(--$C61),"REVIEW — UA raw logs",$C61="Emag_Reporting","KEEP",$C61="Nutrition_Data_Archived_Tables","KEEP",$C61="EU_Data","KEEP",TRUE,"REVIEW"),OR($A61="thg-influencer",$A61="thg-ingenuity",$A61="thg-central-marketing",$A61="thg-seoclarity"),"HOLD",TRUE,"")</f>
        <v>DELETE</v>
      </c>
      <c r="R61" t="str" cm="1">
        <f t="array" ref="R61">_xlfn.IFS(AND($A61="thg-beauty",ISNUMBER(SEARCH("liveramp",$C61))),"thg-beauty Liveramp dataset — confirmed safe to delete",$A61="agile-bonbon-662",_xlfn.IFS(LEFT($G61,9)="Tranche 1","Tranche 1: cleared",$C61="Sessions_Level_1_All_Sites","Downstream aggregation of UA raw logs — keep if raw tables go",ISNUMBER(--$C61),"UA raw site logs (account ID) — keep pending audit-retention check",$C61="Emag_Reporting","Legacy but likely needed",$C61="Nutrition_Data_Archived_Tables","Worth keeping",$C61="EU_Data","Static lookup tables — scripts still reference (smoke-test risk)",TRUE,"Review"),OR($A61="thg-influencer",$A61="thg-ingenuity",$A61="thg-central-marketing",$A61="thg-seoclarity"),"HOLD — Charlie Stringer to review before deletion",TRUE,"")</f>
        <v>thg-beauty Liveramp dataset — confirmed safe to delete</v>
      </c>
      <c r="S61" t="s">
        <v>1624</v>
      </c>
    </row>
    <row r="62" spans="1:19" ht="76.5" hidden="1">
      <c r="A62" t="s">
        <v>90</v>
      </c>
      <c r="B62" t="s">
        <v>1619</v>
      </c>
      <c r="C62" t="s">
        <v>1793</v>
      </c>
      <c r="D62" s="2" t="s">
        <v>1621</v>
      </c>
      <c r="E62">
        <v>34495.040000000001</v>
      </c>
      <c r="F62">
        <v>689.9</v>
      </c>
      <c r="G62" t="s">
        <v>79</v>
      </c>
      <c r="H62" t="s">
        <v>81</v>
      </c>
      <c r="I62">
        <v>56</v>
      </c>
      <c r="J62">
        <v>160</v>
      </c>
      <c r="K62" s="5">
        <v>46141.387923796297</v>
      </c>
      <c r="L62" s="5">
        <v>46070.166716354157</v>
      </c>
      <c r="M62" s="2" t="s">
        <v>1794</v>
      </c>
      <c r="N62" s="2" t="s">
        <v>1795</v>
      </c>
      <c r="O62" s="5">
        <v>46037.168736539352</v>
      </c>
      <c r="P62" t="str">
        <f>IF($Q62="DELETE",IF($S62="CONFIRMED: NO MODS &gt; 1YR","CONFIRMED: NO MODS &gt; 1YR","DO NOT DELETE — not defensibly confirmed"),IF($Q62="HOLD","DO NOT DELETE — HOLD (Charlie review)",IF($Q62="KEEP","DO NOT DELETE — KEEP",IF(ISNUMBER(SEARCH("REVIEW",$Q62)),"DO NOT DELETE — REVIEW pending",$S62))))</f>
        <v>CONFIRMED: NO MODS &gt; 1YR</v>
      </c>
      <c r="Q62" t="str" cm="1">
        <f t="array" ref="Q62">_xlfn.IFS(AND($A62="thg-beauty",ISNUMBER(SEARCH("liveramp",$C62))),"DELETE",$A62="agile-bonbon-662",_xlfn.IFS(LEFT($G62,9)="Tranche 1","DELETE",$C62="Sessions_Level_1_All_Sites","KEEP",ISNUMBER(--$C62),"REVIEW — UA raw logs",$C62="Emag_Reporting","KEEP",$C62="Nutrition_Data_Archived_Tables","KEEP",$C62="EU_Data","KEEP",TRUE,"REVIEW"),OR($A62="thg-influencer",$A62="thg-ingenuity",$A62="thg-central-marketing",$A62="thg-seoclarity"),"HOLD",TRUE,"")</f>
        <v/>
      </c>
      <c r="R62" t="str" cm="1">
        <f t="array" ref="R62">_xlfn.IFS(AND($A62="thg-beauty",ISNUMBER(SEARCH("liveramp",$C62))),"thg-beauty Liveramp dataset — confirmed safe to delete",$A62="agile-bonbon-662",_xlfn.IFS(LEFT($G62,9)="Tranche 1","Tranche 1: cleared",$C62="Sessions_Level_1_All_Sites","Downstream aggregation of UA raw logs — keep if raw tables go",ISNUMBER(--$C62),"UA raw site logs (account ID) — keep pending audit-retention check",$C62="Emag_Reporting","Legacy but likely needed",$C62="Nutrition_Data_Archived_Tables","Worth keeping",$C62="EU_Data","Static lookup tables — scripts still reference (smoke-test risk)",TRUE,"Review"),OR($A62="thg-influencer",$A62="thg-ingenuity",$A62="thg-central-marketing",$A62="thg-seoclarity"),"HOLD — Charlie Stringer to review before deletion",TRUE,"")</f>
        <v/>
      </c>
      <c r="S62" t="s">
        <v>1624</v>
      </c>
    </row>
    <row r="63" spans="1:19" ht="76.5" hidden="1">
      <c r="A63" t="s">
        <v>90</v>
      </c>
      <c r="B63" t="s">
        <v>1619</v>
      </c>
      <c r="C63" t="s">
        <v>1796</v>
      </c>
      <c r="D63" s="2" t="s">
        <v>1621</v>
      </c>
      <c r="E63">
        <v>22142.42</v>
      </c>
      <c r="F63">
        <v>442.85</v>
      </c>
      <c r="G63" t="s">
        <v>79</v>
      </c>
      <c r="H63" t="s">
        <v>81</v>
      </c>
      <c r="I63">
        <v>56</v>
      </c>
      <c r="J63">
        <v>161</v>
      </c>
      <c r="K63" s="5">
        <v>46141.387969039351</v>
      </c>
      <c r="L63" s="5">
        <v>46036.126078715279</v>
      </c>
      <c r="M63" s="2" t="s">
        <v>1797</v>
      </c>
      <c r="N63" s="2" t="s">
        <v>1798</v>
      </c>
      <c r="O63" s="5">
        <v>46036.126142314817</v>
      </c>
      <c r="P63" t="str">
        <f>IF($Q63="DELETE",IF($S63="CONFIRMED: NO MODS &gt; 1YR","CONFIRMED: NO MODS &gt; 1YR","DO NOT DELETE — not defensibly confirmed"),IF($Q63="HOLD","DO NOT DELETE — HOLD (Charlie review)",IF($Q63="KEEP","DO NOT DELETE — KEEP",IF(ISNUMBER(SEARCH("REVIEW",$Q63)),"DO NOT DELETE — REVIEW pending",$S63))))</f>
        <v>CONFIRMED: NO MODS &gt; 1YR</v>
      </c>
      <c r="Q63" t="str" cm="1">
        <f t="array" ref="Q63">_xlfn.IFS(AND($A63="thg-beauty",ISNUMBER(SEARCH("liveramp",$C63))),"DELETE",$A63="agile-bonbon-662",_xlfn.IFS(LEFT($G63,9)="Tranche 1","DELETE",$C63="Sessions_Level_1_All_Sites","KEEP",ISNUMBER(--$C63),"REVIEW — UA raw logs",$C63="Emag_Reporting","KEEP",$C63="Nutrition_Data_Archived_Tables","KEEP",$C63="EU_Data","KEEP",TRUE,"REVIEW"),OR($A63="thg-influencer",$A63="thg-ingenuity",$A63="thg-central-marketing",$A63="thg-seoclarity"),"HOLD",TRUE,"")</f>
        <v/>
      </c>
      <c r="R63" t="str" cm="1">
        <f t="array" ref="R63">_xlfn.IFS(AND($A63="thg-beauty",ISNUMBER(SEARCH("liveramp",$C63))),"thg-beauty Liveramp dataset — confirmed safe to delete",$A63="agile-bonbon-662",_xlfn.IFS(LEFT($G63,9)="Tranche 1","Tranche 1: cleared",$C63="Sessions_Level_1_All_Sites","Downstream aggregation of UA raw logs — keep if raw tables go",ISNUMBER(--$C63),"UA raw site logs (account ID) — keep pending audit-retention check",$C63="Emag_Reporting","Legacy but likely needed",$C63="Nutrition_Data_Archived_Tables","Worth keeping",$C63="EU_Data","Static lookup tables — scripts still reference (smoke-test risk)",TRUE,"Review"),OR($A63="thg-influencer",$A63="thg-ingenuity",$A63="thg-central-marketing",$A63="thg-seoclarity"),"HOLD — Charlie Stringer to review before deletion",TRUE,"")</f>
        <v/>
      </c>
      <c r="S63" t="s">
        <v>1624</v>
      </c>
    </row>
    <row r="64" spans="1:19" hidden="1">
      <c r="A64" t="s">
        <v>90</v>
      </c>
      <c r="B64" t="s">
        <v>1619</v>
      </c>
      <c r="C64" t="s">
        <v>1799</v>
      </c>
      <c r="D64" s="2" t="s">
        <v>1621</v>
      </c>
      <c r="E64">
        <v>12778.71</v>
      </c>
      <c r="F64">
        <v>255.57</v>
      </c>
      <c r="G64" t="s">
        <v>79</v>
      </c>
      <c r="H64" t="s">
        <v>81</v>
      </c>
      <c r="I64">
        <v>56</v>
      </c>
      <c r="J64">
        <v>357</v>
      </c>
      <c r="K64" s="5">
        <v>46141.388144467594</v>
      </c>
      <c r="M64" s="2" t="s">
        <v>1800</v>
      </c>
      <c r="N64" s="2" t="s">
        <v>1701</v>
      </c>
      <c r="O64" s="5">
        <v>45839.468898831023</v>
      </c>
      <c r="P64" t="str">
        <f>IF($Q64="DELETE",IF($S64="CONFIRMED: NO MODS &gt; 1YR","CONFIRMED: NO MODS &gt; 1YR","DO NOT DELETE — not defensibly confirmed"),IF($Q64="HOLD","DO NOT DELETE — HOLD (Charlie review)",IF($Q64="KEEP","DO NOT DELETE — KEEP",IF(ISNUMBER(SEARCH("REVIEW",$Q64)),"DO NOT DELETE — REVIEW pending",$S64))))</f>
        <v>CONFIRMED: NO MODS &gt; 1YR</v>
      </c>
      <c r="Q64" t="str" cm="1">
        <f t="array" ref="Q64">_xlfn.IFS(AND($A64="thg-beauty",ISNUMBER(SEARCH("liveramp",$C64))),"DELETE",$A64="agile-bonbon-662",_xlfn.IFS(LEFT($G64,9)="Tranche 1","DELETE",$C64="Sessions_Level_1_All_Sites","KEEP",ISNUMBER(--$C64),"REVIEW — UA raw logs",$C64="Emag_Reporting","KEEP",$C64="Nutrition_Data_Archived_Tables","KEEP",$C64="EU_Data","KEEP",TRUE,"REVIEW"),OR($A64="thg-influencer",$A64="thg-ingenuity",$A64="thg-central-marketing",$A64="thg-seoclarity"),"HOLD",TRUE,"")</f>
        <v/>
      </c>
      <c r="R64" t="str" cm="1">
        <f t="array" ref="R64">_xlfn.IFS(AND($A64="thg-beauty",ISNUMBER(SEARCH("liveramp",$C64))),"thg-beauty Liveramp dataset — confirmed safe to delete",$A64="agile-bonbon-662",_xlfn.IFS(LEFT($G64,9)="Tranche 1","Tranche 1: cleared",$C64="Sessions_Level_1_All_Sites","Downstream aggregation of UA raw logs — keep if raw tables go",ISNUMBER(--$C64),"UA raw site logs (account ID) — keep pending audit-retention check",$C64="Emag_Reporting","Legacy but likely needed",$C64="Nutrition_Data_Archived_Tables","Worth keeping",$C64="EU_Data","Static lookup tables — scripts still reference (smoke-test risk)",TRUE,"Review"),OR($A64="thg-influencer",$A64="thg-ingenuity",$A64="thg-central-marketing",$A64="thg-seoclarity"),"HOLD — Charlie Stringer to review before deletion",TRUE,"")</f>
        <v/>
      </c>
      <c r="S64" t="s">
        <v>1624</v>
      </c>
    </row>
    <row r="65" spans="1:19" hidden="1">
      <c r="A65" t="s">
        <v>91</v>
      </c>
      <c r="B65" t="s">
        <v>1619</v>
      </c>
      <c r="C65" t="s">
        <v>1801</v>
      </c>
      <c r="D65" s="2" t="s">
        <v>1621</v>
      </c>
      <c r="E65">
        <v>264.33999999999997</v>
      </c>
      <c r="F65">
        <v>5.29</v>
      </c>
      <c r="G65" t="s">
        <v>79</v>
      </c>
      <c r="H65" t="s">
        <v>81</v>
      </c>
      <c r="I65">
        <v>56</v>
      </c>
      <c r="J65">
        <v>291</v>
      </c>
      <c r="K65" s="5">
        <v>46141.414746967603</v>
      </c>
      <c r="M65" s="2" t="s">
        <v>1802</v>
      </c>
      <c r="N65" s="2" t="s">
        <v>1701</v>
      </c>
      <c r="O65" s="5">
        <v>45905.580010983787</v>
      </c>
      <c r="P65" t="str">
        <f>IF($Q65="DELETE",IF($S65="CONFIRMED: NO MODS &gt; 1YR","CONFIRMED: NO MODS &gt; 1YR","DO NOT DELETE — not defensibly confirmed"),IF($Q65="HOLD","DO NOT DELETE — HOLD (Charlie review)",IF($Q65="KEEP","DO NOT DELETE — KEEP",IF(ISNUMBER(SEARCH("REVIEW",$Q65)),"DO NOT DELETE — REVIEW pending",$S65))))</f>
        <v>CONFIRMED: NO MODS &gt; 1YR</v>
      </c>
      <c r="Q65" t="str" cm="1">
        <f t="array" ref="Q65">_xlfn.IFS(AND($A65="thg-beauty",ISNUMBER(SEARCH("liveramp",$C65))),"DELETE",$A65="agile-bonbon-662",_xlfn.IFS(LEFT($G65,9)="Tranche 1","DELETE",$C65="Sessions_Level_1_All_Sites","KEEP",ISNUMBER(--$C65),"REVIEW — UA raw logs",$C65="Emag_Reporting","KEEP",$C65="Nutrition_Data_Archived_Tables","KEEP",$C65="EU_Data","KEEP",TRUE,"REVIEW"),OR($A65="thg-influencer",$A65="thg-ingenuity",$A65="thg-central-marketing",$A65="thg-seoclarity"),"HOLD",TRUE,"")</f>
        <v/>
      </c>
      <c r="R65" t="str" cm="1">
        <f t="array" ref="R65">_xlfn.IFS(AND($A65="thg-beauty",ISNUMBER(SEARCH("liveramp",$C65))),"thg-beauty Liveramp dataset — confirmed safe to delete",$A65="agile-bonbon-662",_xlfn.IFS(LEFT($G65,9)="Tranche 1","Tranche 1: cleared",$C65="Sessions_Level_1_All_Sites","Downstream aggregation of UA raw logs — keep if raw tables go",ISNUMBER(--$C65),"UA raw site logs (account ID) — keep pending audit-retention check",$C65="Emag_Reporting","Legacy but likely needed",$C65="Nutrition_Data_Archived_Tables","Worth keeping",$C65="EU_Data","Static lookup tables — scripts still reference (smoke-test risk)",TRUE,"Review"),OR($A65="thg-influencer",$A65="thg-ingenuity",$A65="thg-central-marketing",$A65="thg-seoclarity"),"HOLD — Charlie Stringer to review before deletion",TRUE,"")</f>
        <v/>
      </c>
      <c r="S65" t="s">
        <v>1624</v>
      </c>
    </row>
    <row r="66" spans="1:19" ht="76.5" hidden="1">
      <c r="A66" t="s">
        <v>91</v>
      </c>
      <c r="B66" t="s">
        <v>1619</v>
      </c>
      <c r="C66" t="s">
        <v>1803</v>
      </c>
      <c r="D66" s="2" t="s">
        <v>1621</v>
      </c>
      <c r="E66">
        <v>13.3</v>
      </c>
      <c r="F66">
        <v>0.27</v>
      </c>
      <c r="G66" t="s">
        <v>79</v>
      </c>
      <c r="H66" t="s">
        <v>81</v>
      </c>
      <c r="I66">
        <v>56</v>
      </c>
      <c r="J66">
        <v>112</v>
      </c>
      <c r="K66" s="5">
        <v>46141.414563113423</v>
      </c>
      <c r="L66" s="5">
        <v>46084.569659444453</v>
      </c>
      <c r="M66" s="2" t="s">
        <v>1804</v>
      </c>
      <c r="N66" s="2" t="s">
        <v>1805</v>
      </c>
      <c r="O66" s="5">
        <v>46084.581867245368</v>
      </c>
      <c r="P66" t="str">
        <f>IF($Q66="DELETE",IF($S66="CONFIRMED: NO MODS &gt; 1YR","CONFIRMED: NO MODS &gt; 1YR","DO NOT DELETE — not defensibly confirmed"),IF($Q66="HOLD","DO NOT DELETE — HOLD (Charlie review)",IF($Q66="KEEP","DO NOT DELETE — KEEP",IF(ISNUMBER(SEARCH("REVIEW",$Q66)),"DO NOT DELETE — REVIEW pending",$S66))))</f>
        <v>CONFIRMED: NO MODS &gt; 1YR</v>
      </c>
      <c r="Q66" t="str" cm="1">
        <f t="array" ref="Q66">_xlfn.IFS(AND($A66="thg-beauty",ISNUMBER(SEARCH("liveramp",$C66))),"DELETE",$A66="agile-bonbon-662",_xlfn.IFS(LEFT($G66,9)="Tranche 1","DELETE",$C66="Sessions_Level_1_All_Sites","KEEP",ISNUMBER(--$C66),"REVIEW — UA raw logs",$C66="Emag_Reporting","KEEP",$C66="Nutrition_Data_Archived_Tables","KEEP",$C66="EU_Data","KEEP",TRUE,"REVIEW"),OR($A66="thg-influencer",$A66="thg-ingenuity",$A66="thg-central-marketing",$A66="thg-seoclarity"),"HOLD",TRUE,"")</f>
        <v/>
      </c>
      <c r="R66" t="str" cm="1">
        <f t="array" ref="R66">_xlfn.IFS(AND($A66="thg-beauty",ISNUMBER(SEARCH("liveramp",$C66))),"thg-beauty Liveramp dataset — confirmed safe to delete",$A66="agile-bonbon-662",_xlfn.IFS(LEFT($G66,9)="Tranche 1","Tranche 1: cleared",$C66="Sessions_Level_1_All_Sites","Downstream aggregation of UA raw logs — keep if raw tables go",ISNUMBER(--$C66),"UA raw site logs (account ID) — keep pending audit-retention check",$C66="Emag_Reporting","Legacy but likely needed",$C66="Nutrition_Data_Archived_Tables","Worth keeping",$C66="EU_Data","Static lookup tables — scripts still reference (smoke-test risk)",TRUE,"Review"),OR($A66="thg-influencer",$A66="thg-ingenuity",$A66="thg-central-marketing",$A66="thg-seoclarity"),"HOLD — Charlie Stringer to review before deletion",TRUE,"")</f>
        <v/>
      </c>
      <c r="S66" t="s">
        <v>1624</v>
      </c>
    </row>
    <row r="67" spans="1:19" hidden="1">
      <c r="A67" t="s">
        <v>90</v>
      </c>
      <c r="B67" t="s">
        <v>1619</v>
      </c>
      <c r="C67" t="s">
        <v>1806</v>
      </c>
      <c r="D67" s="2" t="s">
        <v>1621</v>
      </c>
      <c r="E67">
        <v>10.039999999999999</v>
      </c>
      <c r="F67">
        <v>0.2</v>
      </c>
      <c r="G67" t="s">
        <v>79</v>
      </c>
      <c r="H67" t="s">
        <v>81</v>
      </c>
      <c r="I67">
        <v>56</v>
      </c>
      <c r="J67">
        <v>323</v>
      </c>
      <c r="K67" s="5">
        <v>46141.38713703704</v>
      </c>
      <c r="M67" s="2" t="s">
        <v>1807</v>
      </c>
      <c r="N67" s="2" t="s">
        <v>1701</v>
      </c>
      <c r="O67" s="5">
        <v>45873.525380601852</v>
      </c>
      <c r="P67" t="str">
        <f>IF($Q67="DELETE",IF($S67="CONFIRMED: NO MODS &gt; 1YR","CONFIRMED: NO MODS &gt; 1YR","DO NOT DELETE — not defensibly confirmed"),IF($Q67="HOLD","DO NOT DELETE — HOLD (Charlie review)",IF($Q67="KEEP","DO NOT DELETE — KEEP",IF(ISNUMBER(SEARCH("REVIEW",$Q67)),"DO NOT DELETE — REVIEW pending",$S67))))</f>
        <v>CONFIRMED: NO MODS &gt; 1YR</v>
      </c>
      <c r="Q67" t="str" cm="1">
        <f t="array" ref="Q67">_xlfn.IFS(AND($A67="thg-beauty",ISNUMBER(SEARCH("liveramp",$C67))),"DELETE",$A67="agile-bonbon-662",_xlfn.IFS(LEFT($G67,9)="Tranche 1","DELETE",$C67="Sessions_Level_1_All_Sites","KEEP",ISNUMBER(--$C67),"REVIEW — UA raw logs",$C67="Emag_Reporting","KEEP",$C67="Nutrition_Data_Archived_Tables","KEEP",$C67="EU_Data","KEEP",TRUE,"REVIEW"),OR($A67="thg-influencer",$A67="thg-ingenuity",$A67="thg-central-marketing",$A67="thg-seoclarity"),"HOLD",TRUE,"")</f>
        <v/>
      </c>
      <c r="R67" t="str" cm="1">
        <f t="array" ref="R67">_xlfn.IFS(AND($A67="thg-beauty",ISNUMBER(SEARCH("liveramp",$C67))),"thg-beauty Liveramp dataset — confirmed safe to delete",$A67="agile-bonbon-662",_xlfn.IFS(LEFT($G67,9)="Tranche 1","Tranche 1: cleared",$C67="Sessions_Level_1_All_Sites","Downstream aggregation of UA raw logs — keep if raw tables go",ISNUMBER(--$C67),"UA raw site logs (account ID) — keep pending audit-retention check",$C67="Emag_Reporting","Legacy but likely needed",$C67="Nutrition_Data_Archived_Tables","Worth keeping",$C67="EU_Data","Static lookup tables — scripts still reference (smoke-test risk)",TRUE,"Review"),OR($A67="thg-influencer",$A67="thg-ingenuity",$A67="thg-central-marketing",$A67="thg-seoclarity"),"HOLD — Charlie Stringer to review before deletion",TRUE,"")</f>
        <v/>
      </c>
      <c r="S67" t="s">
        <v>1624</v>
      </c>
    </row>
    <row r="68" spans="1:19" ht="30.75" hidden="1">
      <c r="A68" t="s">
        <v>90</v>
      </c>
      <c r="B68" t="s">
        <v>1619</v>
      </c>
      <c r="C68" t="s">
        <v>1808</v>
      </c>
      <c r="D68" s="2" t="s">
        <v>1621</v>
      </c>
      <c r="E68">
        <v>9.69</v>
      </c>
      <c r="F68">
        <v>0.19</v>
      </c>
      <c r="G68" t="s">
        <v>79</v>
      </c>
      <c r="H68" t="s">
        <v>81</v>
      </c>
      <c r="I68">
        <v>56</v>
      </c>
      <c r="J68">
        <v>358</v>
      </c>
      <c r="K68" s="5">
        <v>46141.388265347217</v>
      </c>
      <c r="M68" s="2" t="s">
        <v>1809</v>
      </c>
      <c r="N68" s="2" t="s">
        <v>1701</v>
      </c>
      <c r="O68" s="5">
        <v>45839.01049857639</v>
      </c>
      <c r="P68" t="str">
        <f>IF($Q68="DELETE",IF($S68="CONFIRMED: NO MODS &gt; 1YR","CONFIRMED: NO MODS &gt; 1YR","DO NOT DELETE — not defensibly confirmed"),IF($Q68="HOLD","DO NOT DELETE — HOLD (Charlie review)",IF($Q68="KEEP","DO NOT DELETE — KEEP",IF(ISNUMBER(SEARCH("REVIEW",$Q68)),"DO NOT DELETE — REVIEW pending",$S68))))</f>
        <v>CONFIRMED: NO MODS &gt; 1YR</v>
      </c>
      <c r="Q68" t="str" cm="1">
        <f t="array" ref="Q68">_xlfn.IFS(AND($A68="thg-beauty",ISNUMBER(SEARCH("liveramp",$C68))),"DELETE",$A68="agile-bonbon-662",_xlfn.IFS(LEFT($G68,9)="Tranche 1","DELETE",$C68="Sessions_Level_1_All_Sites","KEEP",ISNUMBER(--$C68),"REVIEW — UA raw logs",$C68="Emag_Reporting","KEEP",$C68="Nutrition_Data_Archived_Tables","KEEP",$C68="EU_Data","KEEP",TRUE,"REVIEW"),OR($A68="thg-influencer",$A68="thg-ingenuity",$A68="thg-central-marketing",$A68="thg-seoclarity"),"HOLD",TRUE,"")</f>
        <v/>
      </c>
      <c r="R68" t="str" cm="1">
        <f t="array" ref="R68">_xlfn.IFS(AND($A68="thg-beauty",ISNUMBER(SEARCH("liveramp",$C68))),"thg-beauty Liveramp dataset — confirmed safe to delete",$A68="agile-bonbon-662",_xlfn.IFS(LEFT($G68,9)="Tranche 1","Tranche 1: cleared",$C68="Sessions_Level_1_All_Sites","Downstream aggregation of UA raw logs — keep if raw tables go",ISNUMBER(--$C68),"UA raw site logs (account ID) — keep pending audit-retention check",$C68="Emag_Reporting","Legacy but likely needed",$C68="Nutrition_Data_Archived_Tables","Worth keeping",$C68="EU_Data","Static lookup tables — scripts still reference (smoke-test risk)",TRUE,"Review"),OR($A68="thg-influencer",$A68="thg-ingenuity",$A68="thg-central-marketing",$A68="thg-seoclarity"),"HOLD — Charlie Stringer to review before deletion",TRUE,"")</f>
        <v/>
      </c>
      <c r="S68" t="s">
        <v>1624</v>
      </c>
    </row>
    <row r="69" spans="1:19" hidden="1">
      <c r="A69" t="s">
        <v>91</v>
      </c>
      <c r="B69" t="s">
        <v>1619</v>
      </c>
      <c r="C69" t="s">
        <v>1810</v>
      </c>
      <c r="D69" s="2" t="s">
        <v>1621</v>
      </c>
      <c r="E69">
        <v>5.88</v>
      </c>
      <c r="F69">
        <v>0.12</v>
      </c>
      <c r="G69" t="s">
        <v>79</v>
      </c>
      <c r="H69" t="s">
        <v>81</v>
      </c>
      <c r="I69">
        <v>56</v>
      </c>
      <c r="J69">
        <v>256</v>
      </c>
      <c r="K69" s="5">
        <v>46141.414793032411</v>
      </c>
      <c r="M69" s="2" t="s">
        <v>1802</v>
      </c>
      <c r="N69" s="2" t="s">
        <v>1701</v>
      </c>
      <c r="O69" s="5">
        <v>45940.567692418983</v>
      </c>
      <c r="P69" t="str">
        <f>IF($Q69="DELETE",IF($S69="CONFIRMED: NO MODS &gt; 1YR","CONFIRMED: NO MODS &gt; 1YR","DO NOT DELETE — not defensibly confirmed"),IF($Q69="HOLD","DO NOT DELETE — HOLD (Charlie review)",IF($Q69="KEEP","DO NOT DELETE — KEEP",IF(ISNUMBER(SEARCH("REVIEW",$Q69)),"DO NOT DELETE — REVIEW pending",$S69))))</f>
        <v>CONFIRMED: NO MODS &gt; 1YR</v>
      </c>
      <c r="Q69" t="str" cm="1">
        <f t="array" ref="Q69">_xlfn.IFS(AND($A69="thg-beauty",ISNUMBER(SEARCH("liveramp",$C69))),"DELETE",$A69="agile-bonbon-662",_xlfn.IFS(LEFT($G69,9)="Tranche 1","DELETE",$C69="Sessions_Level_1_All_Sites","KEEP",ISNUMBER(--$C69),"REVIEW — UA raw logs",$C69="Emag_Reporting","KEEP",$C69="Nutrition_Data_Archived_Tables","KEEP",$C69="EU_Data","KEEP",TRUE,"REVIEW"),OR($A69="thg-influencer",$A69="thg-ingenuity",$A69="thg-central-marketing",$A69="thg-seoclarity"),"HOLD",TRUE,"")</f>
        <v/>
      </c>
      <c r="R69" t="str" cm="1">
        <f t="array" ref="R69">_xlfn.IFS(AND($A69="thg-beauty",ISNUMBER(SEARCH("liveramp",$C69))),"thg-beauty Liveramp dataset — confirmed safe to delete",$A69="agile-bonbon-662",_xlfn.IFS(LEFT($G69,9)="Tranche 1","Tranche 1: cleared",$C69="Sessions_Level_1_All_Sites","Downstream aggregation of UA raw logs — keep if raw tables go",ISNUMBER(--$C69),"UA raw site logs (account ID) — keep pending audit-retention check",$C69="Emag_Reporting","Legacy but likely needed",$C69="Nutrition_Data_Archived_Tables","Worth keeping",$C69="EU_Data","Static lookup tables — scripts still reference (smoke-test risk)",TRUE,"Review"),OR($A69="thg-influencer",$A69="thg-ingenuity",$A69="thg-central-marketing",$A69="thg-seoclarity"),"HOLD — Charlie Stringer to review before deletion",TRUE,"")</f>
        <v/>
      </c>
      <c r="S69" t="s">
        <v>1624</v>
      </c>
    </row>
    <row r="70" spans="1:19" ht="30.75" hidden="1">
      <c r="A70" t="s">
        <v>91</v>
      </c>
      <c r="B70" t="s">
        <v>1619</v>
      </c>
      <c r="C70" t="s">
        <v>1811</v>
      </c>
      <c r="D70" s="2" t="s">
        <v>1621</v>
      </c>
      <c r="E70">
        <v>2.44</v>
      </c>
      <c r="F70">
        <v>0.05</v>
      </c>
      <c r="G70" t="s">
        <v>79</v>
      </c>
      <c r="H70" t="s">
        <v>81</v>
      </c>
      <c r="I70">
        <v>56</v>
      </c>
      <c r="J70">
        <v>298</v>
      </c>
      <c r="K70" s="5">
        <v>46141.414326863429</v>
      </c>
      <c r="M70" s="2" t="s">
        <v>1812</v>
      </c>
      <c r="N70" s="2" t="s">
        <v>1701</v>
      </c>
      <c r="O70" s="5">
        <v>45898.560381435193</v>
      </c>
      <c r="P70" t="str">
        <f>IF($Q70="DELETE",IF($S70="CONFIRMED: NO MODS &gt; 1YR","CONFIRMED: NO MODS &gt; 1YR","DO NOT DELETE — not defensibly confirmed"),IF($Q70="HOLD","DO NOT DELETE — HOLD (Charlie review)",IF($Q70="KEEP","DO NOT DELETE — KEEP",IF(ISNUMBER(SEARCH("REVIEW",$Q70)),"DO NOT DELETE — REVIEW pending",$S70))))</f>
        <v>CONFIRMED: NO MODS &gt; 1YR</v>
      </c>
      <c r="Q70" t="str" cm="1">
        <f t="array" ref="Q70">_xlfn.IFS(AND($A70="thg-beauty",ISNUMBER(SEARCH("liveramp",$C70))),"DELETE",$A70="agile-bonbon-662",_xlfn.IFS(LEFT($G70,9)="Tranche 1","DELETE",$C70="Sessions_Level_1_All_Sites","KEEP",ISNUMBER(--$C70),"REVIEW — UA raw logs",$C70="Emag_Reporting","KEEP",$C70="Nutrition_Data_Archived_Tables","KEEP",$C70="EU_Data","KEEP",TRUE,"REVIEW"),OR($A70="thg-influencer",$A70="thg-ingenuity",$A70="thg-central-marketing",$A70="thg-seoclarity"),"HOLD",TRUE,"")</f>
        <v/>
      </c>
      <c r="R70" t="str" cm="1">
        <f t="array" ref="R70">_xlfn.IFS(AND($A70="thg-beauty",ISNUMBER(SEARCH("liveramp",$C70))),"thg-beauty Liveramp dataset — confirmed safe to delete",$A70="agile-bonbon-662",_xlfn.IFS(LEFT($G70,9)="Tranche 1","Tranche 1: cleared",$C70="Sessions_Level_1_All_Sites","Downstream aggregation of UA raw logs — keep if raw tables go",ISNUMBER(--$C70),"UA raw site logs (account ID) — keep pending audit-retention check",$C70="Emag_Reporting","Legacy but likely needed",$C70="Nutrition_Data_Archived_Tables","Worth keeping",$C70="EU_Data","Static lookup tables — scripts still reference (smoke-test risk)",TRUE,"Review"),OR($A70="thg-influencer",$A70="thg-ingenuity",$A70="thg-central-marketing",$A70="thg-seoclarity"),"HOLD — Charlie Stringer to review before deletion",TRUE,"")</f>
        <v/>
      </c>
      <c r="S70" t="s">
        <v>1624</v>
      </c>
    </row>
    <row r="71" spans="1:19" hidden="1">
      <c r="A71" t="s">
        <v>90</v>
      </c>
      <c r="B71" t="s">
        <v>1619</v>
      </c>
      <c r="C71" t="s">
        <v>1813</v>
      </c>
      <c r="D71" s="2" t="s">
        <v>1621</v>
      </c>
      <c r="E71">
        <v>1.2</v>
      </c>
      <c r="F71">
        <v>0.02</v>
      </c>
      <c r="G71" t="s">
        <v>79</v>
      </c>
      <c r="H71" t="s">
        <v>81</v>
      </c>
      <c r="I71">
        <v>56</v>
      </c>
      <c r="J71">
        <v>301</v>
      </c>
      <c r="K71" s="5">
        <v>46141.387187280103</v>
      </c>
      <c r="M71" s="2" t="s">
        <v>1807</v>
      </c>
      <c r="N71" s="2" t="s">
        <v>1701</v>
      </c>
      <c r="O71" s="5">
        <v>45896.125064178239</v>
      </c>
      <c r="P71" t="str">
        <f>IF($Q71="DELETE",IF($S71="CONFIRMED: NO MODS &gt; 1YR","CONFIRMED: NO MODS &gt; 1YR","DO NOT DELETE — not defensibly confirmed"),IF($Q71="HOLD","DO NOT DELETE — HOLD (Charlie review)",IF($Q71="KEEP","DO NOT DELETE — KEEP",IF(ISNUMBER(SEARCH("REVIEW",$Q71)),"DO NOT DELETE — REVIEW pending",$S71))))</f>
        <v>CONFIRMED: NO MODS &gt; 1YR</v>
      </c>
      <c r="Q71" t="str" cm="1">
        <f t="array" ref="Q71">_xlfn.IFS(AND($A71="thg-beauty",ISNUMBER(SEARCH("liveramp",$C71))),"DELETE",$A71="agile-bonbon-662",_xlfn.IFS(LEFT($G71,9)="Tranche 1","DELETE",$C71="Sessions_Level_1_All_Sites","KEEP",ISNUMBER(--$C71),"REVIEW — UA raw logs",$C71="Emag_Reporting","KEEP",$C71="Nutrition_Data_Archived_Tables","KEEP",$C71="EU_Data","KEEP",TRUE,"REVIEW"),OR($A71="thg-influencer",$A71="thg-ingenuity",$A71="thg-central-marketing",$A71="thg-seoclarity"),"HOLD",TRUE,"")</f>
        <v/>
      </c>
      <c r="R71" t="str" cm="1">
        <f t="array" ref="R71">_xlfn.IFS(AND($A71="thg-beauty",ISNUMBER(SEARCH("liveramp",$C71))),"thg-beauty Liveramp dataset — confirmed safe to delete",$A71="agile-bonbon-662",_xlfn.IFS(LEFT($G71,9)="Tranche 1","Tranche 1: cleared",$C71="Sessions_Level_1_All_Sites","Downstream aggregation of UA raw logs — keep if raw tables go",ISNUMBER(--$C71),"UA raw site logs (account ID) — keep pending audit-retention check",$C71="Emag_Reporting","Legacy but likely needed",$C71="Nutrition_Data_Archived_Tables","Worth keeping",$C71="EU_Data","Static lookup tables — scripts still reference (smoke-test risk)",TRUE,"Review"),OR($A71="thg-influencer",$A71="thg-ingenuity",$A71="thg-central-marketing",$A71="thg-seoclarity"),"HOLD — Charlie Stringer to review before deletion",TRUE,"")</f>
        <v/>
      </c>
      <c r="S71" t="s">
        <v>1624</v>
      </c>
    </row>
    <row r="72" spans="1:19" hidden="1">
      <c r="A72" t="s">
        <v>91</v>
      </c>
      <c r="B72" t="s">
        <v>1619</v>
      </c>
      <c r="C72" t="s">
        <v>1814</v>
      </c>
      <c r="D72" s="2" t="s">
        <v>1621</v>
      </c>
      <c r="E72">
        <v>0.52</v>
      </c>
      <c r="F72">
        <v>0.01</v>
      </c>
      <c r="G72" t="s">
        <v>79</v>
      </c>
      <c r="H72" t="s">
        <v>81</v>
      </c>
      <c r="I72">
        <v>56</v>
      </c>
      <c r="J72">
        <v>201</v>
      </c>
      <c r="K72" s="5">
        <v>46141.414377789362</v>
      </c>
      <c r="M72" s="2" t="s">
        <v>1815</v>
      </c>
      <c r="N72" s="2" t="s">
        <v>1701</v>
      </c>
      <c r="O72" s="5">
        <v>45995.479398611111</v>
      </c>
      <c r="P72" t="str">
        <f>IF($Q72="DELETE",IF($S72="CONFIRMED: NO MODS &gt; 1YR","CONFIRMED: NO MODS &gt; 1YR","DO NOT DELETE — not defensibly confirmed"),IF($Q72="HOLD","DO NOT DELETE — HOLD (Charlie review)",IF($Q72="KEEP","DO NOT DELETE — KEEP",IF(ISNUMBER(SEARCH("REVIEW",$Q72)),"DO NOT DELETE — REVIEW pending",$S72))))</f>
        <v>CONFIRMED: NO MODS &gt; 1YR</v>
      </c>
      <c r="Q72" t="str" cm="1">
        <f t="array" ref="Q72">_xlfn.IFS(AND($A72="thg-beauty",ISNUMBER(SEARCH("liveramp",$C72))),"DELETE",$A72="agile-bonbon-662",_xlfn.IFS(LEFT($G72,9)="Tranche 1","DELETE",$C72="Sessions_Level_1_All_Sites","KEEP",ISNUMBER(--$C72),"REVIEW — UA raw logs",$C72="Emag_Reporting","KEEP",$C72="Nutrition_Data_Archived_Tables","KEEP",$C72="EU_Data","KEEP",TRUE,"REVIEW"),OR($A72="thg-influencer",$A72="thg-ingenuity",$A72="thg-central-marketing",$A72="thg-seoclarity"),"HOLD",TRUE,"")</f>
        <v/>
      </c>
      <c r="R72" t="str" cm="1">
        <f t="array" ref="R72">_xlfn.IFS(AND($A72="thg-beauty",ISNUMBER(SEARCH("liveramp",$C72))),"thg-beauty Liveramp dataset — confirmed safe to delete",$A72="agile-bonbon-662",_xlfn.IFS(LEFT($G72,9)="Tranche 1","Tranche 1: cleared",$C72="Sessions_Level_1_All_Sites","Downstream aggregation of UA raw logs — keep if raw tables go",ISNUMBER(--$C72),"UA raw site logs (account ID) — keep pending audit-retention check",$C72="Emag_Reporting","Legacy but likely needed",$C72="Nutrition_Data_Archived_Tables","Worth keeping",$C72="EU_Data","Static lookup tables — scripts still reference (smoke-test risk)",TRUE,"Review"),OR($A72="thg-influencer",$A72="thg-ingenuity",$A72="thg-central-marketing",$A72="thg-seoclarity"),"HOLD — Charlie Stringer to review before deletion",TRUE,"")</f>
        <v/>
      </c>
      <c r="S72" t="s">
        <v>1624</v>
      </c>
    </row>
    <row r="73" spans="1:19" hidden="1">
      <c r="A73" t="s">
        <v>91</v>
      </c>
      <c r="B73" t="s">
        <v>1619</v>
      </c>
      <c r="C73" t="s">
        <v>1816</v>
      </c>
      <c r="D73" s="2" t="s">
        <v>1621</v>
      </c>
      <c r="E73">
        <v>0.05</v>
      </c>
      <c r="F73">
        <v>0</v>
      </c>
      <c r="G73" t="s">
        <v>79</v>
      </c>
      <c r="H73" t="s">
        <v>81</v>
      </c>
      <c r="I73">
        <v>56</v>
      </c>
      <c r="J73">
        <v>58</v>
      </c>
      <c r="K73" s="5">
        <v>46141.414608252308</v>
      </c>
      <c r="M73" s="2" t="s">
        <v>1802</v>
      </c>
      <c r="N73" s="2" t="s">
        <v>1701</v>
      </c>
      <c r="O73" s="5">
        <v>46139.289277337957</v>
      </c>
      <c r="P73" t="str">
        <f>IF($Q73="DELETE",IF($S73="CONFIRMED: NO MODS &gt; 1YR","CONFIRMED: NO MODS &gt; 1YR","DO NOT DELETE — not defensibly confirmed"),IF($Q73="HOLD","DO NOT DELETE — HOLD (Charlie review)",IF($Q73="KEEP","DO NOT DELETE — KEEP",IF(ISNUMBER(SEARCH("REVIEW",$Q73)),"DO NOT DELETE — REVIEW pending",$S73))))</f>
        <v>CONFIRMED: NO MODS &gt; 1YR</v>
      </c>
      <c r="Q73" t="str" cm="1">
        <f t="array" ref="Q73">_xlfn.IFS(AND($A73="thg-beauty",ISNUMBER(SEARCH("liveramp",$C73))),"DELETE",$A73="agile-bonbon-662",_xlfn.IFS(LEFT($G73,9)="Tranche 1","DELETE",$C73="Sessions_Level_1_All_Sites","KEEP",ISNUMBER(--$C73),"REVIEW — UA raw logs",$C73="Emag_Reporting","KEEP",$C73="Nutrition_Data_Archived_Tables","KEEP",$C73="EU_Data","KEEP",TRUE,"REVIEW"),OR($A73="thg-influencer",$A73="thg-ingenuity",$A73="thg-central-marketing",$A73="thg-seoclarity"),"HOLD",TRUE,"")</f>
        <v/>
      </c>
      <c r="R73" t="str" cm="1">
        <f t="array" ref="R73">_xlfn.IFS(AND($A73="thg-beauty",ISNUMBER(SEARCH("liveramp",$C73))),"thg-beauty Liveramp dataset — confirmed safe to delete",$A73="agile-bonbon-662",_xlfn.IFS(LEFT($G73,9)="Tranche 1","Tranche 1: cleared",$C73="Sessions_Level_1_All_Sites","Downstream aggregation of UA raw logs — keep if raw tables go",ISNUMBER(--$C73),"UA raw site logs (account ID) — keep pending audit-retention check",$C73="Emag_Reporting","Legacy but likely needed",$C73="Nutrition_Data_Archived_Tables","Worth keeping",$C73="EU_Data","Static lookup tables — scripts still reference (smoke-test risk)",TRUE,"Review"),OR($A73="thg-influencer",$A73="thg-ingenuity",$A73="thg-central-marketing",$A73="thg-seoclarity"),"HOLD — Charlie Stringer to review before deletion",TRUE,"")</f>
        <v/>
      </c>
      <c r="S73" t="s">
        <v>1624</v>
      </c>
    </row>
    <row r="74" spans="1:19" hidden="1">
      <c r="A74" t="s">
        <v>91</v>
      </c>
      <c r="B74" t="s">
        <v>1619</v>
      </c>
      <c r="C74" t="s">
        <v>1817</v>
      </c>
      <c r="D74" s="2" t="s">
        <v>1621</v>
      </c>
      <c r="E74">
        <v>0.01</v>
      </c>
      <c r="F74">
        <v>0</v>
      </c>
      <c r="G74" t="s">
        <v>79</v>
      </c>
      <c r="H74" t="s">
        <v>81</v>
      </c>
      <c r="I74">
        <v>56</v>
      </c>
      <c r="J74">
        <v>259</v>
      </c>
      <c r="K74" s="5">
        <v>46141.414421562498</v>
      </c>
      <c r="M74" s="2" t="s">
        <v>1815</v>
      </c>
      <c r="N74" s="2" t="s">
        <v>1701</v>
      </c>
      <c r="O74" s="5">
        <v>45938.387056701387</v>
      </c>
      <c r="P74" t="str">
        <f>IF($Q74="DELETE",IF($S74="CONFIRMED: NO MODS &gt; 1YR","CONFIRMED: NO MODS &gt; 1YR","DO NOT DELETE — not defensibly confirmed"),IF($Q74="HOLD","DO NOT DELETE — HOLD (Charlie review)",IF($Q74="KEEP","DO NOT DELETE — KEEP",IF(ISNUMBER(SEARCH("REVIEW",$Q74)),"DO NOT DELETE — REVIEW pending",$S74))))</f>
        <v>CONFIRMED: NO MODS &gt; 1YR</v>
      </c>
      <c r="Q74" t="str" cm="1">
        <f t="array" ref="Q74">_xlfn.IFS(AND($A74="thg-beauty",ISNUMBER(SEARCH("liveramp",$C74))),"DELETE",$A74="agile-bonbon-662",_xlfn.IFS(LEFT($G74,9)="Tranche 1","DELETE",$C74="Sessions_Level_1_All_Sites","KEEP",ISNUMBER(--$C74),"REVIEW — UA raw logs",$C74="Emag_Reporting","KEEP",$C74="Nutrition_Data_Archived_Tables","KEEP",$C74="EU_Data","KEEP",TRUE,"REVIEW"),OR($A74="thg-influencer",$A74="thg-ingenuity",$A74="thg-central-marketing",$A74="thg-seoclarity"),"HOLD",TRUE,"")</f>
        <v/>
      </c>
      <c r="R74" t="str" cm="1">
        <f t="array" ref="R74">_xlfn.IFS(AND($A74="thg-beauty",ISNUMBER(SEARCH("liveramp",$C74))),"thg-beauty Liveramp dataset — confirmed safe to delete",$A74="agile-bonbon-662",_xlfn.IFS(LEFT($G74,9)="Tranche 1","Tranche 1: cleared",$C74="Sessions_Level_1_All_Sites","Downstream aggregation of UA raw logs — keep if raw tables go",ISNUMBER(--$C74),"UA raw site logs (account ID) — keep pending audit-retention check",$C74="Emag_Reporting","Legacy but likely needed",$C74="Nutrition_Data_Archived_Tables","Worth keeping",$C74="EU_Data","Static lookup tables — scripts still reference (smoke-test risk)",TRUE,"Review"),OR($A74="thg-influencer",$A74="thg-ingenuity",$A74="thg-central-marketing",$A74="thg-seoclarity"),"HOLD — Charlie Stringer to review before deletion",TRUE,"")</f>
        <v/>
      </c>
      <c r="S74" t="s">
        <v>1624</v>
      </c>
    </row>
    <row r="75" spans="1:19" hidden="1">
      <c r="A75" t="s">
        <v>90</v>
      </c>
      <c r="B75" t="s">
        <v>1724</v>
      </c>
      <c r="C75" t="s">
        <v>1818</v>
      </c>
      <c r="D75" s="2" t="s">
        <v>1621</v>
      </c>
      <c r="E75">
        <v>0</v>
      </c>
      <c r="F75">
        <v>0</v>
      </c>
      <c r="G75" t="s">
        <v>79</v>
      </c>
      <c r="H75" t="s">
        <v>81</v>
      </c>
      <c r="I75">
        <v>56</v>
      </c>
      <c r="J75">
        <v>187</v>
      </c>
      <c r="K75" s="5">
        <v>46141.387723541673</v>
      </c>
      <c r="M75" s="2" t="s">
        <v>1800</v>
      </c>
      <c r="N75" s="2" t="s">
        <v>1701</v>
      </c>
      <c r="O75" s="5">
        <v>46009.489132465278</v>
      </c>
      <c r="P75" t="str">
        <f>IF($Q75="DELETE",IF($S75="CONFIRMED: NO MODS &gt; 1YR","CONFIRMED: NO MODS &gt; 1YR","DO NOT DELETE — not defensibly confirmed"),IF($Q75="HOLD","DO NOT DELETE — HOLD (Charlie review)",IF($Q75="KEEP","DO NOT DELETE — KEEP",IF(ISNUMBER(SEARCH("REVIEW",$Q75)),"DO NOT DELETE — REVIEW pending",$S75))))</f>
        <v>CONFIRMED: NO MODS &gt; 1YR</v>
      </c>
      <c r="Q75" t="str" cm="1">
        <f t="array" ref="Q75">_xlfn.IFS(AND($A75="thg-beauty",ISNUMBER(SEARCH("liveramp",$C75))),"DELETE",$A75="agile-bonbon-662",_xlfn.IFS(LEFT($G75,9)="Tranche 1","DELETE",$C75="Sessions_Level_1_All_Sites","KEEP",ISNUMBER(--$C75),"REVIEW — UA raw logs",$C75="Emag_Reporting","KEEP",$C75="Nutrition_Data_Archived_Tables","KEEP",$C75="EU_Data","KEEP",TRUE,"REVIEW"),OR($A75="thg-influencer",$A75="thg-ingenuity",$A75="thg-central-marketing",$A75="thg-seoclarity"),"HOLD",TRUE,"")</f>
        <v/>
      </c>
      <c r="R75" t="str" cm="1">
        <f t="array" ref="R75">_xlfn.IFS(AND($A75="thg-beauty",ISNUMBER(SEARCH("liveramp",$C75))),"thg-beauty Liveramp dataset — confirmed safe to delete",$A75="agile-bonbon-662",_xlfn.IFS(LEFT($G75,9)="Tranche 1","Tranche 1: cleared",$C75="Sessions_Level_1_All_Sites","Downstream aggregation of UA raw logs — keep if raw tables go",ISNUMBER(--$C75),"UA raw site logs (account ID) — keep pending audit-retention check",$C75="Emag_Reporting","Legacy but likely needed",$C75="Nutrition_Data_Archived_Tables","Worth keeping",$C75="EU_Data","Static lookup tables — scripts still reference (smoke-test risk)",TRUE,"Review"),OR($A75="thg-influencer",$A75="thg-ingenuity",$A75="thg-central-marketing",$A75="thg-seoclarity"),"HOLD — Charlie Stringer to review before deletion",TRUE,"")</f>
        <v/>
      </c>
      <c r="S75" t="s">
        <v>1624</v>
      </c>
    </row>
    <row r="76" spans="1:19" hidden="1">
      <c r="A76" t="s">
        <v>90</v>
      </c>
      <c r="B76" t="s">
        <v>1619</v>
      </c>
      <c r="C76" t="s">
        <v>1819</v>
      </c>
      <c r="D76" s="2" t="s">
        <v>1621</v>
      </c>
      <c r="E76">
        <v>0</v>
      </c>
      <c r="F76">
        <v>0</v>
      </c>
      <c r="G76" t="s">
        <v>79</v>
      </c>
      <c r="H76" t="s">
        <v>81</v>
      </c>
      <c r="I76">
        <v>56</v>
      </c>
      <c r="K76" s="5">
        <v>46141.387460740742</v>
      </c>
      <c r="M76" s="2" t="s">
        <v>1807</v>
      </c>
      <c r="N76" s="2" t="s">
        <v>1701</v>
      </c>
      <c r="P76" t="str">
        <f>IF($Q76="DELETE",IF($S76="CONFIRMED: NO MODS &gt; 1YR","CONFIRMED: NO MODS &gt; 1YR","DO NOT DELETE — not defensibly confirmed"),IF($Q76="HOLD","DO NOT DELETE — HOLD (Charlie review)",IF($Q76="KEEP","DO NOT DELETE — KEEP",IF(ISNUMBER(SEARCH("REVIEW",$Q76)),"DO NOT DELETE — REVIEW pending",$S76))))</f>
        <v>REVIEW</v>
      </c>
      <c r="Q76" t="str" cm="1">
        <f t="array" ref="Q76">_xlfn.IFS(AND($A76="thg-beauty",ISNUMBER(SEARCH("liveramp",$C76))),"DELETE",$A76="agile-bonbon-662",_xlfn.IFS(LEFT($G76,9)="Tranche 1","DELETE",$C76="Sessions_Level_1_All_Sites","KEEP",ISNUMBER(--$C76),"REVIEW — UA raw logs",$C76="Emag_Reporting","KEEP",$C76="Nutrition_Data_Archived_Tables","KEEP",$C76="EU_Data","KEEP",TRUE,"REVIEW"),OR($A76="thg-influencer",$A76="thg-ingenuity",$A76="thg-central-marketing",$A76="thg-seoclarity"),"HOLD",TRUE,"")</f>
        <v/>
      </c>
      <c r="R76" t="str" cm="1">
        <f t="array" ref="R76">_xlfn.IFS(AND($A76="thg-beauty",ISNUMBER(SEARCH("liveramp",$C76))),"thg-beauty Liveramp dataset — confirmed safe to delete",$A76="agile-bonbon-662",_xlfn.IFS(LEFT($G76,9)="Tranche 1","Tranche 1: cleared",$C76="Sessions_Level_1_All_Sites","Downstream aggregation of UA raw logs — keep if raw tables go",ISNUMBER(--$C76),"UA raw site logs (account ID) — keep pending audit-retention check",$C76="Emag_Reporting","Legacy but likely needed",$C76="Nutrition_Data_Archived_Tables","Worth keeping",$C76="EU_Data","Static lookup tables — scripts still reference (smoke-test risk)",TRUE,"Review"),OR($A76="thg-influencer",$A76="thg-ingenuity",$A76="thg-central-marketing",$A76="thg-seoclarity"),"HOLD — Charlie Stringer to review before deletion",TRUE,"")</f>
        <v/>
      </c>
      <c r="S76" t="s">
        <v>1631</v>
      </c>
    </row>
    <row r="77" spans="1:19" hidden="1">
      <c r="A77" t="s">
        <v>90</v>
      </c>
      <c r="B77" t="s">
        <v>1619</v>
      </c>
      <c r="C77" t="s">
        <v>1820</v>
      </c>
      <c r="D77" s="2" t="s">
        <v>1621</v>
      </c>
      <c r="E77">
        <v>0</v>
      </c>
      <c r="F77">
        <v>0</v>
      </c>
      <c r="G77" t="s">
        <v>79</v>
      </c>
      <c r="H77" t="s">
        <v>81</v>
      </c>
      <c r="I77">
        <v>56</v>
      </c>
      <c r="K77" s="5">
        <v>46141.388100312499</v>
      </c>
      <c r="M77" s="2" t="s">
        <v>1800</v>
      </c>
      <c r="N77" s="2" t="s">
        <v>1701</v>
      </c>
      <c r="P77" t="str">
        <f>IF($Q77="DELETE",IF($S77="CONFIRMED: NO MODS &gt; 1YR","CONFIRMED: NO MODS &gt; 1YR","DO NOT DELETE — not defensibly confirmed"),IF($Q77="HOLD","DO NOT DELETE — HOLD (Charlie review)",IF($Q77="KEEP","DO NOT DELETE — KEEP",IF(ISNUMBER(SEARCH("REVIEW",$Q77)),"DO NOT DELETE — REVIEW pending",$S77))))</f>
        <v>CONFIRMED: NO MODS &gt; 1YR</v>
      </c>
      <c r="Q77" t="str" cm="1">
        <f t="array" ref="Q77">_xlfn.IFS(AND($A77="thg-beauty",ISNUMBER(SEARCH("liveramp",$C77))),"DELETE",$A77="agile-bonbon-662",_xlfn.IFS(LEFT($G77,9)="Tranche 1","DELETE",$C77="Sessions_Level_1_All_Sites","KEEP",ISNUMBER(--$C77),"REVIEW — UA raw logs",$C77="Emag_Reporting","KEEP",$C77="Nutrition_Data_Archived_Tables","KEEP",$C77="EU_Data","KEEP",TRUE,"REVIEW"),OR($A77="thg-influencer",$A77="thg-ingenuity",$A77="thg-central-marketing",$A77="thg-seoclarity"),"HOLD",TRUE,"")</f>
        <v/>
      </c>
      <c r="R77" t="str" cm="1">
        <f t="array" ref="R77">_xlfn.IFS(AND($A77="thg-beauty",ISNUMBER(SEARCH("liveramp",$C77))),"thg-beauty Liveramp dataset — confirmed safe to delete",$A77="agile-bonbon-662",_xlfn.IFS(LEFT($G77,9)="Tranche 1","Tranche 1: cleared",$C77="Sessions_Level_1_All_Sites","Downstream aggregation of UA raw logs — keep if raw tables go",ISNUMBER(--$C77),"UA raw site logs (account ID) — keep pending audit-retention check",$C77="Emag_Reporting","Legacy but likely needed",$C77="Nutrition_Data_Archived_Tables","Worth keeping",$C77="EU_Data","Static lookup tables — scripts still reference (smoke-test risk)",TRUE,"Review"),OR($A77="thg-influencer",$A77="thg-ingenuity",$A77="thg-central-marketing",$A77="thg-seoclarity"),"HOLD — Charlie Stringer to review before deletion",TRUE,"")</f>
        <v/>
      </c>
      <c r="S77" t="s">
        <v>1624</v>
      </c>
    </row>
    <row r="78" spans="1:19" ht="76.5" hidden="1">
      <c r="A78" t="s">
        <v>90</v>
      </c>
      <c r="B78" t="s">
        <v>1619</v>
      </c>
      <c r="C78" t="s">
        <v>1821</v>
      </c>
      <c r="D78" s="2" t="s">
        <v>1621</v>
      </c>
      <c r="E78">
        <v>0</v>
      </c>
      <c r="F78">
        <v>0</v>
      </c>
      <c r="G78" t="s">
        <v>79</v>
      </c>
      <c r="H78" t="s">
        <v>81</v>
      </c>
      <c r="I78">
        <v>56</v>
      </c>
      <c r="J78">
        <v>315</v>
      </c>
      <c r="K78" s="5">
        <v>46141.388058171287</v>
      </c>
      <c r="M78" s="2" t="s">
        <v>1822</v>
      </c>
      <c r="N78" s="2" t="s">
        <v>1701</v>
      </c>
      <c r="O78" s="5">
        <v>45882.4320553125</v>
      </c>
      <c r="P78" t="str">
        <f>IF($Q78="DELETE",IF($S78="CONFIRMED: NO MODS &gt; 1YR","CONFIRMED: NO MODS &gt; 1YR","DO NOT DELETE — not defensibly confirmed"),IF($Q78="HOLD","DO NOT DELETE — HOLD (Charlie review)",IF($Q78="KEEP","DO NOT DELETE — KEEP",IF(ISNUMBER(SEARCH("REVIEW",$Q78)),"DO NOT DELETE — REVIEW pending",$S78))))</f>
        <v>CONFIRMED: NO MODS &gt; 1YR</v>
      </c>
      <c r="Q78" t="str" cm="1">
        <f t="array" ref="Q78">_xlfn.IFS(AND($A78="thg-beauty",ISNUMBER(SEARCH("liveramp",$C78))),"DELETE",$A78="agile-bonbon-662",_xlfn.IFS(LEFT($G78,9)="Tranche 1","DELETE",$C78="Sessions_Level_1_All_Sites","KEEP",ISNUMBER(--$C78),"REVIEW — UA raw logs",$C78="Emag_Reporting","KEEP",$C78="Nutrition_Data_Archived_Tables","KEEP",$C78="EU_Data","KEEP",TRUE,"REVIEW"),OR($A78="thg-influencer",$A78="thg-ingenuity",$A78="thg-central-marketing",$A78="thg-seoclarity"),"HOLD",TRUE,"")</f>
        <v/>
      </c>
      <c r="R78" t="str" cm="1">
        <f t="array" ref="R78">_xlfn.IFS(AND($A78="thg-beauty",ISNUMBER(SEARCH("liveramp",$C78))),"thg-beauty Liveramp dataset — confirmed safe to delete",$A78="agile-bonbon-662",_xlfn.IFS(LEFT($G78,9)="Tranche 1","Tranche 1: cleared",$C78="Sessions_Level_1_All_Sites","Downstream aggregation of UA raw logs — keep if raw tables go",ISNUMBER(--$C78),"UA raw site logs (account ID) — keep pending audit-retention check",$C78="Emag_Reporting","Legacy but likely needed",$C78="Nutrition_Data_Archived_Tables","Worth keeping",$C78="EU_Data","Static lookup tables — scripts still reference (smoke-test risk)",TRUE,"Review"),OR($A78="thg-influencer",$A78="thg-ingenuity",$A78="thg-central-marketing",$A78="thg-seoclarity"),"HOLD — Charlie Stringer to review before deletion",TRUE,"")</f>
        <v/>
      </c>
      <c r="S78" t="s">
        <v>1624</v>
      </c>
    </row>
    <row r="79" spans="1:19" hidden="1">
      <c r="A79" t="s">
        <v>90</v>
      </c>
      <c r="B79" t="s">
        <v>1619</v>
      </c>
      <c r="C79" t="s">
        <v>1823</v>
      </c>
      <c r="D79" s="2" t="s">
        <v>1621</v>
      </c>
      <c r="E79">
        <v>0</v>
      </c>
      <c r="F79">
        <v>0</v>
      </c>
      <c r="G79" t="s">
        <v>79</v>
      </c>
      <c r="H79" t="s">
        <v>81</v>
      </c>
      <c r="I79">
        <v>56</v>
      </c>
      <c r="K79" s="5">
        <v>46141.387659189822</v>
      </c>
      <c r="M79" s="2" t="s">
        <v>1800</v>
      </c>
      <c r="N79" s="2" t="s">
        <v>1701</v>
      </c>
      <c r="P79" t="str">
        <f>IF($Q79="DELETE",IF($S79="CONFIRMED: NO MODS &gt; 1YR","CONFIRMED: NO MODS &gt; 1YR","DO NOT DELETE — not defensibly confirmed"),IF($Q79="HOLD","DO NOT DELETE — HOLD (Charlie review)",IF($Q79="KEEP","DO NOT DELETE — KEEP",IF(ISNUMBER(SEARCH("REVIEW",$Q79)),"DO NOT DELETE — REVIEW pending",$S79))))</f>
        <v>CONFIRMED: NO MODS &gt; 1YR</v>
      </c>
      <c r="Q79" t="str" cm="1">
        <f t="array" ref="Q79">_xlfn.IFS(AND($A79="thg-beauty",ISNUMBER(SEARCH("liveramp",$C79))),"DELETE",$A79="agile-bonbon-662",_xlfn.IFS(LEFT($G79,9)="Tranche 1","DELETE",$C79="Sessions_Level_1_All_Sites","KEEP",ISNUMBER(--$C79),"REVIEW — UA raw logs",$C79="Emag_Reporting","KEEP",$C79="Nutrition_Data_Archived_Tables","KEEP",$C79="EU_Data","KEEP",TRUE,"REVIEW"),OR($A79="thg-influencer",$A79="thg-ingenuity",$A79="thg-central-marketing",$A79="thg-seoclarity"),"HOLD",TRUE,"")</f>
        <v/>
      </c>
      <c r="R79" t="str" cm="1">
        <f t="array" ref="R79">_xlfn.IFS(AND($A79="thg-beauty",ISNUMBER(SEARCH("liveramp",$C79))),"thg-beauty Liveramp dataset — confirmed safe to delete",$A79="agile-bonbon-662",_xlfn.IFS(LEFT($G79,9)="Tranche 1","Tranche 1: cleared",$C79="Sessions_Level_1_All_Sites","Downstream aggregation of UA raw logs — keep if raw tables go",ISNUMBER(--$C79),"UA raw site logs (account ID) — keep pending audit-retention check",$C79="Emag_Reporting","Legacy but likely needed",$C79="Nutrition_Data_Archived_Tables","Worth keeping",$C79="EU_Data","Static lookup tables — scripts still reference (smoke-test risk)",TRUE,"Review"),OR($A79="thg-influencer",$A79="thg-ingenuity",$A79="thg-central-marketing",$A79="thg-seoclarity"),"HOLD — Charlie Stringer to review before deletion",TRUE,"")</f>
        <v/>
      </c>
      <c r="S79" t="s">
        <v>1624</v>
      </c>
    </row>
    <row r="80" spans="1:19" hidden="1">
      <c r="A80" t="s">
        <v>90</v>
      </c>
      <c r="B80" t="s">
        <v>1619</v>
      </c>
      <c r="C80" t="s">
        <v>1824</v>
      </c>
      <c r="D80" s="2" t="s">
        <v>1621</v>
      </c>
      <c r="E80">
        <v>0</v>
      </c>
      <c r="F80">
        <v>0</v>
      </c>
      <c r="G80" t="s">
        <v>79</v>
      </c>
      <c r="H80" t="s">
        <v>81</v>
      </c>
      <c r="I80">
        <v>56</v>
      </c>
      <c r="K80" s="5">
        <v>46141.387873761567</v>
      </c>
      <c r="M80" s="2" t="s">
        <v>1800</v>
      </c>
      <c r="N80" s="2" t="s">
        <v>1701</v>
      </c>
      <c r="P80" t="str">
        <f>IF($Q80="DELETE",IF($S80="CONFIRMED: NO MODS &gt; 1YR","CONFIRMED: NO MODS &gt; 1YR","DO NOT DELETE — not defensibly confirmed"),IF($Q80="HOLD","DO NOT DELETE — HOLD (Charlie review)",IF($Q80="KEEP","DO NOT DELETE — KEEP",IF(ISNUMBER(SEARCH("REVIEW",$Q80)),"DO NOT DELETE — REVIEW pending",$S80))))</f>
        <v>CONFIRMED: NO MODS &gt; 1YR</v>
      </c>
      <c r="Q80" t="str" cm="1">
        <f t="array" ref="Q80">_xlfn.IFS(AND($A80="thg-beauty",ISNUMBER(SEARCH("liveramp",$C80))),"DELETE",$A80="agile-bonbon-662",_xlfn.IFS(LEFT($G80,9)="Tranche 1","DELETE",$C80="Sessions_Level_1_All_Sites","KEEP",ISNUMBER(--$C80),"REVIEW — UA raw logs",$C80="Emag_Reporting","KEEP",$C80="Nutrition_Data_Archived_Tables","KEEP",$C80="EU_Data","KEEP",TRUE,"REVIEW"),OR($A80="thg-influencer",$A80="thg-ingenuity",$A80="thg-central-marketing",$A80="thg-seoclarity"),"HOLD",TRUE,"")</f>
        <v/>
      </c>
      <c r="R80" t="str" cm="1">
        <f t="array" ref="R80">_xlfn.IFS(AND($A80="thg-beauty",ISNUMBER(SEARCH("liveramp",$C80))),"thg-beauty Liveramp dataset — confirmed safe to delete",$A80="agile-bonbon-662",_xlfn.IFS(LEFT($G80,9)="Tranche 1","Tranche 1: cleared",$C80="Sessions_Level_1_All_Sites","Downstream aggregation of UA raw logs — keep if raw tables go",ISNUMBER(--$C80),"UA raw site logs (account ID) — keep pending audit-retention check",$C80="Emag_Reporting","Legacy but likely needed",$C80="Nutrition_Data_Archived_Tables","Worth keeping",$C80="EU_Data","Static lookup tables — scripts still reference (smoke-test risk)",TRUE,"Review"),OR($A80="thg-influencer",$A80="thg-ingenuity",$A80="thg-central-marketing",$A80="thg-seoclarity"),"HOLD — Charlie Stringer to review before deletion",TRUE,"")</f>
        <v/>
      </c>
      <c r="S80" t="s">
        <v>1624</v>
      </c>
    </row>
    <row r="81" spans="1:19" hidden="1">
      <c r="A81" t="s">
        <v>90</v>
      </c>
      <c r="B81" t="s">
        <v>1619</v>
      </c>
      <c r="C81" t="s">
        <v>1825</v>
      </c>
      <c r="D81" s="2" t="s">
        <v>1621</v>
      </c>
      <c r="E81">
        <v>0</v>
      </c>
      <c r="F81">
        <v>0</v>
      </c>
      <c r="G81" t="s">
        <v>79</v>
      </c>
      <c r="H81" t="s">
        <v>81</v>
      </c>
      <c r="I81">
        <v>56</v>
      </c>
      <c r="K81" s="5">
        <v>46141.387508483793</v>
      </c>
      <c r="M81" s="2" t="s">
        <v>1800</v>
      </c>
      <c r="N81" s="2" t="s">
        <v>1701</v>
      </c>
      <c r="P81" t="str">
        <f>IF($Q81="DELETE",IF($S81="CONFIRMED: NO MODS &gt; 1YR","CONFIRMED: NO MODS &gt; 1YR","DO NOT DELETE — not defensibly confirmed"),IF($Q81="HOLD","DO NOT DELETE — HOLD (Charlie review)",IF($Q81="KEEP","DO NOT DELETE — KEEP",IF(ISNUMBER(SEARCH("REVIEW",$Q81)),"DO NOT DELETE — REVIEW pending",$S81))))</f>
        <v>CONFIRMED: NO MODS &gt; 1YR</v>
      </c>
      <c r="Q81" t="str" cm="1">
        <f t="array" ref="Q81">_xlfn.IFS(AND($A81="thg-beauty",ISNUMBER(SEARCH("liveramp",$C81))),"DELETE",$A81="agile-bonbon-662",_xlfn.IFS(LEFT($G81,9)="Tranche 1","DELETE",$C81="Sessions_Level_1_All_Sites","KEEP",ISNUMBER(--$C81),"REVIEW — UA raw logs",$C81="Emag_Reporting","KEEP",$C81="Nutrition_Data_Archived_Tables","KEEP",$C81="EU_Data","KEEP",TRUE,"REVIEW"),OR($A81="thg-influencer",$A81="thg-ingenuity",$A81="thg-central-marketing",$A81="thg-seoclarity"),"HOLD",TRUE,"")</f>
        <v/>
      </c>
      <c r="R81" t="str" cm="1">
        <f t="array" ref="R81">_xlfn.IFS(AND($A81="thg-beauty",ISNUMBER(SEARCH("liveramp",$C81))),"thg-beauty Liveramp dataset — confirmed safe to delete",$A81="agile-bonbon-662",_xlfn.IFS(LEFT($G81,9)="Tranche 1","Tranche 1: cleared",$C81="Sessions_Level_1_All_Sites","Downstream aggregation of UA raw logs — keep if raw tables go",ISNUMBER(--$C81),"UA raw site logs (account ID) — keep pending audit-retention check",$C81="Emag_Reporting","Legacy but likely needed",$C81="Nutrition_Data_Archived_Tables","Worth keeping",$C81="EU_Data","Static lookup tables — scripts still reference (smoke-test risk)",TRUE,"Review"),OR($A81="thg-influencer",$A81="thg-ingenuity",$A81="thg-central-marketing",$A81="thg-seoclarity"),"HOLD — Charlie Stringer to review before deletion",TRUE,"")</f>
        <v/>
      </c>
      <c r="S81" t="s">
        <v>1624</v>
      </c>
    </row>
    <row r="82" spans="1:19" hidden="1">
      <c r="A82" t="s">
        <v>90</v>
      </c>
      <c r="B82" t="s">
        <v>1619</v>
      </c>
      <c r="C82" t="s">
        <v>1826</v>
      </c>
      <c r="D82" s="2" t="s">
        <v>1621</v>
      </c>
      <c r="E82">
        <v>0</v>
      </c>
      <c r="F82">
        <v>0</v>
      </c>
      <c r="G82" t="s">
        <v>79</v>
      </c>
      <c r="H82" t="s">
        <v>81</v>
      </c>
      <c r="I82">
        <v>56</v>
      </c>
      <c r="K82" s="5">
        <v>46141.388011921299</v>
      </c>
      <c r="M82" s="2" t="s">
        <v>1800</v>
      </c>
      <c r="N82" s="2" t="s">
        <v>1701</v>
      </c>
      <c r="P82" t="str">
        <f>IF($Q82="DELETE",IF($S82="CONFIRMED: NO MODS &gt; 1YR","CONFIRMED: NO MODS &gt; 1YR","DO NOT DELETE — not defensibly confirmed"),IF($Q82="HOLD","DO NOT DELETE — HOLD (Charlie review)",IF($Q82="KEEP","DO NOT DELETE — KEEP",IF(ISNUMBER(SEARCH("REVIEW",$Q82)),"DO NOT DELETE — REVIEW pending",$S82))))</f>
        <v>CONFIRMED: NO MODS &gt; 1YR</v>
      </c>
      <c r="Q82" t="str" cm="1">
        <f t="array" ref="Q82">_xlfn.IFS(AND($A82="thg-beauty",ISNUMBER(SEARCH("liveramp",$C82))),"DELETE",$A82="agile-bonbon-662",_xlfn.IFS(LEFT($G82,9)="Tranche 1","DELETE",$C82="Sessions_Level_1_All_Sites","KEEP",ISNUMBER(--$C82),"REVIEW — UA raw logs",$C82="Emag_Reporting","KEEP",$C82="Nutrition_Data_Archived_Tables","KEEP",$C82="EU_Data","KEEP",TRUE,"REVIEW"),OR($A82="thg-influencer",$A82="thg-ingenuity",$A82="thg-central-marketing",$A82="thg-seoclarity"),"HOLD",TRUE,"")</f>
        <v/>
      </c>
      <c r="R82" t="str" cm="1">
        <f t="array" ref="R82">_xlfn.IFS(AND($A82="thg-beauty",ISNUMBER(SEARCH("liveramp",$C82))),"thg-beauty Liveramp dataset — confirmed safe to delete",$A82="agile-bonbon-662",_xlfn.IFS(LEFT($G82,9)="Tranche 1","Tranche 1: cleared",$C82="Sessions_Level_1_All_Sites","Downstream aggregation of UA raw logs — keep if raw tables go",ISNUMBER(--$C82),"UA raw site logs (account ID) — keep pending audit-retention check",$C82="Emag_Reporting","Legacy but likely needed",$C82="Nutrition_Data_Archived_Tables","Worth keeping",$C82="EU_Data","Static lookup tables — scripts still reference (smoke-test risk)",TRUE,"Review"),OR($A82="thg-influencer",$A82="thg-ingenuity",$A82="thg-central-marketing",$A82="thg-seoclarity"),"HOLD — Charlie Stringer to review before deletion",TRUE,"")</f>
        <v/>
      </c>
      <c r="S82" t="s">
        <v>1624</v>
      </c>
    </row>
    <row r="83" spans="1:19" hidden="1">
      <c r="A83" t="s">
        <v>90</v>
      </c>
      <c r="B83" t="s">
        <v>1619</v>
      </c>
      <c r="C83" t="s">
        <v>1827</v>
      </c>
      <c r="D83" s="2" t="s">
        <v>1621</v>
      </c>
      <c r="E83">
        <v>0</v>
      </c>
      <c r="F83">
        <v>0</v>
      </c>
      <c r="G83" t="s">
        <v>79</v>
      </c>
      <c r="H83" t="s">
        <v>81</v>
      </c>
      <c r="I83">
        <v>56</v>
      </c>
      <c r="K83" s="5">
        <v>46141.387559131937</v>
      </c>
      <c r="M83" s="2" t="s">
        <v>1800</v>
      </c>
      <c r="N83" s="2" t="s">
        <v>1701</v>
      </c>
      <c r="P83" t="str">
        <f>IF($Q83="DELETE",IF($S83="CONFIRMED: NO MODS &gt; 1YR","CONFIRMED: NO MODS &gt; 1YR","DO NOT DELETE — not defensibly confirmed"),IF($Q83="HOLD","DO NOT DELETE — HOLD (Charlie review)",IF($Q83="KEEP","DO NOT DELETE — KEEP",IF(ISNUMBER(SEARCH("REVIEW",$Q83)),"DO NOT DELETE — REVIEW pending",$S83))))</f>
        <v>CONFIRMED: NO MODS &gt; 1YR</v>
      </c>
      <c r="Q83" t="str" cm="1">
        <f t="array" ref="Q83">_xlfn.IFS(AND($A83="thg-beauty",ISNUMBER(SEARCH("liveramp",$C83))),"DELETE",$A83="agile-bonbon-662",_xlfn.IFS(LEFT($G83,9)="Tranche 1","DELETE",$C83="Sessions_Level_1_All_Sites","KEEP",ISNUMBER(--$C83),"REVIEW — UA raw logs",$C83="Emag_Reporting","KEEP",$C83="Nutrition_Data_Archived_Tables","KEEP",$C83="EU_Data","KEEP",TRUE,"REVIEW"),OR($A83="thg-influencer",$A83="thg-ingenuity",$A83="thg-central-marketing",$A83="thg-seoclarity"),"HOLD",TRUE,"")</f>
        <v/>
      </c>
      <c r="R83" t="str" cm="1">
        <f t="array" ref="R83">_xlfn.IFS(AND($A83="thg-beauty",ISNUMBER(SEARCH("liveramp",$C83))),"thg-beauty Liveramp dataset — confirmed safe to delete",$A83="agile-bonbon-662",_xlfn.IFS(LEFT($G83,9)="Tranche 1","Tranche 1: cleared",$C83="Sessions_Level_1_All_Sites","Downstream aggregation of UA raw logs — keep if raw tables go",ISNUMBER(--$C83),"UA raw site logs (account ID) — keep pending audit-retention check",$C83="Emag_Reporting","Legacy but likely needed",$C83="Nutrition_Data_Archived_Tables","Worth keeping",$C83="EU_Data","Static lookup tables — scripts still reference (smoke-test risk)",TRUE,"Review"),OR($A83="thg-influencer",$A83="thg-ingenuity",$A83="thg-central-marketing",$A83="thg-seoclarity"),"HOLD — Charlie Stringer to review before deletion",TRUE,"")</f>
        <v/>
      </c>
      <c r="S83" t="s">
        <v>1624</v>
      </c>
    </row>
    <row r="84" spans="1:19" hidden="1">
      <c r="A84" t="s">
        <v>90</v>
      </c>
      <c r="B84" t="s">
        <v>1619</v>
      </c>
      <c r="C84" t="s">
        <v>1828</v>
      </c>
      <c r="D84" s="2" t="s">
        <v>1621</v>
      </c>
      <c r="E84">
        <v>0</v>
      </c>
      <c r="F84">
        <v>0</v>
      </c>
      <c r="G84" t="s">
        <v>79</v>
      </c>
      <c r="H84" t="s">
        <v>81</v>
      </c>
      <c r="I84">
        <v>56</v>
      </c>
      <c r="K84" s="5">
        <v>46141.387186574073</v>
      </c>
      <c r="M84" s="2" t="s">
        <v>1807</v>
      </c>
      <c r="N84" s="2" t="s">
        <v>1701</v>
      </c>
      <c r="P84" t="str">
        <f>IF($Q84="DELETE",IF($S84="CONFIRMED: NO MODS &gt; 1YR","CONFIRMED: NO MODS &gt; 1YR","DO NOT DELETE — not defensibly confirmed"),IF($Q84="HOLD","DO NOT DELETE — HOLD (Charlie review)",IF($Q84="KEEP","DO NOT DELETE — KEEP",IF(ISNUMBER(SEARCH("REVIEW",$Q84)),"DO NOT DELETE — REVIEW pending",$S84))))</f>
        <v>CONFIRMED: NO MODS &gt; 1YR</v>
      </c>
      <c r="Q84" t="str" cm="1">
        <f t="array" ref="Q84">_xlfn.IFS(AND($A84="thg-beauty",ISNUMBER(SEARCH("liveramp",$C84))),"DELETE",$A84="agile-bonbon-662",_xlfn.IFS(LEFT($G84,9)="Tranche 1","DELETE",$C84="Sessions_Level_1_All_Sites","KEEP",ISNUMBER(--$C84),"REVIEW — UA raw logs",$C84="Emag_Reporting","KEEP",$C84="Nutrition_Data_Archived_Tables","KEEP",$C84="EU_Data","KEEP",TRUE,"REVIEW"),OR($A84="thg-influencer",$A84="thg-ingenuity",$A84="thg-central-marketing",$A84="thg-seoclarity"),"HOLD",TRUE,"")</f>
        <v/>
      </c>
      <c r="R84" t="str" cm="1">
        <f t="array" ref="R84">_xlfn.IFS(AND($A84="thg-beauty",ISNUMBER(SEARCH("liveramp",$C84))),"thg-beauty Liveramp dataset — confirmed safe to delete",$A84="agile-bonbon-662",_xlfn.IFS(LEFT($G84,9)="Tranche 1","Tranche 1: cleared",$C84="Sessions_Level_1_All_Sites","Downstream aggregation of UA raw logs — keep if raw tables go",ISNUMBER(--$C84),"UA raw site logs (account ID) — keep pending audit-retention check",$C84="Emag_Reporting","Legacy but likely needed",$C84="Nutrition_Data_Archived_Tables","Worth keeping",$C84="EU_Data","Static lookup tables — scripts still reference (smoke-test risk)",TRUE,"Review"),OR($A84="thg-influencer",$A84="thg-ingenuity",$A84="thg-central-marketing",$A84="thg-seoclarity"),"HOLD — Charlie Stringer to review before deletion",TRUE,"")</f>
        <v/>
      </c>
      <c r="S84" t="s">
        <v>1624</v>
      </c>
    </row>
    <row r="85" spans="1:19" hidden="1">
      <c r="A85" t="s">
        <v>90</v>
      </c>
      <c r="B85" t="s">
        <v>1619</v>
      </c>
      <c r="C85" t="s">
        <v>1829</v>
      </c>
      <c r="D85" s="2" t="s">
        <v>1621</v>
      </c>
      <c r="E85">
        <v>0</v>
      </c>
      <c r="F85">
        <v>0</v>
      </c>
      <c r="G85" t="s">
        <v>79</v>
      </c>
      <c r="H85" t="s">
        <v>81</v>
      </c>
      <c r="I85">
        <v>56</v>
      </c>
      <c r="K85" s="5">
        <v>46141.388143865741</v>
      </c>
      <c r="M85" s="2" t="s">
        <v>1800</v>
      </c>
      <c r="N85" s="2" t="s">
        <v>1701</v>
      </c>
      <c r="P85" t="str">
        <f>IF($Q85="DELETE",IF($S85="CONFIRMED: NO MODS &gt; 1YR","CONFIRMED: NO MODS &gt; 1YR","DO NOT DELETE — not defensibly confirmed"),IF($Q85="HOLD","DO NOT DELETE — HOLD (Charlie review)",IF($Q85="KEEP","DO NOT DELETE — KEEP",IF(ISNUMBER(SEARCH("REVIEW",$Q85)),"DO NOT DELETE — REVIEW pending",$S85))))</f>
        <v>CONFIRMED: NO MODS &gt; 1YR</v>
      </c>
      <c r="Q85" t="str" cm="1">
        <f t="array" ref="Q85">_xlfn.IFS(AND($A85="thg-beauty",ISNUMBER(SEARCH("liveramp",$C85))),"DELETE",$A85="agile-bonbon-662",_xlfn.IFS(LEFT($G85,9)="Tranche 1","DELETE",$C85="Sessions_Level_1_All_Sites","KEEP",ISNUMBER(--$C85),"REVIEW — UA raw logs",$C85="Emag_Reporting","KEEP",$C85="Nutrition_Data_Archived_Tables","KEEP",$C85="EU_Data","KEEP",TRUE,"REVIEW"),OR($A85="thg-influencer",$A85="thg-ingenuity",$A85="thg-central-marketing",$A85="thg-seoclarity"),"HOLD",TRUE,"")</f>
        <v/>
      </c>
      <c r="R85" t="str" cm="1">
        <f t="array" ref="R85">_xlfn.IFS(AND($A85="thg-beauty",ISNUMBER(SEARCH("liveramp",$C85))),"thg-beauty Liveramp dataset — confirmed safe to delete",$A85="agile-bonbon-662",_xlfn.IFS(LEFT($G85,9)="Tranche 1","Tranche 1: cleared",$C85="Sessions_Level_1_All_Sites","Downstream aggregation of UA raw logs — keep if raw tables go",ISNUMBER(--$C85),"UA raw site logs (account ID) — keep pending audit-retention check",$C85="Emag_Reporting","Legacy but likely needed",$C85="Nutrition_Data_Archived_Tables","Worth keeping",$C85="EU_Data","Static lookup tables — scripts still reference (smoke-test risk)",TRUE,"Review"),OR($A85="thg-influencer",$A85="thg-ingenuity",$A85="thg-central-marketing",$A85="thg-seoclarity"),"HOLD — Charlie Stringer to review before deletion",TRUE,"")</f>
        <v/>
      </c>
      <c r="S85" t="s">
        <v>1624</v>
      </c>
    </row>
    <row r="86" spans="1:19" hidden="1">
      <c r="A86" t="s">
        <v>90</v>
      </c>
      <c r="B86" t="s">
        <v>1619</v>
      </c>
      <c r="C86" t="s">
        <v>1830</v>
      </c>
      <c r="D86" s="2" t="s">
        <v>1621</v>
      </c>
      <c r="E86">
        <v>0</v>
      </c>
      <c r="F86">
        <v>0</v>
      </c>
      <c r="G86" t="s">
        <v>79</v>
      </c>
      <c r="H86" t="s">
        <v>81</v>
      </c>
      <c r="I86">
        <v>56</v>
      </c>
      <c r="K86" s="5">
        <v>46141.387259537027</v>
      </c>
      <c r="M86" s="2" t="s">
        <v>1807</v>
      </c>
      <c r="N86" s="2" t="s">
        <v>1701</v>
      </c>
      <c r="P86" t="str">
        <f>IF($Q86="DELETE",IF($S86="CONFIRMED: NO MODS &gt; 1YR","CONFIRMED: NO MODS &gt; 1YR","DO NOT DELETE — not defensibly confirmed"),IF($Q86="HOLD","DO NOT DELETE — HOLD (Charlie review)",IF($Q86="KEEP","DO NOT DELETE — KEEP",IF(ISNUMBER(SEARCH("REVIEW",$Q86)),"DO NOT DELETE — REVIEW pending",$S86))))</f>
        <v>CONFIRMED: NO MODS &gt; 1YR</v>
      </c>
      <c r="Q86" t="str" cm="1">
        <f t="array" ref="Q86">_xlfn.IFS(AND($A86="thg-beauty",ISNUMBER(SEARCH("liveramp",$C86))),"DELETE",$A86="agile-bonbon-662",_xlfn.IFS(LEFT($G86,9)="Tranche 1","DELETE",$C86="Sessions_Level_1_All_Sites","KEEP",ISNUMBER(--$C86),"REVIEW — UA raw logs",$C86="Emag_Reporting","KEEP",$C86="Nutrition_Data_Archived_Tables","KEEP",$C86="EU_Data","KEEP",TRUE,"REVIEW"),OR($A86="thg-influencer",$A86="thg-ingenuity",$A86="thg-central-marketing",$A86="thg-seoclarity"),"HOLD",TRUE,"")</f>
        <v/>
      </c>
      <c r="R86" t="str" cm="1">
        <f t="array" ref="R86">_xlfn.IFS(AND($A86="thg-beauty",ISNUMBER(SEARCH("liveramp",$C86))),"thg-beauty Liveramp dataset — confirmed safe to delete",$A86="agile-bonbon-662",_xlfn.IFS(LEFT($G86,9)="Tranche 1","Tranche 1: cleared",$C86="Sessions_Level_1_All_Sites","Downstream aggregation of UA raw logs — keep if raw tables go",ISNUMBER(--$C86),"UA raw site logs (account ID) — keep pending audit-retention check",$C86="Emag_Reporting","Legacy but likely needed",$C86="Nutrition_Data_Archived_Tables","Worth keeping",$C86="EU_Data","Static lookup tables — scripts still reference (smoke-test risk)",TRUE,"Review"),OR($A86="thg-influencer",$A86="thg-ingenuity",$A86="thg-central-marketing",$A86="thg-seoclarity"),"HOLD — Charlie Stringer to review before deletion",TRUE,"")</f>
        <v/>
      </c>
      <c r="S86" t="s">
        <v>1624</v>
      </c>
    </row>
    <row r="87" spans="1:19" hidden="1">
      <c r="A87" t="s">
        <v>90</v>
      </c>
      <c r="B87" t="s">
        <v>1619</v>
      </c>
      <c r="C87" t="s">
        <v>1831</v>
      </c>
      <c r="D87" s="2" t="s">
        <v>1621</v>
      </c>
      <c r="E87">
        <v>0</v>
      </c>
      <c r="F87">
        <v>0</v>
      </c>
      <c r="G87" t="s">
        <v>79</v>
      </c>
      <c r="H87" t="s">
        <v>81</v>
      </c>
      <c r="I87">
        <v>56</v>
      </c>
      <c r="K87" s="5">
        <v>46141.388267141207</v>
      </c>
      <c r="M87" s="2" t="s">
        <v>1832</v>
      </c>
      <c r="N87" s="2" t="s">
        <v>1701</v>
      </c>
      <c r="P87" t="str">
        <f>IF($Q87="DELETE",IF($S87="CONFIRMED: NO MODS &gt; 1YR","CONFIRMED: NO MODS &gt; 1YR","DO NOT DELETE — not defensibly confirmed"),IF($Q87="HOLD","DO NOT DELETE — HOLD (Charlie review)",IF($Q87="KEEP","DO NOT DELETE — KEEP",IF(ISNUMBER(SEARCH("REVIEW",$Q87)),"DO NOT DELETE — REVIEW pending",$S87))))</f>
        <v>CONFIRMED: NO MODS &gt; 1YR</v>
      </c>
      <c r="Q87" t="str" cm="1">
        <f t="array" ref="Q87">_xlfn.IFS(AND($A87="thg-beauty",ISNUMBER(SEARCH("liveramp",$C87))),"DELETE",$A87="agile-bonbon-662",_xlfn.IFS(LEFT($G87,9)="Tranche 1","DELETE",$C87="Sessions_Level_1_All_Sites","KEEP",ISNUMBER(--$C87),"REVIEW — UA raw logs",$C87="Emag_Reporting","KEEP",$C87="Nutrition_Data_Archived_Tables","KEEP",$C87="EU_Data","KEEP",TRUE,"REVIEW"),OR($A87="thg-influencer",$A87="thg-ingenuity",$A87="thg-central-marketing",$A87="thg-seoclarity"),"HOLD",TRUE,"")</f>
        <v/>
      </c>
      <c r="R87" t="str" cm="1">
        <f t="array" ref="R87">_xlfn.IFS(AND($A87="thg-beauty",ISNUMBER(SEARCH("liveramp",$C87))),"thg-beauty Liveramp dataset — confirmed safe to delete",$A87="agile-bonbon-662",_xlfn.IFS(LEFT($G87,9)="Tranche 1","Tranche 1: cleared",$C87="Sessions_Level_1_All_Sites","Downstream aggregation of UA raw logs — keep if raw tables go",ISNUMBER(--$C87),"UA raw site logs (account ID) — keep pending audit-retention check",$C87="Emag_Reporting","Legacy but likely needed",$C87="Nutrition_Data_Archived_Tables","Worth keeping",$C87="EU_Data","Static lookup tables — scripts still reference (smoke-test risk)",TRUE,"Review"),OR($A87="thg-influencer",$A87="thg-ingenuity",$A87="thg-central-marketing",$A87="thg-seoclarity"),"HOLD — Charlie Stringer to review before deletion",TRUE,"")</f>
        <v/>
      </c>
      <c r="S87" t="s">
        <v>1624</v>
      </c>
    </row>
    <row r="88" spans="1:19" hidden="1">
      <c r="A88" t="s">
        <v>89</v>
      </c>
      <c r="B88" t="s">
        <v>1724</v>
      </c>
      <c r="C88" t="s">
        <v>1833</v>
      </c>
      <c r="D88" s="2" t="s">
        <v>1621</v>
      </c>
      <c r="E88">
        <v>0</v>
      </c>
      <c r="F88">
        <v>0</v>
      </c>
      <c r="G88" t="s">
        <v>79</v>
      </c>
      <c r="H88" t="s">
        <v>81</v>
      </c>
      <c r="I88">
        <v>56</v>
      </c>
      <c r="K88" s="5">
        <v>46141.415600821761</v>
      </c>
      <c r="M88" s="2" t="s">
        <v>1834</v>
      </c>
      <c r="N88" s="2" t="s">
        <v>1701</v>
      </c>
      <c r="P88" t="str">
        <f>IF($Q88="DELETE",IF($S88="CONFIRMED: NO MODS &gt; 1YR","CONFIRMED: NO MODS &gt; 1YR","DO NOT DELETE — not defensibly confirmed"),IF($Q88="HOLD","DO NOT DELETE — HOLD (Charlie review)",IF($Q88="KEEP","DO NOT DELETE — KEEP",IF(ISNUMBER(SEARCH("REVIEW",$Q88)),"DO NOT DELETE — REVIEW pending",$S88))))</f>
        <v>DO NOT DELETE — REVIEW pending</v>
      </c>
      <c r="Q88" t="str" cm="1">
        <f t="array" ref="Q88">_xlfn.IFS(AND($A88="thg-beauty",ISNUMBER(SEARCH("liveramp",$C88))),"DELETE",$A88="agile-bonbon-662",_xlfn.IFS(LEFT($G88,9)="Tranche 1","DELETE",$C88="Sessions_Level_1_All_Sites","KEEP",ISNUMBER(--$C88),"REVIEW — UA raw logs",$C88="Emag_Reporting","KEEP",$C88="Nutrition_Data_Archived_Tables","KEEP",$C88="EU_Data","KEEP",TRUE,"REVIEW"),OR($A88="thg-influencer",$A88="thg-ingenuity",$A88="thg-central-marketing",$A88="thg-seoclarity"),"HOLD",TRUE,"")</f>
        <v>REVIEW</v>
      </c>
      <c r="R88" t="str" cm="1">
        <f t="array" ref="R88">_xlfn.IFS(AND($A88="thg-beauty",ISNUMBER(SEARCH("liveramp",$C88))),"thg-beauty Liveramp dataset — confirmed safe to delete",$A88="agile-bonbon-662",_xlfn.IFS(LEFT($G88,9)="Tranche 1","Tranche 1: cleared",$C88="Sessions_Level_1_All_Sites","Downstream aggregation of UA raw logs — keep if raw tables go",ISNUMBER(--$C88),"UA raw site logs (account ID) — keep pending audit-retention check",$C88="Emag_Reporting","Legacy but likely needed",$C88="Nutrition_Data_Archived_Tables","Worth keeping",$C88="EU_Data","Static lookup tables — scripts still reference (smoke-test risk)",TRUE,"Review"),OR($A88="thg-influencer",$A88="thg-ingenuity",$A88="thg-central-marketing",$A88="thg-seoclarity"),"HOLD — Charlie Stringer to review before deletion",TRUE,"")</f>
        <v>Review</v>
      </c>
      <c r="S88" t="s">
        <v>1624</v>
      </c>
    </row>
    <row r="89" spans="1:19" hidden="1">
      <c r="A89" t="s">
        <v>89</v>
      </c>
      <c r="B89" t="s">
        <v>1619</v>
      </c>
      <c r="C89" t="s">
        <v>1835</v>
      </c>
      <c r="D89" s="2" t="s">
        <v>1621</v>
      </c>
      <c r="E89">
        <v>0</v>
      </c>
      <c r="F89">
        <v>0</v>
      </c>
      <c r="G89" t="s">
        <v>79</v>
      </c>
      <c r="H89" t="s">
        <v>81</v>
      </c>
      <c r="I89">
        <v>56</v>
      </c>
      <c r="K89" s="5">
        <v>46141.420031250003</v>
      </c>
      <c r="M89" s="2" t="s">
        <v>1836</v>
      </c>
      <c r="N89" s="2" t="s">
        <v>1701</v>
      </c>
      <c r="P89" t="str">
        <f>IF($Q89="DELETE",IF($S89="CONFIRMED: NO MODS &gt; 1YR","CONFIRMED: NO MODS &gt; 1YR","DO NOT DELETE — not defensibly confirmed"),IF($Q89="HOLD","DO NOT DELETE — HOLD (Charlie review)",IF($Q89="KEEP","DO NOT DELETE — KEEP",IF(ISNUMBER(SEARCH("REVIEW",$Q89)),"DO NOT DELETE — REVIEW pending",$S89))))</f>
        <v>DO NOT DELETE — REVIEW pending</v>
      </c>
      <c r="Q89" t="str" cm="1">
        <f t="array" ref="Q89">_xlfn.IFS(AND($A89="thg-beauty",ISNUMBER(SEARCH("liveramp",$C89))),"DELETE",$A89="agile-bonbon-662",_xlfn.IFS(LEFT($G89,9)="Tranche 1","DELETE",$C89="Sessions_Level_1_All_Sites","KEEP",ISNUMBER(--$C89),"REVIEW — UA raw logs",$C89="Emag_Reporting","KEEP",$C89="Nutrition_Data_Archived_Tables","KEEP",$C89="EU_Data","KEEP",TRUE,"REVIEW"),OR($A89="thg-influencer",$A89="thg-ingenuity",$A89="thg-central-marketing",$A89="thg-seoclarity"),"HOLD",TRUE,"")</f>
        <v>REVIEW</v>
      </c>
      <c r="R89" t="str" cm="1">
        <f t="array" ref="R89">_xlfn.IFS(AND($A89="thg-beauty",ISNUMBER(SEARCH("liveramp",$C89))),"thg-beauty Liveramp dataset — confirmed safe to delete",$A89="agile-bonbon-662",_xlfn.IFS(LEFT($G89,9)="Tranche 1","Tranche 1: cleared",$C89="Sessions_Level_1_All_Sites","Downstream aggregation of UA raw logs — keep if raw tables go",ISNUMBER(--$C89),"UA raw site logs (account ID) — keep pending audit-retention check",$C89="Emag_Reporting","Legacy but likely needed",$C89="Nutrition_Data_Archived_Tables","Worth keeping",$C89="EU_Data","Static lookup tables — scripts still reference (smoke-test risk)",TRUE,"Review"),OR($A89="thg-influencer",$A89="thg-ingenuity",$A89="thg-central-marketing",$A89="thg-seoclarity"),"HOLD — Charlie Stringer to review before deletion",TRUE,"")</f>
        <v>Review</v>
      </c>
      <c r="S89" t="s">
        <v>1624</v>
      </c>
    </row>
    <row r="90" spans="1:19" hidden="1">
      <c r="A90" t="s">
        <v>89</v>
      </c>
      <c r="B90" t="s">
        <v>1619</v>
      </c>
      <c r="C90" t="s">
        <v>1837</v>
      </c>
      <c r="D90" s="2" t="s">
        <v>1621</v>
      </c>
      <c r="E90">
        <v>0</v>
      </c>
      <c r="F90">
        <v>0</v>
      </c>
      <c r="G90" t="s">
        <v>79</v>
      </c>
      <c r="H90" t="s">
        <v>81</v>
      </c>
      <c r="I90">
        <v>56</v>
      </c>
      <c r="K90" s="5">
        <v>46141.420722731476</v>
      </c>
      <c r="M90" s="2" t="s">
        <v>1838</v>
      </c>
      <c r="N90" s="2" t="s">
        <v>1701</v>
      </c>
      <c r="P90" t="str">
        <f>IF($Q90="DELETE",IF($S90="CONFIRMED: NO MODS &gt; 1YR","CONFIRMED: NO MODS &gt; 1YR","DO NOT DELETE — not defensibly confirmed"),IF($Q90="HOLD","DO NOT DELETE — HOLD (Charlie review)",IF($Q90="KEEP","DO NOT DELETE — KEEP",IF(ISNUMBER(SEARCH("REVIEW",$Q90)),"DO NOT DELETE — REVIEW pending",$S90))))</f>
        <v>DO NOT DELETE — REVIEW pending</v>
      </c>
      <c r="Q90" t="str" cm="1">
        <f t="array" ref="Q90">_xlfn.IFS(AND($A90="thg-beauty",ISNUMBER(SEARCH("liveramp",$C90))),"DELETE",$A90="agile-bonbon-662",_xlfn.IFS(LEFT($G90,9)="Tranche 1","DELETE",$C90="Sessions_Level_1_All_Sites","KEEP",ISNUMBER(--$C90),"REVIEW — UA raw logs",$C90="Emag_Reporting","KEEP",$C90="Nutrition_Data_Archived_Tables","KEEP",$C90="EU_Data","KEEP",TRUE,"REVIEW"),OR($A90="thg-influencer",$A90="thg-ingenuity",$A90="thg-central-marketing",$A90="thg-seoclarity"),"HOLD",TRUE,"")</f>
        <v>REVIEW</v>
      </c>
      <c r="R90" t="str" cm="1">
        <f t="array" ref="R90">_xlfn.IFS(AND($A90="thg-beauty",ISNUMBER(SEARCH("liveramp",$C90))),"thg-beauty Liveramp dataset — confirmed safe to delete",$A90="agile-bonbon-662",_xlfn.IFS(LEFT($G90,9)="Tranche 1","Tranche 1: cleared",$C90="Sessions_Level_1_All_Sites","Downstream aggregation of UA raw logs — keep if raw tables go",ISNUMBER(--$C90),"UA raw site logs (account ID) — keep pending audit-retention check",$C90="Emag_Reporting","Legacy but likely needed",$C90="Nutrition_Data_Archived_Tables","Worth keeping",$C90="EU_Data","Static lookup tables — scripts still reference (smoke-test risk)",TRUE,"Review"),OR($A90="thg-influencer",$A90="thg-ingenuity",$A90="thg-central-marketing",$A90="thg-seoclarity"),"HOLD — Charlie Stringer to review before deletion",TRUE,"")</f>
        <v>Review</v>
      </c>
      <c r="S90" t="s">
        <v>1624</v>
      </c>
    </row>
    <row r="91" spans="1:19" hidden="1">
      <c r="A91" t="s">
        <v>89</v>
      </c>
      <c r="B91" t="s">
        <v>1619</v>
      </c>
      <c r="C91" t="s">
        <v>1839</v>
      </c>
      <c r="D91" s="2" t="s">
        <v>1621</v>
      </c>
      <c r="E91">
        <v>0</v>
      </c>
      <c r="F91">
        <v>0</v>
      </c>
      <c r="G91" t="s">
        <v>79</v>
      </c>
      <c r="H91" t="s">
        <v>81</v>
      </c>
      <c r="I91">
        <v>56</v>
      </c>
      <c r="K91" s="5">
        <v>46141.415507013888</v>
      </c>
      <c r="M91" s="2" t="s">
        <v>1834</v>
      </c>
      <c r="N91" s="2" t="s">
        <v>1701</v>
      </c>
      <c r="P91" t="str">
        <f>IF($Q91="DELETE",IF($S91="CONFIRMED: NO MODS &gt; 1YR","CONFIRMED: NO MODS &gt; 1YR","DO NOT DELETE — not defensibly confirmed"),IF($Q91="HOLD","DO NOT DELETE — HOLD (Charlie review)",IF($Q91="KEEP","DO NOT DELETE — KEEP",IF(ISNUMBER(SEARCH("REVIEW",$Q91)),"DO NOT DELETE — REVIEW pending",$S91))))</f>
        <v>DO NOT DELETE — REVIEW pending</v>
      </c>
      <c r="Q91" t="str" cm="1">
        <f t="array" ref="Q91">_xlfn.IFS(AND($A91="thg-beauty",ISNUMBER(SEARCH("liveramp",$C91))),"DELETE",$A91="agile-bonbon-662",_xlfn.IFS(LEFT($G91,9)="Tranche 1","DELETE",$C91="Sessions_Level_1_All_Sites","KEEP",ISNUMBER(--$C91),"REVIEW — UA raw logs",$C91="Emag_Reporting","KEEP",$C91="Nutrition_Data_Archived_Tables","KEEP",$C91="EU_Data","KEEP",TRUE,"REVIEW"),OR($A91="thg-influencer",$A91="thg-ingenuity",$A91="thg-central-marketing",$A91="thg-seoclarity"),"HOLD",TRUE,"")</f>
        <v>REVIEW</v>
      </c>
      <c r="R91" t="str" cm="1">
        <f t="array" ref="R91">_xlfn.IFS(AND($A91="thg-beauty",ISNUMBER(SEARCH("liveramp",$C91))),"thg-beauty Liveramp dataset — confirmed safe to delete",$A91="agile-bonbon-662",_xlfn.IFS(LEFT($G91,9)="Tranche 1","Tranche 1: cleared",$C91="Sessions_Level_1_All_Sites","Downstream aggregation of UA raw logs — keep if raw tables go",ISNUMBER(--$C91),"UA raw site logs (account ID) — keep pending audit-retention check",$C91="Emag_Reporting","Legacy but likely needed",$C91="Nutrition_Data_Archived_Tables","Worth keeping",$C91="EU_Data","Static lookup tables — scripts still reference (smoke-test risk)",TRUE,"Review"),OR($A91="thg-influencer",$A91="thg-ingenuity",$A91="thg-central-marketing",$A91="thg-seoclarity"),"HOLD — Charlie Stringer to review before deletion",TRUE,"")</f>
        <v>Review</v>
      </c>
      <c r="S91" t="s">
        <v>1624</v>
      </c>
    </row>
    <row r="92" spans="1:19" hidden="1">
      <c r="A92" t="s">
        <v>89</v>
      </c>
      <c r="B92" t="s">
        <v>1619</v>
      </c>
      <c r="C92" t="s">
        <v>1840</v>
      </c>
      <c r="D92" s="2" t="s">
        <v>1621</v>
      </c>
      <c r="E92">
        <v>0</v>
      </c>
      <c r="F92">
        <v>0</v>
      </c>
      <c r="G92" t="s">
        <v>79</v>
      </c>
      <c r="H92" t="s">
        <v>81</v>
      </c>
      <c r="I92">
        <v>56</v>
      </c>
      <c r="K92" s="5">
        <v>46141.417595636573</v>
      </c>
      <c r="M92" s="2" t="s">
        <v>1841</v>
      </c>
      <c r="N92" s="2" t="s">
        <v>1701</v>
      </c>
      <c r="P92" t="str">
        <f>IF($Q92="DELETE",IF($S92="CONFIRMED: NO MODS &gt; 1YR","CONFIRMED: NO MODS &gt; 1YR","DO NOT DELETE — not defensibly confirmed"),IF($Q92="HOLD","DO NOT DELETE — HOLD (Charlie review)",IF($Q92="KEEP","DO NOT DELETE — KEEP",IF(ISNUMBER(SEARCH("REVIEW",$Q92)),"DO NOT DELETE — REVIEW pending",$S92))))</f>
        <v>DO NOT DELETE — REVIEW pending</v>
      </c>
      <c r="Q92" t="str" cm="1">
        <f t="array" ref="Q92">_xlfn.IFS(AND($A92="thg-beauty",ISNUMBER(SEARCH("liveramp",$C92))),"DELETE",$A92="agile-bonbon-662",_xlfn.IFS(LEFT($G92,9)="Tranche 1","DELETE",$C92="Sessions_Level_1_All_Sites","KEEP",ISNUMBER(--$C92),"REVIEW — UA raw logs",$C92="Emag_Reporting","KEEP",$C92="Nutrition_Data_Archived_Tables","KEEP",$C92="EU_Data","KEEP",TRUE,"REVIEW"),OR($A92="thg-influencer",$A92="thg-ingenuity",$A92="thg-central-marketing",$A92="thg-seoclarity"),"HOLD",TRUE,"")</f>
        <v>REVIEW — UA raw logs</v>
      </c>
      <c r="R92" t="str" cm="1">
        <f t="array" ref="R92">_xlfn.IFS(AND($A92="thg-beauty",ISNUMBER(SEARCH("liveramp",$C92))),"thg-beauty Liveramp dataset — confirmed safe to delete",$A92="agile-bonbon-662",_xlfn.IFS(LEFT($G92,9)="Tranche 1","Tranche 1: cleared",$C92="Sessions_Level_1_All_Sites","Downstream aggregation of UA raw logs — keep if raw tables go",ISNUMBER(--$C92),"UA raw site logs (account ID) — keep pending audit-retention check",$C92="Emag_Reporting","Legacy but likely needed",$C92="Nutrition_Data_Archived_Tables","Worth keeping",$C92="EU_Data","Static lookup tables — scripts still reference (smoke-test risk)",TRUE,"Review"),OR($A92="thg-influencer",$A92="thg-ingenuity",$A92="thg-central-marketing",$A92="thg-seoclarity"),"HOLD — Charlie Stringer to review before deletion",TRUE,"")</f>
        <v>UA raw site logs (account ID) — keep pending audit-retention check</v>
      </c>
      <c r="S92" t="s">
        <v>1624</v>
      </c>
    </row>
    <row r="93" spans="1:19" hidden="1">
      <c r="A93" t="s">
        <v>89</v>
      </c>
      <c r="B93" t="s">
        <v>1619</v>
      </c>
      <c r="C93" t="s">
        <v>1842</v>
      </c>
      <c r="D93" s="2" t="s">
        <v>1621</v>
      </c>
      <c r="E93">
        <v>0</v>
      </c>
      <c r="F93">
        <v>0</v>
      </c>
      <c r="G93" t="s">
        <v>79</v>
      </c>
      <c r="H93" t="s">
        <v>81</v>
      </c>
      <c r="I93">
        <v>56</v>
      </c>
      <c r="K93" s="5">
        <v>46141.416316979157</v>
      </c>
      <c r="M93" s="2" t="s">
        <v>1843</v>
      </c>
      <c r="N93" s="2" t="s">
        <v>1701</v>
      </c>
      <c r="P93" t="str">
        <f>IF($Q93="DELETE",IF($S93="CONFIRMED: NO MODS &gt; 1YR","CONFIRMED: NO MODS &gt; 1YR","DO NOT DELETE — not defensibly confirmed"),IF($Q93="HOLD","DO NOT DELETE — HOLD (Charlie review)",IF($Q93="KEEP","DO NOT DELETE — KEEP",IF(ISNUMBER(SEARCH("REVIEW",$Q93)),"DO NOT DELETE — REVIEW pending",$S93))))</f>
        <v>DO NOT DELETE — REVIEW pending</v>
      </c>
      <c r="Q93" t="str" cm="1">
        <f t="array" ref="Q93">_xlfn.IFS(AND($A93="thg-beauty",ISNUMBER(SEARCH("liveramp",$C93))),"DELETE",$A93="agile-bonbon-662",_xlfn.IFS(LEFT($G93,9)="Tranche 1","DELETE",$C93="Sessions_Level_1_All_Sites","KEEP",ISNUMBER(--$C93),"REVIEW — UA raw logs",$C93="Emag_Reporting","KEEP",$C93="Nutrition_Data_Archived_Tables","KEEP",$C93="EU_Data","KEEP",TRUE,"REVIEW"),OR($A93="thg-influencer",$A93="thg-ingenuity",$A93="thg-central-marketing",$A93="thg-seoclarity"),"HOLD",TRUE,"")</f>
        <v>REVIEW — UA raw logs</v>
      </c>
      <c r="R93" t="str" cm="1">
        <f t="array" ref="R93">_xlfn.IFS(AND($A93="thg-beauty",ISNUMBER(SEARCH("liveramp",$C93))),"thg-beauty Liveramp dataset — confirmed safe to delete",$A93="agile-bonbon-662",_xlfn.IFS(LEFT($G93,9)="Tranche 1","Tranche 1: cleared",$C93="Sessions_Level_1_All_Sites","Downstream aggregation of UA raw logs — keep if raw tables go",ISNUMBER(--$C93),"UA raw site logs (account ID) — keep pending audit-retention check",$C93="Emag_Reporting","Legacy but likely needed",$C93="Nutrition_Data_Archived_Tables","Worth keeping",$C93="EU_Data","Static lookup tables — scripts still reference (smoke-test risk)",TRUE,"Review"),OR($A93="thg-influencer",$A93="thg-ingenuity",$A93="thg-central-marketing",$A93="thg-seoclarity"),"HOLD — Charlie Stringer to review before deletion",TRUE,"")</f>
        <v>UA raw site logs (account ID) — keep pending audit-retention check</v>
      </c>
      <c r="S93" t="s">
        <v>1624</v>
      </c>
    </row>
    <row r="94" spans="1:19" hidden="1">
      <c r="A94" t="s">
        <v>89</v>
      </c>
      <c r="B94" t="s">
        <v>1619</v>
      </c>
      <c r="C94" t="s">
        <v>1844</v>
      </c>
      <c r="D94" s="2" t="s">
        <v>1621</v>
      </c>
      <c r="E94">
        <v>0</v>
      </c>
      <c r="F94">
        <v>0</v>
      </c>
      <c r="G94" t="s">
        <v>79</v>
      </c>
      <c r="H94" t="s">
        <v>81</v>
      </c>
      <c r="I94">
        <v>56</v>
      </c>
      <c r="K94" s="5">
        <v>46141.423759861107</v>
      </c>
      <c r="M94" s="2" t="s">
        <v>1845</v>
      </c>
      <c r="N94" s="2" t="s">
        <v>1701</v>
      </c>
      <c r="P94" t="str">
        <f>IF($Q94="DELETE",IF($S94="CONFIRMED: NO MODS &gt; 1YR","CONFIRMED: NO MODS &gt; 1YR","DO NOT DELETE — not defensibly confirmed"),IF($Q94="HOLD","DO NOT DELETE — HOLD (Charlie review)",IF($Q94="KEEP","DO NOT DELETE — KEEP",IF(ISNUMBER(SEARCH("REVIEW",$Q94)),"DO NOT DELETE — REVIEW pending",$S94))))</f>
        <v>DO NOT DELETE — REVIEW pending</v>
      </c>
      <c r="Q94" t="str" cm="1">
        <f t="array" ref="Q94">_xlfn.IFS(AND($A94="thg-beauty",ISNUMBER(SEARCH("liveramp",$C94))),"DELETE",$A94="agile-bonbon-662",_xlfn.IFS(LEFT($G94,9)="Tranche 1","DELETE",$C94="Sessions_Level_1_All_Sites","KEEP",ISNUMBER(--$C94),"REVIEW — UA raw logs",$C94="Emag_Reporting","KEEP",$C94="Nutrition_Data_Archived_Tables","KEEP",$C94="EU_Data","KEEP",TRUE,"REVIEW"),OR($A94="thg-influencer",$A94="thg-ingenuity",$A94="thg-central-marketing",$A94="thg-seoclarity"),"HOLD",TRUE,"")</f>
        <v>REVIEW</v>
      </c>
      <c r="R94" t="str" cm="1">
        <f t="array" ref="R94">_xlfn.IFS(AND($A94="thg-beauty",ISNUMBER(SEARCH("liveramp",$C94))),"thg-beauty Liveramp dataset — confirmed safe to delete",$A94="agile-bonbon-662",_xlfn.IFS(LEFT($G94,9)="Tranche 1","Tranche 1: cleared",$C94="Sessions_Level_1_All_Sites","Downstream aggregation of UA raw logs — keep if raw tables go",ISNUMBER(--$C94),"UA raw site logs (account ID) — keep pending audit-retention check",$C94="Emag_Reporting","Legacy but likely needed",$C94="Nutrition_Data_Archived_Tables","Worth keeping",$C94="EU_Data","Static lookup tables — scripts still reference (smoke-test risk)",TRUE,"Review"),OR($A94="thg-influencer",$A94="thg-ingenuity",$A94="thg-central-marketing",$A94="thg-seoclarity"),"HOLD — Charlie Stringer to review before deletion",TRUE,"")</f>
        <v>Review</v>
      </c>
      <c r="S94" t="s">
        <v>1624</v>
      </c>
    </row>
    <row r="95" spans="1:19" hidden="1">
      <c r="A95" t="s">
        <v>89</v>
      </c>
      <c r="B95" t="s">
        <v>1619</v>
      </c>
      <c r="C95" t="s">
        <v>1846</v>
      </c>
      <c r="D95" s="2" t="s">
        <v>1621</v>
      </c>
      <c r="E95">
        <v>0</v>
      </c>
      <c r="F95">
        <v>0</v>
      </c>
      <c r="G95" t="s">
        <v>79</v>
      </c>
      <c r="H95" t="s">
        <v>81</v>
      </c>
      <c r="I95">
        <v>56</v>
      </c>
      <c r="K95" s="5">
        <v>46141.41512056713</v>
      </c>
      <c r="M95" s="2" t="s">
        <v>1802</v>
      </c>
      <c r="N95" s="2" t="s">
        <v>1701</v>
      </c>
      <c r="P95" t="str">
        <f>IF($Q95="DELETE",IF($S95="CONFIRMED: NO MODS &gt; 1YR","CONFIRMED: NO MODS &gt; 1YR","DO NOT DELETE — not defensibly confirmed"),IF($Q95="HOLD","DO NOT DELETE — HOLD (Charlie review)",IF($Q95="KEEP","DO NOT DELETE — KEEP",IF(ISNUMBER(SEARCH("REVIEW",$Q95)),"DO NOT DELETE — REVIEW pending",$S95))))</f>
        <v>DO NOT DELETE — REVIEW pending</v>
      </c>
      <c r="Q95" t="str" cm="1">
        <f t="array" ref="Q95">_xlfn.IFS(AND($A95="thg-beauty",ISNUMBER(SEARCH("liveramp",$C95))),"DELETE",$A95="agile-bonbon-662",_xlfn.IFS(LEFT($G95,9)="Tranche 1","DELETE",$C95="Sessions_Level_1_All_Sites","KEEP",ISNUMBER(--$C95),"REVIEW — UA raw logs",$C95="Emag_Reporting","KEEP",$C95="Nutrition_Data_Archived_Tables","KEEP",$C95="EU_Data","KEEP",TRUE,"REVIEW"),OR($A95="thg-influencer",$A95="thg-ingenuity",$A95="thg-central-marketing",$A95="thg-seoclarity"),"HOLD",TRUE,"")</f>
        <v>REVIEW</v>
      </c>
      <c r="R95" t="str" cm="1">
        <f t="array" ref="R95">_xlfn.IFS(AND($A95="thg-beauty",ISNUMBER(SEARCH("liveramp",$C95))),"thg-beauty Liveramp dataset — confirmed safe to delete",$A95="agile-bonbon-662",_xlfn.IFS(LEFT($G95,9)="Tranche 1","Tranche 1: cleared",$C95="Sessions_Level_1_All_Sites","Downstream aggregation of UA raw logs — keep if raw tables go",ISNUMBER(--$C95),"UA raw site logs (account ID) — keep pending audit-retention check",$C95="Emag_Reporting","Legacy but likely needed",$C95="Nutrition_Data_Archived_Tables","Worth keeping",$C95="EU_Data","Static lookup tables — scripts still reference (smoke-test risk)",TRUE,"Review"),OR($A95="thg-influencer",$A95="thg-ingenuity",$A95="thg-central-marketing",$A95="thg-seoclarity"),"HOLD — Charlie Stringer to review before deletion",TRUE,"")</f>
        <v>Review</v>
      </c>
      <c r="S95" t="s">
        <v>1624</v>
      </c>
    </row>
    <row r="96" spans="1:19" hidden="1">
      <c r="A96" t="s">
        <v>89</v>
      </c>
      <c r="B96" t="s">
        <v>1619</v>
      </c>
      <c r="C96" t="s">
        <v>1847</v>
      </c>
      <c r="D96" s="2" t="s">
        <v>1621</v>
      </c>
      <c r="E96">
        <v>0</v>
      </c>
      <c r="F96">
        <v>0</v>
      </c>
      <c r="G96" t="s">
        <v>79</v>
      </c>
      <c r="H96" t="s">
        <v>81</v>
      </c>
      <c r="I96">
        <v>56</v>
      </c>
      <c r="K96" s="5">
        <v>46141.416678969908</v>
      </c>
      <c r="M96" s="2" t="s">
        <v>1848</v>
      </c>
      <c r="N96" s="2" t="s">
        <v>1701</v>
      </c>
      <c r="P96" t="str">
        <f>IF($Q96="DELETE",IF($S96="CONFIRMED: NO MODS &gt; 1YR","CONFIRMED: NO MODS &gt; 1YR","DO NOT DELETE — not defensibly confirmed"),IF($Q96="HOLD","DO NOT DELETE — HOLD (Charlie review)",IF($Q96="KEEP","DO NOT DELETE — KEEP",IF(ISNUMBER(SEARCH("REVIEW",$Q96)),"DO NOT DELETE — REVIEW pending",$S96))))</f>
        <v>DO NOT DELETE — REVIEW pending</v>
      </c>
      <c r="Q96" t="str" cm="1">
        <f t="array" ref="Q96">_xlfn.IFS(AND($A96="thg-beauty",ISNUMBER(SEARCH("liveramp",$C96))),"DELETE",$A96="agile-bonbon-662",_xlfn.IFS(LEFT($G96,9)="Tranche 1","DELETE",$C96="Sessions_Level_1_All_Sites","KEEP",ISNUMBER(--$C96),"REVIEW — UA raw logs",$C96="Emag_Reporting","KEEP",$C96="Nutrition_Data_Archived_Tables","KEEP",$C96="EU_Data","KEEP",TRUE,"REVIEW"),OR($A96="thg-influencer",$A96="thg-ingenuity",$A96="thg-central-marketing",$A96="thg-seoclarity"),"HOLD",TRUE,"")</f>
        <v>REVIEW — UA raw logs</v>
      </c>
      <c r="R96" t="str" cm="1">
        <f t="array" ref="R96">_xlfn.IFS(AND($A96="thg-beauty",ISNUMBER(SEARCH("liveramp",$C96))),"thg-beauty Liveramp dataset — confirmed safe to delete",$A96="agile-bonbon-662",_xlfn.IFS(LEFT($G96,9)="Tranche 1","Tranche 1: cleared",$C96="Sessions_Level_1_All_Sites","Downstream aggregation of UA raw logs — keep if raw tables go",ISNUMBER(--$C96),"UA raw site logs (account ID) — keep pending audit-retention check",$C96="Emag_Reporting","Legacy but likely needed",$C96="Nutrition_Data_Archived_Tables","Worth keeping",$C96="EU_Data","Static lookup tables — scripts still reference (smoke-test risk)",TRUE,"Review"),OR($A96="thg-influencer",$A96="thg-ingenuity",$A96="thg-central-marketing",$A96="thg-seoclarity"),"HOLD — Charlie Stringer to review before deletion",TRUE,"")</f>
        <v>UA raw site logs (account ID) — keep pending audit-retention check</v>
      </c>
      <c r="S96" t="s">
        <v>1624</v>
      </c>
    </row>
    <row r="97" spans="1:19" hidden="1">
      <c r="A97" t="s">
        <v>89</v>
      </c>
      <c r="B97" t="s">
        <v>1619</v>
      </c>
      <c r="C97" t="s">
        <v>1849</v>
      </c>
      <c r="D97" s="2" t="s">
        <v>1621</v>
      </c>
      <c r="E97">
        <v>0</v>
      </c>
      <c r="F97">
        <v>0</v>
      </c>
      <c r="G97" t="s">
        <v>79</v>
      </c>
      <c r="H97" t="s">
        <v>81</v>
      </c>
      <c r="I97">
        <v>56</v>
      </c>
      <c r="K97" s="5">
        <v>46141.417767407409</v>
      </c>
      <c r="M97" s="2" t="s">
        <v>1841</v>
      </c>
      <c r="N97" s="2" t="s">
        <v>1701</v>
      </c>
      <c r="P97" t="str">
        <f>IF($Q97="DELETE",IF($S97="CONFIRMED: NO MODS &gt; 1YR","CONFIRMED: NO MODS &gt; 1YR","DO NOT DELETE — not defensibly confirmed"),IF($Q97="HOLD","DO NOT DELETE — HOLD (Charlie review)",IF($Q97="KEEP","DO NOT DELETE — KEEP",IF(ISNUMBER(SEARCH("REVIEW",$Q97)),"DO NOT DELETE — REVIEW pending",$S97))))</f>
        <v>DO NOT DELETE — REVIEW pending</v>
      </c>
      <c r="Q97" t="str" cm="1">
        <f t="array" ref="Q97">_xlfn.IFS(AND($A97="thg-beauty",ISNUMBER(SEARCH("liveramp",$C97))),"DELETE",$A97="agile-bonbon-662",_xlfn.IFS(LEFT($G97,9)="Tranche 1","DELETE",$C97="Sessions_Level_1_All_Sites","KEEP",ISNUMBER(--$C97),"REVIEW — UA raw logs",$C97="Emag_Reporting","KEEP",$C97="Nutrition_Data_Archived_Tables","KEEP",$C97="EU_Data","KEEP",TRUE,"REVIEW"),OR($A97="thg-influencer",$A97="thg-ingenuity",$A97="thg-central-marketing",$A97="thg-seoclarity"),"HOLD",TRUE,"")</f>
        <v>REVIEW — UA raw logs</v>
      </c>
      <c r="R97" t="str" cm="1">
        <f t="array" ref="R97">_xlfn.IFS(AND($A97="thg-beauty",ISNUMBER(SEARCH("liveramp",$C97))),"thg-beauty Liveramp dataset — confirmed safe to delete",$A97="agile-bonbon-662",_xlfn.IFS(LEFT($G97,9)="Tranche 1","Tranche 1: cleared",$C97="Sessions_Level_1_All_Sites","Downstream aggregation of UA raw logs — keep if raw tables go",ISNUMBER(--$C97),"UA raw site logs (account ID) — keep pending audit-retention check",$C97="Emag_Reporting","Legacy but likely needed",$C97="Nutrition_Data_Archived_Tables","Worth keeping",$C97="EU_Data","Static lookup tables — scripts still reference (smoke-test risk)",TRUE,"Review"),OR($A97="thg-influencer",$A97="thg-ingenuity",$A97="thg-central-marketing",$A97="thg-seoclarity"),"HOLD — Charlie Stringer to review before deletion",TRUE,"")</f>
        <v>UA raw site logs (account ID) — keep pending audit-retention check</v>
      </c>
      <c r="S97" t="s">
        <v>1631</v>
      </c>
    </row>
    <row r="98" spans="1:19" hidden="1">
      <c r="A98" t="s">
        <v>89</v>
      </c>
      <c r="B98" t="s">
        <v>1619</v>
      </c>
      <c r="C98" t="s">
        <v>1850</v>
      </c>
      <c r="D98" s="2" t="s">
        <v>1621</v>
      </c>
      <c r="E98">
        <v>0</v>
      </c>
      <c r="F98">
        <v>0</v>
      </c>
      <c r="G98" t="s">
        <v>79</v>
      </c>
      <c r="H98" t="s">
        <v>81</v>
      </c>
      <c r="I98">
        <v>56</v>
      </c>
      <c r="K98" s="5">
        <v>46141.423448344911</v>
      </c>
      <c r="M98" s="2" t="s">
        <v>1851</v>
      </c>
      <c r="N98" s="2" t="s">
        <v>1701</v>
      </c>
      <c r="P98" t="str">
        <f>IF($Q98="DELETE",IF($S98="CONFIRMED: NO MODS &gt; 1YR","CONFIRMED: NO MODS &gt; 1YR","DO NOT DELETE — not defensibly confirmed"),IF($Q98="HOLD","DO NOT DELETE — HOLD (Charlie review)",IF($Q98="KEEP","DO NOT DELETE — KEEP",IF(ISNUMBER(SEARCH("REVIEW",$Q98)),"DO NOT DELETE — REVIEW pending",$S98))))</f>
        <v>DO NOT DELETE — REVIEW pending</v>
      </c>
      <c r="Q98" t="str" cm="1">
        <f t="array" ref="Q98">_xlfn.IFS(AND($A98="thg-beauty",ISNUMBER(SEARCH("liveramp",$C98))),"DELETE",$A98="agile-bonbon-662",_xlfn.IFS(LEFT($G98,9)="Tranche 1","DELETE",$C98="Sessions_Level_1_All_Sites","KEEP",ISNUMBER(--$C98),"REVIEW — UA raw logs",$C98="Emag_Reporting","KEEP",$C98="Nutrition_Data_Archived_Tables","KEEP",$C98="EU_Data","KEEP",TRUE,"REVIEW"),OR($A98="thg-influencer",$A98="thg-ingenuity",$A98="thg-central-marketing",$A98="thg-seoclarity"),"HOLD",TRUE,"")</f>
        <v>REVIEW</v>
      </c>
      <c r="R98" t="str" cm="1">
        <f t="array" ref="R98">_xlfn.IFS(AND($A98="thg-beauty",ISNUMBER(SEARCH("liveramp",$C98))),"thg-beauty Liveramp dataset — confirmed safe to delete",$A98="agile-bonbon-662",_xlfn.IFS(LEFT($G98,9)="Tranche 1","Tranche 1: cleared",$C98="Sessions_Level_1_All_Sites","Downstream aggregation of UA raw logs — keep if raw tables go",ISNUMBER(--$C98),"UA raw site logs (account ID) — keep pending audit-retention check",$C98="Emag_Reporting","Legacy but likely needed",$C98="Nutrition_Data_Archived_Tables","Worth keeping",$C98="EU_Data","Static lookup tables — scripts still reference (smoke-test risk)",TRUE,"Review"),OR($A98="thg-influencer",$A98="thg-ingenuity",$A98="thg-central-marketing",$A98="thg-seoclarity"),"HOLD — Charlie Stringer to review before deletion",TRUE,"")</f>
        <v>Review</v>
      </c>
      <c r="S98" t="s">
        <v>1624</v>
      </c>
    </row>
    <row r="99" spans="1:19" hidden="1">
      <c r="A99" t="s">
        <v>89</v>
      </c>
      <c r="B99" t="s">
        <v>1619</v>
      </c>
      <c r="C99" t="s">
        <v>1852</v>
      </c>
      <c r="D99" s="2" t="s">
        <v>1621</v>
      </c>
      <c r="E99">
        <v>0</v>
      </c>
      <c r="F99">
        <v>0</v>
      </c>
      <c r="G99" t="s">
        <v>79</v>
      </c>
      <c r="H99" t="s">
        <v>81</v>
      </c>
      <c r="I99">
        <v>56</v>
      </c>
      <c r="K99" s="5">
        <v>46141.419751319438</v>
      </c>
      <c r="M99" s="2" t="s">
        <v>1836</v>
      </c>
      <c r="N99" s="2" t="s">
        <v>1701</v>
      </c>
      <c r="P99" t="str">
        <f>IF($Q99="DELETE",IF($S99="CONFIRMED: NO MODS &gt; 1YR","CONFIRMED: NO MODS &gt; 1YR","DO NOT DELETE — not defensibly confirmed"),IF($Q99="HOLD","DO NOT DELETE — HOLD (Charlie review)",IF($Q99="KEEP","DO NOT DELETE — KEEP",IF(ISNUMBER(SEARCH("REVIEW",$Q99)),"DO NOT DELETE — REVIEW pending",$S99))))</f>
        <v>DO NOT DELETE — REVIEW pending</v>
      </c>
      <c r="Q99" t="str" cm="1">
        <f t="array" ref="Q99">_xlfn.IFS(AND($A99="thg-beauty",ISNUMBER(SEARCH("liveramp",$C99))),"DELETE",$A99="agile-bonbon-662",_xlfn.IFS(LEFT($G99,9)="Tranche 1","DELETE",$C99="Sessions_Level_1_All_Sites","KEEP",ISNUMBER(--$C99),"REVIEW — UA raw logs",$C99="Emag_Reporting","KEEP",$C99="Nutrition_Data_Archived_Tables","KEEP",$C99="EU_Data","KEEP",TRUE,"REVIEW"),OR($A99="thg-influencer",$A99="thg-ingenuity",$A99="thg-central-marketing",$A99="thg-seoclarity"),"HOLD",TRUE,"")</f>
        <v>REVIEW</v>
      </c>
      <c r="R99" t="str" cm="1">
        <f t="array" ref="R99">_xlfn.IFS(AND($A99="thg-beauty",ISNUMBER(SEARCH("liveramp",$C99))),"thg-beauty Liveramp dataset — confirmed safe to delete",$A99="agile-bonbon-662",_xlfn.IFS(LEFT($G99,9)="Tranche 1","Tranche 1: cleared",$C99="Sessions_Level_1_All_Sites","Downstream aggregation of UA raw logs — keep if raw tables go",ISNUMBER(--$C99),"UA raw site logs (account ID) — keep pending audit-retention check",$C99="Emag_Reporting","Legacy but likely needed",$C99="Nutrition_Data_Archived_Tables","Worth keeping",$C99="EU_Data","Static lookup tables — scripts still reference (smoke-test risk)",TRUE,"Review"),OR($A99="thg-influencer",$A99="thg-ingenuity",$A99="thg-central-marketing",$A99="thg-seoclarity"),"HOLD — Charlie Stringer to review before deletion",TRUE,"")</f>
        <v>Review</v>
      </c>
      <c r="S99" t="s">
        <v>1631</v>
      </c>
    </row>
    <row r="100" spans="1:19" hidden="1">
      <c r="A100" t="s">
        <v>89</v>
      </c>
      <c r="B100" t="s">
        <v>1619</v>
      </c>
      <c r="C100" t="s">
        <v>1853</v>
      </c>
      <c r="D100" s="2" t="s">
        <v>1621</v>
      </c>
      <c r="E100">
        <v>0</v>
      </c>
      <c r="F100">
        <v>0</v>
      </c>
      <c r="G100" t="s">
        <v>79</v>
      </c>
      <c r="H100" t="s">
        <v>81</v>
      </c>
      <c r="I100">
        <v>56</v>
      </c>
      <c r="K100" s="5">
        <v>46141.423760231482</v>
      </c>
      <c r="M100" s="2" t="s">
        <v>1845</v>
      </c>
      <c r="N100" s="2" t="s">
        <v>1701</v>
      </c>
      <c r="P100" t="str">
        <f>IF($Q100="DELETE",IF($S100="CONFIRMED: NO MODS &gt; 1YR","CONFIRMED: NO MODS &gt; 1YR","DO NOT DELETE — not defensibly confirmed"),IF($Q100="HOLD","DO NOT DELETE — HOLD (Charlie review)",IF($Q100="KEEP","DO NOT DELETE — KEEP",IF(ISNUMBER(SEARCH("REVIEW",$Q100)),"DO NOT DELETE — REVIEW pending",$S100))))</f>
        <v>DO NOT DELETE — REVIEW pending</v>
      </c>
      <c r="Q100" t="str" cm="1">
        <f t="array" ref="Q100">_xlfn.IFS(AND($A100="thg-beauty",ISNUMBER(SEARCH("liveramp",$C100))),"DELETE",$A100="agile-bonbon-662",_xlfn.IFS(LEFT($G100,9)="Tranche 1","DELETE",$C100="Sessions_Level_1_All_Sites","KEEP",ISNUMBER(--$C100),"REVIEW — UA raw logs",$C100="Emag_Reporting","KEEP",$C100="Nutrition_Data_Archived_Tables","KEEP",$C100="EU_Data","KEEP",TRUE,"REVIEW"),OR($A100="thg-influencer",$A100="thg-ingenuity",$A100="thg-central-marketing",$A100="thg-seoclarity"),"HOLD",TRUE,"")</f>
        <v>REVIEW</v>
      </c>
      <c r="R100" t="str" cm="1">
        <f t="array" ref="R100">_xlfn.IFS(AND($A100="thg-beauty",ISNUMBER(SEARCH("liveramp",$C100))),"thg-beauty Liveramp dataset — confirmed safe to delete",$A100="agile-bonbon-662",_xlfn.IFS(LEFT($G100,9)="Tranche 1","Tranche 1: cleared",$C100="Sessions_Level_1_All_Sites","Downstream aggregation of UA raw logs — keep if raw tables go",ISNUMBER(--$C100),"UA raw site logs (account ID) — keep pending audit-retention check",$C100="Emag_Reporting","Legacy but likely needed",$C100="Nutrition_Data_Archived_Tables","Worth keeping",$C100="EU_Data","Static lookup tables — scripts still reference (smoke-test risk)",TRUE,"Review"),OR($A100="thg-influencer",$A100="thg-ingenuity",$A100="thg-central-marketing",$A100="thg-seoclarity"),"HOLD — Charlie Stringer to review before deletion",TRUE,"")</f>
        <v>Review</v>
      </c>
      <c r="S100" t="s">
        <v>1624</v>
      </c>
    </row>
    <row r="101" spans="1:19" hidden="1">
      <c r="A101" t="s">
        <v>89</v>
      </c>
      <c r="B101" t="s">
        <v>1619</v>
      </c>
      <c r="C101" t="s">
        <v>1854</v>
      </c>
      <c r="D101" s="2" t="s">
        <v>1621</v>
      </c>
      <c r="E101">
        <v>0</v>
      </c>
      <c r="F101">
        <v>0</v>
      </c>
      <c r="G101" t="s">
        <v>79</v>
      </c>
      <c r="H101" t="s">
        <v>81</v>
      </c>
      <c r="I101">
        <v>56</v>
      </c>
      <c r="K101" s="5">
        <v>46141.41685228009</v>
      </c>
      <c r="M101" s="2" t="s">
        <v>1848</v>
      </c>
      <c r="N101" s="2" t="s">
        <v>1701</v>
      </c>
      <c r="P101" t="str">
        <f>IF($Q101="DELETE",IF($S101="CONFIRMED: NO MODS &gt; 1YR","CONFIRMED: NO MODS &gt; 1YR","DO NOT DELETE — not defensibly confirmed"),IF($Q101="HOLD","DO NOT DELETE — HOLD (Charlie review)",IF($Q101="KEEP","DO NOT DELETE — KEEP",IF(ISNUMBER(SEARCH("REVIEW",$Q101)),"DO NOT DELETE — REVIEW pending",$S101))))</f>
        <v>DO NOT DELETE — REVIEW pending</v>
      </c>
      <c r="Q101" t="str" cm="1">
        <f t="array" ref="Q101">_xlfn.IFS(AND($A101="thg-beauty",ISNUMBER(SEARCH("liveramp",$C101))),"DELETE",$A101="agile-bonbon-662",_xlfn.IFS(LEFT($G101,9)="Tranche 1","DELETE",$C101="Sessions_Level_1_All_Sites","KEEP",ISNUMBER(--$C101),"REVIEW — UA raw logs",$C101="Emag_Reporting","KEEP",$C101="Nutrition_Data_Archived_Tables","KEEP",$C101="EU_Data","KEEP",TRUE,"REVIEW"),OR($A101="thg-influencer",$A101="thg-ingenuity",$A101="thg-central-marketing",$A101="thg-seoclarity"),"HOLD",TRUE,"")</f>
        <v>REVIEW — UA raw logs</v>
      </c>
      <c r="R101" t="str" cm="1">
        <f t="array" ref="R101">_xlfn.IFS(AND($A101="thg-beauty",ISNUMBER(SEARCH("liveramp",$C101))),"thg-beauty Liveramp dataset — confirmed safe to delete",$A101="agile-bonbon-662",_xlfn.IFS(LEFT($G101,9)="Tranche 1","Tranche 1: cleared",$C101="Sessions_Level_1_All_Sites","Downstream aggregation of UA raw logs — keep if raw tables go",ISNUMBER(--$C101),"UA raw site logs (account ID) — keep pending audit-retention check",$C101="Emag_Reporting","Legacy but likely needed",$C101="Nutrition_Data_Archived_Tables","Worth keeping",$C101="EU_Data","Static lookup tables — scripts still reference (smoke-test risk)",TRUE,"Review"),OR($A101="thg-influencer",$A101="thg-ingenuity",$A101="thg-central-marketing",$A101="thg-seoclarity"),"HOLD — Charlie Stringer to review before deletion",TRUE,"")</f>
        <v>UA raw site logs (account ID) — keep pending audit-retention check</v>
      </c>
      <c r="S101" t="s">
        <v>1624</v>
      </c>
    </row>
    <row r="102" spans="1:19" hidden="1">
      <c r="A102" t="s">
        <v>89</v>
      </c>
      <c r="B102" t="s">
        <v>1619</v>
      </c>
      <c r="C102" t="s">
        <v>1855</v>
      </c>
      <c r="D102" s="2" t="s">
        <v>1621</v>
      </c>
      <c r="E102">
        <v>0</v>
      </c>
      <c r="F102">
        <v>0</v>
      </c>
      <c r="G102" t="s">
        <v>79</v>
      </c>
      <c r="H102" t="s">
        <v>81</v>
      </c>
      <c r="I102">
        <v>56</v>
      </c>
      <c r="K102" s="5">
        <v>46141.418507847222</v>
      </c>
      <c r="M102" s="2" t="s">
        <v>1856</v>
      </c>
      <c r="N102" s="2" t="s">
        <v>1701</v>
      </c>
      <c r="P102" t="str">
        <f>IF($Q102="DELETE",IF($S102="CONFIRMED: NO MODS &gt; 1YR","CONFIRMED: NO MODS &gt; 1YR","DO NOT DELETE — not defensibly confirmed"),IF($Q102="HOLD","DO NOT DELETE — HOLD (Charlie review)",IF($Q102="KEEP","DO NOT DELETE — KEEP",IF(ISNUMBER(SEARCH("REVIEW",$Q102)),"DO NOT DELETE — REVIEW pending",$S102))))</f>
        <v>DO NOT DELETE — REVIEW pending</v>
      </c>
      <c r="Q102" t="str" cm="1">
        <f t="array" ref="Q102">_xlfn.IFS(AND($A102="thg-beauty",ISNUMBER(SEARCH("liveramp",$C102))),"DELETE",$A102="agile-bonbon-662",_xlfn.IFS(LEFT($G102,9)="Tranche 1","DELETE",$C102="Sessions_Level_1_All_Sites","KEEP",ISNUMBER(--$C102),"REVIEW — UA raw logs",$C102="Emag_Reporting","KEEP",$C102="Nutrition_Data_Archived_Tables","KEEP",$C102="EU_Data","KEEP",TRUE,"REVIEW"),OR($A102="thg-influencer",$A102="thg-ingenuity",$A102="thg-central-marketing",$A102="thg-seoclarity"),"HOLD",TRUE,"")</f>
        <v>REVIEW — UA raw logs</v>
      </c>
      <c r="R102" t="str" cm="1">
        <f t="array" ref="R102">_xlfn.IFS(AND($A102="thg-beauty",ISNUMBER(SEARCH("liveramp",$C102))),"thg-beauty Liveramp dataset — confirmed safe to delete",$A102="agile-bonbon-662",_xlfn.IFS(LEFT($G102,9)="Tranche 1","Tranche 1: cleared",$C102="Sessions_Level_1_All_Sites","Downstream aggregation of UA raw logs — keep if raw tables go",ISNUMBER(--$C102),"UA raw site logs (account ID) — keep pending audit-retention check",$C102="Emag_Reporting","Legacy but likely needed",$C102="Nutrition_Data_Archived_Tables","Worth keeping",$C102="EU_Data","Static lookup tables — scripts still reference (smoke-test risk)",TRUE,"Review"),OR($A102="thg-influencer",$A102="thg-ingenuity",$A102="thg-central-marketing",$A102="thg-seoclarity"),"HOLD — Charlie Stringer to review before deletion",TRUE,"")</f>
        <v>UA raw site logs (account ID) — keep pending audit-retention check</v>
      </c>
      <c r="S102" t="s">
        <v>1624</v>
      </c>
    </row>
    <row r="103" spans="1:19" hidden="1">
      <c r="A103" t="s">
        <v>89</v>
      </c>
      <c r="B103" t="s">
        <v>1619</v>
      </c>
      <c r="C103" t="s">
        <v>1857</v>
      </c>
      <c r="D103" s="2" t="s">
        <v>1621</v>
      </c>
      <c r="E103">
        <v>0</v>
      </c>
      <c r="F103">
        <v>0</v>
      </c>
      <c r="G103" t="s">
        <v>79</v>
      </c>
      <c r="H103" t="s">
        <v>81</v>
      </c>
      <c r="I103">
        <v>56</v>
      </c>
      <c r="K103" s="5">
        <v>46141.416965289347</v>
      </c>
      <c r="M103" s="2" t="s">
        <v>1848</v>
      </c>
      <c r="N103" s="2" t="s">
        <v>1701</v>
      </c>
      <c r="P103" t="str">
        <f>IF($Q103="DELETE",IF($S103="CONFIRMED: NO MODS &gt; 1YR","CONFIRMED: NO MODS &gt; 1YR","DO NOT DELETE — not defensibly confirmed"),IF($Q103="HOLD","DO NOT DELETE — HOLD (Charlie review)",IF($Q103="KEEP","DO NOT DELETE — KEEP",IF(ISNUMBER(SEARCH("REVIEW",$Q103)),"DO NOT DELETE — REVIEW pending",$S103))))</f>
        <v>DO NOT DELETE — REVIEW pending</v>
      </c>
      <c r="Q103" t="str" cm="1">
        <f t="array" ref="Q103">_xlfn.IFS(AND($A103="thg-beauty",ISNUMBER(SEARCH("liveramp",$C103))),"DELETE",$A103="agile-bonbon-662",_xlfn.IFS(LEFT($G103,9)="Tranche 1","DELETE",$C103="Sessions_Level_1_All_Sites","KEEP",ISNUMBER(--$C103),"REVIEW — UA raw logs",$C103="Emag_Reporting","KEEP",$C103="Nutrition_Data_Archived_Tables","KEEP",$C103="EU_Data","KEEP",TRUE,"REVIEW"),OR($A103="thg-influencer",$A103="thg-ingenuity",$A103="thg-central-marketing",$A103="thg-seoclarity"),"HOLD",TRUE,"")</f>
        <v>REVIEW — UA raw logs</v>
      </c>
      <c r="R103" t="str" cm="1">
        <f t="array" ref="R103">_xlfn.IFS(AND($A103="thg-beauty",ISNUMBER(SEARCH("liveramp",$C103))),"thg-beauty Liveramp dataset — confirmed safe to delete",$A103="agile-bonbon-662",_xlfn.IFS(LEFT($G103,9)="Tranche 1","Tranche 1: cleared",$C103="Sessions_Level_1_All_Sites","Downstream aggregation of UA raw logs — keep if raw tables go",ISNUMBER(--$C103),"UA raw site logs (account ID) — keep pending audit-retention check",$C103="Emag_Reporting","Legacy but likely needed",$C103="Nutrition_Data_Archived_Tables","Worth keeping",$C103="EU_Data","Static lookup tables — scripts still reference (smoke-test risk)",TRUE,"Review"),OR($A103="thg-influencer",$A103="thg-ingenuity",$A103="thg-central-marketing",$A103="thg-seoclarity"),"HOLD — Charlie Stringer to review before deletion",TRUE,"")</f>
        <v>UA raw site logs (account ID) — keep pending audit-retention check</v>
      </c>
      <c r="S103" t="s">
        <v>1624</v>
      </c>
    </row>
    <row r="104" spans="1:19" hidden="1">
      <c r="A104" t="s">
        <v>89</v>
      </c>
      <c r="B104" t="s">
        <v>1619</v>
      </c>
      <c r="C104" t="s">
        <v>1858</v>
      </c>
      <c r="D104" s="2" t="s">
        <v>1621</v>
      </c>
      <c r="E104">
        <v>0</v>
      </c>
      <c r="F104">
        <v>0</v>
      </c>
      <c r="G104" t="s">
        <v>79</v>
      </c>
      <c r="H104" t="s">
        <v>81</v>
      </c>
      <c r="I104">
        <v>56</v>
      </c>
      <c r="K104" s="5">
        <v>46141.423545347221</v>
      </c>
      <c r="M104" s="2" t="s">
        <v>1851</v>
      </c>
      <c r="N104" s="2" t="s">
        <v>1701</v>
      </c>
      <c r="P104" t="str">
        <f>IF($Q104="DELETE",IF($S104="CONFIRMED: NO MODS &gt; 1YR","CONFIRMED: NO MODS &gt; 1YR","DO NOT DELETE — not defensibly confirmed"),IF($Q104="HOLD","DO NOT DELETE — HOLD (Charlie review)",IF($Q104="KEEP","DO NOT DELETE — KEEP",IF(ISNUMBER(SEARCH("REVIEW",$Q104)),"DO NOT DELETE — REVIEW pending",$S104))))</f>
        <v>DO NOT DELETE — REVIEW pending</v>
      </c>
      <c r="Q104" t="str" cm="1">
        <f t="array" ref="Q104">_xlfn.IFS(AND($A104="thg-beauty",ISNUMBER(SEARCH("liveramp",$C104))),"DELETE",$A104="agile-bonbon-662",_xlfn.IFS(LEFT($G104,9)="Tranche 1","DELETE",$C104="Sessions_Level_1_All_Sites","KEEP",ISNUMBER(--$C104),"REVIEW — UA raw logs",$C104="Emag_Reporting","KEEP",$C104="Nutrition_Data_Archived_Tables","KEEP",$C104="EU_Data","KEEP",TRUE,"REVIEW"),OR($A104="thg-influencer",$A104="thg-ingenuity",$A104="thg-central-marketing",$A104="thg-seoclarity"),"HOLD",TRUE,"")</f>
        <v>REVIEW</v>
      </c>
      <c r="R104" t="str" cm="1">
        <f t="array" ref="R104">_xlfn.IFS(AND($A104="thg-beauty",ISNUMBER(SEARCH("liveramp",$C104))),"thg-beauty Liveramp dataset — confirmed safe to delete",$A104="agile-bonbon-662",_xlfn.IFS(LEFT($G104,9)="Tranche 1","Tranche 1: cleared",$C104="Sessions_Level_1_All_Sites","Downstream aggregation of UA raw logs — keep if raw tables go",ISNUMBER(--$C104),"UA raw site logs (account ID) — keep pending audit-retention check",$C104="Emag_Reporting","Legacy but likely needed",$C104="Nutrition_Data_Archived_Tables","Worth keeping",$C104="EU_Data","Static lookup tables — scripts still reference (smoke-test risk)",TRUE,"Review"),OR($A104="thg-influencer",$A104="thg-ingenuity",$A104="thg-central-marketing",$A104="thg-seoclarity"),"HOLD — Charlie Stringer to review before deletion",TRUE,"")</f>
        <v>Review</v>
      </c>
      <c r="S104" t="s">
        <v>1624</v>
      </c>
    </row>
    <row r="105" spans="1:19" hidden="1">
      <c r="A105" t="s">
        <v>89</v>
      </c>
      <c r="B105" t="s">
        <v>1619</v>
      </c>
      <c r="C105" t="s">
        <v>1859</v>
      </c>
      <c r="D105" s="2" t="s">
        <v>1621</v>
      </c>
      <c r="E105">
        <v>0</v>
      </c>
      <c r="F105">
        <v>0</v>
      </c>
      <c r="G105" t="s">
        <v>79</v>
      </c>
      <c r="H105" t="s">
        <v>81</v>
      </c>
      <c r="I105">
        <v>56</v>
      </c>
      <c r="K105" s="5">
        <v>46141.416317233787</v>
      </c>
      <c r="M105" s="2" t="s">
        <v>1843</v>
      </c>
      <c r="N105" s="2" t="s">
        <v>1701</v>
      </c>
      <c r="P105" t="str">
        <f>IF($Q105="DELETE",IF($S105="CONFIRMED: NO MODS &gt; 1YR","CONFIRMED: NO MODS &gt; 1YR","DO NOT DELETE — not defensibly confirmed"),IF($Q105="HOLD","DO NOT DELETE — HOLD (Charlie review)",IF($Q105="KEEP","DO NOT DELETE — KEEP",IF(ISNUMBER(SEARCH("REVIEW",$Q105)),"DO NOT DELETE — REVIEW pending",$S105))))</f>
        <v>DO NOT DELETE — REVIEW pending</v>
      </c>
      <c r="Q105" t="str" cm="1">
        <f t="array" ref="Q105">_xlfn.IFS(AND($A105="thg-beauty",ISNUMBER(SEARCH("liveramp",$C105))),"DELETE",$A105="agile-bonbon-662",_xlfn.IFS(LEFT($G105,9)="Tranche 1","DELETE",$C105="Sessions_Level_1_All_Sites","KEEP",ISNUMBER(--$C105),"REVIEW — UA raw logs",$C105="Emag_Reporting","KEEP",$C105="Nutrition_Data_Archived_Tables","KEEP",$C105="EU_Data","KEEP",TRUE,"REVIEW"),OR($A105="thg-influencer",$A105="thg-ingenuity",$A105="thg-central-marketing",$A105="thg-seoclarity"),"HOLD",TRUE,"")</f>
        <v>REVIEW — UA raw logs</v>
      </c>
      <c r="R105" t="str" cm="1">
        <f t="array" ref="R105">_xlfn.IFS(AND($A105="thg-beauty",ISNUMBER(SEARCH("liveramp",$C105))),"thg-beauty Liveramp dataset — confirmed safe to delete",$A105="agile-bonbon-662",_xlfn.IFS(LEFT($G105,9)="Tranche 1","Tranche 1: cleared",$C105="Sessions_Level_1_All_Sites","Downstream aggregation of UA raw logs — keep if raw tables go",ISNUMBER(--$C105),"UA raw site logs (account ID) — keep pending audit-retention check",$C105="Emag_Reporting","Legacy but likely needed",$C105="Nutrition_Data_Archived_Tables","Worth keeping",$C105="EU_Data","Static lookup tables — scripts still reference (smoke-test risk)",TRUE,"Review"),OR($A105="thg-influencer",$A105="thg-ingenuity",$A105="thg-central-marketing",$A105="thg-seoclarity"),"HOLD — Charlie Stringer to review before deletion",TRUE,"")</f>
        <v>UA raw site logs (account ID) — keep pending audit-retention check</v>
      </c>
      <c r="S105" t="s">
        <v>1624</v>
      </c>
    </row>
    <row r="106" spans="1:19" hidden="1">
      <c r="A106" t="s">
        <v>89</v>
      </c>
      <c r="B106" t="s">
        <v>1619</v>
      </c>
      <c r="C106" t="s">
        <v>1860</v>
      </c>
      <c r="D106" s="2" t="s">
        <v>1621</v>
      </c>
      <c r="E106">
        <v>0</v>
      </c>
      <c r="F106">
        <v>0</v>
      </c>
      <c r="G106" t="s">
        <v>79</v>
      </c>
      <c r="H106" t="s">
        <v>81</v>
      </c>
      <c r="I106">
        <v>56</v>
      </c>
      <c r="K106" s="5">
        <v>46141.420321550933</v>
      </c>
      <c r="M106" s="2" t="s">
        <v>1838</v>
      </c>
      <c r="N106" s="2" t="s">
        <v>1701</v>
      </c>
      <c r="P106" t="str">
        <f>IF($Q106="DELETE",IF($S106="CONFIRMED: NO MODS &gt; 1YR","CONFIRMED: NO MODS &gt; 1YR","DO NOT DELETE — not defensibly confirmed"),IF($Q106="HOLD","DO NOT DELETE — HOLD (Charlie review)",IF($Q106="KEEP","DO NOT DELETE — KEEP",IF(ISNUMBER(SEARCH("REVIEW",$Q106)),"DO NOT DELETE — REVIEW pending",$S106))))</f>
        <v>DO NOT DELETE — REVIEW pending</v>
      </c>
      <c r="Q106" t="str" cm="1">
        <f t="array" ref="Q106">_xlfn.IFS(AND($A106="thg-beauty",ISNUMBER(SEARCH("liveramp",$C106))),"DELETE",$A106="agile-bonbon-662",_xlfn.IFS(LEFT($G106,9)="Tranche 1","DELETE",$C106="Sessions_Level_1_All_Sites","KEEP",ISNUMBER(--$C106),"REVIEW — UA raw logs",$C106="Emag_Reporting","KEEP",$C106="Nutrition_Data_Archived_Tables","KEEP",$C106="EU_Data","KEEP",TRUE,"REVIEW"),OR($A106="thg-influencer",$A106="thg-ingenuity",$A106="thg-central-marketing",$A106="thg-seoclarity"),"HOLD",TRUE,"")</f>
        <v>REVIEW</v>
      </c>
      <c r="R106" t="str" cm="1">
        <f t="array" ref="R106">_xlfn.IFS(AND($A106="thg-beauty",ISNUMBER(SEARCH("liveramp",$C106))),"thg-beauty Liveramp dataset — confirmed safe to delete",$A106="agile-bonbon-662",_xlfn.IFS(LEFT($G106,9)="Tranche 1","Tranche 1: cleared",$C106="Sessions_Level_1_All_Sites","Downstream aggregation of UA raw logs — keep if raw tables go",ISNUMBER(--$C106),"UA raw site logs (account ID) — keep pending audit-retention check",$C106="Emag_Reporting","Legacy but likely needed",$C106="Nutrition_Data_Archived_Tables","Worth keeping",$C106="EU_Data","Static lookup tables — scripts still reference (smoke-test risk)",TRUE,"Review"),OR($A106="thg-influencer",$A106="thg-ingenuity",$A106="thg-central-marketing",$A106="thg-seoclarity"),"HOLD — Charlie Stringer to review before deletion",TRUE,"")</f>
        <v>Review</v>
      </c>
      <c r="S106" t="s">
        <v>1624</v>
      </c>
    </row>
    <row r="107" spans="1:19" hidden="1">
      <c r="A107" t="s">
        <v>89</v>
      </c>
      <c r="B107" t="s">
        <v>1619</v>
      </c>
      <c r="C107" t="s">
        <v>1861</v>
      </c>
      <c r="D107" s="2" t="s">
        <v>1621</v>
      </c>
      <c r="E107">
        <v>0</v>
      </c>
      <c r="F107">
        <v>0</v>
      </c>
      <c r="G107" t="s">
        <v>79</v>
      </c>
      <c r="H107" t="s">
        <v>81</v>
      </c>
      <c r="I107">
        <v>56</v>
      </c>
      <c r="K107" s="5">
        <v>46141.420585740743</v>
      </c>
      <c r="M107" s="2" t="s">
        <v>1838</v>
      </c>
      <c r="N107" s="2" t="s">
        <v>1701</v>
      </c>
      <c r="P107" t="str">
        <f>IF($Q107="DELETE",IF($S107="CONFIRMED: NO MODS &gt; 1YR","CONFIRMED: NO MODS &gt; 1YR","DO NOT DELETE — not defensibly confirmed"),IF($Q107="HOLD","DO NOT DELETE — HOLD (Charlie review)",IF($Q107="KEEP","DO NOT DELETE — KEEP",IF(ISNUMBER(SEARCH("REVIEW",$Q107)),"DO NOT DELETE — REVIEW pending",$S107))))</f>
        <v>DO NOT DELETE — REVIEW pending</v>
      </c>
      <c r="Q107" t="str" cm="1">
        <f t="array" ref="Q107">_xlfn.IFS(AND($A107="thg-beauty",ISNUMBER(SEARCH("liveramp",$C107))),"DELETE",$A107="agile-bonbon-662",_xlfn.IFS(LEFT($G107,9)="Tranche 1","DELETE",$C107="Sessions_Level_1_All_Sites","KEEP",ISNUMBER(--$C107),"REVIEW — UA raw logs",$C107="Emag_Reporting","KEEP",$C107="Nutrition_Data_Archived_Tables","KEEP",$C107="EU_Data","KEEP",TRUE,"REVIEW"),OR($A107="thg-influencer",$A107="thg-ingenuity",$A107="thg-central-marketing",$A107="thg-seoclarity"),"HOLD",TRUE,"")</f>
        <v>REVIEW</v>
      </c>
      <c r="R107" t="str" cm="1">
        <f t="array" ref="R107">_xlfn.IFS(AND($A107="thg-beauty",ISNUMBER(SEARCH("liveramp",$C107))),"thg-beauty Liveramp dataset — confirmed safe to delete",$A107="agile-bonbon-662",_xlfn.IFS(LEFT($G107,9)="Tranche 1","Tranche 1: cleared",$C107="Sessions_Level_1_All_Sites","Downstream aggregation of UA raw logs — keep if raw tables go",ISNUMBER(--$C107),"UA raw site logs (account ID) — keep pending audit-retention check",$C107="Emag_Reporting","Legacy but likely needed",$C107="Nutrition_Data_Archived_Tables","Worth keeping",$C107="EU_Data","Static lookup tables — scripts still reference (smoke-test risk)",TRUE,"Review"),OR($A107="thg-influencer",$A107="thg-ingenuity",$A107="thg-central-marketing",$A107="thg-seoclarity"),"HOLD — Charlie Stringer to review before deletion",TRUE,"")</f>
        <v>Review</v>
      </c>
      <c r="S107" t="s">
        <v>1624</v>
      </c>
    </row>
    <row r="108" spans="1:19" hidden="1">
      <c r="A108" t="s">
        <v>89</v>
      </c>
      <c r="B108" t="s">
        <v>1619</v>
      </c>
      <c r="C108" t="s">
        <v>1862</v>
      </c>
      <c r="D108" s="2" t="s">
        <v>1621</v>
      </c>
      <c r="E108">
        <v>0</v>
      </c>
      <c r="F108">
        <v>0</v>
      </c>
      <c r="G108" t="s">
        <v>79</v>
      </c>
      <c r="H108" t="s">
        <v>81</v>
      </c>
      <c r="I108">
        <v>56</v>
      </c>
      <c r="K108" s="5">
        <v>46141.416852962961</v>
      </c>
      <c r="M108" s="2" t="s">
        <v>1848</v>
      </c>
      <c r="N108" s="2" t="s">
        <v>1701</v>
      </c>
      <c r="P108" t="str">
        <f>IF($Q108="DELETE",IF($S108="CONFIRMED: NO MODS &gt; 1YR","CONFIRMED: NO MODS &gt; 1YR","DO NOT DELETE — not defensibly confirmed"),IF($Q108="HOLD","DO NOT DELETE — HOLD (Charlie review)",IF($Q108="KEEP","DO NOT DELETE — KEEP",IF(ISNUMBER(SEARCH("REVIEW",$Q108)),"DO NOT DELETE — REVIEW pending",$S108))))</f>
        <v>DO NOT DELETE — REVIEW pending</v>
      </c>
      <c r="Q108" t="str" cm="1">
        <f t="array" ref="Q108">_xlfn.IFS(AND($A108="thg-beauty",ISNUMBER(SEARCH("liveramp",$C108))),"DELETE",$A108="agile-bonbon-662",_xlfn.IFS(LEFT($G108,9)="Tranche 1","DELETE",$C108="Sessions_Level_1_All_Sites","KEEP",ISNUMBER(--$C108),"REVIEW — UA raw logs",$C108="Emag_Reporting","KEEP",$C108="Nutrition_Data_Archived_Tables","KEEP",$C108="EU_Data","KEEP",TRUE,"REVIEW"),OR($A108="thg-influencer",$A108="thg-ingenuity",$A108="thg-central-marketing",$A108="thg-seoclarity"),"HOLD",TRUE,"")</f>
        <v>REVIEW — UA raw logs</v>
      </c>
      <c r="R108" t="str" cm="1">
        <f t="array" ref="R108">_xlfn.IFS(AND($A108="thg-beauty",ISNUMBER(SEARCH("liveramp",$C108))),"thg-beauty Liveramp dataset — confirmed safe to delete",$A108="agile-bonbon-662",_xlfn.IFS(LEFT($G108,9)="Tranche 1","Tranche 1: cleared",$C108="Sessions_Level_1_All_Sites","Downstream aggregation of UA raw logs — keep if raw tables go",ISNUMBER(--$C108),"UA raw site logs (account ID) — keep pending audit-retention check",$C108="Emag_Reporting","Legacy but likely needed",$C108="Nutrition_Data_Archived_Tables","Worth keeping",$C108="EU_Data","Static lookup tables — scripts still reference (smoke-test risk)",TRUE,"Review"),OR($A108="thg-influencer",$A108="thg-ingenuity",$A108="thg-central-marketing",$A108="thg-seoclarity"),"HOLD — Charlie Stringer to review before deletion",TRUE,"")</f>
        <v>UA raw site logs (account ID) — keep pending audit-retention check</v>
      </c>
      <c r="S108" t="s">
        <v>1624</v>
      </c>
    </row>
    <row r="109" spans="1:19" hidden="1">
      <c r="A109" t="s">
        <v>89</v>
      </c>
      <c r="B109" t="s">
        <v>1619</v>
      </c>
      <c r="C109" t="s">
        <v>1863</v>
      </c>
      <c r="D109" s="2" t="s">
        <v>1621</v>
      </c>
      <c r="E109">
        <v>0</v>
      </c>
      <c r="F109">
        <v>0</v>
      </c>
      <c r="G109" t="s">
        <v>79</v>
      </c>
      <c r="H109" t="s">
        <v>81</v>
      </c>
      <c r="I109">
        <v>56</v>
      </c>
      <c r="K109" s="5">
        <v>46141.416268981477</v>
      </c>
      <c r="M109" s="2" t="s">
        <v>1843</v>
      </c>
      <c r="N109" s="2" t="s">
        <v>1701</v>
      </c>
      <c r="P109" t="str">
        <f>IF($Q109="DELETE",IF($S109="CONFIRMED: NO MODS &gt; 1YR","CONFIRMED: NO MODS &gt; 1YR","DO NOT DELETE — not defensibly confirmed"),IF($Q109="HOLD","DO NOT DELETE — HOLD (Charlie review)",IF($Q109="KEEP","DO NOT DELETE — KEEP",IF(ISNUMBER(SEARCH("REVIEW",$Q109)),"DO NOT DELETE — REVIEW pending",$S109))))</f>
        <v>DO NOT DELETE — REVIEW pending</v>
      </c>
      <c r="Q109" t="str" cm="1">
        <f t="array" ref="Q109">_xlfn.IFS(AND($A109="thg-beauty",ISNUMBER(SEARCH("liveramp",$C109))),"DELETE",$A109="agile-bonbon-662",_xlfn.IFS(LEFT($G109,9)="Tranche 1","DELETE",$C109="Sessions_Level_1_All_Sites","KEEP",ISNUMBER(--$C109),"REVIEW — UA raw logs",$C109="Emag_Reporting","KEEP",$C109="Nutrition_Data_Archived_Tables","KEEP",$C109="EU_Data","KEEP",TRUE,"REVIEW"),OR($A109="thg-influencer",$A109="thg-ingenuity",$A109="thg-central-marketing",$A109="thg-seoclarity"),"HOLD",TRUE,"")</f>
        <v>REVIEW — UA raw logs</v>
      </c>
      <c r="R109" t="str" cm="1">
        <f t="array" ref="R109">_xlfn.IFS(AND($A109="thg-beauty",ISNUMBER(SEARCH("liveramp",$C109))),"thg-beauty Liveramp dataset — confirmed safe to delete",$A109="agile-bonbon-662",_xlfn.IFS(LEFT($G109,9)="Tranche 1","Tranche 1: cleared",$C109="Sessions_Level_1_All_Sites","Downstream aggregation of UA raw logs — keep if raw tables go",ISNUMBER(--$C109),"UA raw site logs (account ID) — keep pending audit-retention check",$C109="Emag_Reporting","Legacy but likely needed",$C109="Nutrition_Data_Archived_Tables","Worth keeping",$C109="EU_Data","Static lookup tables — scripts still reference (smoke-test risk)",TRUE,"Review"),OR($A109="thg-influencer",$A109="thg-ingenuity",$A109="thg-central-marketing",$A109="thg-seoclarity"),"HOLD — Charlie Stringer to review before deletion",TRUE,"")</f>
        <v>UA raw site logs (account ID) — keep pending audit-retention check</v>
      </c>
      <c r="S109" t="s">
        <v>1624</v>
      </c>
    </row>
    <row r="110" spans="1:19" hidden="1">
      <c r="A110" t="s">
        <v>89</v>
      </c>
      <c r="B110" t="s">
        <v>1619</v>
      </c>
      <c r="C110" t="s">
        <v>1864</v>
      </c>
      <c r="D110" s="2" t="s">
        <v>1621</v>
      </c>
      <c r="E110">
        <v>0</v>
      </c>
      <c r="F110">
        <v>0</v>
      </c>
      <c r="G110" t="s">
        <v>79</v>
      </c>
      <c r="H110" t="s">
        <v>81</v>
      </c>
      <c r="I110">
        <v>56</v>
      </c>
      <c r="K110" s="5">
        <v>46141.419008229168</v>
      </c>
      <c r="M110" s="2" t="s">
        <v>1865</v>
      </c>
      <c r="N110" s="2" t="s">
        <v>1701</v>
      </c>
      <c r="P110" t="str">
        <f>IF($Q110="DELETE",IF($S110="CONFIRMED: NO MODS &gt; 1YR","CONFIRMED: NO MODS &gt; 1YR","DO NOT DELETE — not defensibly confirmed"),IF($Q110="HOLD","DO NOT DELETE — HOLD (Charlie review)",IF($Q110="KEEP","DO NOT DELETE — KEEP",IF(ISNUMBER(SEARCH("REVIEW",$Q110)),"DO NOT DELETE — REVIEW pending",$S110))))</f>
        <v>DO NOT DELETE — REVIEW pending</v>
      </c>
      <c r="Q110" t="str" cm="1">
        <f t="array" ref="Q110">_xlfn.IFS(AND($A110="thg-beauty",ISNUMBER(SEARCH("liveramp",$C110))),"DELETE",$A110="agile-bonbon-662",_xlfn.IFS(LEFT($G110,9)="Tranche 1","DELETE",$C110="Sessions_Level_1_All_Sites","KEEP",ISNUMBER(--$C110),"REVIEW — UA raw logs",$C110="Emag_Reporting","KEEP",$C110="Nutrition_Data_Archived_Tables","KEEP",$C110="EU_Data","KEEP",TRUE,"REVIEW"),OR($A110="thg-influencer",$A110="thg-ingenuity",$A110="thg-central-marketing",$A110="thg-seoclarity"),"HOLD",TRUE,"")</f>
        <v>REVIEW — UA raw logs</v>
      </c>
      <c r="R110" t="str" cm="1">
        <f t="array" ref="R110">_xlfn.IFS(AND($A110="thg-beauty",ISNUMBER(SEARCH("liveramp",$C110))),"thg-beauty Liveramp dataset — confirmed safe to delete",$A110="agile-bonbon-662",_xlfn.IFS(LEFT($G110,9)="Tranche 1","Tranche 1: cleared",$C110="Sessions_Level_1_All_Sites","Downstream aggregation of UA raw logs — keep if raw tables go",ISNUMBER(--$C110),"UA raw site logs (account ID) — keep pending audit-retention check",$C110="Emag_Reporting","Legacy but likely needed",$C110="Nutrition_Data_Archived_Tables","Worth keeping",$C110="EU_Data","Static lookup tables — scripts still reference (smoke-test risk)",TRUE,"Review"),OR($A110="thg-influencer",$A110="thg-ingenuity",$A110="thg-central-marketing",$A110="thg-seoclarity"),"HOLD — Charlie Stringer to review before deletion",TRUE,"")</f>
        <v>UA raw site logs (account ID) — keep pending audit-retention check</v>
      </c>
      <c r="S110" t="s">
        <v>1624</v>
      </c>
    </row>
    <row r="111" spans="1:19" hidden="1">
      <c r="A111" t="s">
        <v>89</v>
      </c>
      <c r="B111" t="s">
        <v>1619</v>
      </c>
      <c r="C111" t="s">
        <v>1866</v>
      </c>
      <c r="D111" s="2" t="s">
        <v>1621</v>
      </c>
      <c r="E111">
        <v>0</v>
      </c>
      <c r="F111">
        <v>0</v>
      </c>
      <c r="G111" t="s">
        <v>79</v>
      </c>
      <c r="H111" t="s">
        <v>81</v>
      </c>
      <c r="I111">
        <v>56</v>
      </c>
      <c r="K111" s="5">
        <v>46141.415412453702</v>
      </c>
      <c r="M111" s="2" t="s">
        <v>1834</v>
      </c>
      <c r="N111" s="2" t="s">
        <v>1701</v>
      </c>
      <c r="P111" t="str">
        <f>IF($Q111="DELETE",IF($S111="CONFIRMED: NO MODS &gt; 1YR","CONFIRMED: NO MODS &gt; 1YR","DO NOT DELETE — not defensibly confirmed"),IF($Q111="HOLD","DO NOT DELETE — HOLD (Charlie review)",IF($Q111="KEEP","DO NOT DELETE — KEEP",IF(ISNUMBER(SEARCH("REVIEW",$Q111)),"DO NOT DELETE — REVIEW pending",$S111))))</f>
        <v>DO NOT DELETE — REVIEW pending</v>
      </c>
      <c r="Q111" t="str" cm="1">
        <f t="array" ref="Q111">_xlfn.IFS(AND($A111="thg-beauty",ISNUMBER(SEARCH("liveramp",$C111))),"DELETE",$A111="agile-bonbon-662",_xlfn.IFS(LEFT($G111,9)="Tranche 1","DELETE",$C111="Sessions_Level_1_All_Sites","KEEP",ISNUMBER(--$C111),"REVIEW — UA raw logs",$C111="Emag_Reporting","KEEP",$C111="Nutrition_Data_Archived_Tables","KEEP",$C111="EU_Data","KEEP",TRUE,"REVIEW"),OR($A111="thg-influencer",$A111="thg-ingenuity",$A111="thg-central-marketing",$A111="thg-seoclarity"),"HOLD",TRUE,"")</f>
        <v>REVIEW</v>
      </c>
      <c r="R111" t="str" cm="1">
        <f t="array" ref="R111">_xlfn.IFS(AND($A111="thg-beauty",ISNUMBER(SEARCH("liveramp",$C111))),"thg-beauty Liveramp dataset — confirmed safe to delete",$A111="agile-bonbon-662",_xlfn.IFS(LEFT($G111,9)="Tranche 1","Tranche 1: cleared",$C111="Sessions_Level_1_All_Sites","Downstream aggregation of UA raw logs — keep if raw tables go",ISNUMBER(--$C111),"UA raw site logs (account ID) — keep pending audit-retention check",$C111="Emag_Reporting","Legacy but likely needed",$C111="Nutrition_Data_Archived_Tables","Worth keeping",$C111="EU_Data","Static lookup tables — scripts still reference (smoke-test risk)",TRUE,"Review"),OR($A111="thg-influencer",$A111="thg-ingenuity",$A111="thg-central-marketing",$A111="thg-seoclarity"),"HOLD — Charlie Stringer to review before deletion",TRUE,"")</f>
        <v>Review</v>
      </c>
      <c r="S111" t="s">
        <v>1624</v>
      </c>
    </row>
    <row r="112" spans="1:19" hidden="1">
      <c r="A112" t="s">
        <v>89</v>
      </c>
      <c r="B112" t="s">
        <v>1619</v>
      </c>
      <c r="C112" t="s">
        <v>1867</v>
      </c>
      <c r="D112" s="2" t="s">
        <v>1621</v>
      </c>
      <c r="E112">
        <v>0</v>
      </c>
      <c r="F112">
        <v>0</v>
      </c>
      <c r="G112" t="s">
        <v>79</v>
      </c>
      <c r="H112" t="s">
        <v>81</v>
      </c>
      <c r="I112">
        <v>56</v>
      </c>
      <c r="K112" s="5">
        <v>46141.415354733799</v>
      </c>
      <c r="M112" s="2" t="s">
        <v>1834</v>
      </c>
      <c r="N112" s="2" t="s">
        <v>1701</v>
      </c>
      <c r="P112" t="str">
        <f>IF($Q112="DELETE",IF($S112="CONFIRMED: NO MODS &gt; 1YR","CONFIRMED: NO MODS &gt; 1YR","DO NOT DELETE — not defensibly confirmed"),IF($Q112="HOLD","DO NOT DELETE — HOLD (Charlie review)",IF($Q112="KEEP","DO NOT DELETE — KEEP",IF(ISNUMBER(SEARCH("REVIEW",$Q112)),"DO NOT DELETE — REVIEW pending",$S112))))</f>
        <v>DO NOT DELETE — REVIEW pending</v>
      </c>
      <c r="Q112" t="str" cm="1">
        <f t="array" ref="Q112">_xlfn.IFS(AND($A112="thg-beauty",ISNUMBER(SEARCH("liveramp",$C112))),"DELETE",$A112="agile-bonbon-662",_xlfn.IFS(LEFT($G112,9)="Tranche 1","DELETE",$C112="Sessions_Level_1_All_Sites","KEEP",ISNUMBER(--$C112),"REVIEW — UA raw logs",$C112="Emag_Reporting","KEEP",$C112="Nutrition_Data_Archived_Tables","KEEP",$C112="EU_Data","KEEP",TRUE,"REVIEW"),OR($A112="thg-influencer",$A112="thg-ingenuity",$A112="thg-central-marketing",$A112="thg-seoclarity"),"HOLD",TRUE,"")</f>
        <v>REVIEW</v>
      </c>
      <c r="R112" t="str" cm="1">
        <f t="array" ref="R112">_xlfn.IFS(AND($A112="thg-beauty",ISNUMBER(SEARCH("liveramp",$C112))),"thg-beauty Liveramp dataset — confirmed safe to delete",$A112="agile-bonbon-662",_xlfn.IFS(LEFT($G112,9)="Tranche 1","Tranche 1: cleared",$C112="Sessions_Level_1_All_Sites","Downstream aggregation of UA raw logs — keep if raw tables go",ISNUMBER(--$C112),"UA raw site logs (account ID) — keep pending audit-retention check",$C112="Emag_Reporting","Legacy but likely needed",$C112="Nutrition_Data_Archived_Tables","Worth keeping",$C112="EU_Data","Static lookup tables — scripts still reference (smoke-test risk)",TRUE,"Review"),OR($A112="thg-influencer",$A112="thg-ingenuity",$A112="thg-central-marketing",$A112="thg-seoclarity"),"HOLD — Charlie Stringer to review before deletion",TRUE,"")</f>
        <v>Review</v>
      </c>
      <c r="S112" t="s">
        <v>1624</v>
      </c>
    </row>
    <row r="113" spans="1:19" hidden="1">
      <c r="A113" t="s">
        <v>89</v>
      </c>
      <c r="B113" t="s">
        <v>1619</v>
      </c>
      <c r="C113" t="s">
        <v>1868</v>
      </c>
      <c r="D113" s="2" t="s">
        <v>1621</v>
      </c>
      <c r="E113">
        <v>0</v>
      </c>
      <c r="F113">
        <v>0</v>
      </c>
      <c r="G113" t="s">
        <v>79</v>
      </c>
      <c r="H113" t="s">
        <v>81</v>
      </c>
      <c r="I113">
        <v>56</v>
      </c>
      <c r="K113" s="5">
        <v>46141.415713935188</v>
      </c>
      <c r="M113" s="2" t="s">
        <v>1834</v>
      </c>
      <c r="N113" s="2" t="s">
        <v>1701</v>
      </c>
      <c r="P113" t="str">
        <f>IF($Q113="DELETE",IF($S113="CONFIRMED: NO MODS &gt; 1YR","CONFIRMED: NO MODS &gt; 1YR","DO NOT DELETE — not defensibly confirmed"),IF($Q113="HOLD","DO NOT DELETE — HOLD (Charlie review)",IF($Q113="KEEP","DO NOT DELETE — KEEP",IF(ISNUMBER(SEARCH("REVIEW",$Q113)),"DO NOT DELETE — REVIEW pending",$S113))))</f>
        <v>DO NOT DELETE — REVIEW pending</v>
      </c>
      <c r="Q113" t="str" cm="1">
        <f t="array" ref="Q113">_xlfn.IFS(AND($A113="thg-beauty",ISNUMBER(SEARCH("liveramp",$C113))),"DELETE",$A113="agile-bonbon-662",_xlfn.IFS(LEFT($G113,9)="Tranche 1","DELETE",$C113="Sessions_Level_1_All_Sites","KEEP",ISNUMBER(--$C113),"REVIEW — UA raw logs",$C113="Emag_Reporting","KEEP",$C113="Nutrition_Data_Archived_Tables","KEEP",$C113="EU_Data","KEEP",TRUE,"REVIEW"),OR($A113="thg-influencer",$A113="thg-ingenuity",$A113="thg-central-marketing",$A113="thg-seoclarity"),"HOLD",TRUE,"")</f>
        <v>REVIEW</v>
      </c>
      <c r="R113" t="str" cm="1">
        <f t="array" ref="R113">_xlfn.IFS(AND($A113="thg-beauty",ISNUMBER(SEARCH("liveramp",$C113))),"thg-beauty Liveramp dataset — confirmed safe to delete",$A113="agile-bonbon-662",_xlfn.IFS(LEFT($G113,9)="Tranche 1","Tranche 1: cleared",$C113="Sessions_Level_1_All_Sites","Downstream aggregation of UA raw logs — keep if raw tables go",ISNUMBER(--$C113),"UA raw site logs (account ID) — keep pending audit-retention check",$C113="Emag_Reporting","Legacy but likely needed",$C113="Nutrition_Data_Archived_Tables","Worth keeping",$C113="EU_Data","Static lookup tables — scripts still reference (smoke-test risk)",TRUE,"Review"),OR($A113="thg-influencer",$A113="thg-ingenuity",$A113="thg-central-marketing",$A113="thg-seoclarity"),"HOLD — Charlie Stringer to review before deletion",TRUE,"")</f>
        <v>Review</v>
      </c>
      <c r="S113" t="s">
        <v>1624</v>
      </c>
    </row>
    <row r="114" spans="1:19" hidden="1">
      <c r="A114" t="s">
        <v>89</v>
      </c>
      <c r="B114" t="s">
        <v>1619</v>
      </c>
      <c r="C114" t="s">
        <v>1869</v>
      </c>
      <c r="D114" s="2" t="s">
        <v>1621</v>
      </c>
      <c r="E114">
        <v>0</v>
      </c>
      <c r="F114">
        <v>0</v>
      </c>
      <c r="G114" t="s">
        <v>79</v>
      </c>
      <c r="H114" t="s">
        <v>81</v>
      </c>
      <c r="I114">
        <v>56</v>
      </c>
      <c r="K114" s="5">
        <v>46141.4177671875</v>
      </c>
      <c r="M114" s="2" t="s">
        <v>1841</v>
      </c>
      <c r="N114" s="2" t="s">
        <v>1701</v>
      </c>
      <c r="P114" t="str">
        <f>IF($Q114="DELETE",IF($S114="CONFIRMED: NO MODS &gt; 1YR","CONFIRMED: NO MODS &gt; 1YR","DO NOT DELETE — not defensibly confirmed"),IF($Q114="HOLD","DO NOT DELETE — HOLD (Charlie review)",IF($Q114="KEEP","DO NOT DELETE — KEEP",IF(ISNUMBER(SEARCH("REVIEW",$Q114)),"DO NOT DELETE — REVIEW pending",$S114))))</f>
        <v>DO NOT DELETE — REVIEW pending</v>
      </c>
      <c r="Q114" t="str" cm="1">
        <f t="array" ref="Q114">_xlfn.IFS(AND($A114="thg-beauty",ISNUMBER(SEARCH("liveramp",$C114))),"DELETE",$A114="agile-bonbon-662",_xlfn.IFS(LEFT($G114,9)="Tranche 1","DELETE",$C114="Sessions_Level_1_All_Sites","KEEP",ISNUMBER(--$C114),"REVIEW — UA raw logs",$C114="Emag_Reporting","KEEP",$C114="Nutrition_Data_Archived_Tables","KEEP",$C114="EU_Data","KEEP",TRUE,"REVIEW"),OR($A114="thg-influencer",$A114="thg-ingenuity",$A114="thg-central-marketing",$A114="thg-seoclarity"),"HOLD",TRUE,"")</f>
        <v>REVIEW — UA raw logs</v>
      </c>
      <c r="R114" t="str" cm="1">
        <f t="array" ref="R114">_xlfn.IFS(AND($A114="thg-beauty",ISNUMBER(SEARCH("liveramp",$C114))),"thg-beauty Liveramp dataset — confirmed safe to delete",$A114="agile-bonbon-662",_xlfn.IFS(LEFT($G114,9)="Tranche 1","Tranche 1: cleared",$C114="Sessions_Level_1_All_Sites","Downstream aggregation of UA raw logs — keep if raw tables go",ISNUMBER(--$C114),"UA raw site logs (account ID) — keep pending audit-retention check",$C114="Emag_Reporting","Legacy but likely needed",$C114="Nutrition_Data_Archived_Tables","Worth keeping",$C114="EU_Data","Static lookup tables — scripts still reference (smoke-test risk)",TRUE,"Review"),OR($A114="thg-influencer",$A114="thg-ingenuity",$A114="thg-central-marketing",$A114="thg-seoclarity"),"HOLD — Charlie Stringer to review before deletion",TRUE,"")</f>
        <v>UA raw site logs (account ID) — keep pending audit-retention check</v>
      </c>
      <c r="S114" t="s">
        <v>1624</v>
      </c>
    </row>
    <row r="115" spans="1:19" hidden="1">
      <c r="A115" t="s">
        <v>89</v>
      </c>
      <c r="B115" t="s">
        <v>1619</v>
      </c>
      <c r="C115" t="s">
        <v>1870</v>
      </c>
      <c r="D115" s="2" t="s">
        <v>1621</v>
      </c>
      <c r="E115">
        <v>0</v>
      </c>
      <c r="F115">
        <v>0</v>
      </c>
      <c r="G115" t="s">
        <v>79</v>
      </c>
      <c r="H115" t="s">
        <v>81</v>
      </c>
      <c r="I115">
        <v>56</v>
      </c>
      <c r="K115" s="5">
        <v>46141.419980497689</v>
      </c>
      <c r="M115" s="2" t="s">
        <v>1836</v>
      </c>
      <c r="N115" s="2" t="s">
        <v>1701</v>
      </c>
      <c r="P115" t="str">
        <f>IF($Q115="DELETE",IF($S115="CONFIRMED: NO MODS &gt; 1YR","CONFIRMED: NO MODS &gt; 1YR","DO NOT DELETE — not defensibly confirmed"),IF($Q115="HOLD","DO NOT DELETE — HOLD (Charlie review)",IF($Q115="KEEP","DO NOT DELETE — KEEP",IF(ISNUMBER(SEARCH("REVIEW",$Q115)),"DO NOT DELETE — REVIEW pending",$S115))))</f>
        <v>DO NOT DELETE — REVIEW pending</v>
      </c>
      <c r="Q115" t="str" cm="1">
        <f t="array" ref="Q115">_xlfn.IFS(AND($A115="thg-beauty",ISNUMBER(SEARCH("liveramp",$C115))),"DELETE",$A115="agile-bonbon-662",_xlfn.IFS(LEFT($G115,9)="Tranche 1","DELETE",$C115="Sessions_Level_1_All_Sites","KEEP",ISNUMBER(--$C115),"REVIEW — UA raw logs",$C115="Emag_Reporting","KEEP",$C115="Nutrition_Data_Archived_Tables","KEEP",$C115="EU_Data","KEEP",TRUE,"REVIEW"),OR($A115="thg-influencer",$A115="thg-ingenuity",$A115="thg-central-marketing",$A115="thg-seoclarity"),"HOLD",TRUE,"")</f>
        <v>REVIEW</v>
      </c>
      <c r="R115" t="str" cm="1">
        <f t="array" ref="R115">_xlfn.IFS(AND($A115="thg-beauty",ISNUMBER(SEARCH("liveramp",$C115))),"thg-beauty Liveramp dataset — confirmed safe to delete",$A115="agile-bonbon-662",_xlfn.IFS(LEFT($G115,9)="Tranche 1","Tranche 1: cleared",$C115="Sessions_Level_1_All_Sites","Downstream aggregation of UA raw logs — keep if raw tables go",ISNUMBER(--$C115),"UA raw site logs (account ID) — keep pending audit-retention check",$C115="Emag_Reporting","Legacy but likely needed",$C115="Nutrition_Data_Archived_Tables","Worth keeping",$C115="EU_Data","Static lookup tables — scripts still reference (smoke-test risk)",TRUE,"Review"),OR($A115="thg-influencer",$A115="thg-ingenuity",$A115="thg-central-marketing",$A115="thg-seoclarity"),"HOLD — Charlie Stringer to review before deletion",TRUE,"")</f>
        <v>Review</v>
      </c>
      <c r="S115" t="s">
        <v>1624</v>
      </c>
    </row>
    <row r="116" spans="1:19" hidden="1">
      <c r="A116" t="s">
        <v>89</v>
      </c>
      <c r="B116" t="s">
        <v>1619</v>
      </c>
      <c r="C116" t="s">
        <v>1871</v>
      </c>
      <c r="D116" s="2" t="s">
        <v>1621</v>
      </c>
      <c r="E116">
        <v>0</v>
      </c>
      <c r="F116">
        <v>0</v>
      </c>
      <c r="G116" t="s">
        <v>79</v>
      </c>
      <c r="H116" t="s">
        <v>81</v>
      </c>
      <c r="I116">
        <v>56</v>
      </c>
      <c r="K116" s="5">
        <v>46141.42367895833</v>
      </c>
      <c r="M116" s="2" t="s">
        <v>1845</v>
      </c>
      <c r="N116" s="2" t="s">
        <v>1701</v>
      </c>
      <c r="P116" t="str">
        <f>IF($Q116="DELETE",IF($S116="CONFIRMED: NO MODS &gt; 1YR","CONFIRMED: NO MODS &gt; 1YR","DO NOT DELETE — not defensibly confirmed"),IF($Q116="HOLD","DO NOT DELETE — HOLD (Charlie review)",IF($Q116="KEEP","DO NOT DELETE — KEEP",IF(ISNUMBER(SEARCH("REVIEW",$Q116)),"DO NOT DELETE — REVIEW pending",$S116))))</f>
        <v>DO NOT DELETE — REVIEW pending</v>
      </c>
      <c r="Q116" t="str" cm="1">
        <f t="array" ref="Q116">_xlfn.IFS(AND($A116="thg-beauty",ISNUMBER(SEARCH("liveramp",$C116))),"DELETE",$A116="agile-bonbon-662",_xlfn.IFS(LEFT($G116,9)="Tranche 1","DELETE",$C116="Sessions_Level_1_All_Sites","KEEP",ISNUMBER(--$C116),"REVIEW — UA raw logs",$C116="Emag_Reporting","KEEP",$C116="Nutrition_Data_Archived_Tables","KEEP",$C116="EU_Data","KEEP",TRUE,"REVIEW"),OR($A116="thg-influencer",$A116="thg-ingenuity",$A116="thg-central-marketing",$A116="thg-seoclarity"),"HOLD",TRUE,"")</f>
        <v>REVIEW</v>
      </c>
      <c r="R116" t="str" cm="1">
        <f t="array" ref="R116">_xlfn.IFS(AND($A116="thg-beauty",ISNUMBER(SEARCH("liveramp",$C116))),"thg-beauty Liveramp dataset — confirmed safe to delete",$A116="agile-bonbon-662",_xlfn.IFS(LEFT($G116,9)="Tranche 1","Tranche 1: cleared",$C116="Sessions_Level_1_All_Sites","Downstream aggregation of UA raw logs — keep if raw tables go",ISNUMBER(--$C116),"UA raw site logs (account ID) — keep pending audit-retention check",$C116="Emag_Reporting","Legacy but likely needed",$C116="Nutrition_Data_Archived_Tables","Worth keeping",$C116="EU_Data","Static lookup tables — scripts still reference (smoke-test risk)",TRUE,"Review"),OR($A116="thg-influencer",$A116="thg-ingenuity",$A116="thg-central-marketing",$A116="thg-seoclarity"),"HOLD — Charlie Stringer to review before deletion",TRUE,"")</f>
        <v>Review</v>
      </c>
      <c r="S116" t="s">
        <v>1624</v>
      </c>
    </row>
    <row r="117" spans="1:19" hidden="1">
      <c r="A117" t="s">
        <v>91</v>
      </c>
      <c r="B117" t="s">
        <v>1724</v>
      </c>
      <c r="C117" t="s">
        <v>1872</v>
      </c>
      <c r="D117" s="2" t="s">
        <v>1621</v>
      </c>
      <c r="E117">
        <v>0</v>
      </c>
      <c r="F117">
        <v>0</v>
      </c>
      <c r="G117" t="s">
        <v>79</v>
      </c>
      <c r="H117" t="s">
        <v>81</v>
      </c>
      <c r="I117">
        <v>56</v>
      </c>
      <c r="K117" s="5">
        <v>46141.41425425926</v>
      </c>
      <c r="M117" s="2" t="s">
        <v>1815</v>
      </c>
      <c r="N117" s="2" t="s">
        <v>1701</v>
      </c>
      <c r="P117" t="str">
        <f>IF($Q117="DELETE",IF($S117="CONFIRMED: NO MODS &gt; 1YR","CONFIRMED: NO MODS &gt; 1YR","DO NOT DELETE — not defensibly confirmed"),IF($Q117="HOLD","DO NOT DELETE — HOLD (Charlie review)",IF($Q117="KEEP","DO NOT DELETE — KEEP",IF(ISNUMBER(SEARCH("REVIEW",$Q117)),"DO NOT DELETE — REVIEW pending",$S117))))</f>
        <v>CONFIRMED: NO MODS &gt; 1YR</v>
      </c>
      <c r="Q117" t="str" cm="1">
        <f t="array" ref="Q117">_xlfn.IFS(AND($A117="thg-beauty",ISNUMBER(SEARCH("liveramp",$C117))),"DELETE",$A117="agile-bonbon-662",_xlfn.IFS(LEFT($G117,9)="Tranche 1","DELETE",$C117="Sessions_Level_1_All_Sites","KEEP",ISNUMBER(--$C117),"REVIEW — UA raw logs",$C117="Emag_Reporting","KEEP",$C117="Nutrition_Data_Archived_Tables","KEEP",$C117="EU_Data","KEEP",TRUE,"REVIEW"),OR($A117="thg-influencer",$A117="thg-ingenuity",$A117="thg-central-marketing",$A117="thg-seoclarity"),"HOLD",TRUE,"")</f>
        <v/>
      </c>
      <c r="R117" t="str" cm="1">
        <f t="array" ref="R117">_xlfn.IFS(AND($A117="thg-beauty",ISNUMBER(SEARCH("liveramp",$C117))),"thg-beauty Liveramp dataset — confirmed safe to delete",$A117="agile-bonbon-662",_xlfn.IFS(LEFT($G117,9)="Tranche 1","Tranche 1: cleared",$C117="Sessions_Level_1_All_Sites","Downstream aggregation of UA raw logs — keep if raw tables go",ISNUMBER(--$C117),"UA raw site logs (account ID) — keep pending audit-retention check",$C117="Emag_Reporting","Legacy but likely needed",$C117="Nutrition_Data_Archived_Tables","Worth keeping",$C117="EU_Data","Static lookup tables — scripts still reference (smoke-test risk)",TRUE,"Review"),OR($A117="thg-influencer",$A117="thg-ingenuity",$A117="thg-central-marketing",$A117="thg-seoclarity"),"HOLD — Charlie Stringer to review before deletion",TRUE,"")</f>
        <v/>
      </c>
      <c r="S117" t="s">
        <v>1624</v>
      </c>
    </row>
    <row r="118" spans="1:19" hidden="1">
      <c r="A118" t="s">
        <v>91</v>
      </c>
      <c r="B118" t="s">
        <v>1619</v>
      </c>
      <c r="C118" t="s">
        <v>1873</v>
      </c>
      <c r="D118" s="2" t="s">
        <v>1621</v>
      </c>
      <c r="E118">
        <v>0</v>
      </c>
      <c r="F118">
        <v>0</v>
      </c>
      <c r="G118" t="s">
        <v>79</v>
      </c>
      <c r="H118" t="s">
        <v>81</v>
      </c>
      <c r="I118">
        <v>56</v>
      </c>
      <c r="K118" s="5">
        <v>46141.414609247688</v>
      </c>
      <c r="M118" s="2" t="s">
        <v>1802</v>
      </c>
      <c r="N118" s="2" t="s">
        <v>1701</v>
      </c>
      <c r="P118" t="str">
        <f>IF($Q118="DELETE",IF($S118="CONFIRMED: NO MODS &gt; 1YR","CONFIRMED: NO MODS &gt; 1YR","DO NOT DELETE — not defensibly confirmed"),IF($Q118="HOLD","DO NOT DELETE — HOLD (Charlie review)",IF($Q118="KEEP","DO NOT DELETE — KEEP",IF(ISNUMBER(SEARCH("REVIEW",$Q118)),"DO NOT DELETE — REVIEW pending",$S118))))</f>
        <v>CONFIRMED: NO MODS &gt; 1YR</v>
      </c>
      <c r="Q118" t="str" cm="1">
        <f t="array" ref="Q118">_xlfn.IFS(AND($A118="thg-beauty",ISNUMBER(SEARCH("liveramp",$C118))),"DELETE",$A118="agile-bonbon-662",_xlfn.IFS(LEFT($G118,9)="Tranche 1","DELETE",$C118="Sessions_Level_1_All_Sites","KEEP",ISNUMBER(--$C118),"REVIEW — UA raw logs",$C118="Emag_Reporting","KEEP",$C118="Nutrition_Data_Archived_Tables","KEEP",$C118="EU_Data","KEEP",TRUE,"REVIEW"),OR($A118="thg-influencer",$A118="thg-ingenuity",$A118="thg-central-marketing",$A118="thg-seoclarity"),"HOLD",TRUE,"")</f>
        <v/>
      </c>
      <c r="R118" t="str" cm="1">
        <f t="array" ref="R118">_xlfn.IFS(AND($A118="thg-beauty",ISNUMBER(SEARCH("liveramp",$C118))),"thg-beauty Liveramp dataset — confirmed safe to delete",$A118="agile-bonbon-662",_xlfn.IFS(LEFT($G118,9)="Tranche 1","Tranche 1: cleared",$C118="Sessions_Level_1_All_Sites","Downstream aggregation of UA raw logs — keep if raw tables go",ISNUMBER(--$C118),"UA raw site logs (account ID) — keep pending audit-retention check",$C118="Emag_Reporting","Legacy but likely needed",$C118="Nutrition_Data_Archived_Tables","Worth keeping",$C118="EU_Data","Static lookup tables — scripts still reference (smoke-test risk)",TRUE,"Review"),OR($A118="thg-influencer",$A118="thg-ingenuity",$A118="thg-central-marketing",$A118="thg-seoclarity"),"HOLD — Charlie Stringer to review before deletion",TRUE,"")</f>
        <v/>
      </c>
      <c r="S118" t="s">
        <v>1624</v>
      </c>
    </row>
    <row r="119" spans="1:19" hidden="1">
      <c r="A119" t="s">
        <v>91</v>
      </c>
      <c r="B119" t="s">
        <v>1619</v>
      </c>
      <c r="C119" t="s">
        <v>1874</v>
      </c>
      <c r="D119" s="2" t="s">
        <v>1621</v>
      </c>
      <c r="E119">
        <v>0</v>
      </c>
      <c r="F119">
        <v>0</v>
      </c>
      <c r="G119" t="s">
        <v>79</v>
      </c>
      <c r="H119" t="s">
        <v>81</v>
      </c>
      <c r="I119">
        <v>56</v>
      </c>
      <c r="J119">
        <v>277</v>
      </c>
      <c r="K119" s="5">
        <v>46141.414976053238</v>
      </c>
      <c r="M119" s="2" t="s">
        <v>1802</v>
      </c>
      <c r="N119" s="2" t="s">
        <v>1701</v>
      </c>
      <c r="O119" s="5">
        <v>45919.532513680548</v>
      </c>
      <c r="P119" t="str">
        <f>IF($Q119="DELETE",IF($S119="CONFIRMED: NO MODS &gt; 1YR","CONFIRMED: NO MODS &gt; 1YR","DO NOT DELETE — not defensibly confirmed"),IF($Q119="HOLD","DO NOT DELETE — HOLD (Charlie review)",IF($Q119="KEEP","DO NOT DELETE — KEEP",IF(ISNUMBER(SEARCH("REVIEW",$Q119)),"DO NOT DELETE — REVIEW pending",$S119))))</f>
        <v>CONFIRMED: NO MODS &gt; 1YR</v>
      </c>
      <c r="Q119" t="str" cm="1">
        <f t="array" ref="Q119">_xlfn.IFS(AND($A119="thg-beauty",ISNUMBER(SEARCH("liveramp",$C119))),"DELETE",$A119="agile-bonbon-662",_xlfn.IFS(LEFT($G119,9)="Tranche 1","DELETE",$C119="Sessions_Level_1_All_Sites","KEEP",ISNUMBER(--$C119),"REVIEW — UA raw logs",$C119="Emag_Reporting","KEEP",$C119="Nutrition_Data_Archived_Tables","KEEP",$C119="EU_Data","KEEP",TRUE,"REVIEW"),OR($A119="thg-influencer",$A119="thg-ingenuity",$A119="thg-central-marketing",$A119="thg-seoclarity"),"HOLD",TRUE,"")</f>
        <v/>
      </c>
      <c r="R119" t="str" cm="1">
        <f t="array" ref="R119">_xlfn.IFS(AND($A119="thg-beauty",ISNUMBER(SEARCH("liveramp",$C119))),"thg-beauty Liveramp dataset — confirmed safe to delete",$A119="agile-bonbon-662",_xlfn.IFS(LEFT($G119,9)="Tranche 1","Tranche 1: cleared",$C119="Sessions_Level_1_All_Sites","Downstream aggregation of UA raw logs — keep if raw tables go",ISNUMBER(--$C119),"UA raw site logs (account ID) — keep pending audit-retention check",$C119="Emag_Reporting","Legacy but likely needed",$C119="Nutrition_Data_Archived_Tables","Worth keeping",$C119="EU_Data","Static lookup tables — scripts still reference (smoke-test risk)",TRUE,"Review"),OR($A119="thg-influencer",$A119="thg-ingenuity",$A119="thg-central-marketing",$A119="thg-seoclarity"),"HOLD — Charlie Stringer to review before deletion",TRUE,"")</f>
        <v/>
      </c>
      <c r="S119" t="s">
        <v>1624</v>
      </c>
    </row>
    <row r="120" spans="1:19" hidden="1">
      <c r="A120" t="s">
        <v>91</v>
      </c>
      <c r="B120" t="s">
        <v>1619</v>
      </c>
      <c r="C120" t="s">
        <v>1875</v>
      </c>
      <c r="D120" s="2" t="s">
        <v>1621</v>
      </c>
      <c r="E120">
        <v>0</v>
      </c>
      <c r="F120">
        <v>0</v>
      </c>
      <c r="G120" t="s">
        <v>79</v>
      </c>
      <c r="H120" t="s">
        <v>81</v>
      </c>
      <c r="I120">
        <v>56</v>
      </c>
      <c r="J120">
        <v>350</v>
      </c>
      <c r="K120" s="5">
        <v>46141.414608287043</v>
      </c>
      <c r="M120" s="2" t="s">
        <v>1802</v>
      </c>
      <c r="N120" s="2" t="s">
        <v>1701</v>
      </c>
      <c r="O120" s="5">
        <v>45847.453778182869</v>
      </c>
      <c r="P120" t="str">
        <f>IF($Q120="DELETE",IF($S120="CONFIRMED: NO MODS &gt; 1YR","CONFIRMED: NO MODS &gt; 1YR","DO NOT DELETE — not defensibly confirmed"),IF($Q120="HOLD","DO NOT DELETE — HOLD (Charlie review)",IF($Q120="KEEP","DO NOT DELETE — KEEP",IF(ISNUMBER(SEARCH("REVIEW",$Q120)),"DO NOT DELETE — REVIEW pending",$S120))))</f>
        <v>CONFIRMED: NO MODS &gt; 1YR</v>
      </c>
      <c r="Q120" t="str" cm="1">
        <f t="array" ref="Q120">_xlfn.IFS(AND($A120="thg-beauty",ISNUMBER(SEARCH("liveramp",$C120))),"DELETE",$A120="agile-bonbon-662",_xlfn.IFS(LEFT($G120,9)="Tranche 1","DELETE",$C120="Sessions_Level_1_All_Sites","KEEP",ISNUMBER(--$C120),"REVIEW — UA raw logs",$C120="Emag_Reporting","KEEP",$C120="Nutrition_Data_Archived_Tables","KEEP",$C120="EU_Data","KEEP",TRUE,"REVIEW"),OR($A120="thg-influencer",$A120="thg-ingenuity",$A120="thg-central-marketing",$A120="thg-seoclarity"),"HOLD",TRUE,"")</f>
        <v/>
      </c>
      <c r="R120" t="str" cm="1">
        <f t="array" ref="R120">_xlfn.IFS(AND($A120="thg-beauty",ISNUMBER(SEARCH("liveramp",$C120))),"thg-beauty Liveramp dataset — confirmed safe to delete",$A120="agile-bonbon-662",_xlfn.IFS(LEFT($G120,9)="Tranche 1","Tranche 1: cleared",$C120="Sessions_Level_1_All_Sites","Downstream aggregation of UA raw logs — keep if raw tables go",ISNUMBER(--$C120),"UA raw site logs (account ID) — keep pending audit-retention check",$C120="Emag_Reporting","Legacy but likely needed",$C120="Nutrition_Data_Archived_Tables","Worth keeping",$C120="EU_Data","Static lookup tables — scripts still reference (smoke-test risk)",TRUE,"Review"),OR($A120="thg-influencer",$A120="thg-ingenuity",$A120="thg-central-marketing",$A120="thg-seoclarity"),"HOLD — Charlie Stringer to review before deletion",TRUE,"")</f>
        <v/>
      </c>
      <c r="S120" t="s">
        <v>1624</v>
      </c>
    </row>
    <row r="121" spans="1:19" hidden="1">
      <c r="A121" t="s">
        <v>91</v>
      </c>
      <c r="B121" t="s">
        <v>1619</v>
      </c>
      <c r="C121" t="s">
        <v>1876</v>
      </c>
      <c r="D121" s="2" t="s">
        <v>1621</v>
      </c>
      <c r="E121">
        <v>0</v>
      </c>
      <c r="F121">
        <v>0</v>
      </c>
      <c r="G121" t="s">
        <v>79</v>
      </c>
      <c r="H121" t="s">
        <v>81</v>
      </c>
      <c r="I121">
        <v>56</v>
      </c>
      <c r="K121" s="5">
        <v>46141.41432541667</v>
      </c>
      <c r="M121" s="2" t="s">
        <v>1815</v>
      </c>
      <c r="N121" s="2" t="s">
        <v>1701</v>
      </c>
      <c r="P121" t="str">
        <f>IF($Q121="DELETE",IF($S121="CONFIRMED: NO MODS &gt; 1YR","CONFIRMED: NO MODS &gt; 1YR","DO NOT DELETE — not defensibly confirmed"),IF($Q121="HOLD","DO NOT DELETE — HOLD (Charlie review)",IF($Q121="KEEP","DO NOT DELETE — KEEP",IF(ISNUMBER(SEARCH("REVIEW",$Q121)),"DO NOT DELETE — REVIEW pending",$S121))))</f>
        <v>CONFIRMED: NO MODS &gt; 1YR</v>
      </c>
      <c r="Q121" t="str" cm="1">
        <f t="array" ref="Q121">_xlfn.IFS(AND($A121="thg-beauty",ISNUMBER(SEARCH("liveramp",$C121))),"DELETE",$A121="agile-bonbon-662",_xlfn.IFS(LEFT($G121,9)="Tranche 1","DELETE",$C121="Sessions_Level_1_All_Sites","KEEP",ISNUMBER(--$C121),"REVIEW — UA raw logs",$C121="Emag_Reporting","KEEP",$C121="Nutrition_Data_Archived_Tables","KEEP",$C121="EU_Data","KEEP",TRUE,"REVIEW"),OR($A121="thg-influencer",$A121="thg-ingenuity",$A121="thg-central-marketing",$A121="thg-seoclarity"),"HOLD",TRUE,"")</f>
        <v/>
      </c>
      <c r="R121" t="str" cm="1">
        <f t="array" ref="R121">_xlfn.IFS(AND($A121="thg-beauty",ISNUMBER(SEARCH("liveramp",$C121))),"thg-beauty Liveramp dataset — confirmed safe to delete",$A121="agile-bonbon-662",_xlfn.IFS(LEFT($G121,9)="Tranche 1","Tranche 1: cleared",$C121="Sessions_Level_1_All_Sites","Downstream aggregation of UA raw logs — keep if raw tables go",ISNUMBER(--$C121),"UA raw site logs (account ID) — keep pending audit-retention check",$C121="Emag_Reporting","Legacy but likely needed",$C121="Nutrition_Data_Archived_Tables","Worth keeping",$C121="EU_Data","Static lookup tables — scripts still reference (smoke-test risk)",TRUE,"Review"),OR($A121="thg-influencer",$A121="thg-ingenuity",$A121="thg-central-marketing",$A121="thg-seoclarity"),"HOLD — Charlie Stringer to review before deletion",TRUE,"")</f>
        <v/>
      </c>
      <c r="S121" t="s">
        <v>1624</v>
      </c>
    </row>
    <row r="122" spans="1:19" hidden="1">
      <c r="A122" t="s">
        <v>91</v>
      </c>
      <c r="B122" t="s">
        <v>1619</v>
      </c>
      <c r="C122" t="s">
        <v>1877</v>
      </c>
      <c r="D122" s="2" t="s">
        <v>1621</v>
      </c>
      <c r="E122">
        <v>0</v>
      </c>
      <c r="F122">
        <v>0</v>
      </c>
      <c r="G122" t="s">
        <v>79</v>
      </c>
      <c r="H122" t="s">
        <v>81</v>
      </c>
      <c r="I122">
        <v>56</v>
      </c>
      <c r="K122" s="5">
        <v>46141.414326006947</v>
      </c>
      <c r="M122" s="2" t="s">
        <v>1815</v>
      </c>
      <c r="N122" s="2" t="s">
        <v>1701</v>
      </c>
      <c r="P122" t="str">
        <f>IF($Q122="DELETE",IF($S122="CONFIRMED: NO MODS &gt; 1YR","CONFIRMED: NO MODS &gt; 1YR","DO NOT DELETE — not defensibly confirmed"),IF($Q122="HOLD","DO NOT DELETE — HOLD (Charlie review)",IF($Q122="KEEP","DO NOT DELETE — KEEP",IF(ISNUMBER(SEARCH("REVIEW",$Q122)),"DO NOT DELETE — REVIEW pending",$S122))))</f>
        <v>CONFIRMED: NO MODS &gt; 1YR</v>
      </c>
      <c r="Q122" t="str" cm="1">
        <f t="array" ref="Q122">_xlfn.IFS(AND($A122="thg-beauty",ISNUMBER(SEARCH("liveramp",$C122))),"DELETE",$A122="agile-bonbon-662",_xlfn.IFS(LEFT($G122,9)="Tranche 1","DELETE",$C122="Sessions_Level_1_All_Sites","KEEP",ISNUMBER(--$C122),"REVIEW — UA raw logs",$C122="Emag_Reporting","KEEP",$C122="Nutrition_Data_Archived_Tables","KEEP",$C122="EU_Data","KEEP",TRUE,"REVIEW"),OR($A122="thg-influencer",$A122="thg-ingenuity",$A122="thg-central-marketing",$A122="thg-seoclarity"),"HOLD",TRUE,"")</f>
        <v/>
      </c>
      <c r="R122" t="str" cm="1">
        <f t="array" ref="R122">_xlfn.IFS(AND($A122="thg-beauty",ISNUMBER(SEARCH("liveramp",$C122))),"thg-beauty Liveramp dataset — confirmed safe to delete",$A122="agile-bonbon-662",_xlfn.IFS(LEFT($G122,9)="Tranche 1","Tranche 1: cleared",$C122="Sessions_Level_1_All_Sites","Downstream aggregation of UA raw logs — keep if raw tables go",ISNUMBER(--$C122),"UA raw site logs (account ID) — keep pending audit-retention check",$C122="Emag_Reporting","Legacy but likely needed",$C122="Nutrition_Data_Archived_Tables","Worth keeping",$C122="EU_Data","Static lookup tables — scripts still reference (smoke-test risk)",TRUE,"Review"),OR($A122="thg-influencer",$A122="thg-ingenuity",$A122="thg-central-marketing",$A122="thg-seoclarity"),"HOLD — Charlie Stringer to review before deletion",TRUE,"")</f>
        <v/>
      </c>
      <c r="S122" t="s">
        <v>1624</v>
      </c>
    </row>
    <row r="123" spans="1:19" hidden="1">
      <c r="A123" t="s">
        <v>91</v>
      </c>
      <c r="B123" t="s">
        <v>1619</v>
      </c>
      <c r="C123" t="s">
        <v>824</v>
      </c>
      <c r="D123" s="2" t="s">
        <v>1621</v>
      </c>
      <c r="E123">
        <v>0</v>
      </c>
      <c r="F123">
        <v>0</v>
      </c>
      <c r="G123" t="s">
        <v>79</v>
      </c>
      <c r="H123" t="s">
        <v>81</v>
      </c>
      <c r="I123">
        <v>56</v>
      </c>
      <c r="K123" s="5">
        <v>46141.414853391201</v>
      </c>
      <c r="M123" s="2" t="s">
        <v>1802</v>
      </c>
      <c r="N123" s="2" t="s">
        <v>1701</v>
      </c>
      <c r="P123" t="str">
        <f>IF($Q123="DELETE",IF($S123="CONFIRMED: NO MODS &gt; 1YR","CONFIRMED: NO MODS &gt; 1YR","DO NOT DELETE — not defensibly confirmed"),IF($Q123="HOLD","DO NOT DELETE — HOLD (Charlie review)",IF($Q123="KEEP","DO NOT DELETE — KEEP",IF(ISNUMBER(SEARCH("REVIEW",$Q123)),"DO NOT DELETE — REVIEW pending",$S123))))</f>
        <v>CONFIRMED: NO MODS &gt; 1YR</v>
      </c>
      <c r="Q123" t="str" cm="1">
        <f t="array" ref="Q123">_xlfn.IFS(AND($A123="thg-beauty",ISNUMBER(SEARCH("liveramp",$C123))),"DELETE",$A123="agile-bonbon-662",_xlfn.IFS(LEFT($G123,9)="Tranche 1","DELETE",$C123="Sessions_Level_1_All_Sites","KEEP",ISNUMBER(--$C123),"REVIEW — UA raw logs",$C123="Emag_Reporting","KEEP",$C123="Nutrition_Data_Archived_Tables","KEEP",$C123="EU_Data","KEEP",TRUE,"REVIEW"),OR($A123="thg-influencer",$A123="thg-ingenuity",$A123="thg-central-marketing",$A123="thg-seoclarity"),"HOLD",TRUE,"")</f>
        <v/>
      </c>
      <c r="R123" t="str" cm="1">
        <f t="array" ref="R123">_xlfn.IFS(AND($A123="thg-beauty",ISNUMBER(SEARCH("liveramp",$C123))),"thg-beauty Liveramp dataset — confirmed safe to delete",$A123="agile-bonbon-662",_xlfn.IFS(LEFT($G123,9)="Tranche 1","Tranche 1: cleared",$C123="Sessions_Level_1_All_Sites","Downstream aggregation of UA raw logs — keep if raw tables go",ISNUMBER(--$C123),"UA raw site logs (account ID) — keep pending audit-retention check",$C123="Emag_Reporting","Legacy but likely needed",$C123="Nutrition_Data_Archived_Tables","Worth keeping",$C123="EU_Data","Static lookup tables — scripts still reference (smoke-test risk)",TRUE,"Review"),OR($A123="thg-influencer",$A123="thg-ingenuity",$A123="thg-central-marketing",$A123="thg-seoclarity"),"HOLD — Charlie Stringer to review before deletion",TRUE,"")</f>
        <v/>
      </c>
      <c r="S123" t="s">
        <v>1624</v>
      </c>
    </row>
    <row r="124" spans="1:19" hidden="1">
      <c r="A124" t="s">
        <v>91</v>
      </c>
      <c r="B124" t="s">
        <v>1619</v>
      </c>
      <c r="C124" t="s">
        <v>1878</v>
      </c>
      <c r="D124" s="2" t="s">
        <v>1621</v>
      </c>
      <c r="E124">
        <v>0</v>
      </c>
      <c r="F124">
        <v>0</v>
      </c>
      <c r="G124" t="s">
        <v>79</v>
      </c>
      <c r="H124" t="s">
        <v>81</v>
      </c>
      <c r="I124">
        <v>56</v>
      </c>
      <c r="J124">
        <v>152</v>
      </c>
      <c r="K124" s="5">
        <v>46141.414512071759</v>
      </c>
      <c r="M124" s="2" t="s">
        <v>1815</v>
      </c>
      <c r="N124" s="2" t="s">
        <v>1701</v>
      </c>
      <c r="O124" s="5">
        <v>46045.34484085648</v>
      </c>
      <c r="P124" t="str">
        <f>IF($Q124="DELETE",IF($S124="CONFIRMED: NO MODS &gt; 1YR","CONFIRMED: NO MODS &gt; 1YR","DO NOT DELETE — not defensibly confirmed"),IF($Q124="HOLD","DO NOT DELETE — HOLD (Charlie review)",IF($Q124="KEEP","DO NOT DELETE — KEEP",IF(ISNUMBER(SEARCH("REVIEW",$Q124)),"DO NOT DELETE — REVIEW pending",$S124))))</f>
        <v>CONFIRMED: NO MODS &gt; 1YR</v>
      </c>
      <c r="Q124" t="str" cm="1">
        <f t="array" ref="Q124">_xlfn.IFS(AND($A124="thg-beauty",ISNUMBER(SEARCH("liveramp",$C124))),"DELETE",$A124="agile-bonbon-662",_xlfn.IFS(LEFT($G124,9)="Tranche 1","DELETE",$C124="Sessions_Level_1_All_Sites","KEEP",ISNUMBER(--$C124),"REVIEW — UA raw logs",$C124="Emag_Reporting","KEEP",$C124="Nutrition_Data_Archived_Tables","KEEP",$C124="EU_Data","KEEP",TRUE,"REVIEW"),OR($A124="thg-influencer",$A124="thg-ingenuity",$A124="thg-central-marketing",$A124="thg-seoclarity"),"HOLD",TRUE,"")</f>
        <v/>
      </c>
      <c r="R124" t="str" cm="1">
        <f t="array" ref="R124">_xlfn.IFS(AND($A124="thg-beauty",ISNUMBER(SEARCH("liveramp",$C124))),"thg-beauty Liveramp dataset — confirmed safe to delete",$A124="agile-bonbon-662",_xlfn.IFS(LEFT($G124,9)="Tranche 1","Tranche 1: cleared",$C124="Sessions_Level_1_All_Sites","Downstream aggregation of UA raw logs — keep if raw tables go",ISNUMBER(--$C124),"UA raw site logs (account ID) — keep pending audit-retention check",$C124="Emag_Reporting","Legacy but likely needed",$C124="Nutrition_Data_Archived_Tables","Worth keeping",$C124="EU_Data","Static lookup tables — scripts still reference (smoke-test risk)",TRUE,"Review"),OR($A124="thg-influencer",$A124="thg-ingenuity",$A124="thg-central-marketing",$A124="thg-seoclarity"),"HOLD — Charlie Stringer to review before deletion",TRUE,"")</f>
        <v/>
      </c>
      <c r="S124" t="s">
        <v>1624</v>
      </c>
    </row>
    <row r="125" spans="1:19" ht="76.5" hidden="1">
      <c r="A125" t="s">
        <v>91</v>
      </c>
      <c r="B125" t="s">
        <v>1619</v>
      </c>
      <c r="C125" t="s">
        <v>1879</v>
      </c>
      <c r="D125" s="2" t="s">
        <v>1621</v>
      </c>
      <c r="E125">
        <v>0</v>
      </c>
      <c r="F125">
        <v>0</v>
      </c>
      <c r="G125" t="s">
        <v>79</v>
      </c>
      <c r="H125" t="s">
        <v>81</v>
      </c>
      <c r="I125">
        <v>56</v>
      </c>
      <c r="K125" s="5">
        <v>46141.414986458331</v>
      </c>
      <c r="M125" s="2" t="s">
        <v>1880</v>
      </c>
      <c r="N125" s="2" t="s">
        <v>1701</v>
      </c>
      <c r="P125" t="str">
        <f>IF($Q125="DELETE",IF($S125="CONFIRMED: NO MODS &gt; 1YR","CONFIRMED: NO MODS &gt; 1YR","DO NOT DELETE — not defensibly confirmed"),IF($Q125="HOLD","DO NOT DELETE — HOLD (Charlie review)",IF($Q125="KEEP","DO NOT DELETE — KEEP",IF(ISNUMBER(SEARCH("REVIEW",$Q125)),"DO NOT DELETE — REVIEW pending",$S125))))</f>
        <v>CONFIRMED: NO MODS &gt; 1YR</v>
      </c>
      <c r="Q125" t="str" cm="1">
        <f t="array" ref="Q125">_xlfn.IFS(AND($A125="thg-beauty",ISNUMBER(SEARCH("liveramp",$C125))),"DELETE",$A125="agile-bonbon-662",_xlfn.IFS(LEFT($G125,9)="Tranche 1","DELETE",$C125="Sessions_Level_1_All_Sites","KEEP",ISNUMBER(--$C125),"REVIEW — UA raw logs",$C125="Emag_Reporting","KEEP",$C125="Nutrition_Data_Archived_Tables","KEEP",$C125="EU_Data","KEEP",TRUE,"REVIEW"),OR($A125="thg-influencer",$A125="thg-ingenuity",$A125="thg-central-marketing",$A125="thg-seoclarity"),"HOLD",TRUE,"")</f>
        <v/>
      </c>
      <c r="R125" t="str" cm="1">
        <f t="array" ref="R125">_xlfn.IFS(AND($A125="thg-beauty",ISNUMBER(SEARCH("liveramp",$C125))),"thg-beauty Liveramp dataset — confirmed safe to delete",$A125="agile-bonbon-662",_xlfn.IFS(LEFT($G125,9)="Tranche 1","Tranche 1: cleared",$C125="Sessions_Level_1_All_Sites","Downstream aggregation of UA raw logs — keep if raw tables go",ISNUMBER(--$C125),"UA raw site logs (account ID) — keep pending audit-retention check",$C125="Emag_Reporting","Legacy but likely needed",$C125="Nutrition_Data_Archived_Tables","Worth keeping",$C125="EU_Data","Static lookup tables — scripts still reference (smoke-test risk)",TRUE,"Review"),OR($A125="thg-influencer",$A125="thg-ingenuity",$A125="thg-central-marketing",$A125="thg-seoclarity"),"HOLD — Charlie Stringer to review before deletion",TRUE,"")</f>
        <v/>
      </c>
      <c r="S125" t="s">
        <v>1624</v>
      </c>
    </row>
    <row r="126" spans="1:19" hidden="1">
      <c r="A126" t="s">
        <v>91</v>
      </c>
      <c r="B126" t="s">
        <v>1619</v>
      </c>
      <c r="C126" t="s">
        <v>1049</v>
      </c>
      <c r="D126" s="2" t="s">
        <v>1621</v>
      </c>
      <c r="E126">
        <v>0</v>
      </c>
      <c r="F126">
        <v>0</v>
      </c>
      <c r="G126" t="s">
        <v>79</v>
      </c>
      <c r="H126" t="s">
        <v>81</v>
      </c>
      <c r="I126">
        <v>56</v>
      </c>
      <c r="K126" s="5">
        <v>46141.414852685193</v>
      </c>
      <c r="M126" s="2" t="s">
        <v>1802</v>
      </c>
      <c r="N126" s="2" t="s">
        <v>1701</v>
      </c>
      <c r="P126" t="str">
        <f>IF($Q126="DELETE",IF($S126="CONFIRMED: NO MODS &gt; 1YR","CONFIRMED: NO MODS &gt; 1YR","DO NOT DELETE — not defensibly confirmed"),IF($Q126="HOLD","DO NOT DELETE — HOLD (Charlie review)",IF($Q126="KEEP","DO NOT DELETE — KEEP",IF(ISNUMBER(SEARCH("REVIEW",$Q126)),"DO NOT DELETE — REVIEW pending",$S126))))</f>
        <v>CONFIRMED: NO MODS &gt; 1YR</v>
      </c>
      <c r="Q126" t="str" cm="1">
        <f t="array" ref="Q126">_xlfn.IFS(AND($A126="thg-beauty",ISNUMBER(SEARCH("liveramp",$C126))),"DELETE",$A126="agile-bonbon-662",_xlfn.IFS(LEFT($G126,9)="Tranche 1","DELETE",$C126="Sessions_Level_1_All_Sites","KEEP",ISNUMBER(--$C126),"REVIEW — UA raw logs",$C126="Emag_Reporting","KEEP",$C126="Nutrition_Data_Archived_Tables","KEEP",$C126="EU_Data","KEEP",TRUE,"REVIEW"),OR($A126="thg-influencer",$A126="thg-ingenuity",$A126="thg-central-marketing",$A126="thg-seoclarity"),"HOLD",TRUE,"")</f>
        <v/>
      </c>
      <c r="R126" t="str" cm="1">
        <f t="array" ref="R126">_xlfn.IFS(AND($A126="thg-beauty",ISNUMBER(SEARCH("liveramp",$C126))),"thg-beauty Liveramp dataset — confirmed safe to delete",$A126="agile-bonbon-662",_xlfn.IFS(LEFT($G126,9)="Tranche 1","Tranche 1: cleared",$C126="Sessions_Level_1_All_Sites","Downstream aggregation of UA raw logs — keep if raw tables go",ISNUMBER(--$C126),"UA raw site logs (account ID) — keep pending audit-retention check",$C126="Emag_Reporting","Legacy but likely needed",$C126="Nutrition_Data_Archived_Tables","Worth keeping",$C126="EU_Data","Static lookup tables — scripts still reference (smoke-test risk)",TRUE,"Review"),OR($A126="thg-influencer",$A126="thg-ingenuity",$A126="thg-central-marketing",$A126="thg-seoclarity"),"HOLD — Charlie Stringer to review before deletion",TRUE,"")</f>
        <v/>
      </c>
      <c r="S126" t="s">
        <v>1624</v>
      </c>
    </row>
    <row r="127" spans="1:19" hidden="1">
      <c r="A127" t="s">
        <v>91</v>
      </c>
      <c r="B127" t="s">
        <v>1619</v>
      </c>
      <c r="C127" t="s">
        <v>1881</v>
      </c>
      <c r="D127" s="2" t="s">
        <v>1621</v>
      </c>
      <c r="E127">
        <v>0</v>
      </c>
      <c r="F127">
        <v>0</v>
      </c>
      <c r="G127" t="s">
        <v>79</v>
      </c>
      <c r="H127" t="s">
        <v>81</v>
      </c>
      <c r="I127">
        <v>56</v>
      </c>
      <c r="J127">
        <v>350</v>
      </c>
      <c r="K127" s="5">
        <v>46141.414467314811</v>
      </c>
      <c r="M127" s="2" t="s">
        <v>1815</v>
      </c>
      <c r="N127" s="2" t="s">
        <v>1701</v>
      </c>
      <c r="O127" s="5">
        <v>45846.621812824073</v>
      </c>
      <c r="P127" t="str">
        <f>IF($Q127="DELETE",IF($S127="CONFIRMED: NO MODS &gt; 1YR","CONFIRMED: NO MODS &gt; 1YR","DO NOT DELETE — not defensibly confirmed"),IF($Q127="HOLD","DO NOT DELETE — HOLD (Charlie review)",IF($Q127="KEEP","DO NOT DELETE — KEEP",IF(ISNUMBER(SEARCH("REVIEW",$Q127)),"DO NOT DELETE — REVIEW pending",$S127))))</f>
        <v>CONFIRMED: NO MODS &gt; 1YR</v>
      </c>
      <c r="Q127" t="str" cm="1">
        <f t="array" ref="Q127">_xlfn.IFS(AND($A127="thg-beauty",ISNUMBER(SEARCH("liveramp",$C127))),"DELETE",$A127="agile-bonbon-662",_xlfn.IFS(LEFT($G127,9)="Tranche 1","DELETE",$C127="Sessions_Level_1_All_Sites","KEEP",ISNUMBER(--$C127),"REVIEW — UA raw logs",$C127="Emag_Reporting","KEEP",$C127="Nutrition_Data_Archived_Tables","KEEP",$C127="EU_Data","KEEP",TRUE,"REVIEW"),OR($A127="thg-influencer",$A127="thg-ingenuity",$A127="thg-central-marketing",$A127="thg-seoclarity"),"HOLD",TRUE,"")</f>
        <v/>
      </c>
      <c r="R127" t="str" cm="1">
        <f t="array" ref="R127">_xlfn.IFS(AND($A127="thg-beauty",ISNUMBER(SEARCH("liveramp",$C127))),"thg-beauty Liveramp dataset — confirmed safe to delete",$A127="agile-bonbon-662",_xlfn.IFS(LEFT($G127,9)="Tranche 1","Tranche 1: cleared",$C127="Sessions_Level_1_All_Sites","Downstream aggregation of UA raw logs — keep if raw tables go",ISNUMBER(--$C127),"UA raw site logs (account ID) — keep pending audit-retention check",$C127="Emag_Reporting","Legacy but likely needed",$C127="Nutrition_Data_Archived_Tables","Worth keeping",$C127="EU_Data","Static lookup tables — scripts still reference (smoke-test risk)",TRUE,"Review"),OR($A127="thg-influencer",$A127="thg-ingenuity",$A127="thg-central-marketing",$A127="thg-seoclarity"),"HOLD — Charlie Stringer to review before deletion",TRUE,"")</f>
        <v/>
      </c>
      <c r="S127" t="s">
        <v>1624</v>
      </c>
    </row>
    <row r="128" spans="1:19" hidden="1">
      <c r="A128" t="s">
        <v>91</v>
      </c>
      <c r="B128" t="s">
        <v>1619</v>
      </c>
      <c r="C128" t="s">
        <v>1882</v>
      </c>
      <c r="D128" s="2" t="s">
        <v>1621</v>
      </c>
      <c r="E128">
        <v>0</v>
      </c>
      <c r="F128">
        <v>0</v>
      </c>
      <c r="G128" t="s">
        <v>79</v>
      </c>
      <c r="H128" t="s">
        <v>81</v>
      </c>
      <c r="I128">
        <v>56</v>
      </c>
      <c r="J128">
        <v>294</v>
      </c>
      <c r="K128" s="5">
        <v>46141.414253576389</v>
      </c>
      <c r="M128" s="2" t="s">
        <v>1815</v>
      </c>
      <c r="N128" s="2" t="s">
        <v>1701</v>
      </c>
      <c r="O128" s="5">
        <v>45902.460121944438</v>
      </c>
      <c r="P128" t="str">
        <f>IF($Q128="DELETE",IF($S128="CONFIRMED: NO MODS &gt; 1YR","CONFIRMED: NO MODS &gt; 1YR","DO NOT DELETE — not defensibly confirmed"),IF($Q128="HOLD","DO NOT DELETE — HOLD (Charlie review)",IF($Q128="KEEP","DO NOT DELETE — KEEP",IF(ISNUMBER(SEARCH("REVIEW",$Q128)),"DO NOT DELETE — REVIEW pending",$S128))))</f>
        <v>CONFIRMED: NO MODS &gt; 1YR</v>
      </c>
      <c r="Q128" t="str" cm="1">
        <f t="array" ref="Q128">_xlfn.IFS(AND($A128="thg-beauty",ISNUMBER(SEARCH("liveramp",$C128))),"DELETE",$A128="agile-bonbon-662",_xlfn.IFS(LEFT($G128,9)="Tranche 1","DELETE",$C128="Sessions_Level_1_All_Sites","KEEP",ISNUMBER(--$C128),"REVIEW — UA raw logs",$C128="Emag_Reporting","KEEP",$C128="Nutrition_Data_Archived_Tables","KEEP",$C128="EU_Data","KEEP",TRUE,"REVIEW"),OR($A128="thg-influencer",$A128="thg-ingenuity",$A128="thg-central-marketing",$A128="thg-seoclarity"),"HOLD",TRUE,"")</f>
        <v/>
      </c>
      <c r="R128" t="str" cm="1">
        <f t="array" ref="R128">_xlfn.IFS(AND($A128="thg-beauty",ISNUMBER(SEARCH("liveramp",$C128))),"thg-beauty Liveramp dataset — confirmed safe to delete",$A128="agile-bonbon-662",_xlfn.IFS(LEFT($G128,9)="Tranche 1","Tranche 1: cleared",$C128="Sessions_Level_1_All_Sites","Downstream aggregation of UA raw logs — keep if raw tables go",ISNUMBER(--$C128),"UA raw site logs (account ID) — keep pending audit-retention check",$C128="Emag_Reporting","Legacy but likely needed",$C128="Nutrition_Data_Archived_Tables","Worth keeping",$C128="EU_Data","Static lookup tables — scripts still reference (smoke-test risk)",TRUE,"Review"),OR($A128="thg-influencer",$A128="thg-ingenuity",$A128="thg-central-marketing",$A128="thg-seoclarity"),"HOLD — Charlie Stringer to review before deletion",TRUE,"")</f>
        <v/>
      </c>
      <c r="S128" t="s">
        <v>1624</v>
      </c>
    </row>
    <row r="129" spans="1:19" hidden="1">
      <c r="A129" t="s">
        <v>91</v>
      </c>
      <c r="B129" t="s">
        <v>1619</v>
      </c>
      <c r="C129" t="s">
        <v>1883</v>
      </c>
      <c r="D129" s="2" t="s">
        <v>1621</v>
      </c>
      <c r="E129">
        <v>0</v>
      </c>
      <c r="F129">
        <v>0</v>
      </c>
      <c r="G129" t="s">
        <v>79</v>
      </c>
      <c r="H129" t="s">
        <v>81</v>
      </c>
      <c r="I129">
        <v>56</v>
      </c>
      <c r="K129" s="5">
        <v>46141.414746469913</v>
      </c>
      <c r="M129" s="2" t="s">
        <v>1802</v>
      </c>
      <c r="N129" s="2" t="s">
        <v>1701</v>
      </c>
      <c r="P129" t="str">
        <f>IF($Q129="DELETE",IF($S129="CONFIRMED: NO MODS &gt; 1YR","CONFIRMED: NO MODS &gt; 1YR","DO NOT DELETE — not defensibly confirmed"),IF($Q129="HOLD","DO NOT DELETE — HOLD (Charlie review)",IF($Q129="KEEP","DO NOT DELETE — KEEP",IF(ISNUMBER(SEARCH("REVIEW",$Q129)),"DO NOT DELETE — REVIEW pending",$S129))))</f>
        <v>CONFIRMED: NO MODS &gt; 1YR</v>
      </c>
      <c r="Q129" t="str" cm="1">
        <f t="array" ref="Q129">_xlfn.IFS(AND($A129="thg-beauty",ISNUMBER(SEARCH("liveramp",$C129))),"DELETE",$A129="agile-bonbon-662",_xlfn.IFS(LEFT($G129,9)="Tranche 1","DELETE",$C129="Sessions_Level_1_All_Sites","KEEP",ISNUMBER(--$C129),"REVIEW — UA raw logs",$C129="Emag_Reporting","KEEP",$C129="Nutrition_Data_Archived_Tables","KEEP",$C129="EU_Data","KEEP",TRUE,"REVIEW"),OR($A129="thg-influencer",$A129="thg-ingenuity",$A129="thg-central-marketing",$A129="thg-seoclarity"),"HOLD",TRUE,"")</f>
        <v/>
      </c>
      <c r="R129" t="str" cm="1">
        <f t="array" ref="R129">_xlfn.IFS(AND($A129="thg-beauty",ISNUMBER(SEARCH("liveramp",$C129))),"thg-beauty Liveramp dataset — confirmed safe to delete",$A129="agile-bonbon-662",_xlfn.IFS(LEFT($G129,9)="Tranche 1","Tranche 1: cleared",$C129="Sessions_Level_1_All_Sites","Downstream aggregation of UA raw logs — keep if raw tables go",ISNUMBER(--$C129),"UA raw site logs (account ID) — keep pending audit-retention check",$C129="Emag_Reporting","Legacy but likely needed",$C129="Nutrition_Data_Archived_Tables","Worth keeping",$C129="EU_Data","Static lookup tables — scripts still reference (smoke-test risk)",TRUE,"Review"),OR($A129="thg-influencer",$A129="thg-ingenuity",$A129="thg-central-marketing",$A129="thg-seoclarity"),"HOLD — Charlie Stringer to review before deletion",TRUE,"")</f>
        <v/>
      </c>
      <c r="S129" t="s">
        <v>1624</v>
      </c>
    </row>
    <row r="130" spans="1:19" hidden="1">
      <c r="A130" t="s">
        <v>91</v>
      </c>
      <c r="B130" t="s">
        <v>1619</v>
      </c>
      <c r="C130" t="s">
        <v>1884</v>
      </c>
      <c r="D130" s="2" t="s">
        <v>1621</v>
      </c>
      <c r="E130">
        <v>0</v>
      </c>
      <c r="F130">
        <v>0</v>
      </c>
      <c r="G130" t="s">
        <v>79</v>
      </c>
      <c r="H130" t="s">
        <v>81</v>
      </c>
      <c r="I130">
        <v>56</v>
      </c>
      <c r="K130" s="5">
        <v>46141.41474724537</v>
      </c>
      <c r="M130" s="2" t="s">
        <v>1802</v>
      </c>
      <c r="N130" s="2" t="s">
        <v>1701</v>
      </c>
      <c r="P130" t="str">
        <f>IF($Q130="DELETE",IF($S130="CONFIRMED: NO MODS &gt; 1YR","CONFIRMED: NO MODS &gt; 1YR","DO NOT DELETE — not defensibly confirmed"),IF($Q130="HOLD","DO NOT DELETE — HOLD (Charlie review)",IF($Q130="KEEP","DO NOT DELETE — KEEP",IF(ISNUMBER(SEARCH("REVIEW",$Q130)),"DO NOT DELETE — REVIEW pending",$S130))))</f>
        <v>CONFIRMED: NO MODS &gt; 1YR</v>
      </c>
      <c r="Q130" t="str" cm="1">
        <f t="array" ref="Q130">_xlfn.IFS(AND($A130="thg-beauty",ISNUMBER(SEARCH("liveramp",$C130))),"DELETE",$A130="agile-bonbon-662",_xlfn.IFS(LEFT($G130,9)="Tranche 1","DELETE",$C130="Sessions_Level_1_All_Sites","KEEP",ISNUMBER(--$C130),"REVIEW — UA raw logs",$C130="Emag_Reporting","KEEP",$C130="Nutrition_Data_Archived_Tables","KEEP",$C130="EU_Data","KEEP",TRUE,"REVIEW"),OR($A130="thg-influencer",$A130="thg-ingenuity",$A130="thg-central-marketing",$A130="thg-seoclarity"),"HOLD",TRUE,"")</f>
        <v/>
      </c>
      <c r="R130" t="str" cm="1">
        <f t="array" ref="R130">_xlfn.IFS(AND($A130="thg-beauty",ISNUMBER(SEARCH("liveramp",$C130))),"thg-beauty Liveramp dataset — confirmed safe to delete",$A130="agile-bonbon-662",_xlfn.IFS(LEFT($G130,9)="Tranche 1","Tranche 1: cleared",$C130="Sessions_Level_1_All_Sites","Downstream aggregation of UA raw logs — keep if raw tables go",ISNUMBER(--$C130),"UA raw site logs (account ID) — keep pending audit-retention check",$C130="Emag_Reporting","Legacy but likely needed",$C130="Nutrition_Data_Archived_Tables","Worth keeping",$C130="EU_Data","Static lookup tables — scripts still reference (smoke-test risk)",TRUE,"Review"),OR($A130="thg-influencer",$A130="thg-ingenuity",$A130="thg-central-marketing",$A130="thg-seoclarity"),"HOLD — Charlie Stringer to review before deletion",TRUE,"")</f>
        <v/>
      </c>
      <c r="S130" t="s">
        <v>1624</v>
      </c>
    </row>
    <row r="131" spans="1:19" hidden="1">
      <c r="A131" t="s">
        <v>91</v>
      </c>
      <c r="B131" t="s">
        <v>1619</v>
      </c>
      <c r="C131" t="s">
        <v>1885</v>
      </c>
      <c r="D131" s="2" t="s">
        <v>1621</v>
      </c>
      <c r="E131">
        <v>0</v>
      </c>
      <c r="F131">
        <v>0</v>
      </c>
      <c r="G131" t="s">
        <v>79</v>
      </c>
      <c r="H131" t="s">
        <v>81</v>
      </c>
      <c r="I131">
        <v>56</v>
      </c>
      <c r="K131" s="5">
        <v>46141.414922256947</v>
      </c>
      <c r="M131" s="2" t="s">
        <v>1802</v>
      </c>
      <c r="N131" s="2" t="s">
        <v>1701</v>
      </c>
      <c r="P131" t="str">
        <f>IF($Q131="DELETE",IF($S131="CONFIRMED: NO MODS &gt; 1YR","CONFIRMED: NO MODS &gt; 1YR","DO NOT DELETE — not defensibly confirmed"),IF($Q131="HOLD","DO NOT DELETE — HOLD (Charlie review)",IF($Q131="KEEP","DO NOT DELETE — KEEP",IF(ISNUMBER(SEARCH("REVIEW",$Q131)),"DO NOT DELETE — REVIEW pending",$S131))))</f>
        <v>CONFIRMED: NO MODS &gt; 1YR</v>
      </c>
      <c r="Q131" t="str" cm="1">
        <f t="array" ref="Q131">_xlfn.IFS(AND($A131="thg-beauty",ISNUMBER(SEARCH("liveramp",$C131))),"DELETE",$A131="agile-bonbon-662",_xlfn.IFS(LEFT($G131,9)="Tranche 1","DELETE",$C131="Sessions_Level_1_All_Sites","KEEP",ISNUMBER(--$C131),"REVIEW — UA raw logs",$C131="Emag_Reporting","KEEP",$C131="Nutrition_Data_Archived_Tables","KEEP",$C131="EU_Data","KEEP",TRUE,"REVIEW"),OR($A131="thg-influencer",$A131="thg-ingenuity",$A131="thg-central-marketing",$A131="thg-seoclarity"),"HOLD",TRUE,"")</f>
        <v/>
      </c>
      <c r="R131" t="str" cm="1">
        <f t="array" ref="R131">_xlfn.IFS(AND($A131="thg-beauty",ISNUMBER(SEARCH("liveramp",$C131))),"thg-beauty Liveramp dataset — confirmed safe to delete",$A131="agile-bonbon-662",_xlfn.IFS(LEFT($G131,9)="Tranche 1","Tranche 1: cleared",$C131="Sessions_Level_1_All_Sites","Downstream aggregation of UA raw logs — keep if raw tables go",ISNUMBER(--$C131),"UA raw site logs (account ID) — keep pending audit-retention check",$C131="Emag_Reporting","Legacy but likely needed",$C131="Nutrition_Data_Archived_Tables","Worth keeping",$C131="EU_Data","Static lookup tables — scripts still reference (smoke-test risk)",TRUE,"Review"),OR($A131="thg-influencer",$A131="thg-ingenuity",$A131="thg-central-marketing",$A131="thg-seoclarity"),"HOLD — Charlie Stringer to review before deletion",TRUE,"")</f>
        <v/>
      </c>
      <c r="S131" t="s">
        <v>1624</v>
      </c>
    </row>
    <row r="132" spans="1:19" ht="45.75" hidden="1">
      <c r="A132" t="s">
        <v>91</v>
      </c>
      <c r="B132" t="s">
        <v>1619</v>
      </c>
      <c r="C132" t="s">
        <v>192</v>
      </c>
      <c r="D132" s="2" t="s">
        <v>1621</v>
      </c>
      <c r="E132">
        <v>0</v>
      </c>
      <c r="F132">
        <v>0</v>
      </c>
      <c r="G132" t="s">
        <v>79</v>
      </c>
      <c r="H132" t="s">
        <v>81</v>
      </c>
      <c r="I132">
        <v>56</v>
      </c>
      <c r="K132" s="5">
        <v>46141.41437755787</v>
      </c>
      <c r="M132" s="2" t="s">
        <v>1886</v>
      </c>
      <c r="N132" s="2" t="s">
        <v>1701</v>
      </c>
      <c r="P132" t="str">
        <f>IF($Q132="DELETE",IF($S132="CONFIRMED: NO MODS &gt; 1YR","CONFIRMED: NO MODS &gt; 1YR","DO NOT DELETE — not defensibly confirmed"),IF($Q132="HOLD","DO NOT DELETE — HOLD (Charlie review)",IF($Q132="KEEP","DO NOT DELETE — KEEP",IF(ISNUMBER(SEARCH("REVIEW",$Q132)),"DO NOT DELETE — REVIEW pending",$S132))))</f>
        <v>CONFIRMED: NO MODS &gt; 1YR</v>
      </c>
      <c r="Q132" t="str" cm="1">
        <f t="array" ref="Q132">_xlfn.IFS(AND($A132="thg-beauty",ISNUMBER(SEARCH("liveramp",$C132))),"DELETE",$A132="agile-bonbon-662",_xlfn.IFS(LEFT($G132,9)="Tranche 1","DELETE",$C132="Sessions_Level_1_All_Sites","KEEP",ISNUMBER(--$C132),"REVIEW — UA raw logs",$C132="Emag_Reporting","KEEP",$C132="Nutrition_Data_Archived_Tables","KEEP",$C132="EU_Data","KEEP",TRUE,"REVIEW"),OR($A132="thg-influencer",$A132="thg-ingenuity",$A132="thg-central-marketing",$A132="thg-seoclarity"),"HOLD",TRUE,"")</f>
        <v/>
      </c>
      <c r="R132" t="str" cm="1">
        <f t="array" ref="R132">_xlfn.IFS(AND($A132="thg-beauty",ISNUMBER(SEARCH("liveramp",$C132))),"thg-beauty Liveramp dataset — confirmed safe to delete",$A132="agile-bonbon-662",_xlfn.IFS(LEFT($G132,9)="Tranche 1","Tranche 1: cleared",$C132="Sessions_Level_1_All_Sites","Downstream aggregation of UA raw logs — keep if raw tables go",ISNUMBER(--$C132),"UA raw site logs (account ID) — keep pending audit-retention check",$C132="Emag_Reporting","Legacy but likely needed",$C132="Nutrition_Data_Archived_Tables","Worth keeping",$C132="EU_Data","Static lookup tables — scripts still reference (smoke-test risk)",TRUE,"Review"),OR($A132="thg-influencer",$A132="thg-ingenuity",$A132="thg-central-marketing",$A132="thg-seoclarity"),"HOLD — Charlie Stringer to review before deletion",TRUE,"")</f>
        <v/>
      </c>
      <c r="S132" t="s">
        <v>1624</v>
      </c>
    </row>
    <row r="133" spans="1:19" hidden="1">
      <c r="A133" t="s">
        <v>91</v>
      </c>
      <c r="B133" t="s">
        <v>1619</v>
      </c>
      <c r="C133" t="s">
        <v>1887</v>
      </c>
      <c r="D133" s="2" t="s">
        <v>1621</v>
      </c>
      <c r="E133">
        <v>0</v>
      </c>
      <c r="F133">
        <v>0</v>
      </c>
      <c r="G133" t="s">
        <v>79</v>
      </c>
      <c r="H133" t="s">
        <v>81</v>
      </c>
      <c r="I133">
        <v>56</v>
      </c>
      <c r="J133">
        <v>326</v>
      </c>
      <c r="K133" s="5">
        <v>46141.414421898153</v>
      </c>
      <c r="M133" s="2" t="s">
        <v>1815</v>
      </c>
      <c r="N133" s="2" t="s">
        <v>1701</v>
      </c>
      <c r="O133" s="5">
        <v>45870.515025115739</v>
      </c>
      <c r="P133" t="str">
        <f>IF($Q133="DELETE",IF($S133="CONFIRMED: NO MODS &gt; 1YR","CONFIRMED: NO MODS &gt; 1YR","DO NOT DELETE — not defensibly confirmed"),IF($Q133="HOLD","DO NOT DELETE — HOLD (Charlie review)",IF($Q133="KEEP","DO NOT DELETE — KEEP",IF(ISNUMBER(SEARCH("REVIEW",$Q133)),"DO NOT DELETE — REVIEW pending",$S133))))</f>
        <v>CONFIRMED: NO MODS &gt; 1YR</v>
      </c>
      <c r="Q133" t="str" cm="1">
        <f t="array" ref="Q133">_xlfn.IFS(AND($A133="thg-beauty",ISNUMBER(SEARCH("liveramp",$C133))),"DELETE",$A133="agile-bonbon-662",_xlfn.IFS(LEFT($G133,9)="Tranche 1","DELETE",$C133="Sessions_Level_1_All_Sites","KEEP",ISNUMBER(--$C133),"REVIEW — UA raw logs",$C133="Emag_Reporting","KEEP",$C133="Nutrition_Data_Archived_Tables","KEEP",$C133="EU_Data","KEEP",TRUE,"REVIEW"),OR($A133="thg-influencer",$A133="thg-ingenuity",$A133="thg-central-marketing",$A133="thg-seoclarity"),"HOLD",TRUE,"")</f>
        <v/>
      </c>
      <c r="R133" t="str" cm="1">
        <f t="array" ref="R133">_xlfn.IFS(AND($A133="thg-beauty",ISNUMBER(SEARCH("liveramp",$C133))),"thg-beauty Liveramp dataset — confirmed safe to delete",$A133="agile-bonbon-662",_xlfn.IFS(LEFT($G133,9)="Tranche 1","Tranche 1: cleared",$C133="Sessions_Level_1_All_Sites","Downstream aggregation of UA raw logs — keep if raw tables go",ISNUMBER(--$C133),"UA raw site logs (account ID) — keep pending audit-retention check",$C133="Emag_Reporting","Legacy but likely needed",$C133="Nutrition_Data_Archived_Tables","Worth keeping",$C133="EU_Data","Static lookup tables — scripts still reference (smoke-test risk)",TRUE,"Review"),OR($A133="thg-influencer",$A133="thg-ingenuity",$A133="thg-central-marketing",$A133="thg-seoclarity"),"HOLD — Charlie Stringer to review before deletion",TRUE,"")</f>
        <v/>
      </c>
      <c r="S133" t="s">
        <v>1624</v>
      </c>
    </row>
    <row r="134" spans="1:19" ht="76.5" hidden="1">
      <c r="A134" t="s">
        <v>91</v>
      </c>
      <c r="B134" t="s">
        <v>1619</v>
      </c>
      <c r="C134" t="s">
        <v>1888</v>
      </c>
      <c r="D134" s="2" t="s">
        <v>1621</v>
      </c>
      <c r="E134">
        <v>0</v>
      </c>
      <c r="F134">
        <v>0</v>
      </c>
      <c r="G134" t="s">
        <v>79</v>
      </c>
      <c r="H134" t="s">
        <v>81</v>
      </c>
      <c r="I134">
        <v>56</v>
      </c>
      <c r="K134" s="5">
        <v>46141.414924328703</v>
      </c>
      <c r="M134" s="2" t="s">
        <v>1889</v>
      </c>
      <c r="N134" s="2" t="s">
        <v>1701</v>
      </c>
      <c r="P134" t="str">
        <f>IF($Q134="DELETE",IF($S134="CONFIRMED: NO MODS &gt; 1YR","CONFIRMED: NO MODS &gt; 1YR","DO NOT DELETE — not defensibly confirmed"),IF($Q134="HOLD","DO NOT DELETE — HOLD (Charlie review)",IF($Q134="KEEP","DO NOT DELETE — KEEP",IF(ISNUMBER(SEARCH("REVIEW",$Q134)),"DO NOT DELETE — REVIEW pending",$S134))))</f>
        <v>CONFIRMED: NO MODS &gt; 1YR</v>
      </c>
      <c r="Q134" t="str" cm="1">
        <f t="array" ref="Q134">_xlfn.IFS(AND($A134="thg-beauty",ISNUMBER(SEARCH("liveramp",$C134))),"DELETE",$A134="agile-bonbon-662",_xlfn.IFS(LEFT($G134,9)="Tranche 1","DELETE",$C134="Sessions_Level_1_All_Sites","KEEP",ISNUMBER(--$C134),"REVIEW — UA raw logs",$C134="Emag_Reporting","KEEP",$C134="Nutrition_Data_Archived_Tables","KEEP",$C134="EU_Data","KEEP",TRUE,"REVIEW"),OR($A134="thg-influencer",$A134="thg-ingenuity",$A134="thg-central-marketing",$A134="thg-seoclarity"),"HOLD",TRUE,"")</f>
        <v/>
      </c>
      <c r="R134" t="str" cm="1">
        <f t="array" ref="R134">_xlfn.IFS(AND($A134="thg-beauty",ISNUMBER(SEARCH("liveramp",$C134))),"thg-beauty Liveramp dataset — confirmed safe to delete",$A134="agile-bonbon-662",_xlfn.IFS(LEFT($G134,9)="Tranche 1","Tranche 1: cleared",$C134="Sessions_Level_1_All_Sites","Downstream aggregation of UA raw logs — keep if raw tables go",ISNUMBER(--$C134),"UA raw site logs (account ID) — keep pending audit-retention check",$C134="Emag_Reporting","Legacy but likely needed",$C134="Nutrition_Data_Archived_Tables","Worth keeping",$C134="EU_Data","Static lookup tables — scripts still reference (smoke-test risk)",TRUE,"Review"),OR($A134="thg-influencer",$A134="thg-ingenuity",$A134="thg-central-marketing",$A134="thg-seoclarity"),"HOLD — Charlie Stringer to review before deletion",TRUE,"")</f>
        <v/>
      </c>
      <c r="S134" t="s">
        <v>1624</v>
      </c>
    </row>
    <row r="135" spans="1:19" hidden="1">
      <c r="A135" t="s">
        <v>91</v>
      </c>
      <c r="B135" t="s">
        <v>1619</v>
      </c>
      <c r="C135" t="s">
        <v>1890</v>
      </c>
      <c r="D135" s="2" t="s">
        <v>1621</v>
      </c>
      <c r="E135">
        <v>0</v>
      </c>
      <c r="F135">
        <v>0</v>
      </c>
      <c r="G135" t="s">
        <v>79</v>
      </c>
      <c r="H135" t="s">
        <v>81</v>
      </c>
      <c r="I135">
        <v>56</v>
      </c>
      <c r="K135" s="5">
        <v>46141.414654386572</v>
      </c>
      <c r="M135" s="2" t="s">
        <v>1802</v>
      </c>
      <c r="N135" s="2" t="s">
        <v>1701</v>
      </c>
      <c r="P135" t="str">
        <f>IF($Q135="DELETE",IF($S135="CONFIRMED: NO MODS &gt; 1YR","CONFIRMED: NO MODS &gt; 1YR","DO NOT DELETE — not defensibly confirmed"),IF($Q135="HOLD","DO NOT DELETE — HOLD (Charlie review)",IF($Q135="KEEP","DO NOT DELETE — KEEP",IF(ISNUMBER(SEARCH("REVIEW",$Q135)),"DO NOT DELETE — REVIEW pending",$S135))))</f>
        <v>CONFIRMED: NO MODS &gt; 1YR</v>
      </c>
      <c r="Q135" t="str" cm="1">
        <f t="array" ref="Q135">_xlfn.IFS(AND($A135="thg-beauty",ISNUMBER(SEARCH("liveramp",$C135))),"DELETE",$A135="agile-bonbon-662",_xlfn.IFS(LEFT($G135,9)="Tranche 1","DELETE",$C135="Sessions_Level_1_All_Sites","KEEP",ISNUMBER(--$C135),"REVIEW — UA raw logs",$C135="Emag_Reporting","KEEP",$C135="Nutrition_Data_Archived_Tables","KEEP",$C135="EU_Data","KEEP",TRUE,"REVIEW"),OR($A135="thg-influencer",$A135="thg-ingenuity",$A135="thg-central-marketing",$A135="thg-seoclarity"),"HOLD",TRUE,"")</f>
        <v/>
      </c>
      <c r="R135" t="str" cm="1">
        <f t="array" ref="R135">_xlfn.IFS(AND($A135="thg-beauty",ISNUMBER(SEARCH("liveramp",$C135))),"thg-beauty Liveramp dataset — confirmed safe to delete",$A135="agile-bonbon-662",_xlfn.IFS(LEFT($G135,9)="Tranche 1","Tranche 1: cleared",$C135="Sessions_Level_1_All_Sites","Downstream aggregation of UA raw logs — keep if raw tables go",ISNUMBER(--$C135),"UA raw site logs (account ID) — keep pending audit-retention check",$C135="Emag_Reporting","Legacy but likely needed",$C135="Nutrition_Data_Archived_Tables","Worth keeping",$C135="EU_Data","Static lookup tables — scripts still reference (smoke-test risk)",TRUE,"Review"),OR($A135="thg-influencer",$A135="thg-ingenuity",$A135="thg-central-marketing",$A135="thg-seoclarity"),"HOLD — Charlie Stringer to review before deletion",TRUE,"")</f>
        <v/>
      </c>
      <c r="S135" t="s">
        <v>1624</v>
      </c>
    </row>
    <row r="136" spans="1:19" hidden="1">
      <c r="A136" t="s">
        <v>91</v>
      </c>
      <c r="B136" t="s">
        <v>1619</v>
      </c>
      <c r="C136" t="s">
        <v>1891</v>
      </c>
      <c r="D136" s="2" t="s">
        <v>1621</v>
      </c>
      <c r="E136">
        <v>0</v>
      </c>
      <c r="F136">
        <v>0</v>
      </c>
      <c r="G136" t="s">
        <v>79</v>
      </c>
      <c r="H136" t="s">
        <v>81</v>
      </c>
      <c r="I136">
        <v>56</v>
      </c>
      <c r="K136" s="5">
        <v>46141.414564317129</v>
      </c>
      <c r="M136" s="2" t="s">
        <v>1815</v>
      </c>
      <c r="N136" s="2" t="s">
        <v>1701</v>
      </c>
      <c r="P136" t="str">
        <f>IF($Q136="DELETE",IF($S136="CONFIRMED: NO MODS &gt; 1YR","CONFIRMED: NO MODS &gt; 1YR","DO NOT DELETE — not defensibly confirmed"),IF($Q136="HOLD","DO NOT DELETE — HOLD (Charlie review)",IF($Q136="KEEP","DO NOT DELETE — KEEP",IF(ISNUMBER(SEARCH("REVIEW",$Q136)),"DO NOT DELETE — REVIEW pending",$S136))))</f>
        <v>CONFIRMED: NO MODS &gt; 1YR</v>
      </c>
      <c r="Q136" t="str" cm="1">
        <f t="array" ref="Q136">_xlfn.IFS(AND($A136="thg-beauty",ISNUMBER(SEARCH("liveramp",$C136))),"DELETE",$A136="agile-bonbon-662",_xlfn.IFS(LEFT($G136,9)="Tranche 1","DELETE",$C136="Sessions_Level_1_All_Sites","KEEP",ISNUMBER(--$C136),"REVIEW — UA raw logs",$C136="Emag_Reporting","KEEP",$C136="Nutrition_Data_Archived_Tables","KEEP",$C136="EU_Data","KEEP",TRUE,"REVIEW"),OR($A136="thg-influencer",$A136="thg-ingenuity",$A136="thg-central-marketing",$A136="thg-seoclarity"),"HOLD",TRUE,"")</f>
        <v/>
      </c>
      <c r="R136" t="str" cm="1">
        <f t="array" ref="R136">_xlfn.IFS(AND($A136="thg-beauty",ISNUMBER(SEARCH("liveramp",$C136))),"thg-beauty Liveramp dataset — confirmed safe to delete",$A136="agile-bonbon-662",_xlfn.IFS(LEFT($G136,9)="Tranche 1","Tranche 1: cleared",$C136="Sessions_Level_1_All_Sites","Downstream aggregation of UA raw logs — keep if raw tables go",ISNUMBER(--$C136),"UA raw site logs (account ID) — keep pending audit-retention check",$C136="Emag_Reporting","Legacy but likely needed",$C136="Nutrition_Data_Archived_Tables","Worth keeping",$C136="EU_Data","Static lookup tables — scripts still reference (smoke-test risk)",TRUE,"Review"),OR($A136="thg-influencer",$A136="thg-ingenuity",$A136="thg-central-marketing",$A136="thg-seoclarity"),"HOLD — Charlie Stringer to review before deletion",TRUE,"")</f>
        <v/>
      </c>
      <c r="S136" t="s">
        <v>1624</v>
      </c>
    </row>
    <row r="137" spans="1:19" hidden="1">
      <c r="A137" t="s">
        <v>91</v>
      </c>
      <c r="B137" t="s">
        <v>1619</v>
      </c>
      <c r="C137" t="s">
        <v>1892</v>
      </c>
      <c r="D137" s="2" t="s">
        <v>1621</v>
      </c>
      <c r="E137">
        <v>0</v>
      </c>
      <c r="F137">
        <v>0</v>
      </c>
      <c r="G137" t="s">
        <v>79</v>
      </c>
      <c r="H137" t="s">
        <v>81</v>
      </c>
      <c r="I137">
        <v>56</v>
      </c>
      <c r="K137" s="5">
        <v>46141.414377881942</v>
      </c>
      <c r="M137" s="2" t="s">
        <v>1815</v>
      </c>
      <c r="N137" s="2" t="s">
        <v>1701</v>
      </c>
      <c r="P137" t="str">
        <f>IF($Q137="DELETE",IF($S137="CONFIRMED: NO MODS &gt; 1YR","CONFIRMED: NO MODS &gt; 1YR","DO NOT DELETE — not defensibly confirmed"),IF($Q137="HOLD","DO NOT DELETE — HOLD (Charlie review)",IF($Q137="KEEP","DO NOT DELETE — KEEP",IF(ISNUMBER(SEARCH("REVIEW",$Q137)),"DO NOT DELETE — REVIEW pending",$S137))))</f>
        <v>CONFIRMED: NO MODS &gt; 1YR</v>
      </c>
      <c r="Q137" t="str" cm="1">
        <f t="array" ref="Q137">_xlfn.IFS(AND($A137="thg-beauty",ISNUMBER(SEARCH("liveramp",$C137))),"DELETE",$A137="agile-bonbon-662",_xlfn.IFS(LEFT($G137,9)="Tranche 1","DELETE",$C137="Sessions_Level_1_All_Sites","KEEP",ISNUMBER(--$C137),"REVIEW — UA raw logs",$C137="Emag_Reporting","KEEP",$C137="Nutrition_Data_Archived_Tables","KEEP",$C137="EU_Data","KEEP",TRUE,"REVIEW"),OR($A137="thg-influencer",$A137="thg-ingenuity",$A137="thg-central-marketing",$A137="thg-seoclarity"),"HOLD",TRUE,"")</f>
        <v/>
      </c>
      <c r="R137" t="str" cm="1">
        <f t="array" ref="R137">_xlfn.IFS(AND($A137="thg-beauty",ISNUMBER(SEARCH("liveramp",$C137))),"thg-beauty Liveramp dataset — confirmed safe to delete",$A137="agile-bonbon-662",_xlfn.IFS(LEFT($G137,9)="Tranche 1","Tranche 1: cleared",$C137="Sessions_Level_1_All_Sites","Downstream aggregation of UA raw logs — keep if raw tables go",ISNUMBER(--$C137),"UA raw site logs (account ID) — keep pending audit-retention check",$C137="Emag_Reporting","Legacy but likely needed",$C137="Nutrition_Data_Archived_Tables","Worth keeping",$C137="EU_Data","Static lookup tables — scripts still reference (smoke-test risk)",TRUE,"Review"),OR($A137="thg-influencer",$A137="thg-ingenuity",$A137="thg-central-marketing",$A137="thg-seoclarity"),"HOLD — Charlie Stringer to review before deletion",TRUE,"")</f>
        <v/>
      </c>
      <c r="S137" t="s">
        <v>1624</v>
      </c>
    </row>
    <row r="138" spans="1:19" hidden="1">
      <c r="A138" t="s">
        <v>91</v>
      </c>
      <c r="B138" t="s">
        <v>1619</v>
      </c>
      <c r="C138" t="s">
        <v>1893</v>
      </c>
      <c r="D138" s="2" t="s">
        <v>1621</v>
      </c>
      <c r="E138">
        <v>0</v>
      </c>
      <c r="F138">
        <v>0</v>
      </c>
      <c r="G138" t="s">
        <v>79</v>
      </c>
      <c r="H138" t="s">
        <v>81</v>
      </c>
      <c r="I138">
        <v>56</v>
      </c>
      <c r="K138" s="5">
        <v>46141.414377615743</v>
      </c>
      <c r="M138" s="2" t="s">
        <v>1815</v>
      </c>
      <c r="N138" s="2" t="s">
        <v>1701</v>
      </c>
      <c r="P138" t="str">
        <f>IF($Q138="DELETE",IF($S138="CONFIRMED: NO MODS &gt; 1YR","CONFIRMED: NO MODS &gt; 1YR","DO NOT DELETE — not defensibly confirmed"),IF($Q138="HOLD","DO NOT DELETE — HOLD (Charlie review)",IF($Q138="KEEP","DO NOT DELETE — KEEP",IF(ISNUMBER(SEARCH("REVIEW",$Q138)),"DO NOT DELETE — REVIEW pending",$S138))))</f>
        <v>CONFIRMED: NO MODS &gt; 1YR</v>
      </c>
      <c r="Q138" t="str" cm="1">
        <f t="array" ref="Q138">_xlfn.IFS(AND($A138="thg-beauty",ISNUMBER(SEARCH("liveramp",$C138))),"DELETE",$A138="agile-bonbon-662",_xlfn.IFS(LEFT($G138,9)="Tranche 1","DELETE",$C138="Sessions_Level_1_All_Sites","KEEP",ISNUMBER(--$C138),"REVIEW — UA raw logs",$C138="Emag_Reporting","KEEP",$C138="Nutrition_Data_Archived_Tables","KEEP",$C138="EU_Data","KEEP",TRUE,"REVIEW"),OR($A138="thg-influencer",$A138="thg-ingenuity",$A138="thg-central-marketing",$A138="thg-seoclarity"),"HOLD",TRUE,"")</f>
        <v/>
      </c>
      <c r="R138" t="str" cm="1">
        <f t="array" ref="R138">_xlfn.IFS(AND($A138="thg-beauty",ISNUMBER(SEARCH("liveramp",$C138))),"thg-beauty Liveramp dataset — confirmed safe to delete",$A138="agile-bonbon-662",_xlfn.IFS(LEFT($G138,9)="Tranche 1","Tranche 1: cleared",$C138="Sessions_Level_1_All_Sites","Downstream aggregation of UA raw logs — keep if raw tables go",ISNUMBER(--$C138),"UA raw site logs (account ID) — keep pending audit-retention check",$C138="Emag_Reporting","Legacy but likely needed",$C138="Nutrition_Data_Archived_Tables","Worth keeping",$C138="EU_Data","Static lookup tables — scripts still reference (smoke-test risk)",TRUE,"Review"),OR($A138="thg-influencer",$A138="thg-ingenuity",$A138="thg-central-marketing",$A138="thg-seoclarity"),"HOLD — Charlie Stringer to review before deletion",TRUE,"")</f>
        <v/>
      </c>
      <c r="S138" t="s">
        <v>1624</v>
      </c>
    </row>
    <row r="139" spans="1:19" hidden="1">
      <c r="A139" t="s">
        <v>91</v>
      </c>
      <c r="B139" t="s">
        <v>1619</v>
      </c>
      <c r="C139" t="s">
        <v>1894</v>
      </c>
      <c r="D139" s="2" t="s">
        <v>1621</v>
      </c>
      <c r="E139">
        <v>0</v>
      </c>
      <c r="F139">
        <v>0</v>
      </c>
      <c r="G139" t="s">
        <v>79</v>
      </c>
      <c r="H139" t="s">
        <v>81</v>
      </c>
      <c r="I139">
        <v>56</v>
      </c>
      <c r="K139" s="5">
        <v>46141.414466423608</v>
      </c>
      <c r="M139" s="2" t="s">
        <v>1815</v>
      </c>
      <c r="N139" s="2" t="s">
        <v>1701</v>
      </c>
      <c r="P139" t="str">
        <f>IF($Q139="DELETE",IF($S139="CONFIRMED: NO MODS &gt; 1YR","CONFIRMED: NO MODS &gt; 1YR","DO NOT DELETE — not defensibly confirmed"),IF($Q139="HOLD","DO NOT DELETE — HOLD (Charlie review)",IF($Q139="KEEP","DO NOT DELETE — KEEP",IF(ISNUMBER(SEARCH("REVIEW",$Q139)),"DO NOT DELETE — REVIEW pending",$S139))))</f>
        <v>CONFIRMED: NO MODS &gt; 1YR</v>
      </c>
      <c r="Q139" t="str" cm="1">
        <f t="array" ref="Q139">_xlfn.IFS(AND($A139="thg-beauty",ISNUMBER(SEARCH("liveramp",$C139))),"DELETE",$A139="agile-bonbon-662",_xlfn.IFS(LEFT($G139,9)="Tranche 1","DELETE",$C139="Sessions_Level_1_All_Sites","KEEP",ISNUMBER(--$C139),"REVIEW — UA raw logs",$C139="Emag_Reporting","KEEP",$C139="Nutrition_Data_Archived_Tables","KEEP",$C139="EU_Data","KEEP",TRUE,"REVIEW"),OR($A139="thg-influencer",$A139="thg-ingenuity",$A139="thg-central-marketing",$A139="thg-seoclarity"),"HOLD",TRUE,"")</f>
        <v/>
      </c>
      <c r="R139" t="str" cm="1">
        <f t="array" ref="R139">_xlfn.IFS(AND($A139="thg-beauty",ISNUMBER(SEARCH("liveramp",$C139))),"thg-beauty Liveramp dataset — confirmed safe to delete",$A139="agile-bonbon-662",_xlfn.IFS(LEFT($G139,9)="Tranche 1","Tranche 1: cleared",$C139="Sessions_Level_1_All_Sites","Downstream aggregation of UA raw logs — keep if raw tables go",ISNUMBER(--$C139),"UA raw site logs (account ID) — keep pending audit-retention check",$C139="Emag_Reporting","Legacy but likely needed",$C139="Nutrition_Data_Archived_Tables","Worth keeping",$C139="EU_Data","Static lookup tables — scripts still reference (smoke-test risk)",TRUE,"Review"),OR($A139="thg-influencer",$A139="thg-ingenuity",$A139="thg-central-marketing",$A139="thg-seoclarity"),"HOLD — Charlie Stringer to review before deletion",TRUE,"")</f>
        <v/>
      </c>
      <c r="S139" t="s">
        <v>1624</v>
      </c>
    </row>
    <row r="140" spans="1:19" hidden="1">
      <c r="A140" t="s">
        <v>91</v>
      </c>
      <c r="B140" t="s">
        <v>1619</v>
      </c>
      <c r="C140" t="s">
        <v>1895</v>
      </c>
      <c r="D140" s="2" t="s">
        <v>1621</v>
      </c>
      <c r="E140">
        <v>0</v>
      </c>
      <c r="F140">
        <v>0</v>
      </c>
      <c r="G140" t="s">
        <v>79</v>
      </c>
      <c r="H140" t="s">
        <v>81</v>
      </c>
      <c r="I140">
        <v>56</v>
      </c>
      <c r="K140" s="5">
        <v>46141.414654189823</v>
      </c>
      <c r="M140" s="2" t="s">
        <v>1802</v>
      </c>
      <c r="N140" s="2" t="s">
        <v>1701</v>
      </c>
      <c r="P140" t="str">
        <f>IF($Q140="DELETE",IF($S140="CONFIRMED: NO MODS &gt; 1YR","CONFIRMED: NO MODS &gt; 1YR","DO NOT DELETE — not defensibly confirmed"),IF($Q140="HOLD","DO NOT DELETE — HOLD (Charlie review)",IF($Q140="KEEP","DO NOT DELETE — KEEP",IF(ISNUMBER(SEARCH("REVIEW",$Q140)),"DO NOT DELETE — REVIEW pending",$S140))))</f>
        <v>CONFIRMED: NO MODS &gt; 1YR</v>
      </c>
      <c r="Q140" t="str" cm="1">
        <f t="array" ref="Q140">_xlfn.IFS(AND($A140="thg-beauty",ISNUMBER(SEARCH("liveramp",$C140))),"DELETE",$A140="agile-bonbon-662",_xlfn.IFS(LEFT($G140,9)="Tranche 1","DELETE",$C140="Sessions_Level_1_All_Sites","KEEP",ISNUMBER(--$C140),"REVIEW — UA raw logs",$C140="Emag_Reporting","KEEP",$C140="Nutrition_Data_Archived_Tables","KEEP",$C140="EU_Data","KEEP",TRUE,"REVIEW"),OR($A140="thg-influencer",$A140="thg-ingenuity",$A140="thg-central-marketing",$A140="thg-seoclarity"),"HOLD",TRUE,"")</f>
        <v/>
      </c>
      <c r="R140" t="str" cm="1">
        <f t="array" ref="R140">_xlfn.IFS(AND($A140="thg-beauty",ISNUMBER(SEARCH("liveramp",$C140))),"thg-beauty Liveramp dataset — confirmed safe to delete",$A140="agile-bonbon-662",_xlfn.IFS(LEFT($G140,9)="Tranche 1","Tranche 1: cleared",$C140="Sessions_Level_1_All_Sites","Downstream aggregation of UA raw logs — keep if raw tables go",ISNUMBER(--$C140),"UA raw site logs (account ID) — keep pending audit-retention check",$C140="Emag_Reporting","Legacy but likely needed",$C140="Nutrition_Data_Archived_Tables","Worth keeping",$C140="EU_Data","Static lookup tables — scripts still reference (smoke-test risk)",TRUE,"Review"),OR($A140="thg-influencer",$A140="thg-ingenuity",$A140="thg-central-marketing",$A140="thg-seoclarity"),"HOLD — Charlie Stringer to review before deletion",TRUE,"")</f>
        <v/>
      </c>
      <c r="S140" t="s">
        <v>1624</v>
      </c>
    </row>
    <row r="141" spans="1:19" hidden="1">
      <c r="A141" t="s">
        <v>91</v>
      </c>
      <c r="B141" t="s">
        <v>1619</v>
      </c>
      <c r="C141" t="s">
        <v>1896</v>
      </c>
      <c r="D141" s="2" t="s">
        <v>1621</v>
      </c>
      <c r="E141">
        <v>0</v>
      </c>
      <c r="F141">
        <v>0</v>
      </c>
      <c r="G141" t="s">
        <v>79</v>
      </c>
      <c r="H141" t="s">
        <v>81</v>
      </c>
      <c r="I141">
        <v>56</v>
      </c>
      <c r="K141" s="5">
        <v>46141.414923136574</v>
      </c>
      <c r="M141" s="2" t="s">
        <v>1802</v>
      </c>
      <c r="N141" s="2" t="s">
        <v>1701</v>
      </c>
      <c r="P141" t="str">
        <f>IF($Q141="DELETE",IF($S141="CONFIRMED: NO MODS &gt; 1YR","CONFIRMED: NO MODS &gt; 1YR","DO NOT DELETE — not defensibly confirmed"),IF($Q141="HOLD","DO NOT DELETE — HOLD (Charlie review)",IF($Q141="KEEP","DO NOT DELETE — KEEP",IF(ISNUMBER(SEARCH("REVIEW",$Q141)),"DO NOT DELETE — REVIEW pending",$S141))))</f>
        <v>CONFIRMED: NO MODS &gt; 1YR</v>
      </c>
      <c r="Q141" t="str" cm="1">
        <f t="array" ref="Q141">_xlfn.IFS(AND($A141="thg-beauty",ISNUMBER(SEARCH("liveramp",$C141))),"DELETE",$A141="agile-bonbon-662",_xlfn.IFS(LEFT($G141,9)="Tranche 1","DELETE",$C141="Sessions_Level_1_All_Sites","KEEP",ISNUMBER(--$C141),"REVIEW — UA raw logs",$C141="Emag_Reporting","KEEP",$C141="Nutrition_Data_Archived_Tables","KEEP",$C141="EU_Data","KEEP",TRUE,"REVIEW"),OR($A141="thg-influencer",$A141="thg-ingenuity",$A141="thg-central-marketing",$A141="thg-seoclarity"),"HOLD",TRUE,"")</f>
        <v/>
      </c>
      <c r="R141" t="str" cm="1">
        <f t="array" ref="R141">_xlfn.IFS(AND($A141="thg-beauty",ISNUMBER(SEARCH("liveramp",$C141))),"thg-beauty Liveramp dataset — confirmed safe to delete",$A141="agile-bonbon-662",_xlfn.IFS(LEFT($G141,9)="Tranche 1","Tranche 1: cleared",$C141="Sessions_Level_1_All_Sites","Downstream aggregation of UA raw logs — keep if raw tables go",ISNUMBER(--$C141),"UA raw site logs (account ID) — keep pending audit-retention check",$C141="Emag_Reporting","Legacy but likely needed",$C141="Nutrition_Data_Archived_Tables","Worth keeping",$C141="EU_Data","Static lookup tables — scripts still reference (smoke-test risk)",TRUE,"Review"),OR($A141="thg-influencer",$A141="thg-ingenuity",$A141="thg-central-marketing",$A141="thg-seoclarity"),"HOLD — Charlie Stringer to review before deletion",TRUE,"")</f>
        <v/>
      </c>
      <c r="S141" t="s">
        <v>1624</v>
      </c>
    </row>
    <row r="142" spans="1:19" ht="76.5" hidden="1">
      <c r="A142" t="s">
        <v>90</v>
      </c>
      <c r="B142" t="s">
        <v>1619</v>
      </c>
      <c r="C142" t="s">
        <v>1897</v>
      </c>
      <c r="D142" s="2" t="s">
        <v>1621</v>
      </c>
      <c r="E142">
        <v>30.16</v>
      </c>
      <c r="F142">
        <v>0.6</v>
      </c>
      <c r="G142" t="s">
        <v>79</v>
      </c>
      <c r="H142" t="s">
        <v>81</v>
      </c>
      <c r="I142">
        <v>55</v>
      </c>
      <c r="J142">
        <v>55</v>
      </c>
      <c r="K142" s="5">
        <v>46141.947977523138</v>
      </c>
      <c r="M142" s="2" t="s">
        <v>1898</v>
      </c>
      <c r="N142" s="2" t="s">
        <v>1701</v>
      </c>
      <c r="O142" s="5">
        <v>46141.841034178236</v>
      </c>
      <c r="P142" t="str">
        <f>IF($Q142="DELETE",IF($S142="CONFIRMED: NO MODS &gt; 1YR","CONFIRMED: NO MODS &gt; 1YR","DO NOT DELETE — not defensibly confirmed"),IF($Q142="HOLD","DO NOT DELETE — HOLD (Charlie review)",IF($Q142="KEEP","DO NOT DELETE — KEEP",IF(ISNUMBER(SEARCH("REVIEW",$Q142)),"DO NOT DELETE — REVIEW pending",$S142))))</f>
        <v>CONFIRMED: NO MODS &gt; 1YR</v>
      </c>
      <c r="Q142" t="str" cm="1">
        <f t="array" ref="Q142">_xlfn.IFS(AND($A142="thg-beauty",ISNUMBER(SEARCH("liveramp",$C142))),"DELETE",$A142="agile-bonbon-662",_xlfn.IFS(LEFT($G142,9)="Tranche 1","DELETE",$C142="Sessions_Level_1_All_Sites","KEEP",ISNUMBER(--$C142),"REVIEW — UA raw logs",$C142="Emag_Reporting","KEEP",$C142="Nutrition_Data_Archived_Tables","KEEP",$C142="EU_Data","KEEP",TRUE,"REVIEW"),OR($A142="thg-influencer",$A142="thg-ingenuity",$A142="thg-central-marketing",$A142="thg-seoclarity"),"HOLD",TRUE,"")</f>
        <v/>
      </c>
      <c r="R142" t="str" cm="1">
        <f t="array" ref="R142">_xlfn.IFS(AND($A142="thg-beauty",ISNUMBER(SEARCH("liveramp",$C142))),"thg-beauty Liveramp dataset — confirmed safe to delete",$A142="agile-bonbon-662",_xlfn.IFS(LEFT($G142,9)="Tranche 1","Tranche 1: cleared",$C142="Sessions_Level_1_All_Sites","Downstream aggregation of UA raw logs — keep if raw tables go",ISNUMBER(--$C142),"UA raw site logs (account ID) — keep pending audit-retention check",$C142="Emag_Reporting","Legacy but likely needed",$C142="Nutrition_Data_Archived_Tables","Worth keeping",$C142="EU_Data","Static lookup tables — scripts still reference (smoke-test risk)",TRUE,"Review"),OR($A142="thg-influencer",$A142="thg-ingenuity",$A142="thg-central-marketing",$A142="thg-seoclarity"),"HOLD — Charlie Stringer to review before deletion",TRUE,"")</f>
        <v/>
      </c>
      <c r="S142" t="s">
        <v>1624</v>
      </c>
    </row>
    <row r="143" spans="1:19" ht="76.5" hidden="1">
      <c r="A143" t="s">
        <v>38</v>
      </c>
      <c r="B143" t="s">
        <v>1619</v>
      </c>
      <c r="C143" t="s">
        <v>1899</v>
      </c>
      <c r="D143" s="2" t="s">
        <v>1621</v>
      </c>
      <c r="E143">
        <v>6.79</v>
      </c>
      <c r="F143">
        <v>0.14000000000000001</v>
      </c>
      <c r="G143" t="s">
        <v>79</v>
      </c>
      <c r="H143" t="s">
        <v>81</v>
      </c>
      <c r="I143">
        <v>54</v>
      </c>
      <c r="J143">
        <v>54</v>
      </c>
      <c r="K143" s="5">
        <v>46143.335573159733</v>
      </c>
      <c r="L143" s="5">
        <v>46143.332053182872</v>
      </c>
      <c r="M143" s="2" t="s">
        <v>1900</v>
      </c>
      <c r="N143" s="2" t="s">
        <v>1901</v>
      </c>
      <c r="O143" s="5">
        <v>46143.332092407407</v>
      </c>
      <c r="P143" t="str">
        <f>IF($Q143="DELETE",IF($S143="CONFIRMED: NO MODS &gt; 1YR","CONFIRMED: NO MODS &gt; 1YR","DO NOT DELETE — not defensibly confirmed"),IF($Q143="HOLD","DO NOT DELETE — HOLD (Charlie review)",IF($Q143="KEEP","DO NOT DELETE — KEEP",IF(ISNUMBER(SEARCH("REVIEW",$Q143)),"DO NOT DELETE — REVIEW pending",$S143))))</f>
        <v>DO NOT DELETE — HOLD (Charlie review)</v>
      </c>
      <c r="Q143" t="str" cm="1">
        <f t="array" ref="Q143">_xlfn.IFS(AND($A143="thg-beauty",ISNUMBER(SEARCH("liveramp",$C143))),"DELETE",$A143="agile-bonbon-662",_xlfn.IFS(LEFT($G143,9)="Tranche 1","DELETE",$C143="Sessions_Level_1_All_Sites","KEEP",ISNUMBER(--$C143),"REVIEW — UA raw logs",$C143="Emag_Reporting","KEEP",$C143="Nutrition_Data_Archived_Tables","KEEP",$C143="EU_Data","KEEP",TRUE,"REVIEW"),OR($A143="thg-influencer",$A143="thg-ingenuity",$A143="thg-central-marketing",$A143="thg-seoclarity"),"HOLD",TRUE,"")</f>
        <v>HOLD</v>
      </c>
      <c r="R143" t="str" cm="1">
        <f t="array" ref="R143">_xlfn.IFS(AND($A143="thg-beauty",ISNUMBER(SEARCH("liveramp",$C143))),"thg-beauty Liveramp dataset — confirmed safe to delete",$A143="agile-bonbon-662",_xlfn.IFS(LEFT($G143,9)="Tranche 1","Tranche 1: cleared",$C143="Sessions_Level_1_All_Sites","Downstream aggregation of UA raw logs — keep if raw tables go",ISNUMBER(--$C143),"UA raw site logs (account ID) — keep pending audit-retention check",$C143="Emag_Reporting","Legacy but likely needed",$C143="Nutrition_Data_Archived_Tables","Worth keeping",$C143="EU_Data","Static lookup tables — scripts still reference (smoke-test risk)",TRUE,"Review"),OR($A143="thg-influencer",$A143="thg-ingenuity",$A143="thg-central-marketing",$A143="thg-seoclarity"),"HOLD — Charlie Stringer to review before deletion",TRUE,"")</f>
        <v>HOLD — Charlie Stringer to review before deletion</v>
      </c>
      <c r="S143" t="s">
        <v>1631</v>
      </c>
    </row>
    <row r="144" spans="1:19" ht="60.75" hidden="1">
      <c r="A144" t="s">
        <v>91</v>
      </c>
      <c r="B144" t="s">
        <v>1619</v>
      </c>
      <c r="C144" t="s">
        <v>1902</v>
      </c>
      <c r="D144" s="2" t="s">
        <v>1621</v>
      </c>
      <c r="E144">
        <v>5.77</v>
      </c>
      <c r="F144">
        <v>0.12</v>
      </c>
      <c r="G144" t="s">
        <v>79</v>
      </c>
      <c r="H144" t="s">
        <v>81</v>
      </c>
      <c r="I144">
        <v>53</v>
      </c>
      <c r="J144">
        <v>302</v>
      </c>
      <c r="K144" s="5">
        <v>46143.471531087962</v>
      </c>
      <c r="M144" s="2" t="s">
        <v>1903</v>
      </c>
      <c r="N144" s="2" t="s">
        <v>1701</v>
      </c>
      <c r="O144" s="5">
        <v>45895.423693124998</v>
      </c>
      <c r="P144" t="str">
        <f>IF($Q144="DELETE",IF($S144="CONFIRMED: NO MODS &gt; 1YR","CONFIRMED: NO MODS &gt; 1YR","DO NOT DELETE — not defensibly confirmed"),IF($Q144="HOLD","DO NOT DELETE — HOLD (Charlie review)",IF($Q144="KEEP","DO NOT DELETE — KEEP",IF(ISNUMBER(SEARCH("REVIEW",$Q144)),"DO NOT DELETE — REVIEW pending",$S144))))</f>
        <v>CONFIRMED: NO MODS &gt; 1YR</v>
      </c>
      <c r="Q144" t="str" cm="1">
        <f t="array" ref="Q144">_xlfn.IFS(AND($A144="thg-beauty",ISNUMBER(SEARCH("liveramp",$C144))),"DELETE",$A144="agile-bonbon-662",_xlfn.IFS(LEFT($G144,9)="Tranche 1","DELETE",$C144="Sessions_Level_1_All_Sites","KEEP",ISNUMBER(--$C144),"REVIEW — UA raw logs",$C144="Emag_Reporting","KEEP",$C144="Nutrition_Data_Archived_Tables","KEEP",$C144="EU_Data","KEEP",TRUE,"REVIEW"),OR($A144="thg-influencer",$A144="thg-ingenuity",$A144="thg-central-marketing",$A144="thg-seoclarity"),"HOLD",TRUE,"")</f>
        <v/>
      </c>
      <c r="R144" t="str" cm="1">
        <f t="array" ref="R144">_xlfn.IFS(AND($A144="thg-beauty",ISNUMBER(SEARCH("liveramp",$C144))),"thg-beauty Liveramp dataset — confirmed safe to delete",$A144="agile-bonbon-662",_xlfn.IFS(LEFT($G144,9)="Tranche 1","Tranche 1: cleared",$C144="Sessions_Level_1_All_Sites","Downstream aggregation of UA raw logs — keep if raw tables go",ISNUMBER(--$C144),"UA raw site logs (account ID) — keep pending audit-retention check",$C144="Emag_Reporting","Legacy but likely needed",$C144="Nutrition_Data_Archived_Tables","Worth keeping",$C144="EU_Data","Static lookup tables — scripts still reference (smoke-test risk)",TRUE,"Review"),OR($A144="thg-influencer",$A144="thg-ingenuity",$A144="thg-central-marketing",$A144="thg-seoclarity"),"HOLD — Charlie Stringer to review before deletion",TRUE,"")</f>
        <v/>
      </c>
      <c r="S144" t="s">
        <v>1624</v>
      </c>
    </row>
    <row r="145" spans="1:19" ht="76.5" hidden="1">
      <c r="A145" t="s">
        <v>93</v>
      </c>
      <c r="B145" t="s">
        <v>1619</v>
      </c>
      <c r="C145" t="s">
        <v>1904</v>
      </c>
      <c r="D145" s="2" t="s">
        <v>1621</v>
      </c>
      <c r="E145">
        <v>0.02</v>
      </c>
      <c r="F145">
        <v>0</v>
      </c>
      <c r="G145" t="s">
        <v>79</v>
      </c>
      <c r="H145" t="s">
        <v>81</v>
      </c>
      <c r="I145">
        <v>44</v>
      </c>
      <c r="J145">
        <v>54</v>
      </c>
      <c r="K145" s="5">
        <v>46153.428585428243</v>
      </c>
      <c r="L145" s="5">
        <v>46140.555527777768</v>
      </c>
      <c r="M145" s="2" t="s">
        <v>1905</v>
      </c>
      <c r="N145" s="2" t="s">
        <v>1906</v>
      </c>
      <c r="O145" s="5">
        <v>46142.585181655093</v>
      </c>
      <c r="P145" t="str">
        <f>IF($Q145="DELETE",IF($S145="CONFIRMED: NO MODS &gt; 1YR","CONFIRMED: NO MODS &gt; 1YR","DO NOT DELETE — not defensibly confirmed"),IF($Q145="HOLD","DO NOT DELETE — HOLD (Charlie review)",IF($Q145="KEEP","DO NOT DELETE — KEEP",IF(ISNUMBER(SEARCH("REVIEW",$Q145)),"DO NOT DELETE — REVIEW pending",$S145))))</f>
        <v>CONFIRMED: NO MODS &gt; 1YR</v>
      </c>
      <c r="Q145" t="str" cm="1">
        <f t="array" ref="Q145">_xlfn.IFS(AND($A145="thg-beauty",ISNUMBER(SEARCH("liveramp",$C145))),"DELETE",$A145="agile-bonbon-662",_xlfn.IFS(LEFT($G145,9)="Tranche 1","DELETE",$C145="Sessions_Level_1_All_Sites","KEEP",ISNUMBER(--$C145),"REVIEW — UA raw logs",$C145="Emag_Reporting","KEEP",$C145="Nutrition_Data_Archived_Tables","KEEP",$C145="EU_Data","KEEP",TRUE,"REVIEW"),OR($A145="thg-influencer",$A145="thg-ingenuity",$A145="thg-central-marketing",$A145="thg-seoclarity"),"HOLD",TRUE,"")</f>
        <v/>
      </c>
      <c r="R145" t="str" cm="1">
        <f t="array" ref="R145">_xlfn.IFS(AND($A145="thg-beauty",ISNUMBER(SEARCH("liveramp",$C145))),"thg-beauty Liveramp dataset — confirmed safe to delete",$A145="agile-bonbon-662",_xlfn.IFS(LEFT($G145,9)="Tranche 1","Tranche 1: cleared",$C145="Sessions_Level_1_All_Sites","Downstream aggregation of UA raw logs — keep if raw tables go",ISNUMBER(--$C145),"UA raw site logs (account ID) — keep pending audit-retention check",$C145="Emag_Reporting","Legacy but likely needed",$C145="Nutrition_Data_Archived_Tables","Worth keeping",$C145="EU_Data","Static lookup tables — scripts still reference (smoke-test risk)",TRUE,"Review"),OR($A145="thg-influencer",$A145="thg-ingenuity",$A145="thg-central-marketing",$A145="thg-seoclarity"),"HOLD — Charlie Stringer to review before deletion",TRUE,"")</f>
        <v/>
      </c>
      <c r="S145" t="s">
        <v>1624</v>
      </c>
    </row>
    <row r="146" spans="1:19" ht="76.5" hidden="1">
      <c r="A146" t="s">
        <v>1907</v>
      </c>
      <c r="B146" t="s">
        <v>1724</v>
      </c>
      <c r="C146" t="s">
        <v>1908</v>
      </c>
      <c r="D146" s="2" t="s">
        <v>1621</v>
      </c>
      <c r="E146">
        <v>0</v>
      </c>
      <c r="F146">
        <v>0</v>
      </c>
      <c r="G146" t="s">
        <v>79</v>
      </c>
      <c r="H146" t="s">
        <v>81</v>
      </c>
      <c r="I146">
        <v>42</v>
      </c>
      <c r="J146">
        <v>42</v>
      </c>
      <c r="K146" s="5">
        <v>46154.759860092592</v>
      </c>
      <c r="L146" s="5">
        <v>46154.759740162037</v>
      </c>
      <c r="M146" s="2" t="s">
        <v>1909</v>
      </c>
      <c r="N146" s="2" t="s">
        <v>1910</v>
      </c>
      <c r="O146" s="5">
        <v>46154.759757777778</v>
      </c>
      <c r="P146" t="str">
        <f>IF($Q146="DELETE",IF($S146="CONFIRMED: NO MODS &gt; 1YR","CONFIRMED: NO MODS &gt; 1YR","DO NOT DELETE — not defensibly confirmed"),IF($Q146="HOLD","DO NOT DELETE — HOLD (Charlie review)",IF($Q146="KEEP","DO NOT DELETE — KEEP",IF(ISNUMBER(SEARCH("REVIEW",$Q146)),"DO NOT DELETE — REVIEW pending",$S146))))</f>
        <v>CONFIRMED: NO MODS &gt; 1YR</v>
      </c>
      <c r="Q146" t="str" cm="1">
        <f t="array" ref="Q146">_xlfn.IFS(AND($A146="thg-beauty",ISNUMBER(SEARCH("liveramp",$C146))),"DELETE",$A146="agile-bonbon-662",_xlfn.IFS(LEFT($G146,9)="Tranche 1","DELETE",$C146="Sessions_Level_1_All_Sites","KEEP",ISNUMBER(--$C146),"REVIEW — UA raw logs",$C146="Emag_Reporting","KEEP",$C146="Nutrition_Data_Archived_Tables","KEEP",$C146="EU_Data","KEEP",TRUE,"REVIEW"),OR($A146="thg-influencer",$A146="thg-ingenuity",$A146="thg-central-marketing",$A146="thg-seoclarity"),"HOLD",TRUE,"")</f>
        <v/>
      </c>
      <c r="R146" t="str" cm="1">
        <f t="array" ref="R146">_xlfn.IFS(AND($A146="thg-beauty",ISNUMBER(SEARCH("liveramp",$C146))),"thg-beauty Liveramp dataset — confirmed safe to delete",$A146="agile-bonbon-662",_xlfn.IFS(LEFT($G146,9)="Tranche 1","Tranche 1: cleared",$C146="Sessions_Level_1_All_Sites","Downstream aggregation of UA raw logs — keep if raw tables go",ISNUMBER(--$C146),"UA raw site logs (account ID) — keep pending audit-retention check",$C146="Emag_Reporting","Legacy but likely needed",$C146="Nutrition_Data_Archived_Tables","Worth keeping",$C146="EU_Data","Static lookup tables — scripts still reference (smoke-test risk)",TRUE,"Review"),OR($A146="thg-influencer",$A146="thg-ingenuity",$A146="thg-central-marketing",$A146="thg-seoclarity"),"HOLD — Charlie Stringer to review before deletion",TRUE,"")</f>
        <v/>
      </c>
      <c r="S146" t="s">
        <v>1624</v>
      </c>
    </row>
    <row r="147" spans="1:19" hidden="1">
      <c r="A147" t="s">
        <v>1911</v>
      </c>
      <c r="B147" t="s">
        <v>1619</v>
      </c>
      <c r="C147" t="s">
        <v>1912</v>
      </c>
      <c r="D147" s="2" t="s">
        <v>1621</v>
      </c>
      <c r="E147">
        <v>6874.66</v>
      </c>
      <c r="F147">
        <v>137.49</v>
      </c>
      <c r="G147" t="s">
        <v>79</v>
      </c>
      <c r="H147" t="s">
        <v>81</v>
      </c>
      <c r="I147">
        <v>40</v>
      </c>
      <c r="J147">
        <v>40</v>
      </c>
      <c r="K147" s="5">
        <v>46048.597556076391</v>
      </c>
      <c r="M147" s="2" t="s">
        <v>1913</v>
      </c>
      <c r="N147" s="2" t="s">
        <v>1701</v>
      </c>
      <c r="O147" s="5">
        <v>46157.446101712972</v>
      </c>
      <c r="P147" t="str">
        <f>IF($Q147="DELETE",IF($S147="CONFIRMED: NO MODS &gt; 1YR","CONFIRMED: NO MODS &gt; 1YR","DO NOT DELETE — not defensibly confirmed"),IF($Q147="HOLD","DO NOT DELETE — HOLD (Charlie review)",IF($Q147="KEEP","DO NOT DELETE — KEEP",IF(ISNUMBER(SEARCH("REVIEW",$Q147)),"DO NOT DELETE — REVIEW pending",$S147))))</f>
        <v>CONFIRMED: NO MODS &gt; 1YR</v>
      </c>
      <c r="Q147" t="str" cm="1">
        <f t="array" ref="Q147">_xlfn.IFS(AND($A147="thg-beauty",ISNUMBER(SEARCH("liveramp",$C147))),"DELETE",$A147="agile-bonbon-662",_xlfn.IFS(LEFT($G147,9)="Tranche 1","DELETE",$C147="Sessions_Level_1_All_Sites","KEEP",ISNUMBER(--$C147),"REVIEW — UA raw logs",$C147="Emag_Reporting","KEEP",$C147="Nutrition_Data_Archived_Tables","KEEP",$C147="EU_Data","KEEP",TRUE,"REVIEW"),OR($A147="thg-influencer",$A147="thg-ingenuity",$A147="thg-central-marketing",$A147="thg-seoclarity"),"HOLD",TRUE,"")</f>
        <v/>
      </c>
      <c r="R147" t="str" cm="1">
        <f t="array" ref="R147">_xlfn.IFS(AND($A147="thg-beauty",ISNUMBER(SEARCH("liveramp",$C147))),"thg-beauty Liveramp dataset — confirmed safe to delete",$A147="agile-bonbon-662",_xlfn.IFS(LEFT($G147,9)="Tranche 1","Tranche 1: cleared",$C147="Sessions_Level_1_All_Sites","Downstream aggregation of UA raw logs — keep if raw tables go",ISNUMBER(--$C147),"UA raw site logs (account ID) — keep pending audit-retention check",$C147="Emag_Reporting","Legacy but likely needed",$C147="Nutrition_Data_Archived_Tables","Worth keeping",$C147="EU_Data","Static lookup tables — scripts still reference (smoke-test risk)",TRUE,"Review"),OR($A147="thg-influencer",$A147="thg-ingenuity",$A147="thg-central-marketing",$A147="thg-seoclarity"),"HOLD — Charlie Stringer to review before deletion",TRUE,"")</f>
        <v/>
      </c>
      <c r="S147" t="s">
        <v>1624</v>
      </c>
    </row>
    <row r="148" spans="1:19" ht="76.5" hidden="1">
      <c r="A148" t="s">
        <v>1702</v>
      </c>
      <c r="B148" t="s">
        <v>1619</v>
      </c>
      <c r="C148" t="s">
        <v>1912</v>
      </c>
      <c r="D148" s="2" t="s">
        <v>1621</v>
      </c>
      <c r="E148">
        <v>6788.37</v>
      </c>
      <c r="F148">
        <v>135.77000000000001</v>
      </c>
      <c r="G148" t="s">
        <v>79</v>
      </c>
      <c r="H148" t="s">
        <v>81</v>
      </c>
      <c r="I148">
        <v>40</v>
      </c>
      <c r="J148">
        <v>40</v>
      </c>
      <c r="K148" s="5">
        <v>46059.426051956019</v>
      </c>
      <c r="M148" s="2" t="s">
        <v>1914</v>
      </c>
      <c r="N148" s="2" t="s">
        <v>1701</v>
      </c>
      <c r="O148" s="5">
        <v>46157.445347476852</v>
      </c>
      <c r="P148" t="str">
        <f>IF($Q148="DELETE",IF($S148="CONFIRMED: NO MODS &gt; 1YR","CONFIRMED: NO MODS &gt; 1YR","DO NOT DELETE — not defensibly confirmed"),IF($Q148="HOLD","DO NOT DELETE — HOLD (Charlie review)",IF($Q148="KEEP","DO NOT DELETE — KEEP",IF(ISNUMBER(SEARCH("REVIEW",$Q148)),"DO NOT DELETE — REVIEW pending",$S148))))</f>
        <v>CONFIRMED: NO MODS &gt; 1YR</v>
      </c>
      <c r="Q148" t="str" cm="1">
        <f t="array" ref="Q148">_xlfn.IFS(AND($A148="thg-beauty",ISNUMBER(SEARCH("liveramp",$C148))),"DELETE",$A148="agile-bonbon-662",_xlfn.IFS(LEFT($G148,9)="Tranche 1","DELETE",$C148="Sessions_Level_1_All_Sites","KEEP",ISNUMBER(--$C148),"REVIEW — UA raw logs",$C148="Emag_Reporting","KEEP",$C148="Nutrition_Data_Archived_Tables","KEEP",$C148="EU_Data","KEEP",TRUE,"REVIEW"),OR($A148="thg-influencer",$A148="thg-ingenuity",$A148="thg-central-marketing",$A148="thg-seoclarity"),"HOLD",TRUE,"")</f>
        <v/>
      </c>
      <c r="R148" t="str" cm="1">
        <f t="array" ref="R148">_xlfn.IFS(AND($A148="thg-beauty",ISNUMBER(SEARCH("liveramp",$C148))),"thg-beauty Liveramp dataset — confirmed safe to delete",$A148="agile-bonbon-662",_xlfn.IFS(LEFT($G148,9)="Tranche 1","Tranche 1: cleared",$C148="Sessions_Level_1_All_Sites","Downstream aggregation of UA raw logs — keep if raw tables go",ISNUMBER(--$C148),"UA raw site logs (account ID) — keep pending audit-retention check",$C148="Emag_Reporting","Legacy but likely needed",$C148="Nutrition_Data_Archived_Tables","Worth keeping",$C148="EU_Data","Static lookup tables — scripts still reference (smoke-test risk)",TRUE,"Review"),OR($A148="thg-influencer",$A148="thg-ingenuity",$A148="thg-central-marketing",$A148="thg-seoclarity"),"HOLD — Charlie Stringer to review before deletion",TRUE,"")</f>
        <v/>
      </c>
      <c r="S148" t="s">
        <v>1624</v>
      </c>
    </row>
    <row r="149" spans="1:19" ht="76.5" hidden="1">
      <c r="A149" t="s">
        <v>93</v>
      </c>
      <c r="B149" t="s">
        <v>1619</v>
      </c>
      <c r="C149" t="s">
        <v>1912</v>
      </c>
      <c r="D149" s="2" t="s">
        <v>1621</v>
      </c>
      <c r="E149">
        <v>2811.22</v>
      </c>
      <c r="F149">
        <v>56.22</v>
      </c>
      <c r="G149" t="s">
        <v>79</v>
      </c>
      <c r="H149" t="s">
        <v>81</v>
      </c>
      <c r="I149">
        <v>40</v>
      </c>
      <c r="J149">
        <v>40</v>
      </c>
      <c r="K149" s="5">
        <v>46057.475681261567</v>
      </c>
      <c r="M149" s="2" t="s">
        <v>1915</v>
      </c>
      <c r="N149" s="2" t="s">
        <v>1701</v>
      </c>
      <c r="O149" s="5">
        <v>46157.444664270843</v>
      </c>
      <c r="P149" t="str">
        <f>IF($Q149="DELETE",IF($S149="CONFIRMED: NO MODS &gt; 1YR","CONFIRMED: NO MODS &gt; 1YR","DO NOT DELETE — not defensibly confirmed"),IF($Q149="HOLD","DO NOT DELETE — HOLD (Charlie review)",IF($Q149="KEEP","DO NOT DELETE — KEEP",IF(ISNUMBER(SEARCH("REVIEW",$Q149)),"DO NOT DELETE — REVIEW pending",$S149))))</f>
        <v>CONFIRMED: NO MODS &gt; 1YR</v>
      </c>
      <c r="Q149" t="str" cm="1">
        <f t="array" ref="Q149">_xlfn.IFS(AND($A149="thg-beauty",ISNUMBER(SEARCH("liveramp",$C149))),"DELETE",$A149="agile-bonbon-662",_xlfn.IFS(LEFT($G149,9)="Tranche 1","DELETE",$C149="Sessions_Level_1_All_Sites","KEEP",ISNUMBER(--$C149),"REVIEW — UA raw logs",$C149="Emag_Reporting","KEEP",$C149="Nutrition_Data_Archived_Tables","KEEP",$C149="EU_Data","KEEP",TRUE,"REVIEW"),OR($A149="thg-influencer",$A149="thg-ingenuity",$A149="thg-central-marketing",$A149="thg-seoclarity"),"HOLD",TRUE,"")</f>
        <v/>
      </c>
      <c r="R149" t="str" cm="1">
        <f t="array" ref="R149">_xlfn.IFS(AND($A149="thg-beauty",ISNUMBER(SEARCH("liveramp",$C149))),"thg-beauty Liveramp dataset — confirmed safe to delete",$A149="agile-bonbon-662",_xlfn.IFS(LEFT($G149,9)="Tranche 1","Tranche 1: cleared",$C149="Sessions_Level_1_All_Sites","Downstream aggregation of UA raw logs — keep if raw tables go",ISNUMBER(--$C149),"UA raw site logs (account ID) — keep pending audit-retention check",$C149="Emag_Reporting","Legacy but likely needed",$C149="Nutrition_Data_Archived_Tables","Worth keeping",$C149="EU_Data","Static lookup tables — scripts still reference (smoke-test risk)",TRUE,"Review"),OR($A149="thg-influencer",$A149="thg-ingenuity",$A149="thg-central-marketing",$A149="thg-seoclarity"),"HOLD — Charlie Stringer to review before deletion",TRUE,"")</f>
        <v/>
      </c>
      <c r="S149" t="s">
        <v>1624</v>
      </c>
    </row>
    <row r="150" spans="1:19" hidden="1">
      <c r="A150" t="s">
        <v>93</v>
      </c>
      <c r="B150" t="s">
        <v>1619</v>
      </c>
      <c r="C150" t="s">
        <v>1916</v>
      </c>
      <c r="D150" s="2" t="s">
        <v>1621</v>
      </c>
      <c r="E150">
        <v>1443.3</v>
      </c>
      <c r="F150">
        <v>28.87</v>
      </c>
      <c r="G150" t="s">
        <v>79</v>
      </c>
      <c r="H150" t="s">
        <v>81</v>
      </c>
      <c r="I150">
        <v>40</v>
      </c>
      <c r="J150">
        <v>40</v>
      </c>
      <c r="M150" s="2" t="s">
        <v>1715</v>
      </c>
      <c r="N150" s="2" t="s">
        <v>1701</v>
      </c>
      <c r="O150" s="5">
        <v>46157.429964768518</v>
      </c>
      <c r="P150" t="str">
        <f>IF($Q150="DELETE",IF($S150="CONFIRMED: NO MODS &gt; 1YR","CONFIRMED: NO MODS &gt; 1YR","DO NOT DELETE — not defensibly confirmed"),IF($Q150="HOLD","DO NOT DELETE — HOLD (Charlie review)",IF($Q150="KEEP","DO NOT DELETE — KEEP",IF(ISNUMBER(SEARCH("REVIEW",$Q150)),"DO NOT DELETE — REVIEW pending",$S150))))</f>
        <v>CONFIRMED: NO MODS &gt; 1YR</v>
      </c>
      <c r="Q150" t="str" cm="1">
        <f t="array" ref="Q150">_xlfn.IFS(AND($A150="thg-beauty",ISNUMBER(SEARCH("liveramp",$C150))),"DELETE",$A150="agile-bonbon-662",_xlfn.IFS(LEFT($G150,9)="Tranche 1","DELETE",$C150="Sessions_Level_1_All_Sites","KEEP",ISNUMBER(--$C150),"REVIEW — UA raw logs",$C150="Emag_Reporting","KEEP",$C150="Nutrition_Data_Archived_Tables","KEEP",$C150="EU_Data","KEEP",TRUE,"REVIEW"),OR($A150="thg-influencer",$A150="thg-ingenuity",$A150="thg-central-marketing",$A150="thg-seoclarity"),"HOLD",TRUE,"")</f>
        <v/>
      </c>
      <c r="R150" t="str" cm="1">
        <f t="array" ref="R150">_xlfn.IFS(AND($A150="thg-beauty",ISNUMBER(SEARCH("liveramp",$C150))),"thg-beauty Liveramp dataset — confirmed safe to delete",$A150="agile-bonbon-662",_xlfn.IFS(LEFT($G150,9)="Tranche 1","Tranche 1: cleared",$C150="Sessions_Level_1_All_Sites","Downstream aggregation of UA raw logs — keep if raw tables go",ISNUMBER(--$C150),"UA raw site logs (account ID) — keep pending audit-retention check",$C150="Emag_Reporting","Legacy but likely needed",$C150="Nutrition_Data_Archived_Tables","Worth keeping",$C150="EU_Data","Static lookup tables — scripts still reference (smoke-test risk)",TRUE,"Review"),OR($A150="thg-influencer",$A150="thg-ingenuity",$A150="thg-central-marketing",$A150="thg-seoclarity"),"HOLD — Charlie Stringer to review before deletion",TRUE,"")</f>
        <v/>
      </c>
      <c r="S150" t="s">
        <v>1624</v>
      </c>
    </row>
    <row r="151" spans="1:19" hidden="1">
      <c r="A151" t="s">
        <v>1702</v>
      </c>
      <c r="B151" t="s">
        <v>1619</v>
      </c>
      <c r="C151" t="s">
        <v>1916</v>
      </c>
      <c r="D151" s="2" t="s">
        <v>1621</v>
      </c>
      <c r="E151">
        <v>240.55</v>
      </c>
      <c r="F151">
        <v>4.8099999999999996</v>
      </c>
      <c r="G151" t="s">
        <v>79</v>
      </c>
      <c r="H151" t="s">
        <v>81</v>
      </c>
      <c r="I151">
        <v>40</v>
      </c>
      <c r="J151">
        <v>40</v>
      </c>
      <c r="M151" s="2" t="s">
        <v>1715</v>
      </c>
      <c r="N151" s="2" t="s">
        <v>1701</v>
      </c>
      <c r="O151" s="5">
        <v>46157.399224953697</v>
      </c>
      <c r="P151" t="str">
        <f>IF($Q151="DELETE",IF($S151="CONFIRMED: NO MODS &gt; 1YR","CONFIRMED: NO MODS &gt; 1YR","DO NOT DELETE — not defensibly confirmed"),IF($Q151="HOLD","DO NOT DELETE — HOLD (Charlie review)",IF($Q151="KEEP","DO NOT DELETE — KEEP",IF(ISNUMBER(SEARCH("REVIEW",$Q151)),"DO NOT DELETE — REVIEW pending",$S151))))</f>
        <v>CONFIRMED: NO MODS &gt; 1YR</v>
      </c>
      <c r="Q151" t="str" cm="1">
        <f t="array" ref="Q151">_xlfn.IFS(AND($A151="thg-beauty",ISNUMBER(SEARCH("liveramp",$C151))),"DELETE",$A151="agile-bonbon-662",_xlfn.IFS(LEFT($G151,9)="Tranche 1","DELETE",$C151="Sessions_Level_1_All_Sites","KEEP",ISNUMBER(--$C151),"REVIEW — UA raw logs",$C151="Emag_Reporting","KEEP",$C151="Nutrition_Data_Archived_Tables","KEEP",$C151="EU_Data","KEEP",TRUE,"REVIEW"),OR($A151="thg-influencer",$A151="thg-ingenuity",$A151="thg-central-marketing",$A151="thg-seoclarity"),"HOLD",TRUE,"")</f>
        <v/>
      </c>
      <c r="R151" t="str" cm="1">
        <f t="array" ref="R151">_xlfn.IFS(AND($A151="thg-beauty",ISNUMBER(SEARCH("liveramp",$C151))),"thg-beauty Liveramp dataset — confirmed safe to delete",$A151="agile-bonbon-662",_xlfn.IFS(LEFT($G151,9)="Tranche 1","Tranche 1: cleared",$C151="Sessions_Level_1_All_Sites","Downstream aggregation of UA raw logs — keep if raw tables go",ISNUMBER(--$C151),"UA raw site logs (account ID) — keep pending audit-retention check",$C151="Emag_Reporting","Legacy but likely needed",$C151="Nutrition_Data_Archived_Tables","Worth keeping",$C151="EU_Data","Static lookup tables — scripts still reference (smoke-test risk)",TRUE,"Review"),OR($A151="thg-influencer",$A151="thg-ingenuity",$A151="thg-central-marketing",$A151="thg-seoclarity"),"HOLD — Charlie Stringer to review before deletion",TRUE,"")</f>
        <v/>
      </c>
      <c r="S151" t="s">
        <v>1624</v>
      </c>
    </row>
    <row r="152" spans="1:19" hidden="1">
      <c r="A152" t="s">
        <v>1768</v>
      </c>
      <c r="B152" t="s">
        <v>1619</v>
      </c>
      <c r="C152" t="s">
        <v>1916</v>
      </c>
      <c r="D152" s="2" t="s">
        <v>1621</v>
      </c>
      <c r="E152">
        <v>16.77</v>
      </c>
      <c r="F152">
        <v>0.34</v>
      </c>
      <c r="G152" t="s">
        <v>79</v>
      </c>
      <c r="H152" t="s">
        <v>81</v>
      </c>
      <c r="I152">
        <v>40</v>
      </c>
      <c r="J152">
        <v>40</v>
      </c>
      <c r="M152" s="2" t="s">
        <v>1715</v>
      </c>
      <c r="N152" s="2" t="s">
        <v>1701</v>
      </c>
      <c r="O152" s="5">
        <v>46157.399217384263</v>
      </c>
      <c r="P152" t="str">
        <f>IF($Q152="DELETE",IF($S152="CONFIRMED: NO MODS &gt; 1YR","CONFIRMED: NO MODS &gt; 1YR","DO NOT DELETE — not defensibly confirmed"),IF($Q152="HOLD","DO NOT DELETE — HOLD (Charlie review)",IF($Q152="KEEP","DO NOT DELETE — KEEP",IF(ISNUMBER(SEARCH("REVIEW",$Q152)),"DO NOT DELETE — REVIEW pending",$S152))))</f>
        <v>CONFIRMED: NO MODS &gt; 1YR</v>
      </c>
      <c r="Q152" t="str" cm="1">
        <f t="array" ref="Q152">_xlfn.IFS(AND($A152="thg-beauty",ISNUMBER(SEARCH("liveramp",$C152))),"DELETE",$A152="agile-bonbon-662",_xlfn.IFS(LEFT($G152,9)="Tranche 1","DELETE",$C152="Sessions_Level_1_All_Sites","KEEP",ISNUMBER(--$C152),"REVIEW — UA raw logs",$C152="Emag_Reporting","KEEP",$C152="Nutrition_Data_Archived_Tables","KEEP",$C152="EU_Data","KEEP",TRUE,"REVIEW"),OR($A152="thg-influencer",$A152="thg-ingenuity",$A152="thg-central-marketing",$A152="thg-seoclarity"),"HOLD",TRUE,"")</f>
        <v/>
      </c>
      <c r="R152" t="str" cm="1">
        <f t="array" ref="R152">_xlfn.IFS(AND($A152="thg-beauty",ISNUMBER(SEARCH("liveramp",$C152))),"thg-beauty Liveramp dataset — confirmed safe to delete",$A152="agile-bonbon-662",_xlfn.IFS(LEFT($G152,9)="Tranche 1","Tranche 1: cleared",$C152="Sessions_Level_1_All_Sites","Downstream aggregation of UA raw logs — keep if raw tables go",ISNUMBER(--$C152),"UA raw site logs (account ID) — keep pending audit-retention check",$C152="Emag_Reporting","Legacy but likely needed",$C152="Nutrition_Data_Archived_Tables","Worth keeping",$C152="EU_Data","Static lookup tables — scripts still reference (smoke-test risk)",TRUE,"Review"),OR($A152="thg-influencer",$A152="thg-ingenuity",$A152="thg-central-marketing",$A152="thg-seoclarity"),"HOLD — Charlie Stringer to review before deletion",TRUE,"")</f>
        <v/>
      </c>
      <c r="S152" t="s">
        <v>1624</v>
      </c>
    </row>
    <row r="153" spans="1:19" ht="76.5" hidden="1">
      <c r="A153" t="s">
        <v>38</v>
      </c>
      <c r="B153" t="s">
        <v>1619</v>
      </c>
      <c r="C153" t="s">
        <v>1917</v>
      </c>
      <c r="D153" s="2" t="s">
        <v>1621</v>
      </c>
      <c r="E153">
        <v>2.89</v>
      </c>
      <c r="F153">
        <v>0.06</v>
      </c>
      <c r="G153" t="s">
        <v>79</v>
      </c>
      <c r="H153" t="s">
        <v>81</v>
      </c>
      <c r="I153">
        <v>38</v>
      </c>
      <c r="J153">
        <v>38</v>
      </c>
      <c r="K153" s="5">
        <v>46159.335467546298</v>
      </c>
      <c r="L153" s="5">
        <v>46159.323467349539</v>
      </c>
      <c r="M153" s="2" t="s">
        <v>1918</v>
      </c>
      <c r="N153" s="2" t="s">
        <v>1919</v>
      </c>
      <c r="O153" s="5">
        <v>46159.323504131942</v>
      </c>
      <c r="P153" t="str">
        <f>IF($Q153="DELETE",IF($S153="CONFIRMED: NO MODS &gt; 1YR","CONFIRMED: NO MODS &gt; 1YR","DO NOT DELETE — not defensibly confirmed"),IF($Q153="HOLD","DO NOT DELETE — HOLD (Charlie review)",IF($Q153="KEEP","DO NOT DELETE — KEEP",IF(ISNUMBER(SEARCH("REVIEW",$Q153)),"DO NOT DELETE — REVIEW pending",$S153))))</f>
        <v>DO NOT DELETE — HOLD (Charlie review)</v>
      </c>
      <c r="Q153" t="str" cm="1">
        <f t="array" ref="Q153">_xlfn.IFS(AND($A153="thg-beauty",ISNUMBER(SEARCH("liveramp",$C153))),"DELETE",$A153="agile-bonbon-662",_xlfn.IFS(LEFT($G153,9)="Tranche 1","DELETE",$C153="Sessions_Level_1_All_Sites","KEEP",ISNUMBER(--$C153),"REVIEW — UA raw logs",$C153="Emag_Reporting","KEEP",$C153="Nutrition_Data_Archived_Tables","KEEP",$C153="EU_Data","KEEP",TRUE,"REVIEW"),OR($A153="thg-influencer",$A153="thg-ingenuity",$A153="thg-central-marketing",$A153="thg-seoclarity"),"HOLD",TRUE,"")</f>
        <v>HOLD</v>
      </c>
      <c r="R153" t="str" cm="1">
        <f t="array" ref="R153">_xlfn.IFS(AND($A153="thg-beauty",ISNUMBER(SEARCH("liveramp",$C153))),"thg-beauty Liveramp dataset — confirmed safe to delete",$A153="agile-bonbon-662",_xlfn.IFS(LEFT($G153,9)="Tranche 1","Tranche 1: cleared",$C153="Sessions_Level_1_All_Sites","Downstream aggregation of UA raw logs — keep if raw tables go",ISNUMBER(--$C153),"UA raw site logs (account ID) — keep pending audit-retention check",$C153="Emag_Reporting","Legacy but likely needed",$C153="Nutrition_Data_Archived_Tables","Worth keeping",$C153="EU_Data","Static lookup tables — scripts still reference (smoke-test risk)",TRUE,"Review"),OR($A153="thg-influencer",$A153="thg-ingenuity",$A153="thg-central-marketing",$A153="thg-seoclarity"),"HOLD — Charlie Stringer to review before deletion",TRUE,"")</f>
        <v>HOLD — Charlie Stringer to review before deletion</v>
      </c>
      <c r="S153" t="s">
        <v>1624</v>
      </c>
    </row>
    <row r="154" spans="1:19" ht="45.75" hidden="1">
      <c r="A154" t="s">
        <v>89</v>
      </c>
      <c r="B154" t="s">
        <v>1619</v>
      </c>
      <c r="C154" t="s">
        <v>1920</v>
      </c>
      <c r="D154" s="2" t="s">
        <v>1621</v>
      </c>
      <c r="E154">
        <v>1068.9100000000001</v>
      </c>
      <c r="F154">
        <v>21.38</v>
      </c>
      <c r="G154" t="s">
        <v>79</v>
      </c>
      <c r="H154" t="s">
        <v>81</v>
      </c>
      <c r="I154">
        <v>35</v>
      </c>
      <c r="J154">
        <v>353</v>
      </c>
      <c r="K154" s="5">
        <v>46161.617479710651</v>
      </c>
      <c r="M154" s="2" t="s">
        <v>1921</v>
      </c>
      <c r="N154" s="2" t="s">
        <v>1701</v>
      </c>
      <c r="O154" s="5">
        <v>45844.431002037039</v>
      </c>
      <c r="P154" t="str">
        <f>IF($Q154="DELETE",IF($S154="CONFIRMED: NO MODS &gt; 1YR","CONFIRMED: NO MODS &gt; 1YR","DO NOT DELETE — not defensibly confirmed"),IF($Q154="HOLD","DO NOT DELETE — HOLD (Charlie review)",IF($Q154="KEEP","DO NOT DELETE — KEEP",IF(ISNUMBER(SEARCH("REVIEW",$Q154)),"DO NOT DELETE — REVIEW pending",$S154))))</f>
        <v>DO NOT DELETE — REVIEW pending</v>
      </c>
      <c r="Q154" t="str" cm="1">
        <f t="array" ref="Q154">_xlfn.IFS(AND($A154="thg-beauty",ISNUMBER(SEARCH("liveramp",$C154))),"DELETE",$A154="agile-bonbon-662",_xlfn.IFS(LEFT($G154,9)="Tranche 1","DELETE",$C154="Sessions_Level_1_All_Sites","KEEP",ISNUMBER(--$C154),"REVIEW — UA raw logs",$C154="Emag_Reporting","KEEP",$C154="Nutrition_Data_Archived_Tables","KEEP",$C154="EU_Data","KEEP",TRUE,"REVIEW"),OR($A154="thg-influencer",$A154="thg-ingenuity",$A154="thg-central-marketing",$A154="thg-seoclarity"),"HOLD",TRUE,"")</f>
        <v>REVIEW</v>
      </c>
      <c r="R154" t="str" cm="1">
        <f t="array" ref="R154">_xlfn.IFS(AND($A154="thg-beauty",ISNUMBER(SEARCH("liveramp",$C154))),"thg-beauty Liveramp dataset — confirmed safe to delete",$A154="agile-bonbon-662",_xlfn.IFS(LEFT($G154,9)="Tranche 1","Tranche 1: cleared",$C154="Sessions_Level_1_All_Sites","Downstream aggregation of UA raw logs — keep if raw tables go",ISNUMBER(--$C154),"UA raw site logs (account ID) — keep pending audit-retention check",$C154="Emag_Reporting","Legacy but likely needed",$C154="Nutrition_Data_Archived_Tables","Worth keeping",$C154="EU_Data","Static lookup tables — scripts still reference (smoke-test risk)",TRUE,"Review"),OR($A154="thg-influencer",$A154="thg-ingenuity",$A154="thg-central-marketing",$A154="thg-seoclarity"),"HOLD — Charlie Stringer to review before deletion",TRUE,"")</f>
        <v>Review</v>
      </c>
      <c r="S154" t="s">
        <v>1631</v>
      </c>
    </row>
    <row r="155" spans="1:19" ht="76.5" hidden="1">
      <c r="A155" t="s">
        <v>89</v>
      </c>
      <c r="B155" t="s">
        <v>1619</v>
      </c>
      <c r="C155" t="s">
        <v>1922</v>
      </c>
      <c r="D155" s="2" t="s">
        <v>1621</v>
      </c>
      <c r="E155">
        <v>1023.91</v>
      </c>
      <c r="F155">
        <v>20.48</v>
      </c>
      <c r="G155" t="s">
        <v>79</v>
      </c>
      <c r="H155" t="s">
        <v>81</v>
      </c>
      <c r="I155">
        <v>35</v>
      </c>
      <c r="J155">
        <v>64</v>
      </c>
      <c r="K155" s="5">
        <v>46161.61069721065</v>
      </c>
      <c r="M155" s="2" t="s">
        <v>1923</v>
      </c>
      <c r="N155" s="2" t="s">
        <v>1701</v>
      </c>
      <c r="O155" s="5">
        <v>46132.791840347221</v>
      </c>
      <c r="P155" t="str">
        <f>IF($Q155="DELETE",IF($S155="CONFIRMED: NO MODS &gt; 1YR","CONFIRMED: NO MODS &gt; 1YR","DO NOT DELETE — not defensibly confirmed"),IF($Q155="HOLD","DO NOT DELETE — HOLD (Charlie review)",IF($Q155="KEEP","DO NOT DELETE — KEEP",IF(ISNUMBER(SEARCH("REVIEW",$Q155)),"DO NOT DELETE — REVIEW pending",$S155))))</f>
        <v>DO NOT DELETE — REVIEW pending</v>
      </c>
      <c r="Q155" t="str" cm="1">
        <f t="array" ref="Q155">_xlfn.IFS(AND($A155="thg-beauty",ISNUMBER(SEARCH("liveramp",$C155))),"DELETE",$A155="agile-bonbon-662",_xlfn.IFS(LEFT($G155,9)="Tranche 1","DELETE",$C155="Sessions_Level_1_All_Sites","KEEP",ISNUMBER(--$C155),"REVIEW — UA raw logs",$C155="Emag_Reporting","KEEP",$C155="Nutrition_Data_Archived_Tables","KEEP",$C155="EU_Data","KEEP",TRUE,"REVIEW"),OR($A155="thg-influencer",$A155="thg-ingenuity",$A155="thg-central-marketing",$A155="thg-seoclarity"),"HOLD",TRUE,"")</f>
        <v>REVIEW</v>
      </c>
      <c r="R155" t="str" cm="1">
        <f t="array" ref="R155">_xlfn.IFS(AND($A155="thg-beauty",ISNUMBER(SEARCH("liveramp",$C155))),"thg-beauty Liveramp dataset — confirmed safe to delete",$A155="agile-bonbon-662",_xlfn.IFS(LEFT($G155,9)="Tranche 1","Tranche 1: cleared",$C155="Sessions_Level_1_All_Sites","Downstream aggregation of UA raw logs — keep if raw tables go",ISNUMBER(--$C155),"UA raw site logs (account ID) — keep pending audit-retention check",$C155="Emag_Reporting","Legacy but likely needed",$C155="Nutrition_Data_Archived_Tables","Worth keeping",$C155="EU_Data","Static lookup tables — scripts still reference (smoke-test risk)",TRUE,"Review"),OR($A155="thg-influencer",$A155="thg-ingenuity",$A155="thg-central-marketing",$A155="thg-seoclarity"),"HOLD — Charlie Stringer to review before deletion",TRUE,"")</f>
        <v>Review</v>
      </c>
      <c r="S155" t="s">
        <v>1624</v>
      </c>
    </row>
    <row r="156" spans="1:19" ht="45.75" hidden="1">
      <c r="A156" t="s">
        <v>89</v>
      </c>
      <c r="B156" t="s">
        <v>1619</v>
      </c>
      <c r="C156" t="s">
        <v>1924</v>
      </c>
      <c r="D156" s="2" t="s">
        <v>1621</v>
      </c>
      <c r="E156">
        <v>373.6</v>
      </c>
      <c r="F156">
        <v>7.47</v>
      </c>
      <c r="G156" t="s">
        <v>79</v>
      </c>
      <c r="H156" t="s">
        <v>81</v>
      </c>
      <c r="I156">
        <v>35</v>
      </c>
      <c r="J156">
        <v>77</v>
      </c>
      <c r="K156" s="5">
        <v>46161.616906342591</v>
      </c>
      <c r="L156" s="5">
        <v>46120.449030254633</v>
      </c>
      <c r="M156" s="2" t="s">
        <v>1925</v>
      </c>
      <c r="N156" s="2" t="s">
        <v>1926</v>
      </c>
      <c r="O156" s="5">
        <v>46120.449101817132</v>
      </c>
      <c r="P156" t="str">
        <f>IF($Q156="DELETE",IF($S156="CONFIRMED: NO MODS &gt; 1YR","CONFIRMED: NO MODS &gt; 1YR","DO NOT DELETE — not defensibly confirmed"),IF($Q156="HOLD","DO NOT DELETE — HOLD (Charlie review)",IF($Q156="KEEP","DO NOT DELETE — KEEP",IF(ISNUMBER(SEARCH("REVIEW",$Q156)),"DO NOT DELETE — REVIEW pending",$S156))))</f>
        <v>DO NOT DELETE — REVIEW pending</v>
      </c>
      <c r="Q156" t="str" cm="1">
        <f t="array" ref="Q156">_xlfn.IFS(AND($A156="thg-beauty",ISNUMBER(SEARCH("liveramp",$C156))),"DELETE",$A156="agile-bonbon-662",_xlfn.IFS(LEFT($G156,9)="Tranche 1","DELETE",$C156="Sessions_Level_1_All_Sites","KEEP",ISNUMBER(--$C156),"REVIEW — UA raw logs",$C156="Emag_Reporting","KEEP",$C156="Nutrition_Data_Archived_Tables","KEEP",$C156="EU_Data","KEEP",TRUE,"REVIEW"),OR($A156="thg-influencer",$A156="thg-ingenuity",$A156="thg-central-marketing",$A156="thg-seoclarity"),"HOLD",TRUE,"")</f>
        <v>REVIEW</v>
      </c>
      <c r="R156" t="str" cm="1">
        <f t="array" ref="R156">_xlfn.IFS(AND($A156="thg-beauty",ISNUMBER(SEARCH("liveramp",$C156))),"thg-beauty Liveramp dataset — confirmed safe to delete",$A156="agile-bonbon-662",_xlfn.IFS(LEFT($G156,9)="Tranche 1","Tranche 1: cleared",$C156="Sessions_Level_1_All_Sites","Downstream aggregation of UA raw logs — keep if raw tables go",ISNUMBER(--$C156),"UA raw site logs (account ID) — keep pending audit-retention check",$C156="Emag_Reporting","Legacy but likely needed",$C156="Nutrition_Data_Archived_Tables","Worth keeping",$C156="EU_Data","Static lookup tables — scripts still reference (smoke-test risk)",TRUE,"Review"),OR($A156="thg-influencer",$A156="thg-ingenuity",$A156="thg-central-marketing",$A156="thg-seoclarity"),"HOLD — Charlie Stringer to review before deletion",TRUE,"")</f>
        <v>Review</v>
      </c>
      <c r="S156" t="s">
        <v>1631</v>
      </c>
    </row>
    <row r="157" spans="1:19" ht="45.75" hidden="1">
      <c r="A157" t="s">
        <v>89</v>
      </c>
      <c r="B157" t="s">
        <v>1619</v>
      </c>
      <c r="C157" t="s">
        <v>1927</v>
      </c>
      <c r="D157" s="2" t="s">
        <v>1621</v>
      </c>
      <c r="E157">
        <v>188.1</v>
      </c>
      <c r="F157">
        <v>3.76</v>
      </c>
      <c r="G157" t="s">
        <v>79</v>
      </c>
      <c r="H157" t="s">
        <v>81</v>
      </c>
      <c r="I157">
        <v>35</v>
      </c>
      <c r="J157">
        <v>358</v>
      </c>
      <c r="K157" s="5">
        <v>46161.615563761567</v>
      </c>
      <c r="M157" s="2" t="s">
        <v>1928</v>
      </c>
      <c r="N157" s="2" t="s">
        <v>1701</v>
      </c>
      <c r="O157" s="5">
        <v>45839.362698530087</v>
      </c>
      <c r="P157" t="str">
        <f>IF($Q157="DELETE",IF($S157="CONFIRMED: NO MODS &gt; 1YR","CONFIRMED: NO MODS &gt; 1YR","DO NOT DELETE — not defensibly confirmed"),IF($Q157="HOLD","DO NOT DELETE — HOLD (Charlie review)",IF($Q157="KEEP","DO NOT DELETE — KEEP",IF(ISNUMBER(SEARCH("REVIEW",$Q157)),"DO NOT DELETE — REVIEW pending",$S157))))</f>
        <v>DO NOT DELETE — REVIEW pending</v>
      </c>
      <c r="Q157" t="str" cm="1">
        <f t="array" ref="Q157">_xlfn.IFS(AND($A157="thg-beauty",ISNUMBER(SEARCH("liveramp",$C157))),"DELETE",$A157="agile-bonbon-662",_xlfn.IFS(LEFT($G157,9)="Tranche 1","DELETE",$C157="Sessions_Level_1_All_Sites","KEEP",ISNUMBER(--$C157),"REVIEW — UA raw logs",$C157="Emag_Reporting","KEEP",$C157="Nutrition_Data_Archived_Tables","KEEP",$C157="EU_Data","KEEP",TRUE,"REVIEW"),OR($A157="thg-influencer",$A157="thg-ingenuity",$A157="thg-central-marketing",$A157="thg-seoclarity"),"HOLD",TRUE,"")</f>
        <v>REVIEW</v>
      </c>
      <c r="R157" t="str" cm="1">
        <f t="array" ref="R157">_xlfn.IFS(AND($A157="thg-beauty",ISNUMBER(SEARCH("liveramp",$C157))),"thg-beauty Liveramp dataset — confirmed safe to delete",$A157="agile-bonbon-662",_xlfn.IFS(LEFT($G157,9)="Tranche 1","Tranche 1: cleared",$C157="Sessions_Level_1_All_Sites","Downstream aggregation of UA raw logs — keep if raw tables go",ISNUMBER(--$C157),"UA raw site logs (account ID) — keep pending audit-retention check",$C157="Emag_Reporting","Legacy but likely needed",$C157="Nutrition_Data_Archived_Tables","Worth keeping",$C157="EU_Data","Static lookup tables — scripts still reference (smoke-test risk)",TRUE,"Review"),OR($A157="thg-influencer",$A157="thg-ingenuity",$A157="thg-central-marketing",$A157="thg-seoclarity"),"HOLD — Charlie Stringer to review before deletion",TRUE,"")</f>
        <v>Review</v>
      </c>
      <c r="S157" t="s">
        <v>1624</v>
      </c>
    </row>
    <row r="158" spans="1:19" ht="76.5" hidden="1">
      <c r="A158" t="s">
        <v>89</v>
      </c>
      <c r="B158" t="s">
        <v>1619</v>
      </c>
      <c r="C158" t="s">
        <v>1929</v>
      </c>
      <c r="D158" s="2" t="s">
        <v>1621</v>
      </c>
      <c r="E158">
        <v>187.97</v>
      </c>
      <c r="F158">
        <v>3.76</v>
      </c>
      <c r="G158" t="s">
        <v>79</v>
      </c>
      <c r="H158" t="s">
        <v>81</v>
      </c>
      <c r="I158">
        <v>35</v>
      </c>
      <c r="J158">
        <v>174</v>
      </c>
      <c r="K158" s="5">
        <v>46161.580391689808</v>
      </c>
      <c r="L158" s="5">
        <v>46023.277846076388</v>
      </c>
      <c r="M158" s="2" t="s">
        <v>1930</v>
      </c>
      <c r="N158" s="2" t="s">
        <v>1931</v>
      </c>
      <c r="O158" s="5">
        <v>46023.27787943287</v>
      </c>
      <c r="P158" t="str">
        <f>IF($Q158="DELETE",IF($S158="CONFIRMED: NO MODS &gt; 1YR","CONFIRMED: NO MODS &gt; 1YR","DO NOT DELETE — not defensibly confirmed"),IF($Q158="HOLD","DO NOT DELETE — HOLD (Charlie review)",IF($Q158="KEEP","DO NOT DELETE — KEEP",IF(ISNUMBER(SEARCH("REVIEW",$Q158)),"DO NOT DELETE — REVIEW pending",$S158))))</f>
        <v>DO NOT DELETE — REVIEW pending</v>
      </c>
      <c r="Q158" t="str" cm="1">
        <f t="array" ref="Q158">_xlfn.IFS(AND($A158="thg-beauty",ISNUMBER(SEARCH("liveramp",$C158))),"DELETE",$A158="agile-bonbon-662",_xlfn.IFS(LEFT($G158,9)="Tranche 1","DELETE",$C158="Sessions_Level_1_All_Sites","KEEP",ISNUMBER(--$C158),"REVIEW — UA raw logs",$C158="Emag_Reporting","KEEP",$C158="Nutrition_Data_Archived_Tables","KEEP",$C158="EU_Data","KEEP",TRUE,"REVIEW"),OR($A158="thg-influencer",$A158="thg-ingenuity",$A158="thg-central-marketing",$A158="thg-seoclarity"),"HOLD",TRUE,"")</f>
        <v>REVIEW</v>
      </c>
      <c r="R158" t="str" cm="1">
        <f t="array" ref="R158">_xlfn.IFS(AND($A158="thg-beauty",ISNUMBER(SEARCH("liveramp",$C158))),"thg-beauty Liveramp dataset — confirmed safe to delete",$A158="agile-bonbon-662",_xlfn.IFS(LEFT($G158,9)="Tranche 1","Tranche 1: cleared",$C158="Sessions_Level_1_All_Sites","Downstream aggregation of UA raw logs — keep if raw tables go",ISNUMBER(--$C158),"UA raw site logs (account ID) — keep pending audit-retention check",$C158="Emag_Reporting","Legacy but likely needed",$C158="Nutrition_Data_Archived_Tables","Worth keeping",$C158="EU_Data","Static lookup tables — scripts still reference (smoke-test risk)",TRUE,"Review"),OR($A158="thg-influencer",$A158="thg-ingenuity",$A158="thg-central-marketing",$A158="thg-seoclarity"),"HOLD — Charlie Stringer to review before deletion",TRUE,"")</f>
        <v>Review</v>
      </c>
      <c r="S158" t="s">
        <v>1624</v>
      </c>
    </row>
    <row r="159" spans="1:19" ht="45.75" hidden="1">
      <c r="A159" t="s">
        <v>89</v>
      </c>
      <c r="B159" t="s">
        <v>1619</v>
      </c>
      <c r="C159" t="s">
        <v>1932</v>
      </c>
      <c r="D159" s="2" t="s">
        <v>1621</v>
      </c>
      <c r="E159">
        <v>115.48</v>
      </c>
      <c r="F159">
        <v>2.31</v>
      </c>
      <c r="G159" t="s">
        <v>79</v>
      </c>
      <c r="H159" t="s">
        <v>81</v>
      </c>
      <c r="I159">
        <v>35</v>
      </c>
      <c r="J159">
        <v>251</v>
      </c>
      <c r="K159" s="5">
        <v>46161.623295543977</v>
      </c>
      <c r="M159" s="2" t="s">
        <v>1933</v>
      </c>
      <c r="N159" s="2" t="s">
        <v>1701</v>
      </c>
      <c r="O159" s="5">
        <v>45946.396613009259</v>
      </c>
      <c r="P159" t="str">
        <f>IF($Q159="DELETE",IF($S159="CONFIRMED: NO MODS &gt; 1YR","CONFIRMED: NO MODS &gt; 1YR","DO NOT DELETE — not defensibly confirmed"),IF($Q159="HOLD","DO NOT DELETE — HOLD (Charlie review)",IF($Q159="KEEP","DO NOT DELETE — KEEP",IF(ISNUMBER(SEARCH("REVIEW",$Q159)),"DO NOT DELETE — REVIEW pending",$S159))))</f>
        <v>DO NOT DELETE — REVIEW pending</v>
      </c>
      <c r="Q159" t="str" cm="1">
        <f t="array" ref="Q159">_xlfn.IFS(AND($A159="thg-beauty",ISNUMBER(SEARCH("liveramp",$C159))),"DELETE",$A159="agile-bonbon-662",_xlfn.IFS(LEFT($G159,9)="Tranche 1","DELETE",$C159="Sessions_Level_1_All_Sites","KEEP",ISNUMBER(--$C159),"REVIEW — UA raw logs",$C159="Emag_Reporting","KEEP",$C159="Nutrition_Data_Archived_Tables","KEEP",$C159="EU_Data","KEEP",TRUE,"REVIEW"),OR($A159="thg-influencer",$A159="thg-ingenuity",$A159="thg-central-marketing",$A159="thg-seoclarity"),"HOLD",TRUE,"")</f>
        <v>REVIEW</v>
      </c>
      <c r="R159" t="str" cm="1">
        <f t="array" ref="R159">_xlfn.IFS(AND($A159="thg-beauty",ISNUMBER(SEARCH("liveramp",$C159))),"thg-beauty Liveramp dataset — confirmed safe to delete",$A159="agile-bonbon-662",_xlfn.IFS(LEFT($G159,9)="Tranche 1","Tranche 1: cleared",$C159="Sessions_Level_1_All_Sites","Downstream aggregation of UA raw logs — keep if raw tables go",ISNUMBER(--$C159),"UA raw site logs (account ID) — keep pending audit-retention check",$C159="Emag_Reporting","Legacy but likely needed",$C159="Nutrition_Data_Archived_Tables","Worth keeping",$C159="EU_Data","Static lookup tables — scripts still reference (smoke-test risk)",TRUE,"Review"),OR($A159="thg-influencer",$A159="thg-ingenuity",$A159="thg-central-marketing",$A159="thg-seoclarity"),"HOLD — Charlie Stringer to review before deletion",TRUE,"")</f>
        <v>Review</v>
      </c>
      <c r="S159" t="s">
        <v>1624</v>
      </c>
    </row>
    <row r="160" spans="1:19" ht="76.5" hidden="1">
      <c r="A160" t="s">
        <v>89</v>
      </c>
      <c r="B160" t="s">
        <v>1619</v>
      </c>
      <c r="C160" t="s">
        <v>1934</v>
      </c>
      <c r="D160" s="2" t="s">
        <v>1621</v>
      </c>
      <c r="E160">
        <v>104.22</v>
      </c>
      <c r="F160">
        <v>2.08</v>
      </c>
      <c r="G160" t="s">
        <v>79</v>
      </c>
      <c r="H160" t="s">
        <v>81</v>
      </c>
      <c r="I160">
        <v>35</v>
      </c>
      <c r="J160">
        <v>151</v>
      </c>
      <c r="K160" s="5">
        <v>46161.579788796298</v>
      </c>
      <c r="L160" s="5">
        <v>46045.683870104163</v>
      </c>
      <c r="M160" s="2" t="s">
        <v>1935</v>
      </c>
      <c r="N160" s="2" t="s">
        <v>1936</v>
      </c>
      <c r="O160" s="5">
        <v>46045.683881006953</v>
      </c>
      <c r="P160" t="str">
        <f>IF($Q160="DELETE",IF($S160="CONFIRMED: NO MODS &gt; 1YR","CONFIRMED: NO MODS &gt; 1YR","DO NOT DELETE — not defensibly confirmed"),IF($Q160="HOLD","DO NOT DELETE — HOLD (Charlie review)",IF($Q160="KEEP","DO NOT DELETE — KEEP",IF(ISNUMBER(SEARCH("REVIEW",$Q160)),"DO NOT DELETE — REVIEW pending",$S160))))</f>
        <v>DO NOT DELETE — REVIEW pending</v>
      </c>
      <c r="Q160" t="str" cm="1">
        <f t="array" ref="Q160">_xlfn.IFS(AND($A160="thg-beauty",ISNUMBER(SEARCH("liveramp",$C160))),"DELETE",$A160="agile-bonbon-662",_xlfn.IFS(LEFT($G160,9)="Tranche 1","DELETE",$C160="Sessions_Level_1_All_Sites","KEEP",ISNUMBER(--$C160),"REVIEW — UA raw logs",$C160="Emag_Reporting","KEEP",$C160="Nutrition_Data_Archived_Tables","KEEP",$C160="EU_Data","KEEP",TRUE,"REVIEW"),OR($A160="thg-influencer",$A160="thg-ingenuity",$A160="thg-central-marketing",$A160="thg-seoclarity"),"HOLD",TRUE,"")</f>
        <v>REVIEW</v>
      </c>
      <c r="R160" t="str" cm="1">
        <f t="array" ref="R160">_xlfn.IFS(AND($A160="thg-beauty",ISNUMBER(SEARCH("liveramp",$C160))),"thg-beauty Liveramp dataset — confirmed safe to delete",$A160="agile-bonbon-662",_xlfn.IFS(LEFT($G160,9)="Tranche 1","Tranche 1: cleared",$C160="Sessions_Level_1_All_Sites","Downstream aggregation of UA raw logs — keep if raw tables go",ISNUMBER(--$C160),"UA raw site logs (account ID) — keep pending audit-retention check",$C160="Emag_Reporting","Legacy but likely needed",$C160="Nutrition_Data_Archived_Tables","Worth keeping",$C160="EU_Data","Static lookup tables — scripts still reference (smoke-test risk)",TRUE,"Review"),OR($A160="thg-influencer",$A160="thg-ingenuity",$A160="thg-central-marketing",$A160="thg-seoclarity"),"HOLD — Charlie Stringer to review before deletion",TRUE,"")</f>
        <v>Review</v>
      </c>
      <c r="S160" t="s">
        <v>1631</v>
      </c>
    </row>
    <row r="161" spans="1:19" ht="45.75" hidden="1">
      <c r="A161" t="s">
        <v>89</v>
      </c>
      <c r="B161" t="s">
        <v>1619</v>
      </c>
      <c r="C161" t="s">
        <v>1937</v>
      </c>
      <c r="D161" s="2" t="s">
        <v>1621</v>
      </c>
      <c r="E161">
        <v>102.44</v>
      </c>
      <c r="F161">
        <v>2.0499999999999998</v>
      </c>
      <c r="G161" t="s">
        <v>79</v>
      </c>
      <c r="H161" t="s">
        <v>81</v>
      </c>
      <c r="I161">
        <v>35</v>
      </c>
      <c r="J161">
        <v>330</v>
      </c>
      <c r="K161" s="5">
        <v>46161.616018252324</v>
      </c>
      <c r="M161" s="2" t="s">
        <v>1938</v>
      </c>
      <c r="N161" s="2" t="s">
        <v>1701</v>
      </c>
      <c r="O161" s="5">
        <v>45867.416085648147</v>
      </c>
      <c r="P161" t="str">
        <f>IF($Q161="DELETE",IF($S161="CONFIRMED: NO MODS &gt; 1YR","CONFIRMED: NO MODS &gt; 1YR","DO NOT DELETE — not defensibly confirmed"),IF($Q161="HOLD","DO NOT DELETE — HOLD (Charlie review)",IF($Q161="KEEP","DO NOT DELETE — KEEP",IF(ISNUMBER(SEARCH("REVIEW",$Q161)),"DO NOT DELETE — REVIEW pending",$S161))))</f>
        <v>DO NOT DELETE — REVIEW pending</v>
      </c>
      <c r="Q161" t="str" cm="1">
        <f t="array" ref="Q161">_xlfn.IFS(AND($A161="thg-beauty",ISNUMBER(SEARCH("liveramp",$C161))),"DELETE",$A161="agile-bonbon-662",_xlfn.IFS(LEFT($G161,9)="Tranche 1","DELETE",$C161="Sessions_Level_1_All_Sites","KEEP",ISNUMBER(--$C161),"REVIEW — UA raw logs",$C161="Emag_Reporting","KEEP",$C161="Nutrition_Data_Archived_Tables","KEEP",$C161="EU_Data","KEEP",TRUE,"REVIEW"),OR($A161="thg-influencer",$A161="thg-ingenuity",$A161="thg-central-marketing",$A161="thg-seoclarity"),"HOLD",TRUE,"")</f>
        <v>REVIEW</v>
      </c>
      <c r="R161" t="str" cm="1">
        <f t="array" ref="R161">_xlfn.IFS(AND($A161="thg-beauty",ISNUMBER(SEARCH("liveramp",$C161))),"thg-beauty Liveramp dataset — confirmed safe to delete",$A161="agile-bonbon-662",_xlfn.IFS(LEFT($G161,9)="Tranche 1","Tranche 1: cleared",$C161="Sessions_Level_1_All_Sites","Downstream aggregation of UA raw logs — keep if raw tables go",ISNUMBER(--$C161),"UA raw site logs (account ID) — keep pending audit-retention check",$C161="Emag_Reporting","Legacy but likely needed",$C161="Nutrition_Data_Archived_Tables","Worth keeping",$C161="EU_Data","Static lookup tables — scripts still reference (smoke-test risk)",TRUE,"Review"),OR($A161="thg-influencer",$A161="thg-ingenuity",$A161="thg-central-marketing",$A161="thg-seoclarity"),"HOLD — Charlie Stringer to review before deletion",TRUE,"")</f>
        <v>Review</v>
      </c>
      <c r="S161" t="s">
        <v>1631</v>
      </c>
    </row>
    <row r="162" spans="1:19" ht="76.5" hidden="1">
      <c r="A162" t="s">
        <v>89</v>
      </c>
      <c r="B162" t="s">
        <v>1619</v>
      </c>
      <c r="C162" t="s">
        <v>1939</v>
      </c>
      <c r="D162" s="2" t="s">
        <v>1621</v>
      </c>
      <c r="E162">
        <v>85.87</v>
      </c>
      <c r="F162">
        <v>1.72</v>
      </c>
      <c r="G162" t="s">
        <v>79</v>
      </c>
      <c r="H162" t="s">
        <v>81</v>
      </c>
      <c r="I162">
        <v>35</v>
      </c>
      <c r="J162">
        <v>162</v>
      </c>
      <c r="K162" s="5">
        <v>46161.612785185192</v>
      </c>
      <c r="L162" s="5">
        <v>46035.144542499998</v>
      </c>
      <c r="M162" s="2" t="s">
        <v>1940</v>
      </c>
      <c r="N162" s="2" t="s">
        <v>1941</v>
      </c>
      <c r="O162" s="5">
        <v>46035.144578715277</v>
      </c>
      <c r="P162" t="str">
        <f>IF($Q162="DELETE",IF($S162="CONFIRMED: NO MODS &gt; 1YR","CONFIRMED: NO MODS &gt; 1YR","DO NOT DELETE — not defensibly confirmed"),IF($Q162="HOLD","DO NOT DELETE — HOLD (Charlie review)",IF($Q162="KEEP","DO NOT DELETE — KEEP",IF(ISNUMBER(SEARCH("REVIEW",$Q162)),"DO NOT DELETE — REVIEW pending",$S162))))</f>
        <v>DO NOT DELETE — REVIEW pending</v>
      </c>
      <c r="Q162" t="str" cm="1">
        <f t="array" ref="Q162">_xlfn.IFS(AND($A162="thg-beauty",ISNUMBER(SEARCH("liveramp",$C162))),"DELETE",$A162="agile-bonbon-662",_xlfn.IFS(LEFT($G162,9)="Tranche 1","DELETE",$C162="Sessions_Level_1_All_Sites","KEEP",ISNUMBER(--$C162),"REVIEW — UA raw logs",$C162="Emag_Reporting","KEEP",$C162="Nutrition_Data_Archived_Tables","KEEP",$C162="EU_Data","KEEP",TRUE,"REVIEW"),OR($A162="thg-influencer",$A162="thg-ingenuity",$A162="thg-central-marketing",$A162="thg-seoclarity"),"HOLD",TRUE,"")</f>
        <v>REVIEW</v>
      </c>
      <c r="R162" t="str" cm="1">
        <f t="array" ref="R162">_xlfn.IFS(AND($A162="thg-beauty",ISNUMBER(SEARCH("liveramp",$C162))),"thg-beauty Liveramp dataset — confirmed safe to delete",$A162="agile-bonbon-662",_xlfn.IFS(LEFT($G162,9)="Tranche 1","Tranche 1: cleared",$C162="Sessions_Level_1_All_Sites","Downstream aggregation of UA raw logs — keep if raw tables go",ISNUMBER(--$C162),"UA raw site logs (account ID) — keep pending audit-retention check",$C162="Emag_Reporting","Legacy but likely needed",$C162="Nutrition_Data_Archived_Tables","Worth keeping",$C162="EU_Data","Static lookup tables — scripts still reference (smoke-test risk)",TRUE,"Review"),OR($A162="thg-influencer",$A162="thg-ingenuity",$A162="thg-central-marketing",$A162="thg-seoclarity"),"HOLD — Charlie Stringer to review before deletion",TRUE,"")</f>
        <v>Review</v>
      </c>
      <c r="S162" t="s">
        <v>1624</v>
      </c>
    </row>
    <row r="163" spans="1:19" ht="45.75" hidden="1">
      <c r="A163" t="s">
        <v>89</v>
      </c>
      <c r="B163" t="s">
        <v>1619</v>
      </c>
      <c r="C163" t="s">
        <v>1942</v>
      </c>
      <c r="D163" s="2" t="s">
        <v>1621</v>
      </c>
      <c r="E163">
        <v>61.1</v>
      </c>
      <c r="F163">
        <v>1.22</v>
      </c>
      <c r="G163" t="s">
        <v>79</v>
      </c>
      <c r="H163" t="s">
        <v>81</v>
      </c>
      <c r="I163">
        <v>35</v>
      </c>
      <c r="J163">
        <v>225</v>
      </c>
      <c r="K163" s="5">
        <v>46161.620376747684</v>
      </c>
      <c r="M163" s="2" t="s">
        <v>1943</v>
      </c>
      <c r="N163" s="2" t="s">
        <v>1701</v>
      </c>
      <c r="O163" s="5">
        <v>45971.462235358798</v>
      </c>
      <c r="P163" t="str">
        <f>IF($Q163="DELETE",IF($S163="CONFIRMED: NO MODS &gt; 1YR","CONFIRMED: NO MODS &gt; 1YR","DO NOT DELETE — not defensibly confirmed"),IF($Q163="HOLD","DO NOT DELETE — HOLD (Charlie review)",IF($Q163="KEEP","DO NOT DELETE — KEEP",IF(ISNUMBER(SEARCH("REVIEW",$Q163)),"DO NOT DELETE — REVIEW pending",$S163))))</f>
        <v>DO NOT DELETE — REVIEW pending</v>
      </c>
      <c r="Q163" t="str" cm="1">
        <f t="array" ref="Q163">_xlfn.IFS(AND($A163="thg-beauty",ISNUMBER(SEARCH("liveramp",$C163))),"DELETE",$A163="agile-bonbon-662",_xlfn.IFS(LEFT($G163,9)="Tranche 1","DELETE",$C163="Sessions_Level_1_All_Sites","KEEP",ISNUMBER(--$C163),"REVIEW — UA raw logs",$C163="Emag_Reporting","KEEP",$C163="Nutrition_Data_Archived_Tables","KEEP",$C163="EU_Data","KEEP",TRUE,"REVIEW"),OR($A163="thg-influencer",$A163="thg-ingenuity",$A163="thg-central-marketing",$A163="thg-seoclarity"),"HOLD",TRUE,"")</f>
        <v>REVIEW</v>
      </c>
      <c r="R163" t="str" cm="1">
        <f t="array" ref="R163">_xlfn.IFS(AND($A163="thg-beauty",ISNUMBER(SEARCH("liveramp",$C163))),"thg-beauty Liveramp dataset — confirmed safe to delete",$A163="agile-bonbon-662",_xlfn.IFS(LEFT($G163,9)="Tranche 1","Tranche 1: cleared",$C163="Sessions_Level_1_All_Sites","Downstream aggregation of UA raw logs — keep if raw tables go",ISNUMBER(--$C163),"UA raw site logs (account ID) — keep pending audit-retention check",$C163="Emag_Reporting","Legacy but likely needed",$C163="Nutrition_Data_Archived_Tables","Worth keeping",$C163="EU_Data","Static lookup tables — scripts still reference (smoke-test risk)",TRUE,"Review"),OR($A163="thg-influencer",$A163="thg-ingenuity",$A163="thg-central-marketing",$A163="thg-seoclarity"),"HOLD — Charlie Stringer to review before deletion",TRUE,"")</f>
        <v>Review</v>
      </c>
      <c r="S163" t="s">
        <v>1624</v>
      </c>
    </row>
    <row r="164" spans="1:19" ht="45.75" hidden="1">
      <c r="A164" t="s">
        <v>89</v>
      </c>
      <c r="B164" t="s">
        <v>1619</v>
      </c>
      <c r="C164" t="s">
        <v>1944</v>
      </c>
      <c r="D164" s="2" t="s">
        <v>1621</v>
      </c>
      <c r="E164">
        <v>57.57</v>
      </c>
      <c r="F164">
        <v>1.1499999999999999</v>
      </c>
      <c r="G164" t="s">
        <v>79</v>
      </c>
      <c r="H164" t="s">
        <v>81</v>
      </c>
      <c r="I164">
        <v>35</v>
      </c>
      <c r="J164">
        <v>322</v>
      </c>
      <c r="K164" s="5">
        <v>46161.618307777782</v>
      </c>
      <c r="M164" s="2" t="s">
        <v>1945</v>
      </c>
      <c r="N164" s="2" t="s">
        <v>1701</v>
      </c>
      <c r="O164" s="5">
        <v>45875.453537361107</v>
      </c>
      <c r="P164" t="str">
        <f>IF($Q164="DELETE",IF($S164="CONFIRMED: NO MODS &gt; 1YR","CONFIRMED: NO MODS &gt; 1YR","DO NOT DELETE — not defensibly confirmed"),IF($Q164="HOLD","DO NOT DELETE — HOLD (Charlie review)",IF($Q164="KEEP","DO NOT DELETE — KEEP",IF(ISNUMBER(SEARCH("REVIEW",$Q164)),"DO NOT DELETE — REVIEW pending",$S164))))</f>
        <v>DO NOT DELETE — REVIEW pending</v>
      </c>
      <c r="Q164" t="str" cm="1">
        <f t="array" ref="Q164">_xlfn.IFS(AND($A164="thg-beauty",ISNUMBER(SEARCH("liveramp",$C164))),"DELETE",$A164="agile-bonbon-662",_xlfn.IFS(LEFT($G164,9)="Tranche 1","DELETE",$C164="Sessions_Level_1_All_Sites","KEEP",ISNUMBER(--$C164),"REVIEW — UA raw logs",$C164="Emag_Reporting","KEEP",$C164="Nutrition_Data_Archived_Tables","KEEP",$C164="EU_Data","KEEP",TRUE,"REVIEW"),OR($A164="thg-influencer",$A164="thg-ingenuity",$A164="thg-central-marketing",$A164="thg-seoclarity"),"HOLD",TRUE,"")</f>
        <v>REVIEW</v>
      </c>
      <c r="R164" t="str" cm="1">
        <f t="array" ref="R164">_xlfn.IFS(AND($A164="thg-beauty",ISNUMBER(SEARCH("liveramp",$C164))),"thg-beauty Liveramp dataset — confirmed safe to delete",$A164="agile-bonbon-662",_xlfn.IFS(LEFT($G164,9)="Tranche 1","Tranche 1: cleared",$C164="Sessions_Level_1_All_Sites","Downstream aggregation of UA raw logs — keep if raw tables go",ISNUMBER(--$C164),"UA raw site logs (account ID) — keep pending audit-retention check",$C164="Emag_Reporting","Legacy but likely needed",$C164="Nutrition_Data_Archived_Tables","Worth keeping",$C164="EU_Data","Static lookup tables — scripts still reference (smoke-test risk)",TRUE,"Review"),OR($A164="thg-influencer",$A164="thg-ingenuity",$A164="thg-central-marketing",$A164="thg-seoclarity"),"HOLD — Charlie Stringer to review before deletion",TRUE,"")</f>
        <v>Review</v>
      </c>
      <c r="S164" t="s">
        <v>1624</v>
      </c>
    </row>
    <row r="165" spans="1:19" ht="45.75" hidden="1">
      <c r="A165" t="s">
        <v>89</v>
      </c>
      <c r="B165" t="s">
        <v>1619</v>
      </c>
      <c r="C165" t="s">
        <v>1946</v>
      </c>
      <c r="D165" s="2" t="s">
        <v>1621</v>
      </c>
      <c r="E165">
        <v>50.33</v>
      </c>
      <c r="F165">
        <v>1.01</v>
      </c>
      <c r="G165" t="s">
        <v>79</v>
      </c>
      <c r="H165" t="s">
        <v>81</v>
      </c>
      <c r="I165">
        <v>35</v>
      </c>
      <c r="J165">
        <v>295</v>
      </c>
      <c r="K165" s="5">
        <v>46161.617224988433</v>
      </c>
      <c r="M165" s="2" t="s">
        <v>1947</v>
      </c>
      <c r="N165" s="2" t="s">
        <v>1701</v>
      </c>
      <c r="O165" s="5">
        <v>45902.357580682867</v>
      </c>
      <c r="P165" t="str">
        <f>IF($Q165="DELETE",IF($S165="CONFIRMED: NO MODS &gt; 1YR","CONFIRMED: NO MODS &gt; 1YR","DO NOT DELETE — not defensibly confirmed"),IF($Q165="HOLD","DO NOT DELETE — HOLD (Charlie review)",IF($Q165="KEEP","DO NOT DELETE — KEEP",IF(ISNUMBER(SEARCH("REVIEW",$Q165)),"DO NOT DELETE — REVIEW pending",$S165))))</f>
        <v>DO NOT DELETE — REVIEW pending</v>
      </c>
      <c r="Q165" t="str" cm="1">
        <f t="array" ref="Q165">_xlfn.IFS(AND($A165="thg-beauty",ISNUMBER(SEARCH("liveramp",$C165))),"DELETE",$A165="agile-bonbon-662",_xlfn.IFS(LEFT($G165,9)="Tranche 1","DELETE",$C165="Sessions_Level_1_All_Sites","KEEP",ISNUMBER(--$C165),"REVIEW — UA raw logs",$C165="Emag_Reporting","KEEP",$C165="Nutrition_Data_Archived_Tables","KEEP",$C165="EU_Data","KEEP",TRUE,"REVIEW"),OR($A165="thg-influencer",$A165="thg-ingenuity",$A165="thg-central-marketing",$A165="thg-seoclarity"),"HOLD",TRUE,"")</f>
        <v>REVIEW</v>
      </c>
      <c r="R165" t="str" cm="1">
        <f t="array" ref="R165">_xlfn.IFS(AND($A165="thg-beauty",ISNUMBER(SEARCH("liveramp",$C165))),"thg-beauty Liveramp dataset — confirmed safe to delete",$A165="agile-bonbon-662",_xlfn.IFS(LEFT($G165,9)="Tranche 1","Tranche 1: cleared",$C165="Sessions_Level_1_All_Sites","Downstream aggregation of UA raw logs — keep if raw tables go",ISNUMBER(--$C165),"UA raw site logs (account ID) — keep pending audit-retention check",$C165="Emag_Reporting","Legacy but likely needed",$C165="Nutrition_Data_Archived_Tables","Worth keeping",$C165="EU_Data","Static lookup tables — scripts still reference (smoke-test risk)",TRUE,"Review"),OR($A165="thg-influencer",$A165="thg-ingenuity",$A165="thg-central-marketing",$A165="thg-seoclarity"),"HOLD — Charlie Stringer to review before deletion",TRUE,"")</f>
        <v>Review</v>
      </c>
      <c r="S165" t="s">
        <v>1624</v>
      </c>
    </row>
    <row r="166" spans="1:19" ht="45.75" hidden="1">
      <c r="A166" t="s">
        <v>89</v>
      </c>
      <c r="B166" t="s">
        <v>1619</v>
      </c>
      <c r="C166" t="s">
        <v>1948</v>
      </c>
      <c r="D166" s="2" t="s">
        <v>1621</v>
      </c>
      <c r="E166">
        <v>49.69</v>
      </c>
      <c r="F166">
        <v>0.99</v>
      </c>
      <c r="G166" t="s">
        <v>79</v>
      </c>
      <c r="H166" t="s">
        <v>81</v>
      </c>
      <c r="I166">
        <v>35</v>
      </c>
      <c r="J166">
        <v>322</v>
      </c>
      <c r="K166" s="5">
        <v>46161.618343321759</v>
      </c>
      <c r="M166" s="2" t="s">
        <v>1945</v>
      </c>
      <c r="N166" s="2" t="s">
        <v>1701</v>
      </c>
      <c r="O166" s="5">
        <v>45875.430232523147</v>
      </c>
      <c r="P166" t="str">
        <f>IF($Q166="DELETE",IF($S166="CONFIRMED: NO MODS &gt; 1YR","CONFIRMED: NO MODS &gt; 1YR","DO NOT DELETE — not defensibly confirmed"),IF($Q166="HOLD","DO NOT DELETE — HOLD (Charlie review)",IF($Q166="KEEP","DO NOT DELETE — KEEP",IF(ISNUMBER(SEARCH("REVIEW",$Q166)),"DO NOT DELETE — REVIEW pending",$S166))))</f>
        <v>DO NOT DELETE — REVIEW pending</v>
      </c>
      <c r="Q166" t="str" cm="1">
        <f t="array" ref="Q166">_xlfn.IFS(AND($A166="thg-beauty",ISNUMBER(SEARCH("liveramp",$C166))),"DELETE",$A166="agile-bonbon-662",_xlfn.IFS(LEFT($G166,9)="Tranche 1","DELETE",$C166="Sessions_Level_1_All_Sites","KEEP",ISNUMBER(--$C166),"REVIEW — UA raw logs",$C166="Emag_Reporting","KEEP",$C166="Nutrition_Data_Archived_Tables","KEEP",$C166="EU_Data","KEEP",TRUE,"REVIEW"),OR($A166="thg-influencer",$A166="thg-ingenuity",$A166="thg-central-marketing",$A166="thg-seoclarity"),"HOLD",TRUE,"")</f>
        <v>REVIEW</v>
      </c>
      <c r="R166" t="str" cm="1">
        <f t="array" ref="R166">_xlfn.IFS(AND($A166="thg-beauty",ISNUMBER(SEARCH("liveramp",$C166))),"thg-beauty Liveramp dataset — confirmed safe to delete",$A166="agile-bonbon-662",_xlfn.IFS(LEFT($G166,9)="Tranche 1","Tranche 1: cleared",$C166="Sessions_Level_1_All_Sites","Downstream aggregation of UA raw logs — keep if raw tables go",ISNUMBER(--$C166),"UA raw site logs (account ID) — keep pending audit-retention check",$C166="Emag_Reporting","Legacy but likely needed",$C166="Nutrition_Data_Archived_Tables","Worth keeping",$C166="EU_Data","Static lookup tables — scripts still reference (smoke-test risk)",TRUE,"Review"),OR($A166="thg-influencer",$A166="thg-ingenuity",$A166="thg-central-marketing",$A166="thg-seoclarity"),"HOLD — Charlie Stringer to review before deletion",TRUE,"")</f>
        <v>Review</v>
      </c>
      <c r="S166" t="s">
        <v>1631</v>
      </c>
    </row>
    <row r="167" spans="1:19" ht="76.5" hidden="1">
      <c r="A167" t="s">
        <v>89</v>
      </c>
      <c r="B167" t="s">
        <v>1619</v>
      </c>
      <c r="C167" t="s">
        <v>1949</v>
      </c>
      <c r="D167" s="2" t="s">
        <v>1621</v>
      </c>
      <c r="E167">
        <v>40.61</v>
      </c>
      <c r="F167">
        <v>0.81</v>
      </c>
      <c r="G167" t="s">
        <v>79</v>
      </c>
      <c r="H167" t="s">
        <v>81</v>
      </c>
      <c r="I167">
        <v>35</v>
      </c>
      <c r="J167">
        <v>38</v>
      </c>
      <c r="K167" s="5">
        <v>46161.615131226848</v>
      </c>
      <c r="L167" s="5">
        <v>46158.483536018517</v>
      </c>
      <c r="M167" s="2" t="s">
        <v>1950</v>
      </c>
      <c r="N167" s="2" t="s">
        <v>1951</v>
      </c>
      <c r="O167" s="5">
        <v>46158.483571886572</v>
      </c>
      <c r="P167" t="str">
        <f>IF($Q167="DELETE",IF($S167="CONFIRMED: NO MODS &gt; 1YR","CONFIRMED: NO MODS &gt; 1YR","DO NOT DELETE — not defensibly confirmed"),IF($Q167="HOLD","DO NOT DELETE — HOLD (Charlie review)",IF($Q167="KEEP","DO NOT DELETE — KEEP",IF(ISNUMBER(SEARCH("REVIEW",$Q167)),"DO NOT DELETE — REVIEW pending",$S167))))</f>
        <v>DO NOT DELETE — REVIEW pending</v>
      </c>
      <c r="Q167" t="str" cm="1">
        <f t="array" ref="Q167">_xlfn.IFS(AND($A167="thg-beauty",ISNUMBER(SEARCH("liveramp",$C167))),"DELETE",$A167="agile-bonbon-662",_xlfn.IFS(LEFT($G167,9)="Tranche 1","DELETE",$C167="Sessions_Level_1_All_Sites","KEEP",ISNUMBER(--$C167),"REVIEW — UA raw logs",$C167="Emag_Reporting","KEEP",$C167="Nutrition_Data_Archived_Tables","KEEP",$C167="EU_Data","KEEP",TRUE,"REVIEW"),OR($A167="thg-influencer",$A167="thg-ingenuity",$A167="thg-central-marketing",$A167="thg-seoclarity"),"HOLD",TRUE,"")</f>
        <v>REVIEW</v>
      </c>
      <c r="R167" t="str" cm="1">
        <f t="array" ref="R167">_xlfn.IFS(AND($A167="thg-beauty",ISNUMBER(SEARCH("liveramp",$C167))),"thg-beauty Liveramp dataset — confirmed safe to delete",$A167="agile-bonbon-662",_xlfn.IFS(LEFT($G167,9)="Tranche 1","Tranche 1: cleared",$C167="Sessions_Level_1_All_Sites","Downstream aggregation of UA raw logs — keep if raw tables go",ISNUMBER(--$C167),"UA raw site logs (account ID) — keep pending audit-retention check",$C167="Emag_Reporting","Legacy but likely needed",$C167="Nutrition_Data_Archived_Tables","Worth keeping",$C167="EU_Data","Static lookup tables — scripts still reference (smoke-test risk)",TRUE,"Review"),OR($A167="thg-influencer",$A167="thg-ingenuity",$A167="thg-central-marketing",$A167="thg-seoclarity"),"HOLD — Charlie Stringer to review before deletion",TRUE,"")</f>
        <v>Review</v>
      </c>
      <c r="S167" t="s">
        <v>1624</v>
      </c>
    </row>
    <row r="168" spans="1:19" ht="76.5" hidden="1">
      <c r="A168" t="s">
        <v>89</v>
      </c>
      <c r="B168" t="s">
        <v>1619</v>
      </c>
      <c r="C168" t="s">
        <v>1952</v>
      </c>
      <c r="D168" s="2" t="s">
        <v>1621</v>
      </c>
      <c r="E168">
        <v>24.5</v>
      </c>
      <c r="F168">
        <v>0.49</v>
      </c>
      <c r="G168" t="s">
        <v>79</v>
      </c>
      <c r="H168" t="s">
        <v>81</v>
      </c>
      <c r="I168">
        <v>35</v>
      </c>
      <c r="J168">
        <v>142</v>
      </c>
      <c r="K168" s="5">
        <v>46161.579584942127</v>
      </c>
      <c r="L168" s="5">
        <v>46055.38560509259</v>
      </c>
      <c r="M168" s="2" t="s">
        <v>1953</v>
      </c>
      <c r="N168" s="2" t="s">
        <v>1954</v>
      </c>
      <c r="O168" s="5">
        <v>46055.385613194441</v>
      </c>
      <c r="P168" t="str">
        <f>IF($Q168="DELETE",IF($S168="CONFIRMED: NO MODS &gt; 1YR","CONFIRMED: NO MODS &gt; 1YR","DO NOT DELETE — not defensibly confirmed"),IF($Q168="HOLD","DO NOT DELETE — HOLD (Charlie review)",IF($Q168="KEEP","DO NOT DELETE — KEEP",IF(ISNUMBER(SEARCH("REVIEW",$Q168)),"DO NOT DELETE — REVIEW pending",$S168))))</f>
        <v>DO NOT DELETE — REVIEW pending</v>
      </c>
      <c r="Q168" t="str" cm="1">
        <f t="array" ref="Q168">_xlfn.IFS(AND($A168="thg-beauty",ISNUMBER(SEARCH("liveramp",$C168))),"DELETE",$A168="agile-bonbon-662",_xlfn.IFS(LEFT($G168,9)="Tranche 1","DELETE",$C168="Sessions_Level_1_All_Sites","KEEP",ISNUMBER(--$C168),"REVIEW — UA raw logs",$C168="Emag_Reporting","KEEP",$C168="Nutrition_Data_Archived_Tables","KEEP",$C168="EU_Data","KEEP",TRUE,"REVIEW"),OR($A168="thg-influencer",$A168="thg-ingenuity",$A168="thg-central-marketing",$A168="thg-seoclarity"),"HOLD",TRUE,"")</f>
        <v>REVIEW</v>
      </c>
      <c r="R168" t="str" cm="1">
        <f t="array" ref="R168">_xlfn.IFS(AND($A168="thg-beauty",ISNUMBER(SEARCH("liveramp",$C168))),"thg-beauty Liveramp dataset — confirmed safe to delete",$A168="agile-bonbon-662",_xlfn.IFS(LEFT($G168,9)="Tranche 1","Tranche 1: cleared",$C168="Sessions_Level_1_All_Sites","Downstream aggregation of UA raw logs — keep if raw tables go",ISNUMBER(--$C168),"UA raw site logs (account ID) — keep pending audit-retention check",$C168="Emag_Reporting","Legacy but likely needed",$C168="Nutrition_Data_Archived_Tables","Worth keeping",$C168="EU_Data","Static lookup tables — scripts still reference (smoke-test risk)",TRUE,"Review"),OR($A168="thg-influencer",$A168="thg-ingenuity",$A168="thg-central-marketing",$A168="thg-seoclarity"),"HOLD — Charlie Stringer to review before deletion",TRUE,"")</f>
        <v>Review</v>
      </c>
      <c r="S168" t="s">
        <v>1624</v>
      </c>
    </row>
    <row r="169" spans="1:19" ht="76.5" hidden="1">
      <c r="A169" t="s">
        <v>89</v>
      </c>
      <c r="B169" t="s">
        <v>1619</v>
      </c>
      <c r="C169" t="s">
        <v>1955</v>
      </c>
      <c r="D169" s="2" t="s">
        <v>1621</v>
      </c>
      <c r="E169">
        <v>22.82</v>
      </c>
      <c r="F169">
        <v>0.46</v>
      </c>
      <c r="G169" t="s">
        <v>79</v>
      </c>
      <c r="H169" t="s">
        <v>81</v>
      </c>
      <c r="I169">
        <v>35</v>
      </c>
      <c r="J169">
        <v>356</v>
      </c>
      <c r="K169" s="5">
        <v>46161.57959922454</v>
      </c>
      <c r="M169" s="2" t="s">
        <v>1953</v>
      </c>
      <c r="N169" s="2" t="s">
        <v>1701</v>
      </c>
      <c r="O169" s="5">
        <v>45841.407081319441</v>
      </c>
      <c r="P169" t="str">
        <f>IF($Q169="DELETE",IF($S169="CONFIRMED: NO MODS &gt; 1YR","CONFIRMED: NO MODS &gt; 1YR","DO NOT DELETE — not defensibly confirmed"),IF($Q169="HOLD","DO NOT DELETE — HOLD (Charlie review)",IF($Q169="KEEP","DO NOT DELETE — KEEP",IF(ISNUMBER(SEARCH("REVIEW",$Q169)),"DO NOT DELETE — REVIEW pending",$S169))))</f>
        <v>DO NOT DELETE — REVIEW pending</v>
      </c>
      <c r="Q169" t="str" cm="1">
        <f t="array" ref="Q169">_xlfn.IFS(AND($A169="thg-beauty",ISNUMBER(SEARCH("liveramp",$C169))),"DELETE",$A169="agile-bonbon-662",_xlfn.IFS(LEFT($G169,9)="Tranche 1","DELETE",$C169="Sessions_Level_1_All_Sites","KEEP",ISNUMBER(--$C169),"REVIEW — UA raw logs",$C169="Emag_Reporting","KEEP",$C169="Nutrition_Data_Archived_Tables","KEEP",$C169="EU_Data","KEEP",TRUE,"REVIEW"),OR($A169="thg-influencer",$A169="thg-ingenuity",$A169="thg-central-marketing",$A169="thg-seoclarity"),"HOLD",TRUE,"")</f>
        <v>REVIEW</v>
      </c>
      <c r="R169" t="str" cm="1">
        <f t="array" ref="R169">_xlfn.IFS(AND($A169="thg-beauty",ISNUMBER(SEARCH("liveramp",$C169))),"thg-beauty Liveramp dataset — confirmed safe to delete",$A169="agile-bonbon-662",_xlfn.IFS(LEFT($G169,9)="Tranche 1","Tranche 1: cleared",$C169="Sessions_Level_1_All_Sites","Downstream aggregation of UA raw logs — keep if raw tables go",ISNUMBER(--$C169),"UA raw site logs (account ID) — keep pending audit-retention check",$C169="Emag_Reporting","Legacy but likely needed",$C169="Nutrition_Data_Archived_Tables","Worth keeping",$C169="EU_Data","Static lookup tables — scripts still reference (smoke-test risk)",TRUE,"Review"),OR($A169="thg-influencer",$A169="thg-ingenuity",$A169="thg-central-marketing",$A169="thg-seoclarity"),"HOLD — Charlie Stringer to review before deletion",TRUE,"")</f>
        <v>Review</v>
      </c>
      <c r="S169" t="s">
        <v>1624</v>
      </c>
    </row>
    <row r="170" spans="1:19" ht="45.75" hidden="1">
      <c r="A170" t="s">
        <v>89</v>
      </c>
      <c r="B170" t="s">
        <v>1619</v>
      </c>
      <c r="C170" t="s">
        <v>1956</v>
      </c>
      <c r="D170" s="2" t="s">
        <v>1621</v>
      </c>
      <c r="E170">
        <v>20.93</v>
      </c>
      <c r="F170">
        <v>0.42</v>
      </c>
      <c r="G170" t="s">
        <v>79</v>
      </c>
      <c r="H170" t="s">
        <v>81</v>
      </c>
      <c r="I170">
        <v>35</v>
      </c>
      <c r="J170">
        <v>83</v>
      </c>
      <c r="K170" s="5">
        <v>46161.617661759257</v>
      </c>
      <c r="L170" s="5">
        <v>46113.582437152778</v>
      </c>
      <c r="M170" s="2" t="s">
        <v>1957</v>
      </c>
      <c r="N170" s="2" t="s">
        <v>1958</v>
      </c>
      <c r="O170" s="5">
        <v>46113.582474513889</v>
      </c>
      <c r="P170" t="str">
        <f>IF($Q170="DELETE",IF($S170="CONFIRMED: NO MODS &gt; 1YR","CONFIRMED: NO MODS &gt; 1YR","DO NOT DELETE — not defensibly confirmed"),IF($Q170="HOLD","DO NOT DELETE — HOLD (Charlie review)",IF($Q170="KEEP","DO NOT DELETE — KEEP",IF(ISNUMBER(SEARCH("REVIEW",$Q170)),"DO NOT DELETE — REVIEW pending",$S170))))</f>
        <v>DO NOT DELETE — REVIEW pending</v>
      </c>
      <c r="Q170" t="str" cm="1">
        <f t="array" ref="Q170">_xlfn.IFS(AND($A170="thg-beauty",ISNUMBER(SEARCH("liveramp",$C170))),"DELETE",$A170="agile-bonbon-662",_xlfn.IFS(LEFT($G170,9)="Tranche 1","DELETE",$C170="Sessions_Level_1_All_Sites","KEEP",ISNUMBER(--$C170),"REVIEW — UA raw logs",$C170="Emag_Reporting","KEEP",$C170="Nutrition_Data_Archived_Tables","KEEP",$C170="EU_Data","KEEP",TRUE,"REVIEW"),OR($A170="thg-influencer",$A170="thg-ingenuity",$A170="thg-central-marketing",$A170="thg-seoclarity"),"HOLD",TRUE,"")</f>
        <v>REVIEW</v>
      </c>
      <c r="R170" t="str" cm="1">
        <f t="array" ref="R170">_xlfn.IFS(AND($A170="thg-beauty",ISNUMBER(SEARCH("liveramp",$C170))),"thg-beauty Liveramp dataset — confirmed safe to delete",$A170="agile-bonbon-662",_xlfn.IFS(LEFT($G170,9)="Tranche 1","Tranche 1: cleared",$C170="Sessions_Level_1_All_Sites","Downstream aggregation of UA raw logs — keep if raw tables go",ISNUMBER(--$C170),"UA raw site logs (account ID) — keep pending audit-retention check",$C170="Emag_Reporting","Legacy but likely needed",$C170="Nutrition_Data_Archived_Tables","Worth keeping",$C170="EU_Data","Static lookup tables — scripts still reference (smoke-test risk)",TRUE,"Review"),OR($A170="thg-influencer",$A170="thg-ingenuity",$A170="thg-central-marketing",$A170="thg-seoclarity"),"HOLD — Charlie Stringer to review before deletion",TRUE,"")</f>
        <v>Review</v>
      </c>
      <c r="S170" t="s">
        <v>1624</v>
      </c>
    </row>
    <row r="171" spans="1:19" ht="76.5" hidden="1">
      <c r="A171" t="s">
        <v>89</v>
      </c>
      <c r="B171" t="s">
        <v>1619</v>
      </c>
      <c r="C171" t="s">
        <v>1959</v>
      </c>
      <c r="D171" s="2" t="s">
        <v>1621</v>
      </c>
      <c r="E171">
        <v>18.3</v>
      </c>
      <c r="F171">
        <v>0.37</v>
      </c>
      <c r="G171" t="s">
        <v>79</v>
      </c>
      <c r="H171" t="s">
        <v>81</v>
      </c>
      <c r="I171">
        <v>35</v>
      </c>
      <c r="J171">
        <v>72</v>
      </c>
      <c r="K171" s="5">
        <v>46161.620900381953</v>
      </c>
      <c r="L171" s="5">
        <v>46124.595348819443</v>
      </c>
      <c r="M171" s="2" t="s">
        <v>1960</v>
      </c>
      <c r="N171" s="2" t="s">
        <v>1961</v>
      </c>
      <c r="O171" s="5">
        <v>46124.595385081018</v>
      </c>
      <c r="P171" t="str">
        <f>IF($Q171="DELETE",IF($S171="CONFIRMED: NO MODS &gt; 1YR","CONFIRMED: NO MODS &gt; 1YR","DO NOT DELETE — not defensibly confirmed"),IF($Q171="HOLD","DO NOT DELETE — HOLD (Charlie review)",IF($Q171="KEEP","DO NOT DELETE — KEEP",IF(ISNUMBER(SEARCH("REVIEW",$Q171)),"DO NOT DELETE — REVIEW pending",$S171))))</f>
        <v>CONFIRMED: NO MODS &gt; 1YR</v>
      </c>
      <c r="S171" t="s">
        <v>1624</v>
      </c>
    </row>
    <row r="172" spans="1:19" ht="76.5" hidden="1">
      <c r="A172" t="s">
        <v>89</v>
      </c>
      <c r="B172" t="s">
        <v>1619</v>
      </c>
      <c r="C172" t="s">
        <v>1962</v>
      </c>
      <c r="D172" s="2" t="s">
        <v>1621</v>
      </c>
      <c r="E172">
        <v>17.170000000000002</v>
      </c>
      <c r="F172">
        <v>0.34</v>
      </c>
      <c r="G172" t="s">
        <v>79</v>
      </c>
      <c r="H172" t="s">
        <v>81</v>
      </c>
      <c r="I172">
        <v>35</v>
      </c>
      <c r="J172">
        <v>39</v>
      </c>
      <c r="K172" s="5">
        <v>46161.614768981482</v>
      </c>
      <c r="L172" s="5">
        <v>46158.360460428237</v>
      </c>
      <c r="M172" s="2" t="s">
        <v>1963</v>
      </c>
      <c r="N172" s="2" t="s">
        <v>1964</v>
      </c>
      <c r="O172" s="5">
        <v>46158.360512268519</v>
      </c>
      <c r="P172" t="str">
        <f>IF($Q172="DELETE",IF($S172="CONFIRMED: NO MODS &gt; 1YR","CONFIRMED: NO MODS &gt; 1YR","DO NOT DELETE — not defensibly confirmed"),IF($Q172="HOLD","DO NOT DELETE — HOLD (Charlie review)",IF($Q172="KEEP","DO NOT DELETE — KEEP",IF(ISNUMBER(SEARCH("REVIEW",$Q172)),"DO NOT DELETE — REVIEW pending",$S172))))</f>
        <v>DO NOT DELETE — REVIEW pending</v>
      </c>
      <c r="Q172" t="str" cm="1">
        <f t="array" ref="Q172">_xlfn.IFS(AND($A172="thg-beauty",ISNUMBER(SEARCH("liveramp",$C172))),"DELETE",$A172="agile-bonbon-662",_xlfn.IFS(LEFT($G172,9)="Tranche 1","DELETE",$C172="Sessions_Level_1_All_Sites","KEEP",ISNUMBER(--$C172),"REVIEW — UA raw logs",$C172="Emag_Reporting","KEEP",$C172="Nutrition_Data_Archived_Tables","KEEP",$C172="EU_Data","KEEP",TRUE,"REVIEW"),OR($A172="thg-influencer",$A172="thg-ingenuity",$A172="thg-central-marketing",$A172="thg-seoclarity"),"HOLD",TRUE,"")</f>
        <v>REVIEW</v>
      </c>
      <c r="S172" t="s">
        <v>1624</v>
      </c>
    </row>
    <row r="173" spans="1:19" ht="60.75" hidden="1">
      <c r="A173" t="s">
        <v>89</v>
      </c>
      <c r="B173" t="s">
        <v>1619</v>
      </c>
      <c r="C173" t="s">
        <v>1965</v>
      </c>
      <c r="D173" s="2" t="s">
        <v>1621</v>
      </c>
      <c r="E173">
        <v>17.149999999999999</v>
      </c>
      <c r="F173">
        <v>0.34</v>
      </c>
      <c r="G173" t="s">
        <v>79</v>
      </c>
      <c r="H173" t="s">
        <v>81</v>
      </c>
      <c r="I173">
        <v>35</v>
      </c>
      <c r="J173">
        <v>38</v>
      </c>
      <c r="K173" s="5">
        <v>46161.615371018517</v>
      </c>
      <c r="L173" s="5">
        <v>46158.483544780087</v>
      </c>
      <c r="M173" s="2" t="s">
        <v>1966</v>
      </c>
      <c r="N173" s="2" t="s">
        <v>1967</v>
      </c>
      <c r="O173" s="5">
        <v>46158.483581122688</v>
      </c>
      <c r="P173" t="str">
        <f>IF($Q173="DELETE",IF($S173="CONFIRMED: NO MODS &gt; 1YR","CONFIRMED: NO MODS &gt; 1YR","DO NOT DELETE — not defensibly confirmed"),IF($Q173="HOLD","DO NOT DELETE — HOLD (Charlie review)",IF($Q173="KEEP","DO NOT DELETE — KEEP",IF(ISNUMBER(SEARCH("REVIEW",$Q173)),"DO NOT DELETE — REVIEW pending",$S173))))</f>
        <v>DO NOT DELETE — REVIEW pending</v>
      </c>
      <c r="Q173" t="str" cm="1">
        <f t="array" ref="Q173">_xlfn.IFS(AND($A173="thg-beauty",ISNUMBER(SEARCH("liveramp",$C173))),"DELETE",$A173="agile-bonbon-662",_xlfn.IFS(LEFT($G173,9)="Tranche 1","DELETE",$C173="Sessions_Level_1_All_Sites","KEEP",ISNUMBER(--$C173),"REVIEW — UA raw logs",$C173="Emag_Reporting","KEEP",$C173="Nutrition_Data_Archived_Tables","KEEP",$C173="EU_Data","KEEP",TRUE,"REVIEW"),OR($A173="thg-influencer",$A173="thg-ingenuity",$A173="thg-central-marketing",$A173="thg-seoclarity"),"HOLD",TRUE,"")</f>
        <v>REVIEW</v>
      </c>
      <c r="R173" t="str" cm="1">
        <f t="array" ref="R173">_xlfn.IFS(AND($A173="thg-beauty",ISNUMBER(SEARCH("liveramp",$C173))),"thg-beauty Liveramp dataset — confirmed safe to delete",$A173="agile-bonbon-662",_xlfn.IFS(LEFT($G173,9)="Tranche 1","Tranche 1: cleared",$C173="Sessions_Level_1_All_Sites","Downstream aggregation of UA raw logs — keep if raw tables go",ISNUMBER(--$C173),"UA raw site logs (account ID) — keep pending audit-retention check",$C173="Emag_Reporting","Legacy but likely needed",$C173="Nutrition_Data_Archived_Tables","Worth keeping",$C173="EU_Data","Static lookup tables — scripts still reference (smoke-test risk)",TRUE,"Review"),OR($A173="thg-influencer",$A173="thg-ingenuity",$A173="thg-central-marketing",$A173="thg-seoclarity"),"HOLD — Charlie Stringer to review before deletion",TRUE,"")</f>
        <v>Review</v>
      </c>
      <c r="S173" t="s">
        <v>1624</v>
      </c>
    </row>
    <row r="174" spans="1:19" ht="76.5" hidden="1">
      <c r="A174" t="s">
        <v>89</v>
      </c>
      <c r="B174" t="s">
        <v>1619</v>
      </c>
      <c r="C174" t="s">
        <v>1968</v>
      </c>
      <c r="D174" s="2" t="s">
        <v>1621</v>
      </c>
      <c r="E174">
        <v>16.97</v>
      </c>
      <c r="F174">
        <v>0.34</v>
      </c>
      <c r="G174" t="s">
        <v>79</v>
      </c>
      <c r="H174" t="s">
        <v>81</v>
      </c>
      <c r="I174">
        <v>35</v>
      </c>
      <c r="J174">
        <v>109</v>
      </c>
      <c r="K174" s="5">
        <v>46161.62030253472</v>
      </c>
      <c r="L174" s="5">
        <v>46088.39296449074</v>
      </c>
      <c r="M174" s="2" t="s">
        <v>1969</v>
      </c>
      <c r="N174" s="2" t="s">
        <v>1970</v>
      </c>
      <c r="O174" s="5">
        <v>46088.393010312502</v>
      </c>
      <c r="P174" t="str">
        <f>IF($Q174="DELETE",IF($S174="CONFIRMED: NO MODS &gt; 1YR","CONFIRMED: NO MODS &gt; 1YR","DO NOT DELETE — not defensibly confirmed"),IF($Q174="HOLD","DO NOT DELETE — HOLD (Charlie review)",IF($Q174="KEEP","DO NOT DELETE — KEEP",IF(ISNUMBER(SEARCH("REVIEW",$Q174)),"DO NOT DELETE — REVIEW pending",$S174))))</f>
        <v>DO NOT DELETE — REVIEW pending</v>
      </c>
      <c r="Q174" t="str" cm="1">
        <f t="array" ref="Q174">_xlfn.IFS(AND($A174="thg-beauty",ISNUMBER(SEARCH("liveramp",$C174))),"DELETE",$A174="agile-bonbon-662",_xlfn.IFS(LEFT($G174,9)="Tranche 1","DELETE",$C174="Sessions_Level_1_All_Sites","KEEP",ISNUMBER(--$C174),"REVIEW — UA raw logs",$C174="Emag_Reporting","KEEP",$C174="Nutrition_Data_Archived_Tables","KEEP",$C174="EU_Data","KEEP",TRUE,"REVIEW"),OR($A174="thg-influencer",$A174="thg-ingenuity",$A174="thg-central-marketing",$A174="thg-seoclarity"),"HOLD",TRUE,"")</f>
        <v>REVIEW</v>
      </c>
      <c r="R174" t="str" cm="1">
        <f t="array" ref="R174">_xlfn.IFS(AND($A174="thg-beauty",ISNUMBER(SEARCH("liveramp",$C174))),"thg-beauty Liveramp dataset — confirmed safe to delete",$A174="agile-bonbon-662",_xlfn.IFS(LEFT($G174,9)="Tranche 1","Tranche 1: cleared",$C174="Sessions_Level_1_All_Sites","Downstream aggregation of UA raw logs — keep if raw tables go",ISNUMBER(--$C174),"UA raw site logs (account ID) — keep pending audit-retention check",$C174="Emag_Reporting","Legacy but likely needed",$C174="Nutrition_Data_Archived_Tables","Worth keeping",$C174="EU_Data","Static lookup tables — scripts still reference (smoke-test risk)",TRUE,"Review"),OR($A174="thg-influencer",$A174="thg-ingenuity",$A174="thg-central-marketing",$A174="thg-seoclarity"),"HOLD — Charlie Stringer to review before deletion",TRUE,"")</f>
        <v>Review</v>
      </c>
      <c r="S174" t="s">
        <v>1624</v>
      </c>
    </row>
    <row r="175" spans="1:19" ht="76.5" hidden="1">
      <c r="A175" t="s">
        <v>89</v>
      </c>
      <c r="B175" t="s">
        <v>1619</v>
      </c>
      <c r="C175" t="s">
        <v>1971</v>
      </c>
      <c r="D175" s="2" t="s">
        <v>1621</v>
      </c>
      <c r="E175">
        <v>16.920000000000002</v>
      </c>
      <c r="F175">
        <v>0.34</v>
      </c>
      <c r="G175" t="s">
        <v>79</v>
      </c>
      <c r="H175" t="s">
        <v>81</v>
      </c>
      <c r="I175">
        <v>35</v>
      </c>
      <c r="J175">
        <v>105</v>
      </c>
      <c r="K175" s="5">
        <v>46161.619885983797</v>
      </c>
      <c r="L175" s="5">
        <v>46092.380067071761</v>
      </c>
      <c r="M175" s="2" t="s">
        <v>1972</v>
      </c>
      <c r="N175" s="2" t="s">
        <v>1973</v>
      </c>
      <c r="O175" s="5">
        <v>46092.380112939813</v>
      </c>
      <c r="P175" t="str">
        <f>IF($Q175="DELETE",IF($S175="CONFIRMED: NO MODS &gt; 1YR","CONFIRMED: NO MODS &gt; 1YR","DO NOT DELETE — not defensibly confirmed"),IF($Q175="HOLD","DO NOT DELETE — HOLD (Charlie review)",IF($Q175="KEEP","DO NOT DELETE — KEEP",IF(ISNUMBER(SEARCH("REVIEW",$Q175)),"DO NOT DELETE — REVIEW pending",$S175))))</f>
        <v>DO NOT DELETE — REVIEW pending</v>
      </c>
      <c r="Q175" t="str" cm="1">
        <f t="array" ref="Q175">_xlfn.IFS(AND($A175="thg-beauty",ISNUMBER(SEARCH("liveramp",$C175))),"DELETE",$A175="agile-bonbon-662",_xlfn.IFS(LEFT($G175,9)="Tranche 1","DELETE",$C175="Sessions_Level_1_All_Sites","KEEP",ISNUMBER(--$C175),"REVIEW — UA raw logs",$C175="Emag_Reporting","KEEP",$C175="Nutrition_Data_Archived_Tables","KEEP",$C175="EU_Data","KEEP",TRUE,"REVIEW"),OR($A175="thg-influencer",$A175="thg-ingenuity",$A175="thg-central-marketing",$A175="thg-seoclarity"),"HOLD",TRUE,"")</f>
        <v>REVIEW</v>
      </c>
      <c r="R175" t="str" cm="1">
        <f t="array" ref="R175">_xlfn.IFS(AND($A175="thg-beauty",ISNUMBER(SEARCH("liveramp",$C175))),"thg-beauty Liveramp dataset — confirmed safe to delete",$A175="agile-bonbon-662",_xlfn.IFS(LEFT($G175,9)="Tranche 1","Tranche 1: cleared",$C175="Sessions_Level_1_All_Sites","Downstream aggregation of UA raw logs — keep if raw tables go",ISNUMBER(--$C175),"UA raw site logs (account ID) — keep pending audit-retention check",$C175="Emag_Reporting","Legacy but likely needed",$C175="Nutrition_Data_Archived_Tables","Worth keeping",$C175="EU_Data","Static lookup tables — scripts still reference (smoke-test risk)",TRUE,"Review"),OR($A175="thg-influencer",$A175="thg-ingenuity",$A175="thg-central-marketing",$A175="thg-seoclarity"),"HOLD — Charlie Stringer to review before deletion",TRUE,"")</f>
        <v>Review</v>
      </c>
      <c r="S175" t="s">
        <v>1624</v>
      </c>
    </row>
    <row r="176" spans="1:19" ht="76.5" hidden="1">
      <c r="A176" t="s">
        <v>89</v>
      </c>
      <c r="B176" t="s">
        <v>1619</v>
      </c>
      <c r="C176" t="s">
        <v>1974</v>
      </c>
      <c r="D176" s="2" t="s">
        <v>1621</v>
      </c>
      <c r="E176">
        <v>16.79</v>
      </c>
      <c r="F176">
        <v>0.34</v>
      </c>
      <c r="G176" t="s">
        <v>79</v>
      </c>
      <c r="H176" t="s">
        <v>81</v>
      </c>
      <c r="I176">
        <v>35</v>
      </c>
      <c r="J176">
        <v>109</v>
      </c>
      <c r="K176" s="5">
        <v>46161.619711770843</v>
      </c>
      <c r="L176" s="5">
        <v>46088.4538015625</v>
      </c>
      <c r="M176" s="2" t="s">
        <v>1972</v>
      </c>
      <c r="N176" s="2" t="s">
        <v>1975</v>
      </c>
      <c r="O176" s="5">
        <v>46088.453838657413</v>
      </c>
      <c r="P176" t="str">
        <f>IF($Q176="DELETE",IF($S176="CONFIRMED: NO MODS &gt; 1YR","CONFIRMED: NO MODS &gt; 1YR","DO NOT DELETE — not defensibly confirmed"),IF($Q176="HOLD","DO NOT DELETE — HOLD (Charlie review)",IF($Q176="KEEP","DO NOT DELETE — KEEP",IF(ISNUMBER(SEARCH("REVIEW",$Q176)),"DO NOT DELETE — REVIEW pending",$S176))))</f>
        <v>DO NOT DELETE — REVIEW pending</v>
      </c>
      <c r="Q176" t="str" cm="1">
        <f t="array" ref="Q176">_xlfn.IFS(AND($A176="thg-beauty",ISNUMBER(SEARCH("liveramp",$C176))),"DELETE",$A176="agile-bonbon-662",_xlfn.IFS(LEFT($G176,9)="Tranche 1","DELETE",$C176="Sessions_Level_1_All_Sites","KEEP",ISNUMBER(--$C176),"REVIEW — UA raw logs",$C176="Emag_Reporting","KEEP",$C176="Nutrition_Data_Archived_Tables","KEEP",$C176="EU_Data","KEEP",TRUE,"REVIEW"),OR($A176="thg-influencer",$A176="thg-ingenuity",$A176="thg-central-marketing",$A176="thg-seoclarity"),"HOLD",TRUE,"")</f>
        <v>REVIEW</v>
      </c>
      <c r="R176" t="str" cm="1">
        <f t="array" ref="R176">_xlfn.IFS(AND($A176="thg-beauty",ISNUMBER(SEARCH("liveramp",$C176))),"thg-beauty Liveramp dataset — confirmed safe to delete",$A176="agile-bonbon-662",_xlfn.IFS(LEFT($G176,9)="Tranche 1","Tranche 1: cleared",$C176="Sessions_Level_1_All_Sites","Downstream aggregation of UA raw logs — keep if raw tables go",ISNUMBER(--$C176),"UA raw site logs (account ID) — keep pending audit-retention check",$C176="Emag_Reporting","Legacy but likely needed",$C176="Nutrition_Data_Archived_Tables","Worth keeping",$C176="EU_Data","Static lookup tables — scripts still reference (smoke-test risk)",TRUE,"Review"),OR($A176="thg-influencer",$A176="thg-ingenuity",$A176="thg-central-marketing",$A176="thg-seoclarity"),"HOLD — Charlie Stringer to review before deletion",TRUE,"")</f>
        <v>Review</v>
      </c>
      <c r="S176" t="s">
        <v>1624</v>
      </c>
    </row>
    <row r="177" spans="1:19" ht="45.75" hidden="1">
      <c r="A177" t="s">
        <v>89</v>
      </c>
      <c r="B177" t="s">
        <v>1619</v>
      </c>
      <c r="C177" t="s">
        <v>1976</v>
      </c>
      <c r="D177" s="2" t="s">
        <v>1621</v>
      </c>
      <c r="E177">
        <v>16.04</v>
      </c>
      <c r="F177">
        <v>0.32</v>
      </c>
      <c r="G177" t="s">
        <v>79</v>
      </c>
      <c r="H177" t="s">
        <v>81</v>
      </c>
      <c r="I177">
        <v>35</v>
      </c>
      <c r="J177">
        <v>114</v>
      </c>
      <c r="K177" s="5">
        <v>46161.615676793983</v>
      </c>
      <c r="L177" s="5">
        <v>46083.355371481477</v>
      </c>
      <c r="M177" s="2" t="s">
        <v>1977</v>
      </c>
      <c r="N177" s="2" t="s">
        <v>1978</v>
      </c>
      <c r="O177" s="5">
        <v>46083.355407986113</v>
      </c>
      <c r="P177" t="str">
        <f>IF($Q177="DELETE",IF($S177="CONFIRMED: NO MODS &gt; 1YR","CONFIRMED: NO MODS &gt; 1YR","DO NOT DELETE — not defensibly confirmed"),IF($Q177="HOLD","DO NOT DELETE — HOLD (Charlie review)",IF($Q177="KEEP","DO NOT DELETE — KEEP",IF(ISNUMBER(SEARCH("REVIEW",$Q177)),"DO NOT DELETE — REVIEW pending",$S177))))</f>
        <v>DO NOT DELETE — REVIEW pending</v>
      </c>
      <c r="Q177" t="str" cm="1">
        <f t="array" ref="Q177">_xlfn.IFS(AND($A177="thg-beauty",ISNUMBER(SEARCH("liveramp",$C177))),"DELETE",$A177="agile-bonbon-662",_xlfn.IFS(LEFT($G177,9)="Tranche 1","DELETE",$C177="Sessions_Level_1_All_Sites","KEEP",ISNUMBER(--$C177),"REVIEW — UA raw logs",$C177="Emag_Reporting","KEEP",$C177="Nutrition_Data_Archived_Tables","KEEP",$C177="EU_Data","KEEP",TRUE,"REVIEW"),OR($A177="thg-influencer",$A177="thg-ingenuity",$A177="thg-central-marketing",$A177="thg-seoclarity"),"HOLD",TRUE,"")</f>
        <v>REVIEW</v>
      </c>
      <c r="R177" t="str" cm="1">
        <f t="array" ref="R177">_xlfn.IFS(AND($A177="thg-beauty",ISNUMBER(SEARCH("liveramp",$C177))),"thg-beauty Liveramp dataset — confirmed safe to delete",$A177="agile-bonbon-662",_xlfn.IFS(LEFT($G177,9)="Tranche 1","Tranche 1: cleared",$C177="Sessions_Level_1_All_Sites","Downstream aggregation of UA raw logs — keep if raw tables go",ISNUMBER(--$C177),"UA raw site logs (account ID) — keep pending audit-retention check",$C177="Emag_Reporting","Legacy but likely needed",$C177="Nutrition_Data_Archived_Tables","Worth keeping",$C177="EU_Data","Static lookup tables — scripts still reference (smoke-test risk)",TRUE,"Review"),OR($A177="thg-influencer",$A177="thg-ingenuity",$A177="thg-central-marketing",$A177="thg-seoclarity"),"HOLD — Charlie Stringer to review before deletion",TRUE,"")</f>
        <v>Review</v>
      </c>
      <c r="S177" t="s">
        <v>1624</v>
      </c>
    </row>
    <row r="178" spans="1:19" ht="45.75" hidden="1">
      <c r="A178" t="s">
        <v>89</v>
      </c>
      <c r="B178" t="s">
        <v>1619</v>
      </c>
      <c r="C178" t="s">
        <v>1979</v>
      </c>
      <c r="D178" s="2" t="s">
        <v>1621</v>
      </c>
      <c r="E178">
        <v>15.44</v>
      </c>
      <c r="F178">
        <v>0.31</v>
      </c>
      <c r="G178" t="s">
        <v>79</v>
      </c>
      <c r="H178" t="s">
        <v>81</v>
      </c>
      <c r="I178">
        <v>35</v>
      </c>
      <c r="J178">
        <v>331</v>
      </c>
      <c r="K178" s="5">
        <v>46161.617123657408</v>
      </c>
      <c r="M178" s="2" t="s">
        <v>1947</v>
      </c>
      <c r="N178" s="2" t="s">
        <v>1701</v>
      </c>
      <c r="O178" s="5">
        <v>45866.414542233797</v>
      </c>
      <c r="P178" t="str">
        <f>IF($Q178="DELETE",IF($S178="CONFIRMED: NO MODS &gt; 1YR","CONFIRMED: NO MODS &gt; 1YR","DO NOT DELETE — not defensibly confirmed"),IF($Q178="HOLD","DO NOT DELETE — HOLD (Charlie review)",IF($Q178="KEEP","DO NOT DELETE — KEEP",IF(ISNUMBER(SEARCH("REVIEW",$Q178)),"DO NOT DELETE — REVIEW pending",$S178))))</f>
        <v>DO NOT DELETE — REVIEW pending</v>
      </c>
      <c r="Q178" t="str" cm="1">
        <f t="array" ref="Q178">_xlfn.IFS(AND($A178="thg-beauty",ISNUMBER(SEARCH("liveramp",$C178))),"DELETE",$A178="agile-bonbon-662",_xlfn.IFS(LEFT($G178,9)="Tranche 1","DELETE",$C178="Sessions_Level_1_All_Sites","KEEP",ISNUMBER(--$C178),"REVIEW — UA raw logs",$C178="Emag_Reporting","KEEP",$C178="Nutrition_Data_Archived_Tables","KEEP",$C178="EU_Data","KEEP",TRUE,"REVIEW"),OR($A178="thg-influencer",$A178="thg-ingenuity",$A178="thg-central-marketing",$A178="thg-seoclarity"),"HOLD",TRUE,"")</f>
        <v>REVIEW</v>
      </c>
      <c r="R178" t="str" cm="1">
        <f t="array" ref="R178">_xlfn.IFS(AND($A178="thg-beauty",ISNUMBER(SEARCH("liveramp",$C178))),"thg-beauty Liveramp dataset — confirmed safe to delete",$A178="agile-bonbon-662",_xlfn.IFS(LEFT($G178,9)="Tranche 1","Tranche 1: cleared",$C178="Sessions_Level_1_All_Sites","Downstream aggregation of UA raw logs — keep if raw tables go",ISNUMBER(--$C178),"UA raw site logs (account ID) — keep pending audit-retention check",$C178="Emag_Reporting","Legacy but likely needed",$C178="Nutrition_Data_Archived_Tables","Worth keeping",$C178="EU_Data","Static lookup tables — scripts still reference (smoke-test risk)",TRUE,"Review"),OR($A178="thg-influencer",$A178="thg-ingenuity",$A178="thg-central-marketing",$A178="thg-seoclarity"),"HOLD — Charlie Stringer to review before deletion",TRUE,"")</f>
        <v>Review</v>
      </c>
      <c r="S178" t="s">
        <v>1624</v>
      </c>
    </row>
    <row r="179" spans="1:19" ht="45.75" hidden="1">
      <c r="A179" t="s">
        <v>89</v>
      </c>
      <c r="B179" t="s">
        <v>1619</v>
      </c>
      <c r="C179" t="s">
        <v>1980</v>
      </c>
      <c r="D179" s="2" t="s">
        <v>1621</v>
      </c>
      <c r="E179">
        <v>13.35</v>
      </c>
      <c r="F179">
        <v>0.27</v>
      </c>
      <c r="G179" t="s">
        <v>79</v>
      </c>
      <c r="H179" t="s">
        <v>81</v>
      </c>
      <c r="I179">
        <v>35</v>
      </c>
      <c r="J179">
        <v>322</v>
      </c>
      <c r="K179" s="5">
        <v>46161.619105162034</v>
      </c>
      <c r="M179" s="2" t="s">
        <v>1981</v>
      </c>
      <c r="N179" s="2" t="s">
        <v>1701</v>
      </c>
      <c r="O179" s="5">
        <v>45875.448683090282</v>
      </c>
      <c r="P179" t="str">
        <f>IF($Q179="DELETE",IF($S179="CONFIRMED: NO MODS &gt; 1YR","CONFIRMED: NO MODS &gt; 1YR","DO NOT DELETE — not defensibly confirmed"),IF($Q179="HOLD","DO NOT DELETE — HOLD (Charlie review)",IF($Q179="KEEP","DO NOT DELETE — KEEP",IF(ISNUMBER(SEARCH("REVIEW",$Q179)),"DO NOT DELETE — REVIEW pending",$S179))))</f>
        <v>DO NOT DELETE — REVIEW pending</v>
      </c>
      <c r="Q179" t="str" cm="1">
        <f t="array" ref="Q179">_xlfn.IFS(AND($A179="thg-beauty",ISNUMBER(SEARCH("liveramp",$C179))),"DELETE",$A179="agile-bonbon-662",_xlfn.IFS(LEFT($G179,9)="Tranche 1","DELETE",$C179="Sessions_Level_1_All_Sites","KEEP",ISNUMBER(--$C179),"REVIEW — UA raw logs",$C179="Emag_Reporting","KEEP",$C179="Nutrition_Data_Archived_Tables","KEEP",$C179="EU_Data","KEEP",TRUE,"REVIEW"),OR($A179="thg-influencer",$A179="thg-ingenuity",$A179="thg-central-marketing",$A179="thg-seoclarity"),"HOLD",TRUE,"")</f>
        <v>REVIEW</v>
      </c>
      <c r="R179" t="str" cm="1">
        <f t="array" ref="R179">_xlfn.IFS(AND($A179="thg-beauty",ISNUMBER(SEARCH("liveramp",$C179))),"thg-beauty Liveramp dataset — confirmed safe to delete",$A179="agile-bonbon-662",_xlfn.IFS(LEFT($G179,9)="Tranche 1","Tranche 1: cleared",$C179="Sessions_Level_1_All_Sites","Downstream aggregation of UA raw logs — keep if raw tables go",ISNUMBER(--$C179),"UA raw site logs (account ID) — keep pending audit-retention check",$C179="Emag_Reporting","Legacy but likely needed",$C179="Nutrition_Data_Archived_Tables","Worth keeping",$C179="EU_Data","Static lookup tables — scripts still reference (smoke-test risk)",TRUE,"Review"),OR($A179="thg-influencer",$A179="thg-ingenuity",$A179="thg-central-marketing",$A179="thg-seoclarity"),"HOLD — Charlie Stringer to review before deletion",TRUE,"")</f>
        <v>Review</v>
      </c>
      <c r="S179" t="s">
        <v>1624</v>
      </c>
    </row>
    <row r="180" spans="1:19" ht="45.75" hidden="1">
      <c r="A180" t="s">
        <v>89</v>
      </c>
      <c r="B180" t="s">
        <v>1619</v>
      </c>
      <c r="C180" t="s">
        <v>1982</v>
      </c>
      <c r="D180" s="2" t="s">
        <v>1621</v>
      </c>
      <c r="E180">
        <v>12.98</v>
      </c>
      <c r="F180">
        <v>0.26</v>
      </c>
      <c r="G180" t="s">
        <v>79</v>
      </c>
      <c r="H180" t="s">
        <v>81</v>
      </c>
      <c r="I180">
        <v>35</v>
      </c>
      <c r="J180">
        <v>322</v>
      </c>
      <c r="K180" s="5">
        <v>46161.618826284721</v>
      </c>
      <c r="M180" s="2" t="s">
        <v>1981</v>
      </c>
      <c r="N180" s="2" t="s">
        <v>1701</v>
      </c>
      <c r="O180" s="5">
        <v>45875.450300243057</v>
      </c>
      <c r="P180" t="str">
        <f>IF($Q180="DELETE",IF($S180="CONFIRMED: NO MODS &gt; 1YR","CONFIRMED: NO MODS &gt; 1YR","DO NOT DELETE — not defensibly confirmed"),IF($Q180="HOLD","DO NOT DELETE — HOLD (Charlie review)",IF($Q180="KEEP","DO NOT DELETE — KEEP",IF(ISNUMBER(SEARCH("REVIEW",$Q180)),"DO NOT DELETE — REVIEW pending",$S180))))</f>
        <v>DO NOT DELETE — REVIEW pending</v>
      </c>
      <c r="Q180" t="str" cm="1">
        <f t="array" ref="Q180">_xlfn.IFS(AND($A180="thg-beauty",ISNUMBER(SEARCH("liveramp",$C180))),"DELETE",$A180="agile-bonbon-662",_xlfn.IFS(LEFT($G180,9)="Tranche 1","DELETE",$C180="Sessions_Level_1_All_Sites","KEEP",ISNUMBER(--$C180),"REVIEW — UA raw logs",$C180="Emag_Reporting","KEEP",$C180="Nutrition_Data_Archived_Tables","KEEP",$C180="EU_Data","KEEP",TRUE,"REVIEW"),OR($A180="thg-influencer",$A180="thg-ingenuity",$A180="thg-central-marketing",$A180="thg-seoclarity"),"HOLD",TRUE,"")</f>
        <v>REVIEW</v>
      </c>
      <c r="R180" t="str" cm="1">
        <f t="array" ref="R180">_xlfn.IFS(AND($A180="thg-beauty",ISNUMBER(SEARCH("liveramp",$C180))),"thg-beauty Liveramp dataset — confirmed safe to delete",$A180="agile-bonbon-662",_xlfn.IFS(LEFT($G180,9)="Tranche 1","Tranche 1: cleared",$C180="Sessions_Level_1_All_Sites","Downstream aggregation of UA raw logs — keep if raw tables go",ISNUMBER(--$C180),"UA raw site logs (account ID) — keep pending audit-retention check",$C180="Emag_Reporting","Legacy but likely needed",$C180="Nutrition_Data_Archived_Tables","Worth keeping",$C180="EU_Data","Static lookup tables — scripts still reference (smoke-test risk)",TRUE,"Review"),OR($A180="thg-influencer",$A180="thg-ingenuity",$A180="thg-central-marketing",$A180="thg-seoclarity"),"HOLD — Charlie Stringer to review before deletion",TRUE,"")</f>
        <v>Review</v>
      </c>
      <c r="S180" t="s">
        <v>1624</v>
      </c>
    </row>
    <row r="181" spans="1:19" ht="45.75" hidden="1">
      <c r="A181" t="s">
        <v>89</v>
      </c>
      <c r="B181" t="s">
        <v>1619</v>
      </c>
      <c r="C181" t="s">
        <v>1983</v>
      </c>
      <c r="D181" s="2" t="s">
        <v>1621</v>
      </c>
      <c r="E181">
        <v>10.6</v>
      </c>
      <c r="F181">
        <v>0.21</v>
      </c>
      <c r="G181" t="s">
        <v>79</v>
      </c>
      <c r="H181" t="s">
        <v>81</v>
      </c>
      <c r="I181">
        <v>35</v>
      </c>
      <c r="J181">
        <v>295</v>
      </c>
      <c r="K181" s="5">
        <v>46161.616338888889</v>
      </c>
      <c r="M181" s="2" t="s">
        <v>1984</v>
      </c>
      <c r="N181" s="2" t="s">
        <v>1701</v>
      </c>
      <c r="O181" s="5">
        <v>45902.387025034717</v>
      </c>
      <c r="P181" t="str">
        <f>IF($Q181="DELETE",IF($S181="CONFIRMED: NO MODS &gt; 1YR","CONFIRMED: NO MODS &gt; 1YR","DO NOT DELETE — not defensibly confirmed"),IF($Q181="HOLD","DO NOT DELETE — HOLD (Charlie review)",IF($Q181="KEEP","DO NOT DELETE — KEEP",IF(ISNUMBER(SEARCH("REVIEW",$Q181)),"DO NOT DELETE — REVIEW pending",$S181))))</f>
        <v>DO NOT DELETE — REVIEW pending</v>
      </c>
      <c r="Q181" t="str" cm="1">
        <f t="array" ref="Q181">_xlfn.IFS(AND($A181="thg-beauty",ISNUMBER(SEARCH("liveramp",$C181))),"DELETE",$A181="agile-bonbon-662",_xlfn.IFS(LEFT($G181,9)="Tranche 1","DELETE",$C181="Sessions_Level_1_All_Sites","KEEP",ISNUMBER(--$C181),"REVIEW — UA raw logs",$C181="Emag_Reporting","KEEP",$C181="Nutrition_Data_Archived_Tables","KEEP",$C181="EU_Data","KEEP",TRUE,"REVIEW"),OR($A181="thg-influencer",$A181="thg-ingenuity",$A181="thg-central-marketing",$A181="thg-seoclarity"),"HOLD",TRUE,"")</f>
        <v>REVIEW</v>
      </c>
      <c r="R181" t="str" cm="1">
        <f t="array" ref="R181">_xlfn.IFS(AND($A181="thg-beauty",ISNUMBER(SEARCH("liveramp",$C181))),"thg-beauty Liveramp dataset — confirmed safe to delete",$A181="agile-bonbon-662",_xlfn.IFS(LEFT($G181,9)="Tranche 1","Tranche 1: cleared",$C181="Sessions_Level_1_All_Sites","Downstream aggregation of UA raw logs — keep if raw tables go",ISNUMBER(--$C181),"UA raw site logs (account ID) — keep pending audit-retention check",$C181="Emag_Reporting","Legacy but likely needed",$C181="Nutrition_Data_Archived_Tables","Worth keeping",$C181="EU_Data","Static lookup tables — scripts still reference (smoke-test risk)",TRUE,"Review"),OR($A181="thg-influencer",$A181="thg-ingenuity",$A181="thg-central-marketing",$A181="thg-seoclarity"),"HOLD — Charlie Stringer to review before deletion",TRUE,"")</f>
        <v>Review</v>
      </c>
      <c r="S181" t="s">
        <v>1624</v>
      </c>
    </row>
    <row r="182" spans="1:19" ht="45.75" hidden="1">
      <c r="A182" t="s">
        <v>89</v>
      </c>
      <c r="B182" t="s">
        <v>1619</v>
      </c>
      <c r="C182" t="s">
        <v>1985</v>
      </c>
      <c r="D182" s="2" t="s">
        <v>1621</v>
      </c>
      <c r="E182">
        <v>10.23</v>
      </c>
      <c r="F182">
        <v>0.2</v>
      </c>
      <c r="G182" t="s">
        <v>79</v>
      </c>
      <c r="H182" t="s">
        <v>81</v>
      </c>
      <c r="I182">
        <v>35</v>
      </c>
      <c r="J182">
        <v>317</v>
      </c>
      <c r="K182" s="5">
        <v>46161.618284050928</v>
      </c>
      <c r="M182" s="2" t="s">
        <v>1945</v>
      </c>
      <c r="N182" s="2" t="s">
        <v>1701</v>
      </c>
      <c r="O182" s="5">
        <v>45880.394501122682</v>
      </c>
      <c r="P182" t="str">
        <f>IF($Q182="DELETE",IF($S182="CONFIRMED: NO MODS &gt; 1YR","CONFIRMED: NO MODS &gt; 1YR","DO NOT DELETE — not defensibly confirmed"),IF($Q182="HOLD","DO NOT DELETE — HOLD (Charlie review)",IF($Q182="KEEP","DO NOT DELETE — KEEP",IF(ISNUMBER(SEARCH("REVIEW",$Q182)),"DO NOT DELETE — REVIEW pending",$S182))))</f>
        <v>DO NOT DELETE — REVIEW pending</v>
      </c>
      <c r="Q182" t="str" cm="1">
        <f t="array" ref="Q182">_xlfn.IFS(AND($A182="thg-beauty",ISNUMBER(SEARCH("liveramp",$C182))),"DELETE",$A182="agile-bonbon-662",_xlfn.IFS(LEFT($G182,9)="Tranche 1","DELETE",$C182="Sessions_Level_1_All_Sites","KEEP",ISNUMBER(--$C182),"REVIEW — UA raw logs",$C182="Emag_Reporting","KEEP",$C182="Nutrition_Data_Archived_Tables","KEEP",$C182="EU_Data","KEEP",TRUE,"REVIEW"),OR($A182="thg-influencer",$A182="thg-ingenuity",$A182="thg-central-marketing",$A182="thg-seoclarity"),"HOLD",TRUE,"")</f>
        <v>REVIEW</v>
      </c>
      <c r="R182" t="str" cm="1">
        <f t="array" ref="R182">_xlfn.IFS(AND($A182="thg-beauty",ISNUMBER(SEARCH("liveramp",$C182))),"thg-beauty Liveramp dataset — confirmed safe to delete",$A182="agile-bonbon-662",_xlfn.IFS(LEFT($G182,9)="Tranche 1","Tranche 1: cleared",$C182="Sessions_Level_1_All_Sites","Downstream aggregation of UA raw logs — keep if raw tables go",ISNUMBER(--$C182),"UA raw site logs (account ID) — keep pending audit-retention check",$C182="Emag_Reporting","Legacy but likely needed",$C182="Nutrition_Data_Archived_Tables","Worth keeping",$C182="EU_Data","Static lookup tables — scripts still reference (smoke-test risk)",TRUE,"Review"),OR($A182="thg-influencer",$A182="thg-ingenuity",$A182="thg-central-marketing",$A182="thg-seoclarity"),"HOLD — Charlie Stringer to review before deletion",TRUE,"")</f>
        <v>Review</v>
      </c>
      <c r="S182" t="s">
        <v>1624</v>
      </c>
    </row>
    <row r="183" spans="1:19" ht="45.75" hidden="1">
      <c r="A183" t="s">
        <v>89</v>
      </c>
      <c r="B183" t="s">
        <v>1619</v>
      </c>
      <c r="C183" t="s">
        <v>1986</v>
      </c>
      <c r="D183" s="2" t="s">
        <v>1621</v>
      </c>
      <c r="E183">
        <v>8.2799999999999994</v>
      </c>
      <c r="F183">
        <v>0.17</v>
      </c>
      <c r="G183" t="s">
        <v>79</v>
      </c>
      <c r="H183" t="s">
        <v>81</v>
      </c>
      <c r="I183">
        <v>35</v>
      </c>
      <c r="J183">
        <v>322</v>
      </c>
      <c r="K183" s="5">
        <v>46161.618128530092</v>
      </c>
      <c r="M183" s="2" t="s">
        <v>1987</v>
      </c>
      <c r="N183" s="2" t="s">
        <v>1701</v>
      </c>
      <c r="O183" s="5">
        <v>45875.384363506942</v>
      </c>
      <c r="P183" t="str">
        <f>IF($Q183="DELETE",IF($S183="CONFIRMED: NO MODS &gt; 1YR","CONFIRMED: NO MODS &gt; 1YR","DO NOT DELETE — not defensibly confirmed"),IF($Q183="HOLD","DO NOT DELETE — HOLD (Charlie review)",IF($Q183="KEEP","DO NOT DELETE — KEEP",IF(ISNUMBER(SEARCH("REVIEW",$Q183)),"DO NOT DELETE — REVIEW pending",$S183))))</f>
        <v>DO NOT DELETE — REVIEW pending</v>
      </c>
      <c r="Q183" t="str" cm="1">
        <f t="array" ref="Q183">_xlfn.IFS(AND($A183="thg-beauty",ISNUMBER(SEARCH("liveramp",$C183))),"DELETE",$A183="agile-bonbon-662",_xlfn.IFS(LEFT($G183,9)="Tranche 1","DELETE",$C183="Sessions_Level_1_All_Sites","KEEP",ISNUMBER(--$C183),"REVIEW — UA raw logs",$C183="Emag_Reporting","KEEP",$C183="Nutrition_Data_Archived_Tables","KEEP",$C183="EU_Data","KEEP",TRUE,"REVIEW"),OR($A183="thg-influencer",$A183="thg-ingenuity",$A183="thg-central-marketing",$A183="thg-seoclarity"),"HOLD",TRUE,"")</f>
        <v>REVIEW</v>
      </c>
      <c r="R183" t="str" cm="1">
        <f t="array" ref="R183">_xlfn.IFS(AND($A183="thg-beauty",ISNUMBER(SEARCH("liveramp",$C183))),"thg-beauty Liveramp dataset — confirmed safe to delete",$A183="agile-bonbon-662",_xlfn.IFS(LEFT($G183,9)="Tranche 1","Tranche 1: cleared",$C183="Sessions_Level_1_All_Sites","Downstream aggregation of UA raw logs — keep if raw tables go",ISNUMBER(--$C183),"UA raw site logs (account ID) — keep pending audit-retention check",$C183="Emag_Reporting","Legacy but likely needed",$C183="Nutrition_Data_Archived_Tables","Worth keeping",$C183="EU_Data","Static lookup tables — scripts still reference (smoke-test risk)",TRUE,"Review"),OR($A183="thg-influencer",$A183="thg-ingenuity",$A183="thg-central-marketing",$A183="thg-seoclarity"),"HOLD — Charlie Stringer to review before deletion",TRUE,"")</f>
        <v>Review</v>
      </c>
      <c r="S183" t="s">
        <v>1624</v>
      </c>
    </row>
    <row r="184" spans="1:19" ht="76.5" hidden="1">
      <c r="A184" t="s">
        <v>89</v>
      </c>
      <c r="B184" t="s">
        <v>1619</v>
      </c>
      <c r="C184" t="s">
        <v>1988</v>
      </c>
      <c r="D184" s="2" t="s">
        <v>1621</v>
      </c>
      <c r="E184">
        <v>7.36</v>
      </c>
      <c r="F184">
        <v>0.15</v>
      </c>
      <c r="G184" t="s">
        <v>79</v>
      </c>
      <c r="H184" t="s">
        <v>81</v>
      </c>
      <c r="I184">
        <v>35</v>
      </c>
      <c r="J184">
        <v>116</v>
      </c>
      <c r="K184" s="5">
        <v>46161.580331770827</v>
      </c>
      <c r="L184" s="5">
        <v>46080.500101168982</v>
      </c>
      <c r="M184" s="2" t="s">
        <v>1989</v>
      </c>
      <c r="N184" s="2" t="s">
        <v>1990</v>
      </c>
      <c r="O184" s="5">
        <v>46080.500119560187</v>
      </c>
      <c r="P184" t="str">
        <f>IF($Q184="DELETE",IF($S184="CONFIRMED: NO MODS &gt; 1YR","CONFIRMED: NO MODS &gt; 1YR","DO NOT DELETE — not defensibly confirmed"),IF($Q184="HOLD","DO NOT DELETE — HOLD (Charlie review)",IF($Q184="KEEP","DO NOT DELETE — KEEP",IF(ISNUMBER(SEARCH("REVIEW",$Q184)),"DO NOT DELETE — REVIEW pending",$S184))))</f>
        <v>DO NOT DELETE — REVIEW pending</v>
      </c>
      <c r="Q184" t="str" cm="1">
        <f t="array" ref="Q184">_xlfn.IFS(AND($A184="thg-beauty",ISNUMBER(SEARCH("liveramp",$C184))),"DELETE",$A184="agile-bonbon-662",_xlfn.IFS(LEFT($G184,9)="Tranche 1","DELETE",$C184="Sessions_Level_1_All_Sites","KEEP",ISNUMBER(--$C184),"REVIEW — UA raw logs",$C184="Emag_Reporting","KEEP",$C184="Nutrition_Data_Archived_Tables","KEEP",$C184="EU_Data","KEEP",TRUE,"REVIEW"),OR($A184="thg-influencer",$A184="thg-ingenuity",$A184="thg-central-marketing",$A184="thg-seoclarity"),"HOLD",TRUE,"")</f>
        <v>REVIEW</v>
      </c>
      <c r="R184" t="str" cm="1">
        <f t="array" ref="R184">_xlfn.IFS(AND($A184="thg-beauty",ISNUMBER(SEARCH("liveramp",$C184))),"thg-beauty Liveramp dataset — confirmed safe to delete",$A184="agile-bonbon-662",_xlfn.IFS(LEFT($G184,9)="Tranche 1","Tranche 1: cleared",$C184="Sessions_Level_1_All_Sites","Downstream aggregation of UA raw logs — keep if raw tables go",ISNUMBER(--$C184),"UA raw site logs (account ID) — keep pending audit-retention check",$C184="Emag_Reporting","Legacy but likely needed",$C184="Nutrition_Data_Archived_Tables","Worth keeping",$C184="EU_Data","Static lookup tables — scripts still reference (smoke-test risk)",TRUE,"Review"),OR($A184="thg-influencer",$A184="thg-ingenuity",$A184="thg-central-marketing",$A184="thg-seoclarity"),"HOLD — Charlie Stringer to review before deletion",TRUE,"")</f>
        <v>Review</v>
      </c>
      <c r="S184" t="s">
        <v>1624</v>
      </c>
    </row>
    <row r="185" spans="1:19" ht="76.5" hidden="1">
      <c r="A185" t="s">
        <v>89</v>
      </c>
      <c r="B185" t="s">
        <v>1619</v>
      </c>
      <c r="C185" t="s">
        <v>1991</v>
      </c>
      <c r="D185" s="2" t="s">
        <v>1621</v>
      </c>
      <c r="E185">
        <v>7.29</v>
      </c>
      <c r="F185">
        <v>0.15</v>
      </c>
      <c r="G185" t="s">
        <v>79</v>
      </c>
      <c r="H185" t="s">
        <v>81</v>
      </c>
      <c r="I185">
        <v>35</v>
      </c>
      <c r="J185">
        <v>110</v>
      </c>
      <c r="K185" s="5">
        <v>46161.620465185188</v>
      </c>
      <c r="L185" s="5">
        <v>46087.351893182873</v>
      </c>
      <c r="M185" s="2" t="s">
        <v>1943</v>
      </c>
      <c r="N185" s="2" t="s">
        <v>1992</v>
      </c>
      <c r="O185" s="5">
        <v>46087.351927835647</v>
      </c>
      <c r="P185" t="str">
        <f>IF($Q185="DELETE",IF($S185="CONFIRMED: NO MODS &gt; 1YR","CONFIRMED: NO MODS &gt; 1YR","DO NOT DELETE — not defensibly confirmed"),IF($Q185="HOLD","DO NOT DELETE — HOLD (Charlie review)",IF($Q185="KEEP","DO NOT DELETE — KEEP",IF(ISNUMBER(SEARCH("REVIEW",$Q185)),"DO NOT DELETE — REVIEW pending",$S185))))</f>
        <v>DO NOT DELETE — REVIEW pending</v>
      </c>
      <c r="Q185" t="str" cm="1">
        <f t="array" ref="Q185">_xlfn.IFS(AND($A185="thg-beauty",ISNUMBER(SEARCH("liveramp",$C185))),"DELETE",$A185="agile-bonbon-662",_xlfn.IFS(LEFT($G185,9)="Tranche 1","DELETE",$C185="Sessions_Level_1_All_Sites","KEEP",ISNUMBER(--$C185),"REVIEW — UA raw logs",$C185="Emag_Reporting","KEEP",$C185="Nutrition_Data_Archived_Tables","KEEP",$C185="EU_Data","KEEP",TRUE,"REVIEW"),OR($A185="thg-influencer",$A185="thg-ingenuity",$A185="thg-central-marketing",$A185="thg-seoclarity"),"HOLD",TRUE,"")</f>
        <v>REVIEW</v>
      </c>
      <c r="R185" t="str" cm="1">
        <f t="array" ref="R185">_xlfn.IFS(AND($A185="thg-beauty",ISNUMBER(SEARCH("liveramp",$C185))),"thg-beauty Liveramp dataset — confirmed safe to delete",$A185="agile-bonbon-662",_xlfn.IFS(LEFT($G185,9)="Tranche 1","Tranche 1: cleared",$C185="Sessions_Level_1_All_Sites","Downstream aggregation of UA raw logs — keep if raw tables go",ISNUMBER(--$C185),"UA raw site logs (account ID) — keep pending audit-retention check",$C185="Emag_Reporting","Legacy but likely needed",$C185="Nutrition_Data_Archived_Tables","Worth keeping",$C185="EU_Data","Static lookup tables — scripts still reference (smoke-test risk)",TRUE,"Review"),OR($A185="thg-influencer",$A185="thg-ingenuity",$A185="thg-central-marketing",$A185="thg-seoclarity"),"HOLD — Charlie Stringer to review before deletion",TRUE,"")</f>
        <v>Review</v>
      </c>
      <c r="S185" t="s">
        <v>1624</v>
      </c>
    </row>
    <row r="186" spans="1:19" ht="45.75" hidden="1">
      <c r="A186" t="s">
        <v>89</v>
      </c>
      <c r="B186" t="s">
        <v>1619</v>
      </c>
      <c r="C186" t="s">
        <v>1993</v>
      </c>
      <c r="D186" s="2" t="s">
        <v>1621</v>
      </c>
      <c r="E186">
        <v>5.77</v>
      </c>
      <c r="F186">
        <v>0.12</v>
      </c>
      <c r="G186" t="s">
        <v>79</v>
      </c>
      <c r="H186" t="s">
        <v>81</v>
      </c>
      <c r="I186">
        <v>35</v>
      </c>
      <c r="J186">
        <v>355</v>
      </c>
      <c r="K186" s="5">
        <v>46161.604035231481</v>
      </c>
      <c r="M186" s="2" t="s">
        <v>1994</v>
      </c>
      <c r="N186" s="2" t="s">
        <v>1701</v>
      </c>
      <c r="O186" s="5">
        <v>45842.180733506953</v>
      </c>
      <c r="P186" t="str">
        <f>IF($Q186="DELETE",IF($S186="CONFIRMED: NO MODS &gt; 1YR","CONFIRMED: NO MODS &gt; 1YR","DO NOT DELETE — not defensibly confirmed"),IF($Q186="HOLD","DO NOT DELETE — HOLD (Charlie review)",IF($Q186="KEEP","DO NOT DELETE — KEEP",IF(ISNUMBER(SEARCH("REVIEW",$Q186)),"DO NOT DELETE — REVIEW pending",$S186))))</f>
        <v>DO NOT DELETE — REVIEW pending</v>
      </c>
      <c r="Q186" t="str" cm="1">
        <f t="array" ref="Q186">_xlfn.IFS(AND($A186="thg-beauty",ISNUMBER(SEARCH("liveramp",$C186))),"DELETE",$A186="agile-bonbon-662",_xlfn.IFS(LEFT($G186,9)="Tranche 1","DELETE",$C186="Sessions_Level_1_All_Sites","KEEP",ISNUMBER(--$C186),"REVIEW — UA raw logs",$C186="Emag_Reporting","KEEP",$C186="Nutrition_Data_Archived_Tables","KEEP",$C186="EU_Data","KEEP",TRUE,"REVIEW"),OR($A186="thg-influencer",$A186="thg-ingenuity",$A186="thg-central-marketing",$A186="thg-seoclarity"),"HOLD",TRUE,"")</f>
        <v>REVIEW</v>
      </c>
      <c r="R186" t="str" cm="1">
        <f t="array" ref="R186">_xlfn.IFS(AND($A186="thg-beauty",ISNUMBER(SEARCH("liveramp",$C186))),"thg-beauty Liveramp dataset — confirmed safe to delete",$A186="agile-bonbon-662",_xlfn.IFS(LEFT($G186,9)="Tranche 1","Tranche 1: cleared",$C186="Sessions_Level_1_All_Sites","Downstream aggregation of UA raw logs — keep if raw tables go",ISNUMBER(--$C186),"UA raw site logs (account ID) — keep pending audit-retention check",$C186="Emag_Reporting","Legacy but likely needed",$C186="Nutrition_Data_Archived_Tables","Worth keeping",$C186="EU_Data","Static lookup tables — scripts still reference (smoke-test risk)",TRUE,"Review"),OR($A186="thg-influencer",$A186="thg-ingenuity",$A186="thg-central-marketing",$A186="thg-seoclarity"),"HOLD — Charlie Stringer to review before deletion",TRUE,"")</f>
        <v>Review</v>
      </c>
      <c r="S186" t="s">
        <v>1624</v>
      </c>
    </row>
    <row r="187" spans="1:19" ht="45.75" hidden="1">
      <c r="A187" t="s">
        <v>89</v>
      </c>
      <c r="B187" t="s">
        <v>1619</v>
      </c>
      <c r="C187" t="s">
        <v>1995</v>
      </c>
      <c r="D187" s="2" t="s">
        <v>1621</v>
      </c>
      <c r="E187">
        <v>5.42</v>
      </c>
      <c r="F187">
        <v>0.11</v>
      </c>
      <c r="G187" t="s">
        <v>79</v>
      </c>
      <c r="H187" t="s">
        <v>81</v>
      </c>
      <c r="I187">
        <v>35</v>
      </c>
      <c r="J187">
        <v>95</v>
      </c>
      <c r="K187" s="5">
        <v>46161.620001770832</v>
      </c>
      <c r="L187" s="5">
        <v>46102.369506331022</v>
      </c>
      <c r="M187" s="2" t="s">
        <v>1972</v>
      </c>
      <c r="N187" s="2" t="s">
        <v>1996</v>
      </c>
      <c r="O187" s="5">
        <v>46102.369545127323</v>
      </c>
      <c r="P187" t="str">
        <f>IF($Q187="DELETE",IF($S187="CONFIRMED: NO MODS &gt; 1YR","CONFIRMED: NO MODS &gt; 1YR","DO NOT DELETE — not defensibly confirmed"),IF($Q187="HOLD","DO NOT DELETE — HOLD (Charlie review)",IF($Q187="KEEP","DO NOT DELETE — KEEP",IF(ISNUMBER(SEARCH("REVIEW",$Q187)),"DO NOT DELETE — REVIEW pending",$S187))))</f>
        <v>DO NOT DELETE — REVIEW pending</v>
      </c>
      <c r="Q187" t="str" cm="1">
        <f t="array" ref="Q187">_xlfn.IFS(AND($A187="thg-beauty",ISNUMBER(SEARCH("liveramp",$C187))),"DELETE",$A187="agile-bonbon-662",_xlfn.IFS(LEFT($G187,9)="Tranche 1","DELETE",$C187="Sessions_Level_1_All_Sites","KEEP",ISNUMBER(--$C187),"REVIEW — UA raw logs",$C187="Emag_Reporting","KEEP",$C187="Nutrition_Data_Archived_Tables","KEEP",$C187="EU_Data","KEEP",TRUE,"REVIEW"),OR($A187="thg-influencer",$A187="thg-ingenuity",$A187="thg-central-marketing",$A187="thg-seoclarity"),"HOLD",TRUE,"")</f>
        <v>REVIEW</v>
      </c>
      <c r="R187" t="str" cm="1">
        <f t="array" ref="R187">_xlfn.IFS(AND($A187="thg-beauty",ISNUMBER(SEARCH("liveramp",$C187))),"thg-beauty Liveramp dataset — confirmed safe to delete",$A187="agile-bonbon-662",_xlfn.IFS(LEFT($G187,9)="Tranche 1","Tranche 1: cleared",$C187="Sessions_Level_1_All_Sites","Downstream aggregation of UA raw logs — keep if raw tables go",ISNUMBER(--$C187),"UA raw site logs (account ID) — keep pending audit-retention check",$C187="Emag_Reporting","Legacy but likely needed",$C187="Nutrition_Data_Archived_Tables","Worth keeping",$C187="EU_Data","Static lookup tables — scripts still reference (smoke-test risk)",TRUE,"Review"),OR($A187="thg-influencer",$A187="thg-ingenuity",$A187="thg-central-marketing",$A187="thg-seoclarity"),"HOLD — Charlie Stringer to review before deletion",TRUE,"")</f>
        <v>Review</v>
      </c>
      <c r="S187" t="s">
        <v>1624</v>
      </c>
    </row>
    <row r="188" spans="1:19" ht="45.75" hidden="1">
      <c r="A188" t="s">
        <v>89</v>
      </c>
      <c r="B188" t="s">
        <v>1619</v>
      </c>
      <c r="C188" t="s">
        <v>1997</v>
      </c>
      <c r="D188" s="2" t="s">
        <v>1621</v>
      </c>
      <c r="E188">
        <v>4.95</v>
      </c>
      <c r="F188">
        <v>0.1</v>
      </c>
      <c r="G188" t="s">
        <v>79</v>
      </c>
      <c r="H188" t="s">
        <v>81</v>
      </c>
      <c r="I188">
        <v>35</v>
      </c>
      <c r="J188">
        <v>312</v>
      </c>
      <c r="K188" s="5">
        <v>46161.619072291673</v>
      </c>
      <c r="M188" s="2" t="s">
        <v>1981</v>
      </c>
      <c r="N188" s="2" t="s">
        <v>1701</v>
      </c>
      <c r="O188" s="5">
        <v>45885.357185740737</v>
      </c>
      <c r="P188" t="str">
        <f>IF($Q188="DELETE",IF($S188="CONFIRMED: NO MODS &gt; 1YR","CONFIRMED: NO MODS &gt; 1YR","DO NOT DELETE — not defensibly confirmed"),IF($Q188="HOLD","DO NOT DELETE — HOLD (Charlie review)",IF($Q188="KEEP","DO NOT DELETE — KEEP",IF(ISNUMBER(SEARCH("REVIEW",$Q188)),"DO NOT DELETE — REVIEW pending",$S188))))</f>
        <v>DO NOT DELETE — REVIEW pending</v>
      </c>
      <c r="Q188" t="str" cm="1">
        <f t="array" ref="Q188">_xlfn.IFS(AND($A188="thg-beauty",ISNUMBER(SEARCH("liveramp",$C188))),"DELETE",$A188="agile-bonbon-662",_xlfn.IFS(LEFT($G188,9)="Tranche 1","DELETE",$C188="Sessions_Level_1_All_Sites","KEEP",ISNUMBER(--$C188),"REVIEW — UA raw logs",$C188="Emag_Reporting","KEEP",$C188="Nutrition_Data_Archived_Tables","KEEP",$C188="EU_Data","KEEP",TRUE,"REVIEW"),OR($A188="thg-influencer",$A188="thg-ingenuity",$A188="thg-central-marketing",$A188="thg-seoclarity"),"HOLD",TRUE,"")</f>
        <v>REVIEW</v>
      </c>
      <c r="R188" t="str" cm="1">
        <f t="array" ref="R188">_xlfn.IFS(AND($A188="thg-beauty",ISNUMBER(SEARCH("liveramp",$C188))),"thg-beauty Liveramp dataset — confirmed safe to delete",$A188="agile-bonbon-662",_xlfn.IFS(LEFT($G188,9)="Tranche 1","Tranche 1: cleared",$C188="Sessions_Level_1_All_Sites","Downstream aggregation of UA raw logs — keep if raw tables go",ISNUMBER(--$C188),"UA raw site logs (account ID) — keep pending audit-retention check",$C188="Emag_Reporting","Legacy but likely needed",$C188="Nutrition_Data_Archived_Tables","Worth keeping",$C188="EU_Data","Static lookup tables — scripts still reference (smoke-test risk)",TRUE,"Review"),OR($A188="thg-influencer",$A188="thg-ingenuity",$A188="thg-central-marketing",$A188="thg-seoclarity"),"HOLD — Charlie Stringer to review before deletion",TRUE,"")</f>
        <v>Review</v>
      </c>
      <c r="S188" t="s">
        <v>1624</v>
      </c>
    </row>
    <row r="189" spans="1:19" ht="76.5" hidden="1">
      <c r="A189" t="s">
        <v>89</v>
      </c>
      <c r="B189" t="s">
        <v>1619</v>
      </c>
      <c r="C189" t="s">
        <v>1998</v>
      </c>
      <c r="D189" s="2" t="s">
        <v>1621</v>
      </c>
      <c r="E189">
        <v>4.6399999999999997</v>
      </c>
      <c r="F189">
        <v>0.09</v>
      </c>
      <c r="G189" t="s">
        <v>79</v>
      </c>
      <c r="H189" t="s">
        <v>81</v>
      </c>
      <c r="I189">
        <v>35</v>
      </c>
      <c r="J189">
        <v>246</v>
      </c>
      <c r="K189" s="5">
        <v>46161.580085162037</v>
      </c>
      <c r="M189" s="2" t="s">
        <v>1999</v>
      </c>
      <c r="N189" s="2" t="s">
        <v>1701</v>
      </c>
      <c r="O189" s="5">
        <v>45950.462374039351</v>
      </c>
      <c r="P189" t="str">
        <f>IF($Q189="DELETE",IF($S189="CONFIRMED: NO MODS &gt; 1YR","CONFIRMED: NO MODS &gt; 1YR","DO NOT DELETE — not defensibly confirmed"),IF($Q189="HOLD","DO NOT DELETE — HOLD (Charlie review)",IF($Q189="KEEP","DO NOT DELETE — KEEP",IF(ISNUMBER(SEARCH("REVIEW",$Q189)),"DO NOT DELETE — REVIEW pending",$S189))))</f>
        <v>DO NOT DELETE — REVIEW pending</v>
      </c>
      <c r="Q189" t="str" cm="1">
        <f t="array" ref="Q189">_xlfn.IFS(AND($A189="thg-beauty",ISNUMBER(SEARCH("liveramp",$C189))),"DELETE",$A189="agile-bonbon-662",_xlfn.IFS(LEFT($G189,9)="Tranche 1","DELETE",$C189="Sessions_Level_1_All_Sites","KEEP",ISNUMBER(--$C189),"REVIEW — UA raw logs",$C189="Emag_Reporting","KEEP",$C189="Nutrition_Data_Archived_Tables","KEEP",$C189="EU_Data","KEEP",TRUE,"REVIEW"),OR($A189="thg-influencer",$A189="thg-ingenuity",$A189="thg-central-marketing",$A189="thg-seoclarity"),"HOLD",TRUE,"")</f>
        <v>REVIEW</v>
      </c>
      <c r="R189" t="str" cm="1">
        <f t="array" ref="R189">_xlfn.IFS(AND($A189="thg-beauty",ISNUMBER(SEARCH("liveramp",$C189))),"thg-beauty Liveramp dataset — confirmed safe to delete",$A189="agile-bonbon-662",_xlfn.IFS(LEFT($G189,9)="Tranche 1","Tranche 1: cleared",$C189="Sessions_Level_1_All_Sites","Downstream aggregation of UA raw logs — keep if raw tables go",ISNUMBER(--$C189),"UA raw site logs (account ID) — keep pending audit-retention check",$C189="Emag_Reporting","Legacy but likely needed",$C189="Nutrition_Data_Archived_Tables","Worth keeping",$C189="EU_Data","Static lookup tables — scripts still reference (smoke-test risk)",TRUE,"Review"),OR($A189="thg-influencer",$A189="thg-ingenuity",$A189="thg-central-marketing",$A189="thg-seoclarity"),"HOLD — Charlie Stringer to review before deletion",TRUE,"")</f>
        <v>Review</v>
      </c>
      <c r="S189" t="s">
        <v>1624</v>
      </c>
    </row>
    <row r="190" spans="1:19" ht="45.75" hidden="1">
      <c r="A190" t="s">
        <v>89</v>
      </c>
      <c r="B190" t="s">
        <v>1619</v>
      </c>
      <c r="C190" t="s">
        <v>2000</v>
      </c>
      <c r="D190" s="2" t="s">
        <v>1621</v>
      </c>
      <c r="E190">
        <v>3.99</v>
      </c>
      <c r="F190">
        <v>0.08</v>
      </c>
      <c r="G190" t="s">
        <v>79</v>
      </c>
      <c r="H190" t="s">
        <v>81</v>
      </c>
      <c r="I190">
        <v>35</v>
      </c>
      <c r="J190">
        <v>312</v>
      </c>
      <c r="K190" s="5">
        <v>46161.619306817127</v>
      </c>
      <c r="M190" s="2" t="s">
        <v>1981</v>
      </c>
      <c r="N190" s="2" t="s">
        <v>1701</v>
      </c>
      <c r="O190" s="5">
        <v>45885.410683726848</v>
      </c>
      <c r="P190" t="str">
        <f>IF($Q190="DELETE",IF($S190="CONFIRMED: NO MODS &gt; 1YR","CONFIRMED: NO MODS &gt; 1YR","DO NOT DELETE — not defensibly confirmed"),IF($Q190="HOLD","DO NOT DELETE — HOLD (Charlie review)",IF($Q190="KEEP","DO NOT DELETE — KEEP",IF(ISNUMBER(SEARCH("REVIEW",$Q190)),"DO NOT DELETE — REVIEW pending",$S190))))</f>
        <v>DO NOT DELETE — REVIEW pending</v>
      </c>
      <c r="Q190" t="str" cm="1">
        <f t="array" ref="Q190">_xlfn.IFS(AND($A190="thg-beauty",ISNUMBER(SEARCH("liveramp",$C190))),"DELETE",$A190="agile-bonbon-662",_xlfn.IFS(LEFT($G190,9)="Tranche 1","DELETE",$C190="Sessions_Level_1_All_Sites","KEEP",ISNUMBER(--$C190),"REVIEW — UA raw logs",$C190="Emag_Reporting","KEEP",$C190="Nutrition_Data_Archived_Tables","KEEP",$C190="EU_Data","KEEP",TRUE,"REVIEW"),OR($A190="thg-influencer",$A190="thg-ingenuity",$A190="thg-central-marketing",$A190="thg-seoclarity"),"HOLD",TRUE,"")</f>
        <v>REVIEW</v>
      </c>
      <c r="R190" t="str" cm="1">
        <f t="array" ref="R190">_xlfn.IFS(AND($A190="thg-beauty",ISNUMBER(SEARCH("liveramp",$C190))),"thg-beauty Liveramp dataset — confirmed safe to delete",$A190="agile-bonbon-662",_xlfn.IFS(LEFT($G190,9)="Tranche 1","Tranche 1: cleared",$C190="Sessions_Level_1_All_Sites","Downstream aggregation of UA raw logs — keep if raw tables go",ISNUMBER(--$C190),"UA raw site logs (account ID) — keep pending audit-retention check",$C190="Emag_Reporting","Legacy but likely needed",$C190="Nutrition_Data_Archived_Tables","Worth keeping",$C190="EU_Data","Static lookup tables — scripts still reference (smoke-test risk)",TRUE,"Review"),OR($A190="thg-influencer",$A190="thg-ingenuity",$A190="thg-central-marketing",$A190="thg-seoclarity"),"HOLD — Charlie Stringer to review before deletion",TRUE,"")</f>
        <v>Review</v>
      </c>
      <c r="S190" t="s">
        <v>1624</v>
      </c>
    </row>
    <row r="191" spans="1:19" ht="45.75" hidden="1">
      <c r="A191" t="s">
        <v>89</v>
      </c>
      <c r="B191" t="s">
        <v>1619</v>
      </c>
      <c r="C191" t="s">
        <v>2001</v>
      </c>
      <c r="D191" s="2" t="s">
        <v>1621</v>
      </c>
      <c r="E191">
        <v>3.22</v>
      </c>
      <c r="F191">
        <v>0.06</v>
      </c>
      <c r="G191" t="s">
        <v>79</v>
      </c>
      <c r="H191" t="s">
        <v>81</v>
      </c>
      <c r="I191">
        <v>35</v>
      </c>
      <c r="J191">
        <v>324</v>
      </c>
      <c r="K191" s="5">
        <v>46161.618957395833</v>
      </c>
      <c r="M191" s="2" t="s">
        <v>1981</v>
      </c>
      <c r="N191" s="2" t="s">
        <v>1701</v>
      </c>
      <c r="O191" s="5">
        <v>45872.716529050929</v>
      </c>
      <c r="P191" t="str">
        <f>IF($Q191="DELETE",IF($S191="CONFIRMED: NO MODS &gt; 1YR","CONFIRMED: NO MODS &gt; 1YR","DO NOT DELETE — not defensibly confirmed"),IF($Q191="HOLD","DO NOT DELETE — HOLD (Charlie review)",IF($Q191="KEEP","DO NOT DELETE — KEEP",IF(ISNUMBER(SEARCH("REVIEW",$Q191)),"DO NOT DELETE — REVIEW pending",$S191))))</f>
        <v>DO NOT DELETE — REVIEW pending</v>
      </c>
      <c r="Q191" t="str" cm="1">
        <f t="array" ref="Q191">_xlfn.IFS(AND($A191="thg-beauty",ISNUMBER(SEARCH("liveramp",$C191))),"DELETE",$A191="agile-bonbon-662",_xlfn.IFS(LEFT($G191,9)="Tranche 1","DELETE",$C191="Sessions_Level_1_All_Sites","KEEP",ISNUMBER(--$C191),"REVIEW — UA raw logs",$C191="Emag_Reporting","KEEP",$C191="Nutrition_Data_Archived_Tables","KEEP",$C191="EU_Data","KEEP",TRUE,"REVIEW"),OR($A191="thg-influencer",$A191="thg-ingenuity",$A191="thg-central-marketing",$A191="thg-seoclarity"),"HOLD",TRUE,"")</f>
        <v>REVIEW</v>
      </c>
      <c r="R191" t="str" cm="1">
        <f t="array" ref="R191">_xlfn.IFS(AND($A191="thg-beauty",ISNUMBER(SEARCH("liveramp",$C191))),"thg-beauty Liveramp dataset — confirmed safe to delete",$A191="agile-bonbon-662",_xlfn.IFS(LEFT($G191,9)="Tranche 1","Tranche 1: cleared",$C191="Sessions_Level_1_All_Sites","Downstream aggregation of UA raw logs — keep if raw tables go",ISNUMBER(--$C191),"UA raw site logs (account ID) — keep pending audit-retention check",$C191="Emag_Reporting","Legacy but likely needed",$C191="Nutrition_Data_Archived_Tables","Worth keeping",$C191="EU_Data","Static lookup tables — scripts still reference (smoke-test risk)",TRUE,"Review"),OR($A191="thg-influencer",$A191="thg-ingenuity",$A191="thg-central-marketing",$A191="thg-seoclarity"),"HOLD — Charlie Stringer to review before deletion",TRUE,"")</f>
        <v>Review</v>
      </c>
      <c r="S191" t="s">
        <v>1624</v>
      </c>
    </row>
    <row r="192" spans="1:19" ht="45.75" hidden="1">
      <c r="A192" t="s">
        <v>89</v>
      </c>
      <c r="B192" t="s">
        <v>1619</v>
      </c>
      <c r="C192" t="s">
        <v>2002</v>
      </c>
      <c r="D192" s="2" t="s">
        <v>1621</v>
      </c>
      <c r="E192">
        <v>2.3199999999999998</v>
      </c>
      <c r="F192">
        <v>0.05</v>
      </c>
      <c r="G192" t="s">
        <v>79</v>
      </c>
      <c r="H192" t="s">
        <v>81</v>
      </c>
      <c r="I192">
        <v>35</v>
      </c>
      <c r="J192">
        <v>321</v>
      </c>
      <c r="K192" s="5">
        <v>46161.618657928237</v>
      </c>
      <c r="M192" s="2" t="s">
        <v>2003</v>
      </c>
      <c r="N192" s="2" t="s">
        <v>1701</v>
      </c>
      <c r="O192" s="5">
        <v>45875.729383194448</v>
      </c>
      <c r="P192" t="str">
        <f>IF($Q192="DELETE",IF($S192="CONFIRMED: NO MODS &gt; 1YR","CONFIRMED: NO MODS &gt; 1YR","DO NOT DELETE — not defensibly confirmed"),IF($Q192="HOLD","DO NOT DELETE — HOLD (Charlie review)",IF($Q192="KEEP","DO NOT DELETE — KEEP",IF(ISNUMBER(SEARCH("REVIEW",$Q192)),"DO NOT DELETE — REVIEW pending",$S192))))</f>
        <v>DO NOT DELETE — REVIEW pending</v>
      </c>
      <c r="Q192" t="str" cm="1">
        <f t="array" ref="Q192">_xlfn.IFS(AND($A192="thg-beauty",ISNUMBER(SEARCH("liveramp",$C192))),"DELETE",$A192="agile-bonbon-662",_xlfn.IFS(LEFT($G192,9)="Tranche 1","DELETE",$C192="Sessions_Level_1_All_Sites","KEEP",ISNUMBER(--$C192),"REVIEW — UA raw logs",$C192="Emag_Reporting","KEEP",$C192="Nutrition_Data_Archived_Tables","KEEP",$C192="EU_Data","KEEP",TRUE,"REVIEW"),OR($A192="thg-influencer",$A192="thg-ingenuity",$A192="thg-central-marketing",$A192="thg-seoclarity"),"HOLD",TRUE,"")</f>
        <v>REVIEW</v>
      </c>
      <c r="R192" t="str" cm="1">
        <f t="array" ref="R192">_xlfn.IFS(AND($A192="thg-beauty",ISNUMBER(SEARCH("liveramp",$C192))),"thg-beauty Liveramp dataset — confirmed safe to delete",$A192="agile-bonbon-662",_xlfn.IFS(LEFT($G192,9)="Tranche 1","Tranche 1: cleared",$C192="Sessions_Level_1_All_Sites","Downstream aggregation of UA raw logs — keep if raw tables go",ISNUMBER(--$C192),"UA raw site logs (account ID) — keep pending audit-retention check",$C192="Emag_Reporting","Legacy but likely needed",$C192="Nutrition_Data_Archived_Tables","Worth keeping",$C192="EU_Data","Static lookup tables — scripts still reference (smoke-test risk)",TRUE,"Review"),OR($A192="thg-influencer",$A192="thg-ingenuity",$A192="thg-central-marketing",$A192="thg-seoclarity"),"HOLD — Charlie Stringer to review before deletion",TRUE,"")</f>
        <v>Review</v>
      </c>
      <c r="S192" t="s">
        <v>1624</v>
      </c>
    </row>
    <row r="193" spans="1:19" ht="45.75" hidden="1">
      <c r="A193" t="s">
        <v>89</v>
      </c>
      <c r="B193" t="s">
        <v>1619</v>
      </c>
      <c r="C193" t="s">
        <v>2004</v>
      </c>
      <c r="D193" s="2" t="s">
        <v>1621</v>
      </c>
      <c r="E193">
        <v>2.17</v>
      </c>
      <c r="F193">
        <v>0.04</v>
      </c>
      <c r="G193" t="s">
        <v>79</v>
      </c>
      <c r="H193" t="s">
        <v>81</v>
      </c>
      <c r="I193">
        <v>35</v>
      </c>
      <c r="J193">
        <v>287</v>
      </c>
      <c r="K193" s="5">
        <v>46161.618205752318</v>
      </c>
      <c r="M193" s="2" t="s">
        <v>1945</v>
      </c>
      <c r="N193" s="2" t="s">
        <v>1701</v>
      </c>
      <c r="O193" s="5">
        <v>45909.463646585653</v>
      </c>
      <c r="P193" t="str">
        <f>IF($Q193="DELETE",IF($S193="CONFIRMED: NO MODS &gt; 1YR","CONFIRMED: NO MODS &gt; 1YR","DO NOT DELETE — not defensibly confirmed"),IF($Q193="HOLD","DO NOT DELETE — HOLD (Charlie review)",IF($Q193="KEEP","DO NOT DELETE — KEEP",IF(ISNUMBER(SEARCH("REVIEW",$Q193)),"DO NOT DELETE — REVIEW pending",$S193))))</f>
        <v>DO NOT DELETE — REVIEW pending</v>
      </c>
      <c r="Q193" t="str" cm="1">
        <f t="array" ref="Q193">_xlfn.IFS(AND($A193="thg-beauty",ISNUMBER(SEARCH("liveramp",$C193))),"DELETE",$A193="agile-bonbon-662",_xlfn.IFS(LEFT($G193,9)="Tranche 1","DELETE",$C193="Sessions_Level_1_All_Sites","KEEP",ISNUMBER(--$C193),"REVIEW — UA raw logs",$C193="Emag_Reporting","KEEP",$C193="Nutrition_Data_Archived_Tables","KEEP",$C193="EU_Data","KEEP",TRUE,"REVIEW"),OR($A193="thg-influencer",$A193="thg-ingenuity",$A193="thg-central-marketing",$A193="thg-seoclarity"),"HOLD",TRUE,"")</f>
        <v>REVIEW</v>
      </c>
      <c r="R193" t="str" cm="1">
        <f t="array" ref="R193">_xlfn.IFS(AND($A193="thg-beauty",ISNUMBER(SEARCH("liveramp",$C193))),"thg-beauty Liveramp dataset — confirmed safe to delete",$A193="agile-bonbon-662",_xlfn.IFS(LEFT($G193,9)="Tranche 1","Tranche 1: cleared",$C193="Sessions_Level_1_All_Sites","Downstream aggregation of UA raw logs — keep if raw tables go",ISNUMBER(--$C193),"UA raw site logs (account ID) — keep pending audit-retention check",$C193="Emag_Reporting","Legacy but likely needed",$C193="Nutrition_Data_Archived_Tables","Worth keeping",$C193="EU_Data","Static lookup tables — scripts still reference (smoke-test risk)",TRUE,"Review"),OR($A193="thg-influencer",$A193="thg-ingenuity",$A193="thg-central-marketing",$A193="thg-seoclarity"),"HOLD — Charlie Stringer to review before deletion",TRUE,"")</f>
        <v>Review</v>
      </c>
      <c r="S193" t="s">
        <v>1624</v>
      </c>
    </row>
    <row r="194" spans="1:19" ht="45.75" hidden="1">
      <c r="A194" t="s">
        <v>89</v>
      </c>
      <c r="B194" t="s">
        <v>1619</v>
      </c>
      <c r="C194" t="s">
        <v>2005</v>
      </c>
      <c r="D194" s="2" t="s">
        <v>1621</v>
      </c>
      <c r="E194">
        <v>2.11</v>
      </c>
      <c r="F194">
        <v>0.04</v>
      </c>
      <c r="G194" t="s">
        <v>79</v>
      </c>
      <c r="H194" t="s">
        <v>81</v>
      </c>
      <c r="I194">
        <v>35</v>
      </c>
      <c r="J194">
        <v>310</v>
      </c>
      <c r="K194" s="5">
        <v>46161.61810310185</v>
      </c>
      <c r="M194" s="2" t="s">
        <v>1987</v>
      </c>
      <c r="N194" s="2" t="s">
        <v>1701</v>
      </c>
      <c r="O194" s="5">
        <v>45887.368429467591</v>
      </c>
      <c r="P194" t="str">
        <f>IF($Q194="DELETE",IF($S194="CONFIRMED: NO MODS &gt; 1YR","CONFIRMED: NO MODS &gt; 1YR","DO NOT DELETE — not defensibly confirmed"),IF($Q194="HOLD","DO NOT DELETE — HOLD (Charlie review)",IF($Q194="KEEP","DO NOT DELETE — KEEP",IF(ISNUMBER(SEARCH("REVIEW",$Q194)),"DO NOT DELETE — REVIEW pending",$S194))))</f>
        <v>DO NOT DELETE — REVIEW pending</v>
      </c>
      <c r="Q194" t="str" cm="1">
        <f t="array" ref="Q194">_xlfn.IFS(AND($A194="thg-beauty",ISNUMBER(SEARCH("liveramp",$C194))),"DELETE",$A194="agile-bonbon-662",_xlfn.IFS(LEFT($G194,9)="Tranche 1","DELETE",$C194="Sessions_Level_1_All_Sites","KEEP",ISNUMBER(--$C194),"REVIEW — UA raw logs",$C194="Emag_Reporting","KEEP",$C194="Nutrition_Data_Archived_Tables","KEEP",$C194="EU_Data","KEEP",TRUE,"REVIEW"),OR($A194="thg-influencer",$A194="thg-ingenuity",$A194="thg-central-marketing",$A194="thg-seoclarity"),"HOLD",TRUE,"")</f>
        <v>REVIEW</v>
      </c>
      <c r="R194" t="str" cm="1">
        <f t="array" ref="R194">_xlfn.IFS(AND($A194="thg-beauty",ISNUMBER(SEARCH("liveramp",$C194))),"thg-beauty Liveramp dataset — confirmed safe to delete",$A194="agile-bonbon-662",_xlfn.IFS(LEFT($G194,9)="Tranche 1","Tranche 1: cleared",$C194="Sessions_Level_1_All_Sites","Downstream aggregation of UA raw logs — keep if raw tables go",ISNUMBER(--$C194),"UA raw site logs (account ID) — keep pending audit-retention check",$C194="Emag_Reporting","Legacy but likely needed",$C194="Nutrition_Data_Archived_Tables","Worth keeping",$C194="EU_Data","Static lookup tables — scripts still reference (smoke-test risk)",TRUE,"Review"),OR($A194="thg-influencer",$A194="thg-ingenuity",$A194="thg-central-marketing",$A194="thg-seoclarity"),"HOLD — Charlie Stringer to review before deletion",TRUE,"")</f>
        <v>Review</v>
      </c>
      <c r="S194" t="s">
        <v>1624</v>
      </c>
    </row>
    <row r="195" spans="1:19" ht="60.75" hidden="1">
      <c r="A195" t="s">
        <v>89</v>
      </c>
      <c r="B195" t="s">
        <v>1619</v>
      </c>
      <c r="C195" t="s">
        <v>2006</v>
      </c>
      <c r="D195" s="2" t="s">
        <v>1621</v>
      </c>
      <c r="E195">
        <v>2.04</v>
      </c>
      <c r="F195">
        <v>0.04</v>
      </c>
      <c r="G195" t="s">
        <v>79</v>
      </c>
      <c r="H195" t="s">
        <v>81</v>
      </c>
      <c r="I195">
        <v>35</v>
      </c>
      <c r="J195">
        <v>39</v>
      </c>
      <c r="K195" s="5">
        <v>46161.614822175929</v>
      </c>
      <c r="L195" s="5">
        <v>46158.352450034719</v>
      </c>
      <c r="M195" s="2" t="s">
        <v>2007</v>
      </c>
      <c r="N195" s="2" t="s">
        <v>2008</v>
      </c>
      <c r="O195" s="5">
        <v>46158.352492372687</v>
      </c>
      <c r="P195" t="str">
        <f>IF($Q195="DELETE",IF($S195="CONFIRMED: NO MODS &gt; 1YR","CONFIRMED: NO MODS &gt; 1YR","DO NOT DELETE — not defensibly confirmed"),IF($Q195="HOLD","DO NOT DELETE — HOLD (Charlie review)",IF($Q195="KEEP","DO NOT DELETE — KEEP",IF(ISNUMBER(SEARCH("REVIEW",$Q195)),"DO NOT DELETE — REVIEW pending",$S195))))</f>
        <v>DO NOT DELETE — REVIEW pending</v>
      </c>
      <c r="Q195" t="str" cm="1">
        <f t="array" ref="Q195">_xlfn.IFS(AND($A195="thg-beauty",ISNUMBER(SEARCH("liveramp",$C195))),"DELETE",$A195="agile-bonbon-662",_xlfn.IFS(LEFT($G195,9)="Tranche 1","DELETE",$C195="Sessions_Level_1_All_Sites","KEEP",ISNUMBER(--$C195),"REVIEW — UA raw logs",$C195="Emag_Reporting","KEEP",$C195="Nutrition_Data_Archived_Tables","KEEP",$C195="EU_Data","KEEP",TRUE,"REVIEW"),OR($A195="thg-influencer",$A195="thg-ingenuity",$A195="thg-central-marketing",$A195="thg-seoclarity"),"HOLD",TRUE,"")</f>
        <v>REVIEW</v>
      </c>
      <c r="R195" t="str" cm="1">
        <f t="array" ref="R195">_xlfn.IFS(AND($A195="thg-beauty",ISNUMBER(SEARCH("liveramp",$C195))),"thg-beauty Liveramp dataset — confirmed safe to delete",$A195="agile-bonbon-662",_xlfn.IFS(LEFT($G195,9)="Tranche 1","Tranche 1: cleared",$C195="Sessions_Level_1_All_Sites","Downstream aggregation of UA raw logs — keep if raw tables go",ISNUMBER(--$C195),"UA raw site logs (account ID) — keep pending audit-retention check",$C195="Emag_Reporting","Legacy but likely needed",$C195="Nutrition_Data_Archived_Tables","Worth keeping",$C195="EU_Data","Static lookup tables — scripts still reference (smoke-test risk)",TRUE,"Review"),OR($A195="thg-influencer",$A195="thg-ingenuity",$A195="thg-central-marketing",$A195="thg-seoclarity"),"HOLD — Charlie Stringer to review before deletion",TRUE,"")</f>
        <v>Review</v>
      </c>
      <c r="S195" t="s">
        <v>1624</v>
      </c>
    </row>
    <row r="196" spans="1:19" ht="76.5" hidden="1">
      <c r="A196" t="s">
        <v>89</v>
      </c>
      <c r="B196" t="s">
        <v>1619</v>
      </c>
      <c r="C196" t="s">
        <v>2009</v>
      </c>
      <c r="D196" s="2" t="s">
        <v>1621</v>
      </c>
      <c r="E196">
        <v>1.99</v>
      </c>
      <c r="F196">
        <v>0.04</v>
      </c>
      <c r="G196" t="s">
        <v>79</v>
      </c>
      <c r="H196" t="s">
        <v>81</v>
      </c>
      <c r="I196">
        <v>35</v>
      </c>
      <c r="J196">
        <v>111</v>
      </c>
      <c r="K196" s="5">
        <v>46161.61975928241</v>
      </c>
      <c r="L196" s="5">
        <v>46086.350313240742</v>
      </c>
      <c r="M196" s="2" t="s">
        <v>1972</v>
      </c>
      <c r="N196" s="2" t="s">
        <v>2010</v>
      </c>
      <c r="O196" s="5">
        <v>46086.350347476851</v>
      </c>
      <c r="P196" t="str">
        <f>IF($Q196="DELETE",IF($S196="CONFIRMED: NO MODS &gt; 1YR","CONFIRMED: NO MODS &gt; 1YR","DO NOT DELETE — not defensibly confirmed"),IF($Q196="HOLD","DO NOT DELETE — HOLD (Charlie review)",IF($Q196="KEEP","DO NOT DELETE — KEEP",IF(ISNUMBER(SEARCH("REVIEW",$Q196)),"DO NOT DELETE — REVIEW pending",$S196))))</f>
        <v>DO NOT DELETE — REVIEW pending</v>
      </c>
      <c r="Q196" t="str" cm="1">
        <f t="array" ref="Q196">_xlfn.IFS(AND($A196="thg-beauty",ISNUMBER(SEARCH("liveramp",$C196))),"DELETE",$A196="agile-bonbon-662",_xlfn.IFS(LEFT($G196,9)="Tranche 1","DELETE",$C196="Sessions_Level_1_All_Sites","KEEP",ISNUMBER(--$C196),"REVIEW — UA raw logs",$C196="Emag_Reporting","KEEP",$C196="Nutrition_Data_Archived_Tables","KEEP",$C196="EU_Data","KEEP",TRUE,"REVIEW"),OR($A196="thg-influencer",$A196="thg-ingenuity",$A196="thg-central-marketing",$A196="thg-seoclarity"),"HOLD",TRUE,"")</f>
        <v>REVIEW</v>
      </c>
      <c r="R196" t="str" cm="1">
        <f t="array" ref="R196">_xlfn.IFS(AND($A196="thg-beauty",ISNUMBER(SEARCH("liveramp",$C196))),"thg-beauty Liveramp dataset — confirmed safe to delete",$A196="agile-bonbon-662",_xlfn.IFS(LEFT($G196,9)="Tranche 1","Tranche 1: cleared",$C196="Sessions_Level_1_All_Sites","Downstream aggregation of UA raw logs — keep if raw tables go",ISNUMBER(--$C196),"UA raw site logs (account ID) — keep pending audit-retention check",$C196="Emag_Reporting","Legacy but likely needed",$C196="Nutrition_Data_Archived_Tables","Worth keeping",$C196="EU_Data","Static lookup tables — scripts still reference (smoke-test risk)",TRUE,"Review"),OR($A196="thg-influencer",$A196="thg-ingenuity",$A196="thg-central-marketing",$A196="thg-seoclarity"),"HOLD — Charlie Stringer to review before deletion",TRUE,"")</f>
        <v>Review</v>
      </c>
      <c r="S196" t="s">
        <v>1624</v>
      </c>
    </row>
    <row r="197" spans="1:19" ht="45.75" hidden="1">
      <c r="A197" t="s">
        <v>89</v>
      </c>
      <c r="B197" t="s">
        <v>1619</v>
      </c>
      <c r="C197" t="s">
        <v>2011</v>
      </c>
      <c r="D197" s="2" t="s">
        <v>1621</v>
      </c>
      <c r="E197">
        <v>1.82</v>
      </c>
      <c r="F197">
        <v>0.04</v>
      </c>
      <c r="G197" t="s">
        <v>79</v>
      </c>
      <c r="H197" t="s">
        <v>81</v>
      </c>
      <c r="I197">
        <v>35</v>
      </c>
      <c r="J197">
        <v>322</v>
      </c>
      <c r="K197" s="5">
        <v>46161.618566898149</v>
      </c>
      <c r="M197" s="2" t="s">
        <v>1945</v>
      </c>
      <c r="N197" s="2" t="s">
        <v>1701</v>
      </c>
      <c r="O197" s="5">
        <v>45875.373389247688</v>
      </c>
      <c r="P197" t="str">
        <f>IF($Q197="DELETE",IF($S197="CONFIRMED: NO MODS &gt; 1YR","CONFIRMED: NO MODS &gt; 1YR","DO NOT DELETE — not defensibly confirmed"),IF($Q197="HOLD","DO NOT DELETE — HOLD (Charlie review)",IF($Q197="KEEP","DO NOT DELETE — KEEP",IF(ISNUMBER(SEARCH("REVIEW",$Q197)),"DO NOT DELETE — REVIEW pending",$S197))))</f>
        <v>DO NOT DELETE — REVIEW pending</v>
      </c>
      <c r="Q197" t="str" cm="1">
        <f t="array" ref="Q197">_xlfn.IFS(AND($A197="thg-beauty",ISNUMBER(SEARCH("liveramp",$C197))),"DELETE",$A197="agile-bonbon-662",_xlfn.IFS(LEFT($G197,9)="Tranche 1","DELETE",$C197="Sessions_Level_1_All_Sites","KEEP",ISNUMBER(--$C197),"REVIEW — UA raw logs",$C197="Emag_Reporting","KEEP",$C197="Nutrition_Data_Archived_Tables","KEEP",$C197="EU_Data","KEEP",TRUE,"REVIEW"),OR($A197="thg-influencer",$A197="thg-ingenuity",$A197="thg-central-marketing",$A197="thg-seoclarity"),"HOLD",TRUE,"")</f>
        <v>REVIEW</v>
      </c>
      <c r="R197" t="str" cm="1">
        <f t="array" ref="R197">_xlfn.IFS(AND($A197="thg-beauty",ISNUMBER(SEARCH("liveramp",$C197))),"thg-beauty Liveramp dataset — confirmed safe to delete",$A197="agile-bonbon-662",_xlfn.IFS(LEFT($G197,9)="Tranche 1","Tranche 1: cleared",$C197="Sessions_Level_1_All_Sites","Downstream aggregation of UA raw logs — keep if raw tables go",ISNUMBER(--$C197),"UA raw site logs (account ID) — keep pending audit-retention check",$C197="Emag_Reporting","Legacy but likely needed",$C197="Nutrition_Data_Archived_Tables","Worth keeping",$C197="EU_Data","Static lookup tables — scripts still reference (smoke-test risk)",TRUE,"Review"),OR($A197="thg-influencer",$A197="thg-ingenuity",$A197="thg-central-marketing",$A197="thg-seoclarity"),"HOLD — Charlie Stringer to review before deletion",TRUE,"")</f>
        <v>Review</v>
      </c>
      <c r="S197" t="s">
        <v>1624</v>
      </c>
    </row>
    <row r="198" spans="1:19" ht="45.75" hidden="1">
      <c r="A198" t="s">
        <v>89</v>
      </c>
      <c r="B198" t="s">
        <v>1619</v>
      </c>
      <c r="C198" t="s">
        <v>2012</v>
      </c>
      <c r="D198" s="2" t="s">
        <v>1621</v>
      </c>
      <c r="E198">
        <v>1.52</v>
      </c>
      <c r="F198">
        <v>0.03</v>
      </c>
      <c r="G198" t="s">
        <v>79</v>
      </c>
      <c r="H198" t="s">
        <v>81</v>
      </c>
      <c r="I198">
        <v>35</v>
      </c>
      <c r="J198">
        <v>297</v>
      </c>
      <c r="K198" s="5">
        <v>46161.620413020843</v>
      </c>
      <c r="M198" s="2" t="s">
        <v>1943</v>
      </c>
      <c r="N198" s="2" t="s">
        <v>1701</v>
      </c>
      <c r="O198" s="5">
        <v>45900.410147418981</v>
      </c>
      <c r="P198" t="str">
        <f>IF($Q198="DELETE",IF($S198="CONFIRMED: NO MODS &gt; 1YR","CONFIRMED: NO MODS &gt; 1YR","DO NOT DELETE — not defensibly confirmed"),IF($Q198="HOLD","DO NOT DELETE — HOLD (Charlie review)",IF($Q198="KEEP","DO NOT DELETE — KEEP",IF(ISNUMBER(SEARCH("REVIEW",$Q198)),"DO NOT DELETE — REVIEW pending",$S198))))</f>
        <v>DO NOT DELETE — REVIEW pending</v>
      </c>
      <c r="Q198" t="str" cm="1">
        <f t="array" ref="Q198">_xlfn.IFS(AND($A198="thg-beauty",ISNUMBER(SEARCH("liveramp",$C198))),"DELETE",$A198="agile-bonbon-662",_xlfn.IFS(LEFT($G198,9)="Tranche 1","DELETE",$C198="Sessions_Level_1_All_Sites","KEEP",ISNUMBER(--$C198),"REVIEW — UA raw logs",$C198="Emag_Reporting","KEEP",$C198="Nutrition_Data_Archived_Tables","KEEP",$C198="EU_Data","KEEP",TRUE,"REVIEW"),OR($A198="thg-influencer",$A198="thg-ingenuity",$A198="thg-central-marketing",$A198="thg-seoclarity"),"HOLD",TRUE,"")</f>
        <v>REVIEW</v>
      </c>
      <c r="R198" t="str" cm="1">
        <f t="array" ref="R198">_xlfn.IFS(AND($A198="thg-beauty",ISNUMBER(SEARCH("liveramp",$C198))),"thg-beauty Liveramp dataset — confirmed safe to delete",$A198="agile-bonbon-662",_xlfn.IFS(LEFT($G198,9)="Tranche 1","Tranche 1: cleared",$C198="Sessions_Level_1_All_Sites","Downstream aggregation of UA raw logs — keep if raw tables go",ISNUMBER(--$C198),"UA raw site logs (account ID) — keep pending audit-retention check",$C198="Emag_Reporting","Legacy but likely needed",$C198="Nutrition_Data_Archived_Tables","Worth keeping",$C198="EU_Data","Static lookup tables — scripts still reference (smoke-test risk)",TRUE,"Review"),OR($A198="thg-influencer",$A198="thg-ingenuity",$A198="thg-central-marketing",$A198="thg-seoclarity"),"HOLD — Charlie Stringer to review before deletion",TRUE,"")</f>
        <v>Review</v>
      </c>
      <c r="S198" t="s">
        <v>1624</v>
      </c>
    </row>
    <row r="199" spans="1:19" ht="45.75" hidden="1">
      <c r="A199" t="s">
        <v>89</v>
      </c>
      <c r="B199" t="s">
        <v>1619</v>
      </c>
      <c r="C199" t="s">
        <v>2013</v>
      </c>
      <c r="D199" s="2" t="s">
        <v>1621</v>
      </c>
      <c r="E199">
        <v>1.4</v>
      </c>
      <c r="F199">
        <v>0.03</v>
      </c>
      <c r="G199" t="s">
        <v>79</v>
      </c>
      <c r="H199" t="s">
        <v>81</v>
      </c>
      <c r="I199">
        <v>35</v>
      </c>
      <c r="J199">
        <v>288</v>
      </c>
      <c r="K199" s="5">
        <v>46161.618231504632</v>
      </c>
      <c r="M199" s="2" t="s">
        <v>1945</v>
      </c>
      <c r="N199" s="2" t="s">
        <v>1701</v>
      </c>
      <c r="O199" s="5">
        <v>45909.373670335648</v>
      </c>
      <c r="P199" t="str">
        <f>IF($Q199="DELETE",IF($S199="CONFIRMED: NO MODS &gt; 1YR","CONFIRMED: NO MODS &gt; 1YR","DO NOT DELETE — not defensibly confirmed"),IF($Q199="HOLD","DO NOT DELETE — HOLD (Charlie review)",IF($Q199="KEEP","DO NOT DELETE — KEEP",IF(ISNUMBER(SEARCH("REVIEW",$Q199)),"DO NOT DELETE — REVIEW pending",$S199))))</f>
        <v>DO NOT DELETE — REVIEW pending</v>
      </c>
      <c r="Q199" t="str" cm="1">
        <f t="array" ref="Q199">_xlfn.IFS(AND($A199="thg-beauty",ISNUMBER(SEARCH("liveramp",$C199))),"DELETE",$A199="agile-bonbon-662",_xlfn.IFS(LEFT($G199,9)="Tranche 1","DELETE",$C199="Sessions_Level_1_All_Sites","KEEP",ISNUMBER(--$C199),"REVIEW — UA raw logs",$C199="Emag_Reporting","KEEP",$C199="Nutrition_Data_Archived_Tables","KEEP",$C199="EU_Data","KEEP",TRUE,"REVIEW"),OR($A199="thg-influencer",$A199="thg-ingenuity",$A199="thg-central-marketing",$A199="thg-seoclarity"),"HOLD",TRUE,"")</f>
        <v>REVIEW</v>
      </c>
      <c r="R199" t="str" cm="1">
        <f t="array" ref="R199">_xlfn.IFS(AND($A199="thg-beauty",ISNUMBER(SEARCH("liveramp",$C199))),"thg-beauty Liveramp dataset — confirmed safe to delete",$A199="agile-bonbon-662",_xlfn.IFS(LEFT($G199,9)="Tranche 1","Tranche 1: cleared",$C199="Sessions_Level_1_All_Sites","Downstream aggregation of UA raw logs — keep if raw tables go",ISNUMBER(--$C199),"UA raw site logs (account ID) — keep pending audit-retention check",$C199="Emag_Reporting","Legacy but likely needed",$C199="Nutrition_Data_Archived_Tables","Worth keeping",$C199="EU_Data","Static lookup tables — scripts still reference (smoke-test risk)",TRUE,"Review"),OR($A199="thg-influencer",$A199="thg-ingenuity",$A199="thg-central-marketing",$A199="thg-seoclarity"),"HOLD — Charlie Stringer to review before deletion",TRUE,"")</f>
        <v>Review</v>
      </c>
      <c r="S199" t="s">
        <v>1631</v>
      </c>
    </row>
    <row r="200" spans="1:19" ht="76.5" hidden="1">
      <c r="A200" t="s">
        <v>89</v>
      </c>
      <c r="B200" t="s">
        <v>1619</v>
      </c>
      <c r="C200" t="s">
        <v>2014</v>
      </c>
      <c r="D200" s="2" t="s">
        <v>1621</v>
      </c>
      <c r="E200">
        <v>1.08</v>
      </c>
      <c r="F200">
        <v>0.02</v>
      </c>
      <c r="G200" t="s">
        <v>79</v>
      </c>
      <c r="H200" t="s">
        <v>81</v>
      </c>
      <c r="I200">
        <v>35</v>
      </c>
      <c r="J200">
        <v>156</v>
      </c>
      <c r="K200" s="5">
        <v>46161.607564016202</v>
      </c>
      <c r="L200" s="5">
        <v>46041.08336034722</v>
      </c>
      <c r="M200" s="2" t="s">
        <v>2015</v>
      </c>
      <c r="N200" s="2" t="s">
        <v>2016</v>
      </c>
      <c r="O200" s="5">
        <v>46041.083392997687</v>
      </c>
      <c r="P200" t="str">
        <f>IF($Q200="DELETE",IF($S200="CONFIRMED: NO MODS &gt; 1YR","CONFIRMED: NO MODS &gt; 1YR","DO NOT DELETE — not defensibly confirmed"),IF($Q200="HOLD","DO NOT DELETE — HOLD (Charlie review)",IF($Q200="KEEP","DO NOT DELETE — KEEP",IF(ISNUMBER(SEARCH("REVIEW",$Q200)),"DO NOT DELETE — REVIEW pending",$S200))))</f>
        <v>DO NOT DELETE — REVIEW pending</v>
      </c>
      <c r="Q200" t="str" cm="1">
        <f t="array" ref="Q200">_xlfn.IFS(AND($A200="thg-beauty",ISNUMBER(SEARCH("liveramp",$C200))),"DELETE",$A200="agile-bonbon-662",_xlfn.IFS(LEFT($G200,9)="Tranche 1","DELETE",$C200="Sessions_Level_1_All_Sites","KEEP",ISNUMBER(--$C200),"REVIEW — UA raw logs",$C200="Emag_Reporting","KEEP",$C200="Nutrition_Data_Archived_Tables","KEEP",$C200="EU_Data","KEEP",TRUE,"REVIEW"),OR($A200="thg-influencer",$A200="thg-ingenuity",$A200="thg-central-marketing",$A200="thg-seoclarity"),"HOLD",TRUE,"")</f>
        <v>REVIEW</v>
      </c>
      <c r="R200" t="str" cm="1">
        <f t="array" ref="R200">_xlfn.IFS(AND($A200="thg-beauty",ISNUMBER(SEARCH("liveramp",$C200))),"thg-beauty Liveramp dataset — confirmed safe to delete",$A200="agile-bonbon-662",_xlfn.IFS(LEFT($G200,9)="Tranche 1","Tranche 1: cleared",$C200="Sessions_Level_1_All_Sites","Downstream aggregation of UA raw logs — keep if raw tables go",ISNUMBER(--$C200),"UA raw site logs (account ID) — keep pending audit-retention check",$C200="Emag_Reporting","Legacy but likely needed",$C200="Nutrition_Data_Archived_Tables","Worth keeping",$C200="EU_Data","Static lookup tables — scripts still reference (smoke-test risk)",TRUE,"Review"),OR($A200="thg-influencer",$A200="thg-ingenuity",$A200="thg-central-marketing",$A200="thg-seoclarity"),"HOLD — Charlie Stringer to review before deletion",TRUE,"")</f>
        <v>Review</v>
      </c>
      <c r="S200" t="s">
        <v>1624</v>
      </c>
    </row>
    <row r="201" spans="1:19" ht="45.75" hidden="1">
      <c r="A201" t="s">
        <v>89</v>
      </c>
      <c r="B201" t="s">
        <v>1619</v>
      </c>
      <c r="C201" t="s">
        <v>2017</v>
      </c>
      <c r="D201" s="2" t="s">
        <v>1621</v>
      </c>
      <c r="E201">
        <v>0.94</v>
      </c>
      <c r="F201">
        <v>0.02</v>
      </c>
      <c r="G201" t="s">
        <v>79</v>
      </c>
      <c r="H201" t="s">
        <v>81</v>
      </c>
      <c r="I201">
        <v>35</v>
      </c>
      <c r="J201">
        <v>322</v>
      </c>
      <c r="K201" s="5">
        <v>46161.617965289362</v>
      </c>
      <c r="M201" s="2" t="s">
        <v>1957</v>
      </c>
      <c r="N201" s="2" t="s">
        <v>1701</v>
      </c>
      <c r="O201" s="5">
        <v>45875.42770064815</v>
      </c>
      <c r="P201" t="str">
        <f>IF($Q201="DELETE",IF($S201="CONFIRMED: NO MODS &gt; 1YR","CONFIRMED: NO MODS &gt; 1YR","DO NOT DELETE — not defensibly confirmed"),IF($Q201="HOLD","DO NOT DELETE — HOLD (Charlie review)",IF($Q201="KEEP","DO NOT DELETE — KEEP",IF(ISNUMBER(SEARCH("REVIEW",$Q201)),"DO NOT DELETE — REVIEW pending",$S201))))</f>
        <v>DO NOT DELETE — REVIEW pending</v>
      </c>
      <c r="Q201" t="str" cm="1">
        <f t="array" ref="Q201">_xlfn.IFS(AND($A201="thg-beauty",ISNUMBER(SEARCH("liveramp",$C201))),"DELETE",$A201="agile-bonbon-662",_xlfn.IFS(LEFT($G201,9)="Tranche 1","DELETE",$C201="Sessions_Level_1_All_Sites","KEEP",ISNUMBER(--$C201),"REVIEW — UA raw logs",$C201="Emag_Reporting","KEEP",$C201="Nutrition_Data_Archived_Tables","KEEP",$C201="EU_Data","KEEP",TRUE,"REVIEW"),OR($A201="thg-influencer",$A201="thg-ingenuity",$A201="thg-central-marketing",$A201="thg-seoclarity"),"HOLD",TRUE,"")</f>
        <v>REVIEW</v>
      </c>
      <c r="R201" t="str" cm="1">
        <f t="array" ref="R201">_xlfn.IFS(AND($A201="thg-beauty",ISNUMBER(SEARCH("liveramp",$C201))),"thg-beauty Liveramp dataset — confirmed safe to delete",$A201="agile-bonbon-662",_xlfn.IFS(LEFT($G201,9)="Tranche 1","Tranche 1: cleared",$C201="Sessions_Level_1_All_Sites","Downstream aggregation of UA raw logs — keep if raw tables go",ISNUMBER(--$C201),"UA raw site logs (account ID) — keep pending audit-retention check",$C201="Emag_Reporting","Legacy but likely needed",$C201="Nutrition_Data_Archived_Tables","Worth keeping",$C201="EU_Data","Static lookup tables — scripts still reference (smoke-test risk)",TRUE,"Review"),OR($A201="thg-influencer",$A201="thg-ingenuity",$A201="thg-central-marketing",$A201="thg-seoclarity"),"HOLD — Charlie Stringer to review before deletion",TRUE,"")</f>
        <v>Review</v>
      </c>
      <c r="S201" t="s">
        <v>1624</v>
      </c>
    </row>
    <row r="202" spans="1:19" ht="76.5" hidden="1">
      <c r="A202" t="s">
        <v>89</v>
      </c>
      <c r="B202" t="s">
        <v>1619</v>
      </c>
      <c r="C202" t="s">
        <v>2018</v>
      </c>
      <c r="D202" s="2" t="s">
        <v>1621</v>
      </c>
      <c r="E202">
        <v>0.87</v>
      </c>
      <c r="F202">
        <v>0.02</v>
      </c>
      <c r="G202" t="s">
        <v>79</v>
      </c>
      <c r="H202" t="s">
        <v>81</v>
      </c>
      <c r="I202">
        <v>35</v>
      </c>
      <c r="J202">
        <v>118</v>
      </c>
      <c r="K202" s="5">
        <v>46161.620098564817</v>
      </c>
      <c r="L202" s="5">
        <v>46079.405368460648</v>
      </c>
      <c r="M202" s="2" t="s">
        <v>2019</v>
      </c>
      <c r="N202" s="2" t="s">
        <v>2020</v>
      </c>
      <c r="O202" s="5">
        <v>46079.405412256943</v>
      </c>
      <c r="P202" t="str">
        <f>IF($Q202="DELETE",IF($S202="CONFIRMED: NO MODS &gt; 1YR","CONFIRMED: NO MODS &gt; 1YR","DO NOT DELETE — not defensibly confirmed"),IF($Q202="HOLD","DO NOT DELETE — HOLD (Charlie review)",IF($Q202="KEEP","DO NOT DELETE — KEEP",IF(ISNUMBER(SEARCH("REVIEW",$Q202)),"DO NOT DELETE — REVIEW pending",$S202))))</f>
        <v>DO NOT DELETE — REVIEW pending</v>
      </c>
      <c r="Q202" t="str" cm="1">
        <f t="array" ref="Q202">_xlfn.IFS(AND($A202="thg-beauty",ISNUMBER(SEARCH("liveramp",$C202))),"DELETE",$A202="agile-bonbon-662",_xlfn.IFS(LEFT($G202,9)="Tranche 1","DELETE",$C202="Sessions_Level_1_All_Sites","KEEP",ISNUMBER(--$C202),"REVIEW — UA raw logs",$C202="Emag_Reporting","KEEP",$C202="Nutrition_Data_Archived_Tables","KEEP",$C202="EU_Data","KEEP",TRUE,"REVIEW"),OR($A202="thg-influencer",$A202="thg-ingenuity",$A202="thg-central-marketing",$A202="thg-seoclarity"),"HOLD",TRUE,"")</f>
        <v>REVIEW</v>
      </c>
      <c r="R202" t="str" cm="1">
        <f t="array" ref="R202">_xlfn.IFS(AND($A202="thg-beauty",ISNUMBER(SEARCH("liveramp",$C202))),"thg-beauty Liveramp dataset — confirmed safe to delete",$A202="agile-bonbon-662",_xlfn.IFS(LEFT($G202,9)="Tranche 1","Tranche 1: cleared",$C202="Sessions_Level_1_All_Sites","Downstream aggregation of UA raw logs — keep if raw tables go",ISNUMBER(--$C202),"UA raw site logs (account ID) — keep pending audit-retention check",$C202="Emag_Reporting","Legacy but likely needed",$C202="Nutrition_Data_Archived_Tables","Worth keeping",$C202="EU_Data","Static lookup tables — scripts still reference (smoke-test risk)",TRUE,"Review"),OR($A202="thg-influencer",$A202="thg-ingenuity",$A202="thg-central-marketing",$A202="thg-seoclarity"),"HOLD — Charlie Stringer to review before deletion",TRUE,"")</f>
        <v>Review</v>
      </c>
      <c r="S202" t="s">
        <v>1624</v>
      </c>
    </row>
    <row r="203" spans="1:19" ht="76.5" hidden="1">
      <c r="A203" t="s">
        <v>89</v>
      </c>
      <c r="B203" t="s">
        <v>1619</v>
      </c>
      <c r="C203" t="s">
        <v>2021</v>
      </c>
      <c r="D203" s="2" t="s">
        <v>1621</v>
      </c>
      <c r="E203">
        <v>0.67</v>
      </c>
      <c r="F203">
        <v>0.01</v>
      </c>
      <c r="G203" t="s">
        <v>79</v>
      </c>
      <c r="H203" t="s">
        <v>81</v>
      </c>
      <c r="I203">
        <v>35</v>
      </c>
      <c r="J203">
        <v>82</v>
      </c>
      <c r="K203" s="5">
        <v>46161.621129687497</v>
      </c>
      <c r="L203" s="5">
        <v>46115.441104999998</v>
      </c>
      <c r="M203" s="2" t="s">
        <v>1960</v>
      </c>
      <c r="N203" s="2" t="s">
        <v>2022</v>
      </c>
      <c r="O203" s="5">
        <v>46115.44118681713</v>
      </c>
      <c r="P203" t="str">
        <f>IF($Q203="DELETE",IF($S203="CONFIRMED: NO MODS &gt; 1YR","CONFIRMED: NO MODS &gt; 1YR","DO NOT DELETE — not defensibly confirmed"),IF($Q203="HOLD","DO NOT DELETE — HOLD (Charlie review)",IF($Q203="KEEP","DO NOT DELETE — KEEP",IF(ISNUMBER(SEARCH("REVIEW",$Q203)),"DO NOT DELETE — REVIEW pending",$S203))))</f>
        <v>DO NOT DELETE — REVIEW pending</v>
      </c>
      <c r="Q203" t="str" cm="1">
        <f t="array" ref="Q203">_xlfn.IFS(AND($A203="thg-beauty",ISNUMBER(SEARCH("liveramp",$C203))),"DELETE",$A203="agile-bonbon-662",_xlfn.IFS(LEFT($G203,9)="Tranche 1","DELETE",$C203="Sessions_Level_1_All_Sites","KEEP",ISNUMBER(--$C203),"REVIEW — UA raw logs",$C203="Emag_Reporting","KEEP",$C203="Nutrition_Data_Archived_Tables","KEEP",$C203="EU_Data","KEEP",TRUE,"REVIEW"),OR($A203="thg-influencer",$A203="thg-ingenuity",$A203="thg-central-marketing",$A203="thg-seoclarity"),"HOLD",TRUE,"")</f>
        <v>REVIEW</v>
      </c>
      <c r="R203" t="str" cm="1">
        <f t="array" ref="R203">_xlfn.IFS(AND($A203="thg-beauty",ISNUMBER(SEARCH("liveramp",$C203))),"thg-beauty Liveramp dataset — confirmed safe to delete",$A203="agile-bonbon-662",_xlfn.IFS(LEFT($G203,9)="Tranche 1","Tranche 1: cleared",$C203="Sessions_Level_1_All_Sites","Downstream aggregation of UA raw logs — keep if raw tables go",ISNUMBER(--$C203),"UA raw site logs (account ID) — keep pending audit-retention check",$C203="Emag_Reporting","Legacy but likely needed",$C203="Nutrition_Data_Archived_Tables","Worth keeping",$C203="EU_Data","Static lookup tables — scripts still reference (smoke-test risk)",TRUE,"Review"),OR($A203="thg-influencer",$A203="thg-ingenuity",$A203="thg-central-marketing",$A203="thg-seoclarity"),"HOLD — Charlie Stringer to review before deletion",TRUE,"")</f>
        <v>Review</v>
      </c>
      <c r="S203" t="s">
        <v>1624</v>
      </c>
    </row>
    <row r="204" spans="1:19" ht="45.75" hidden="1">
      <c r="A204" t="s">
        <v>89</v>
      </c>
      <c r="B204" t="s">
        <v>1619</v>
      </c>
      <c r="C204" t="s">
        <v>2023</v>
      </c>
      <c r="D204" s="2" t="s">
        <v>1621</v>
      </c>
      <c r="E204">
        <v>0.66</v>
      </c>
      <c r="F204">
        <v>0.01</v>
      </c>
      <c r="G204" t="s">
        <v>79</v>
      </c>
      <c r="H204" t="s">
        <v>81</v>
      </c>
      <c r="I204">
        <v>35</v>
      </c>
      <c r="J204">
        <v>295</v>
      </c>
      <c r="K204" s="5">
        <v>46161.619280370367</v>
      </c>
      <c r="M204" s="2" t="s">
        <v>1981</v>
      </c>
      <c r="N204" s="2" t="s">
        <v>1701</v>
      </c>
      <c r="O204" s="5">
        <v>45902.376681967588</v>
      </c>
      <c r="P204" t="str">
        <f>IF($Q204="DELETE",IF($S204="CONFIRMED: NO MODS &gt; 1YR","CONFIRMED: NO MODS &gt; 1YR","DO NOT DELETE — not defensibly confirmed"),IF($Q204="HOLD","DO NOT DELETE — HOLD (Charlie review)",IF($Q204="KEEP","DO NOT DELETE — KEEP",IF(ISNUMBER(SEARCH("REVIEW",$Q204)),"DO NOT DELETE — REVIEW pending",$S204))))</f>
        <v>DO NOT DELETE — REVIEW pending</v>
      </c>
      <c r="Q204" t="str" cm="1">
        <f t="array" ref="Q204">_xlfn.IFS(AND($A204="thg-beauty",ISNUMBER(SEARCH("liveramp",$C204))),"DELETE",$A204="agile-bonbon-662",_xlfn.IFS(LEFT($G204,9)="Tranche 1","DELETE",$C204="Sessions_Level_1_All_Sites","KEEP",ISNUMBER(--$C204),"REVIEW — UA raw logs",$C204="Emag_Reporting","KEEP",$C204="Nutrition_Data_Archived_Tables","KEEP",$C204="EU_Data","KEEP",TRUE,"REVIEW"),OR($A204="thg-influencer",$A204="thg-ingenuity",$A204="thg-central-marketing",$A204="thg-seoclarity"),"HOLD",TRUE,"")</f>
        <v>REVIEW</v>
      </c>
      <c r="R204" t="str" cm="1">
        <f t="array" ref="R204">_xlfn.IFS(AND($A204="thg-beauty",ISNUMBER(SEARCH("liveramp",$C204))),"thg-beauty Liveramp dataset — confirmed safe to delete",$A204="agile-bonbon-662",_xlfn.IFS(LEFT($G204,9)="Tranche 1","Tranche 1: cleared",$C204="Sessions_Level_1_All_Sites","Downstream aggregation of UA raw logs — keep if raw tables go",ISNUMBER(--$C204),"UA raw site logs (account ID) — keep pending audit-retention check",$C204="Emag_Reporting","Legacy but likely needed",$C204="Nutrition_Data_Archived_Tables","Worth keeping",$C204="EU_Data","Static lookup tables — scripts still reference (smoke-test risk)",TRUE,"Review"),OR($A204="thg-influencer",$A204="thg-ingenuity",$A204="thg-central-marketing",$A204="thg-seoclarity"),"HOLD — Charlie Stringer to review before deletion",TRUE,"")</f>
        <v>Review</v>
      </c>
      <c r="S204" t="s">
        <v>1624</v>
      </c>
    </row>
    <row r="205" spans="1:19" ht="45.75" hidden="1">
      <c r="A205" t="s">
        <v>89</v>
      </c>
      <c r="B205" t="s">
        <v>1619</v>
      </c>
      <c r="C205" t="s">
        <v>2024</v>
      </c>
      <c r="D205" s="2" t="s">
        <v>1621</v>
      </c>
      <c r="E205">
        <v>0.64</v>
      </c>
      <c r="F205">
        <v>0.01</v>
      </c>
      <c r="G205" t="s">
        <v>79</v>
      </c>
      <c r="H205" t="s">
        <v>81</v>
      </c>
      <c r="I205">
        <v>35</v>
      </c>
      <c r="J205">
        <v>231</v>
      </c>
      <c r="K205" s="5">
        <v>46161.615275474527</v>
      </c>
      <c r="M205" s="2" t="s">
        <v>2025</v>
      </c>
      <c r="N205" s="2" t="s">
        <v>1701</v>
      </c>
      <c r="O205" s="5">
        <v>45966.40939951389</v>
      </c>
      <c r="P205" t="str">
        <f>IF($Q205="DELETE",IF($S205="CONFIRMED: NO MODS &gt; 1YR","CONFIRMED: NO MODS &gt; 1YR","DO NOT DELETE — not defensibly confirmed"),IF($Q205="HOLD","DO NOT DELETE — HOLD (Charlie review)",IF($Q205="KEEP","DO NOT DELETE — KEEP",IF(ISNUMBER(SEARCH("REVIEW",$Q205)),"DO NOT DELETE — REVIEW pending",$S205))))</f>
        <v>DO NOT DELETE — REVIEW pending</v>
      </c>
      <c r="Q205" t="str" cm="1">
        <f t="array" ref="Q205">_xlfn.IFS(AND($A205="thg-beauty",ISNUMBER(SEARCH("liveramp",$C205))),"DELETE",$A205="agile-bonbon-662",_xlfn.IFS(LEFT($G205,9)="Tranche 1","DELETE",$C205="Sessions_Level_1_All_Sites","KEEP",ISNUMBER(--$C205),"REVIEW — UA raw logs",$C205="Emag_Reporting","KEEP",$C205="Nutrition_Data_Archived_Tables","KEEP",$C205="EU_Data","KEEP",TRUE,"REVIEW"),OR($A205="thg-influencer",$A205="thg-ingenuity",$A205="thg-central-marketing",$A205="thg-seoclarity"),"HOLD",TRUE,"")</f>
        <v>REVIEW</v>
      </c>
      <c r="R205" t="str" cm="1">
        <f t="array" ref="R205">_xlfn.IFS(AND($A205="thg-beauty",ISNUMBER(SEARCH("liveramp",$C205))),"thg-beauty Liveramp dataset — confirmed safe to delete",$A205="agile-bonbon-662",_xlfn.IFS(LEFT($G205,9)="Tranche 1","Tranche 1: cleared",$C205="Sessions_Level_1_All_Sites","Downstream aggregation of UA raw logs — keep if raw tables go",ISNUMBER(--$C205),"UA raw site logs (account ID) — keep pending audit-retention check",$C205="Emag_Reporting","Legacy but likely needed",$C205="Nutrition_Data_Archived_Tables","Worth keeping",$C205="EU_Data","Static lookup tables — scripts still reference (smoke-test risk)",TRUE,"Review"),OR($A205="thg-influencer",$A205="thg-ingenuity",$A205="thg-central-marketing",$A205="thg-seoclarity"),"HOLD — Charlie Stringer to review before deletion",TRUE,"")</f>
        <v>Review</v>
      </c>
      <c r="S205" t="s">
        <v>1624</v>
      </c>
    </row>
    <row r="206" spans="1:19" ht="45.75" hidden="1">
      <c r="A206" t="s">
        <v>89</v>
      </c>
      <c r="B206" t="s">
        <v>1619</v>
      </c>
      <c r="C206" t="s">
        <v>2026</v>
      </c>
      <c r="D206" s="2" t="s">
        <v>1621</v>
      </c>
      <c r="E206">
        <v>0.56000000000000005</v>
      </c>
      <c r="F206">
        <v>0.01</v>
      </c>
      <c r="G206" t="s">
        <v>79</v>
      </c>
      <c r="H206" t="s">
        <v>81</v>
      </c>
      <c r="I206">
        <v>35</v>
      </c>
      <c r="J206">
        <v>204</v>
      </c>
      <c r="K206" s="5">
        <v>46161.608913611111</v>
      </c>
      <c r="M206" s="2" t="s">
        <v>2027</v>
      </c>
      <c r="N206" s="2" t="s">
        <v>1701</v>
      </c>
      <c r="O206" s="5">
        <v>45993.423586736113</v>
      </c>
      <c r="P206" t="str">
        <f>IF($Q206="DELETE",IF($S206="CONFIRMED: NO MODS &gt; 1YR","CONFIRMED: NO MODS &gt; 1YR","DO NOT DELETE — not defensibly confirmed"),IF($Q206="HOLD","DO NOT DELETE — HOLD (Charlie review)",IF($Q206="KEEP","DO NOT DELETE — KEEP",IF(ISNUMBER(SEARCH("REVIEW",$Q206)),"DO NOT DELETE — REVIEW pending",$S206))))</f>
        <v>DO NOT DELETE — REVIEW pending</v>
      </c>
      <c r="Q206" t="str" cm="1">
        <f t="array" ref="Q206">_xlfn.IFS(AND($A206="thg-beauty",ISNUMBER(SEARCH("liveramp",$C206))),"DELETE",$A206="agile-bonbon-662",_xlfn.IFS(LEFT($G206,9)="Tranche 1","DELETE",$C206="Sessions_Level_1_All_Sites","KEEP",ISNUMBER(--$C206),"REVIEW — UA raw logs",$C206="Emag_Reporting","KEEP",$C206="Nutrition_Data_Archived_Tables","KEEP",$C206="EU_Data","KEEP",TRUE,"REVIEW"),OR($A206="thg-influencer",$A206="thg-ingenuity",$A206="thg-central-marketing",$A206="thg-seoclarity"),"HOLD",TRUE,"")</f>
        <v>REVIEW</v>
      </c>
      <c r="R206" t="str" cm="1">
        <f t="array" ref="R206">_xlfn.IFS(AND($A206="thg-beauty",ISNUMBER(SEARCH("liveramp",$C206))),"thg-beauty Liveramp dataset — confirmed safe to delete",$A206="agile-bonbon-662",_xlfn.IFS(LEFT($G206,9)="Tranche 1","Tranche 1: cleared",$C206="Sessions_Level_1_All_Sites","Downstream aggregation of UA raw logs — keep if raw tables go",ISNUMBER(--$C206),"UA raw site logs (account ID) — keep pending audit-retention check",$C206="Emag_Reporting","Legacy but likely needed",$C206="Nutrition_Data_Archived_Tables","Worth keeping",$C206="EU_Data","Static lookup tables — scripts still reference (smoke-test risk)",TRUE,"Review"),OR($A206="thg-influencer",$A206="thg-ingenuity",$A206="thg-central-marketing",$A206="thg-seoclarity"),"HOLD — Charlie Stringer to review before deletion",TRUE,"")</f>
        <v>Review</v>
      </c>
      <c r="S206" t="s">
        <v>1624</v>
      </c>
    </row>
    <row r="207" spans="1:19" ht="45.75" hidden="1">
      <c r="A207" t="s">
        <v>89</v>
      </c>
      <c r="B207" t="s">
        <v>1619</v>
      </c>
      <c r="C207" t="s">
        <v>2028</v>
      </c>
      <c r="D207" s="2" t="s">
        <v>1621</v>
      </c>
      <c r="E207">
        <v>0.35</v>
      </c>
      <c r="F207">
        <v>0.01</v>
      </c>
      <c r="G207" t="s">
        <v>79</v>
      </c>
      <c r="H207" t="s">
        <v>81</v>
      </c>
      <c r="I207">
        <v>35</v>
      </c>
      <c r="J207">
        <v>117</v>
      </c>
      <c r="K207" s="5">
        <v>46161.620041064823</v>
      </c>
      <c r="L207" s="5">
        <v>46080.3550703125</v>
      </c>
      <c r="M207" s="2" t="s">
        <v>1972</v>
      </c>
      <c r="N207" s="2" t="s">
        <v>2029</v>
      </c>
      <c r="O207" s="5">
        <v>46080.355116724539</v>
      </c>
      <c r="P207" t="str">
        <f>IF($Q207="DELETE",IF($S207="CONFIRMED: NO MODS &gt; 1YR","CONFIRMED: NO MODS &gt; 1YR","DO NOT DELETE — not defensibly confirmed"),IF($Q207="HOLD","DO NOT DELETE — HOLD (Charlie review)",IF($Q207="KEEP","DO NOT DELETE — KEEP",IF(ISNUMBER(SEARCH("REVIEW",$Q207)),"DO NOT DELETE — REVIEW pending",$S207))))</f>
        <v>DO NOT DELETE — REVIEW pending</v>
      </c>
      <c r="Q207" t="str" cm="1">
        <f t="array" ref="Q207">_xlfn.IFS(AND($A207="thg-beauty",ISNUMBER(SEARCH("liveramp",$C207))),"DELETE",$A207="agile-bonbon-662",_xlfn.IFS(LEFT($G207,9)="Tranche 1","DELETE",$C207="Sessions_Level_1_All_Sites","KEEP",ISNUMBER(--$C207),"REVIEW — UA raw logs",$C207="Emag_Reporting","KEEP",$C207="Nutrition_Data_Archived_Tables","KEEP",$C207="EU_Data","KEEP",TRUE,"REVIEW"),OR($A207="thg-influencer",$A207="thg-ingenuity",$A207="thg-central-marketing",$A207="thg-seoclarity"),"HOLD",TRUE,"")</f>
        <v>REVIEW</v>
      </c>
      <c r="R207" t="str" cm="1">
        <f t="array" ref="R207">_xlfn.IFS(AND($A207="thg-beauty",ISNUMBER(SEARCH("liveramp",$C207))),"thg-beauty Liveramp dataset — confirmed safe to delete",$A207="agile-bonbon-662",_xlfn.IFS(LEFT($G207,9)="Tranche 1","Tranche 1: cleared",$C207="Sessions_Level_1_All_Sites","Downstream aggregation of UA raw logs — keep if raw tables go",ISNUMBER(--$C207),"UA raw site logs (account ID) — keep pending audit-retention check",$C207="Emag_Reporting","Legacy but likely needed",$C207="Nutrition_Data_Archived_Tables","Worth keeping",$C207="EU_Data","Static lookup tables — scripts still reference (smoke-test risk)",TRUE,"Review"),OR($A207="thg-influencer",$A207="thg-ingenuity",$A207="thg-central-marketing",$A207="thg-seoclarity"),"HOLD — Charlie Stringer to review before deletion",TRUE,"")</f>
        <v>Review</v>
      </c>
      <c r="S207" t="s">
        <v>1624</v>
      </c>
    </row>
    <row r="208" spans="1:19" ht="45.75" hidden="1">
      <c r="A208" t="s">
        <v>89</v>
      </c>
      <c r="B208" t="s">
        <v>1619</v>
      </c>
      <c r="C208" t="s">
        <v>2030</v>
      </c>
      <c r="D208" s="2" t="s">
        <v>1621</v>
      </c>
      <c r="E208">
        <v>0.34</v>
      </c>
      <c r="F208">
        <v>0.01</v>
      </c>
      <c r="G208" t="s">
        <v>79</v>
      </c>
      <c r="H208" t="s">
        <v>81</v>
      </c>
      <c r="I208">
        <v>35</v>
      </c>
      <c r="J208">
        <v>293</v>
      </c>
      <c r="K208" s="5">
        <v>46161.620644907409</v>
      </c>
      <c r="M208" s="2" t="s">
        <v>1943</v>
      </c>
      <c r="N208" s="2" t="s">
        <v>1701</v>
      </c>
      <c r="O208" s="5">
        <v>45903.601672986108</v>
      </c>
      <c r="P208" t="str">
        <f>IF($Q208="DELETE",IF($S208="CONFIRMED: NO MODS &gt; 1YR","CONFIRMED: NO MODS &gt; 1YR","DO NOT DELETE — not defensibly confirmed"),IF($Q208="HOLD","DO NOT DELETE — HOLD (Charlie review)",IF($Q208="KEEP","DO NOT DELETE — KEEP",IF(ISNUMBER(SEARCH("REVIEW",$Q208)),"DO NOT DELETE — REVIEW pending",$S208))))</f>
        <v>DO NOT DELETE — REVIEW pending</v>
      </c>
      <c r="Q208" t="str" cm="1">
        <f t="array" ref="Q208">_xlfn.IFS(AND($A208="thg-beauty",ISNUMBER(SEARCH("liveramp",$C208))),"DELETE",$A208="agile-bonbon-662",_xlfn.IFS(LEFT($G208,9)="Tranche 1","DELETE",$C208="Sessions_Level_1_All_Sites","KEEP",ISNUMBER(--$C208),"REVIEW — UA raw logs",$C208="Emag_Reporting","KEEP",$C208="Nutrition_Data_Archived_Tables","KEEP",$C208="EU_Data","KEEP",TRUE,"REVIEW"),OR($A208="thg-influencer",$A208="thg-ingenuity",$A208="thg-central-marketing",$A208="thg-seoclarity"),"HOLD",TRUE,"")</f>
        <v>REVIEW</v>
      </c>
      <c r="R208" t="str" cm="1">
        <f t="array" ref="R208">_xlfn.IFS(AND($A208="thg-beauty",ISNUMBER(SEARCH("liveramp",$C208))),"thg-beauty Liveramp dataset — confirmed safe to delete",$A208="agile-bonbon-662",_xlfn.IFS(LEFT($G208,9)="Tranche 1","Tranche 1: cleared",$C208="Sessions_Level_1_All_Sites","Downstream aggregation of UA raw logs — keep if raw tables go",ISNUMBER(--$C208),"UA raw site logs (account ID) — keep pending audit-retention check",$C208="Emag_Reporting","Legacy but likely needed",$C208="Nutrition_Data_Archived_Tables","Worth keeping",$C208="EU_Data","Static lookup tables — scripts still reference (smoke-test risk)",TRUE,"Review"),OR($A208="thg-influencer",$A208="thg-ingenuity",$A208="thg-central-marketing",$A208="thg-seoclarity"),"HOLD — Charlie Stringer to review before deletion",TRUE,"")</f>
        <v>Review</v>
      </c>
      <c r="S208" t="s">
        <v>1624</v>
      </c>
    </row>
    <row r="209" spans="1:19" ht="60.75" hidden="1">
      <c r="A209" t="s">
        <v>89</v>
      </c>
      <c r="B209" t="s">
        <v>1619</v>
      </c>
      <c r="C209" t="s">
        <v>2031</v>
      </c>
      <c r="D209" s="2" t="s">
        <v>1621</v>
      </c>
      <c r="E209">
        <v>0.27</v>
      </c>
      <c r="F209">
        <v>0.01</v>
      </c>
      <c r="G209" t="s">
        <v>79</v>
      </c>
      <c r="H209" t="s">
        <v>81</v>
      </c>
      <c r="I209">
        <v>35</v>
      </c>
      <c r="J209">
        <v>363</v>
      </c>
      <c r="K209" s="5">
        <v>46161.58136837963</v>
      </c>
      <c r="M209" s="2" t="s">
        <v>2032</v>
      </c>
      <c r="N209" s="2" t="s">
        <v>1701</v>
      </c>
      <c r="O209" s="5">
        <v>45833.574114224539</v>
      </c>
      <c r="P209" t="str">
        <f>IF($Q209="DELETE",IF($S209="CONFIRMED: NO MODS &gt; 1YR","CONFIRMED: NO MODS &gt; 1YR","DO NOT DELETE — not defensibly confirmed"),IF($Q209="HOLD","DO NOT DELETE — HOLD (Charlie review)",IF($Q209="KEEP","DO NOT DELETE — KEEP",IF(ISNUMBER(SEARCH("REVIEW",$Q209)),"DO NOT DELETE — REVIEW pending",$S209))))</f>
        <v>DO NOT DELETE — REVIEW pending</v>
      </c>
      <c r="Q209" t="str" cm="1">
        <f t="array" ref="Q209">_xlfn.IFS(AND($A209="thg-beauty",ISNUMBER(SEARCH("liveramp",$C209))),"DELETE",$A209="agile-bonbon-662",_xlfn.IFS(LEFT($G209,9)="Tranche 1","DELETE",$C209="Sessions_Level_1_All_Sites","KEEP",ISNUMBER(--$C209),"REVIEW — UA raw logs",$C209="Emag_Reporting","KEEP",$C209="Nutrition_Data_Archived_Tables","KEEP",$C209="EU_Data","KEEP",TRUE,"REVIEW"),OR($A209="thg-influencer",$A209="thg-ingenuity",$A209="thg-central-marketing",$A209="thg-seoclarity"),"HOLD",TRUE,"")</f>
        <v>REVIEW</v>
      </c>
      <c r="R209" t="str" cm="1">
        <f t="array" ref="R209">_xlfn.IFS(AND($A209="thg-beauty",ISNUMBER(SEARCH("liveramp",$C209))),"thg-beauty Liveramp dataset — confirmed safe to delete",$A209="agile-bonbon-662",_xlfn.IFS(LEFT($G209,9)="Tranche 1","Tranche 1: cleared",$C209="Sessions_Level_1_All_Sites","Downstream aggregation of UA raw logs — keep if raw tables go",ISNUMBER(--$C209),"UA raw site logs (account ID) — keep pending audit-retention check",$C209="Emag_Reporting","Legacy but likely needed",$C209="Nutrition_Data_Archived_Tables","Worth keeping",$C209="EU_Data","Static lookup tables — scripts still reference (smoke-test risk)",TRUE,"Review"),OR($A209="thg-influencer",$A209="thg-ingenuity",$A209="thg-central-marketing",$A209="thg-seoclarity"),"HOLD — Charlie Stringer to review before deletion",TRUE,"")</f>
        <v>Review</v>
      </c>
      <c r="S209" t="s">
        <v>1624</v>
      </c>
    </row>
    <row r="210" spans="1:19" ht="45.75" hidden="1">
      <c r="A210" t="s">
        <v>89</v>
      </c>
      <c r="B210" t="s">
        <v>1619</v>
      </c>
      <c r="C210" t="s">
        <v>2033</v>
      </c>
      <c r="D210" s="2" t="s">
        <v>1621</v>
      </c>
      <c r="E210">
        <v>0.25</v>
      </c>
      <c r="F210">
        <v>0</v>
      </c>
      <c r="G210" t="s">
        <v>79</v>
      </c>
      <c r="H210" t="s">
        <v>81</v>
      </c>
      <c r="I210">
        <v>35</v>
      </c>
      <c r="J210">
        <v>55</v>
      </c>
      <c r="K210" s="5">
        <v>46161.62328324074</v>
      </c>
      <c r="M210" s="2" t="s">
        <v>1933</v>
      </c>
      <c r="N210" s="2" t="s">
        <v>1701</v>
      </c>
      <c r="O210" s="5">
        <v>46141.990453969913</v>
      </c>
      <c r="P210" t="str">
        <f>IF($Q210="DELETE",IF($S210="CONFIRMED: NO MODS &gt; 1YR","CONFIRMED: NO MODS &gt; 1YR","DO NOT DELETE — not defensibly confirmed"),IF($Q210="HOLD","DO NOT DELETE — HOLD (Charlie review)",IF($Q210="KEEP","DO NOT DELETE — KEEP",IF(ISNUMBER(SEARCH("REVIEW",$Q210)),"DO NOT DELETE — REVIEW pending",$S210))))</f>
        <v>DO NOT DELETE — REVIEW pending</v>
      </c>
      <c r="Q210" t="str" cm="1">
        <f t="array" ref="Q210">_xlfn.IFS(AND($A210="thg-beauty",ISNUMBER(SEARCH("liveramp",$C210))),"DELETE",$A210="agile-bonbon-662",_xlfn.IFS(LEFT($G210,9)="Tranche 1","DELETE",$C210="Sessions_Level_1_All_Sites","KEEP",ISNUMBER(--$C210),"REVIEW — UA raw logs",$C210="Emag_Reporting","KEEP",$C210="Nutrition_Data_Archived_Tables","KEEP",$C210="EU_Data","KEEP",TRUE,"REVIEW"),OR($A210="thg-influencer",$A210="thg-ingenuity",$A210="thg-central-marketing",$A210="thg-seoclarity"),"HOLD",TRUE,"")</f>
        <v>REVIEW</v>
      </c>
      <c r="R210" t="str" cm="1">
        <f t="array" ref="R210">_xlfn.IFS(AND($A210="thg-beauty",ISNUMBER(SEARCH("liveramp",$C210))),"thg-beauty Liveramp dataset — confirmed safe to delete",$A210="agile-bonbon-662",_xlfn.IFS(LEFT($G210,9)="Tranche 1","Tranche 1: cleared",$C210="Sessions_Level_1_All_Sites","Downstream aggregation of UA raw logs — keep if raw tables go",ISNUMBER(--$C210),"UA raw site logs (account ID) — keep pending audit-retention check",$C210="Emag_Reporting","Legacy but likely needed",$C210="Nutrition_Data_Archived_Tables","Worth keeping",$C210="EU_Data","Static lookup tables — scripts still reference (smoke-test risk)",TRUE,"Review"),OR($A210="thg-influencer",$A210="thg-ingenuity",$A210="thg-central-marketing",$A210="thg-seoclarity"),"HOLD — Charlie Stringer to review before deletion",TRUE,"")</f>
        <v>Review</v>
      </c>
      <c r="S210" t="s">
        <v>1624</v>
      </c>
    </row>
    <row r="211" spans="1:19" ht="76.5" hidden="1">
      <c r="A211" t="s">
        <v>89</v>
      </c>
      <c r="B211" t="s">
        <v>1619</v>
      </c>
      <c r="C211" t="s">
        <v>2034</v>
      </c>
      <c r="D211" s="2" t="s">
        <v>1621</v>
      </c>
      <c r="E211">
        <v>0.25</v>
      </c>
      <c r="F211">
        <v>0.01</v>
      </c>
      <c r="G211" t="s">
        <v>79</v>
      </c>
      <c r="H211" t="s">
        <v>81</v>
      </c>
      <c r="I211">
        <v>35</v>
      </c>
      <c r="J211">
        <v>355</v>
      </c>
      <c r="K211" s="5">
        <v>46161.604024733802</v>
      </c>
      <c r="M211" s="2" t="s">
        <v>2035</v>
      </c>
      <c r="N211" s="2" t="s">
        <v>1701</v>
      </c>
      <c r="O211" s="5">
        <v>45842.013989965279</v>
      </c>
      <c r="P211" t="str">
        <f>IF($Q211="DELETE",IF($S211="CONFIRMED: NO MODS &gt; 1YR","CONFIRMED: NO MODS &gt; 1YR","DO NOT DELETE — not defensibly confirmed"),IF($Q211="HOLD","DO NOT DELETE — HOLD (Charlie review)",IF($Q211="KEEP","DO NOT DELETE — KEEP",IF(ISNUMBER(SEARCH("REVIEW",$Q211)),"DO NOT DELETE — REVIEW pending",$S211))))</f>
        <v>DO NOT DELETE — REVIEW pending</v>
      </c>
      <c r="Q211" t="str" cm="1">
        <f t="array" ref="Q211">_xlfn.IFS(AND($A211="thg-beauty",ISNUMBER(SEARCH("liveramp",$C211))),"DELETE",$A211="agile-bonbon-662",_xlfn.IFS(LEFT($G211,9)="Tranche 1","DELETE",$C211="Sessions_Level_1_All_Sites","KEEP",ISNUMBER(--$C211),"REVIEW — UA raw logs",$C211="Emag_Reporting","KEEP",$C211="Nutrition_Data_Archived_Tables","KEEP",$C211="EU_Data","KEEP",TRUE,"REVIEW"),OR($A211="thg-influencer",$A211="thg-ingenuity",$A211="thg-central-marketing",$A211="thg-seoclarity"),"HOLD",TRUE,"")</f>
        <v>REVIEW</v>
      </c>
      <c r="R211" t="str" cm="1">
        <f t="array" ref="R211">_xlfn.IFS(AND($A211="thg-beauty",ISNUMBER(SEARCH("liveramp",$C211))),"thg-beauty Liveramp dataset — confirmed safe to delete",$A211="agile-bonbon-662",_xlfn.IFS(LEFT($G211,9)="Tranche 1","Tranche 1: cleared",$C211="Sessions_Level_1_All_Sites","Downstream aggregation of UA raw logs — keep if raw tables go",ISNUMBER(--$C211),"UA raw site logs (account ID) — keep pending audit-retention check",$C211="Emag_Reporting","Legacy but likely needed",$C211="Nutrition_Data_Archived_Tables","Worth keeping",$C211="EU_Data","Static lookup tables — scripts still reference (smoke-test risk)",TRUE,"Review"),OR($A211="thg-influencer",$A211="thg-ingenuity",$A211="thg-central-marketing",$A211="thg-seoclarity"),"HOLD — Charlie Stringer to review before deletion",TRUE,"")</f>
        <v>Review</v>
      </c>
      <c r="S211" t="s">
        <v>1624</v>
      </c>
    </row>
    <row r="212" spans="1:19" ht="45.75" hidden="1">
      <c r="A212" t="s">
        <v>89</v>
      </c>
      <c r="B212" t="s">
        <v>1619</v>
      </c>
      <c r="C212" t="s">
        <v>2036</v>
      </c>
      <c r="D212" s="2" t="s">
        <v>1621</v>
      </c>
      <c r="E212">
        <v>0.2</v>
      </c>
      <c r="F212">
        <v>0</v>
      </c>
      <c r="G212" t="s">
        <v>79</v>
      </c>
      <c r="H212" t="s">
        <v>81</v>
      </c>
      <c r="I212">
        <v>35</v>
      </c>
      <c r="J212">
        <v>235</v>
      </c>
      <c r="K212" s="5">
        <v>46161.61959978009</v>
      </c>
      <c r="M212" s="2" t="s">
        <v>1972</v>
      </c>
      <c r="N212" s="2" t="s">
        <v>1701</v>
      </c>
      <c r="O212" s="5">
        <v>45961.488611261571</v>
      </c>
      <c r="P212" t="str">
        <f>IF($Q212="DELETE",IF($S212="CONFIRMED: NO MODS &gt; 1YR","CONFIRMED: NO MODS &gt; 1YR","DO NOT DELETE — not defensibly confirmed"),IF($Q212="HOLD","DO NOT DELETE — HOLD (Charlie review)",IF($Q212="KEEP","DO NOT DELETE — KEEP",IF(ISNUMBER(SEARCH("REVIEW",$Q212)),"DO NOT DELETE — REVIEW pending",$S212))))</f>
        <v>DO NOT DELETE — REVIEW pending</v>
      </c>
      <c r="Q212" t="str" cm="1">
        <f t="array" ref="Q212">_xlfn.IFS(AND($A212="thg-beauty",ISNUMBER(SEARCH("liveramp",$C212))),"DELETE",$A212="agile-bonbon-662",_xlfn.IFS(LEFT($G212,9)="Tranche 1","DELETE",$C212="Sessions_Level_1_All_Sites","KEEP",ISNUMBER(--$C212),"REVIEW — UA raw logs",$C212="Emag_Reporting","KEEP",$C212="Nutrition_Data_Archived_Tables","KEEP",$C212="EU_Data","KEEP",TRUE,"REVIEW"),OR($A212="thg-influencer",$A212="thg-ingenuity",$A212="thg-central-marketing",$A212="thg-seoclarity"),"HOLD",TRUE,"")</f>
        <v>REVIEW</v>
      </c>
      <c r="R212" t="str" cm="1">
        <f t="array" ref="R212">_xlfn.IFS(AND($A212="thg-beauty",ISNUMBER(SEARCH("liveramp",$C212))),"thg-beauty Liveramp dataset — confirmed safe to delete",$A212="agile-bonbon-662",_xlfn.IFS(LEFT($G212,9)="Tranche 1","Tranche 1: cleared",$C212="Sessions_Level_1_All_Sites","Downstream aggregation of UA raw logs — keep if raw tables go",ISNUMBER(--$C212),"UA raw site logs (account ID) — keep pending audit-retention check",$C212="Emag_Reporting","Legacy but likely needed",$C212="Nutrition_Data_Archived_Tables","Worth keeping",$C212="EU_Data","Static lookup tables — scripts still reference (smoke-test risk)",TRUE,"Review"),OR($A212="thg-influencer",$A212="thg-ingenuity",$A212="thg-central-marketing",$A212="thg-seoclarity"),"HOLD — Charlie Stringer to review before deletion",TRUE,"")</f>
        <v>Review</v>
      </c>
      <c r="S212" t="s">
        <v>1624</v>
      </c>
    </row>
    <row r="213" spans="1:19" ht="76.5" hidden="1">
      <c r="A213" t="s">
        <v>89</v>
      </c>
      <c r="B213" t="s">
        <v>1619</v>
      </c>
      <c r="C213" t="s">
        <v>2037</v>
      </c>
      <c r="D213" s="2" t="s">
        <v>1621</v>
      </c>
      <c r="E213">
        <v>0.2</v>
      </c>
      <c r="F213">
        <v>0</v>
      </c>
      <c r="G213" t="s">
        <v>79</v>
      </c>
      <c r="H213" t="s">
        <v>81</v>
      </c>
      <c r="I213">
        <v>35</v>
      </c>
      <c r="J213">
        <v>154</v>
      </c>
      <c r="K213" s="5">
        <v>46161.581384965277</v>
      </c>
      <c r="L213" s="5">
        <v>46042.701672812502</v>
      </c>
      <c r="M213" s="2" t="s">
        <v>2038</v>
      </c>
      <c r="N213" s="2" t="s">
        <v>2039</v>
      </c>
      <c r="O213" s="5">
        <v>46042.701687199071</v>
      </c>
      <c r="P213" t="str">
        <f>IF($Q213="DELETE",IF($S213="CONFIRMED: NO MODS &gt; 1YR","CONFIRMED: NO MODS &gt; 1YR","DO NOT DELETE — not defensibly confirmed"),IF($Q213="HOLD","DO NOT DELETE — HOLD (Charlie review)",IF($Q213="KEEP","DO NOT DELETE — KEEP",IF(ISNUMBER(SEARCH("REVIEW",$Q213)),"DO NOT DELETE — REVIEW pending",$S213))))</f>
        <v>DO NOT DELETE — REVIEW pending</v>
      </c>
      <c r="Q213" t="str" cm="1">
        <f t="array" ref="Q213">_xlfn.IFS(AND($A213="thg-beauty",ISNUMBER(SEARCH("liveramp",$C213))),"DELETE",$A213="agile-bonbon-662",_xlfn.IFS(LEFT($G213,9)="Tranche 1","DELETE",$C213="Sessions_Level_1_All_Sites","KEEP",ISNUMBER(--$C213),"REVIEW — UA raw logs",$C213="Emag_Reporting","KEEP",$C213="Nutrition_Data_Archived_Tables","KEEP",$C213="EU_Data","KEEP",TRUE,"REVIEW"),OR($A213="thg-influencer",$A213="thg-ingenuity",$A213="thg-central-marketing",$A213="thg-seoclarity"),"HOLD",TRUE,"")</f>
        <v>REVIEW</v>
      </c>
      <c r="R213" t="str" cm="1">
        <f t="array" ref="R213">_xlfn.IFS(AND($A213="thg-beauty",ISNUMBER(SEARCH("liveramp",$C213))),"thg-beauty Liveramp dataset — confirmed safe to delete",$A213="agile-bonbon-662",_xlfn.IFS(LEFT($G213,9)="Tranche 1","Tranche 1: cleared",$C213="Sessions_Level_1_All_Sites","Downstream aggregation of UA raw logs — keep if raw tables go",ISNUMBER(--$C213),"UA raw site logs (account ID) — keep pending audit-retention check",$C213="Emag_Reporting","Legacy but likely needed",$C213="Nutrition_Data_Archived_Tables","Worth keeping",$C213="EU_Data","Static lookup tables — scripts still reference (smoke-test risk)",TRUE,"Review"),OR($A213="thg-influencer",$A213="thg-ingenuity",$A213="thg-central-marketing",$A213="thg-seoclarity"),"HOLD — Charlie Stringer to review before deletion",TRUE,"")</f>
        <v>Review</v>
      </c>
      <c r="S213" t="s">
        <v>1624</v>
      </c>
    </row>
    <row r="214" spans="1:19" ht="45.75" hidden="1">
      <c r="A214" t="s">
        <v>89</v>
      </c>
      <c r="B214" t="s">
        <v>1619</v>
      </c>
      <c r="C214" t="s">
        <v>2040</v>
      </c>
      <c r="D214" s="2" t="s">
        <v>1621</v>
      </c>
      <c r="E214">
        <v>0.16</v>
      </c>
      <c r="F214">
        <v>0</v>
      </c>
      <c r="G214" t="s">
        <v>79</v>
      </c>
      <c r="H214" t="s">
        <v>81</v>
      </c>
      <c r="I214">
        <v>35</v>
      </c>
      <c r="J214">
        <v>300</v>
      </c>
      <c r="K214" s="5">
        <v>46161.608975590279</v>
      </c>
      <c r="M214" s="2" t="s">
        <v>2027</v>
      </c>
      <c r="N214" s="2" t="s">
        <v>1701</v>
      </c>
      <c r="O214" s="5">
        <v>45897.411348981477</v>
      </c>
      <c r="P214" t="str">
        <f>IF($Q214="DELETE",IF($S214="CONFIRMED: NO MODS &gt; 1YR","CONFIRMED: NO MODS &gt; 1YR","DO NOT DELETE — not defensibly confirmed"),IF($Q214="HOLD","DO NOT DELETE — HOLD (Charlie review)",IF($Q214="KEEP","DO NOT DELETE — KEEP",IF(ISNUMBER(SEARCH("REVIEW",$Q214)),"DO NOT DELETE — REVIEW pending",$S214))))</f>
        <v>DO NOT DELETE — REVIEW pending</v>
      </c>
      <c r="Q214" t="str" cm="1">
        <f t="array" ref="Q214">_xlfn.IFS(AND($A214="thg-beauty",ISNUMBER(SEARCH("liveramp",$C214))),"DELETE",$A214="agile-bonbon-662",_xlfn.IFS(LEFT($G214,9)="Tranche 1","DELETE",$C214="Sessions_Level_1_All_Sites","KEEP",ISNUMBER(--$C214),"REVIEW — UA raw logs",$C214="Emag_Reporting","KEEP",$C214="Nutrition_Data_Archived_Tables","KEEP",$C214="EU_Data","KEEP",TRUE,"REVIEW"),OR($A214="thg-influencer",$A214="thg-ingenuity",$A214="thg-central-marketing",$A214="thg-seoclarity"),"HOLD",TRUE,"")</f>
        <v>REVIEW</v>
      </c>
      <c r="R214" t="str" cm="1">
        <f t="array" ref="R214">_xlfn.IFS(AND($A214="thg-beauty",ISNUMBER(SEARCH("liveramp",$C214))),"thg-beauty Liveramp dataset — confirmed safe to delete",$A214="agile-bonbon-662",_xlfn.IFS(LEFT($G214,9)="Tranche 1","Tranche 1: cleared",$C214="Sessions_Level_1_All_Sites","Downstream aggregation of UA raw logs — keep if raw tables go",ISNUMBER(--$C214),"UA raw site logs (account ID) — keep pending audit-retention check",$C214="Emag_Reporting","Legacy but likely needed",$C214="Nutrition_Data_Archived_Tables","Worth keeping",$C214="EU_Data","Static lookup tables — scripts still reference (smoke-test risk)",TRUE,"Review"),OR($A214="thg-influencer",$A214="thg-ingenuity",$A214="thg-central-marketing",$A214="thg-seoclarity"),"HOLD — Charlie Stringer to review before deletion",TRUE,"")</f>
        <v>Review</v>
      </c>
      <c r="S214" t="s">
        <v>1624</v>
      </c>
    </row>
    <row r="215" spans="1:19" ht="45.75" hidden="1">
      <c r="A215" t="s">
        <v>89</v>
      </c>
      <c r="B215" t="s">
        <v>1619</v>
      </c>
      <c r="C215" t="s">
        <v>2041</v>
      </c>
      <c r="D215" s="2" t="s">
        <v>1621</v>
      </c>
      <c r="E215">
        <v>0.14000000000000001</v>
      </c>
      <c r="F215">
        <v>0</v>
      </c>
      <c r="G215" t="s">
        <v>79</v>
      </c>
      <c r="H215" t="s">
        <v>81</v>
      </c>
      <c r="I215">
        <v>35</v>
      </c>
      <c r="J215">
        <v>298</v>
      </c>
      <c r="K215" s="5">
        <v>46161.619226793977</v>
      </c>
      <c r="M215" s="2" t="s">
        <v>1981</v>
      </c>
      <c r="N215" s="2" t="s">
        <v>1701</v>
      </c>
      <c r="O215" s="5">
        <v>45899.356772974526</v>
      </c>
      <c r="P215" t="str">
        <f>IF($Q215="DELETE",IF($S215="CONFIRMED: NO MODS &gt; 1YR","CONFIRMED: NO MODS &gt; 1YR","DO NOT DELETE — not defensibly confirmed"),IF($Q215="HOLD","DO NOT DELETE — HOLD (Charlie review)",IF($Q215="KEEP","DO NOT DELETE — KEEP",IF(ISNUMBER(SEARCH("REVIEW",$Q215)),"DO NOT DELETE — REVIEW pending",$S215))))</f>
        <v>DO NOT DELETE — REVIEW pending</v>
      </c>
      <c r="Q215" t="str" cm="1">
        <f t="array" ref="Q215">_xlfn.IFS(AND($A215="thg-beauty",ISNUMBER(SEARCH("liveramp",$C215))),"DELETE",$A215="agile-bonbon-662",_xlfn.IFS(LEFT($G215,9)="Tranche 1","DELETE",$C215="Sessions_Level_1_All_Sites","KEEP",ISNUMBER(--$C215),"REVIEW — UA raw logs",$C215="Emag_Reporting","KEEP",$C215="Nutrition_Data_Archived_Tables","KEEP",$C215="EU_Data","KEEP",TRUE,"REVIEW"),OR($A215="thg-influencer",$A215="thg-ingenuity",$A215="thg-central-marketing",$A215="thg-seoclarity"),"HOLD",TRUE,"")</f>
        <v>REVIEW</v>
      </c>
      <c r="R215" t="str" cm="1">
        <f t="array" ref="R215">_xlfn.IFS(AND($A215="thg-beauty",ISNUMBER(SEARCH("liveramp",$C215))),"thg-beauty Liveramp dataset — confirmed safe to delete",$A215="agile-bonbon-662",_xlfn.IFS(LEFT($G215,9)="Tranche 1","Tranche 1: cleared",$C215="Sessions_Level_1_All_Sites","Downstream aggregation of UA raw logs — keep if raw tables go",ISNUMBER(--$C215),"UA raw site logs (account ID) — keep pending audit-retention check",$C215="Emag_Reporting","Legacy but likely needed",$C215="Nutrition_Data_Archived_Tables","Worth keeping",$C215="EU_Data","Static lookup tables — scripts still reference (smoke-test risk)",TRUE,"Review"),OR($A215="thg-influencer",$A215="thg-ingenuity",$A215="thg-central-marketing",$A215="thg-seoclarity"),"HOLD — Charlie Stringer to review before deletion",TRUE,"")</f>
        <v>Review</v>
      </c>
      <c r="S215" t="s">
        <v>1624</v>
      </c>
    </row>
    <row r="216" spans="1:19" ht="45.75" hidden="1">
      <c r="A216" t="s">
        <v>89</v>
      </c>
      <c r="B216" t="s">
        <v>1619</v>
      </c>
      <c r="C216" t="s">
        <v>2042</v>
      </c>
      <c r="D216" s="2" t="s">
        <v>1621</v>
      </c>
      <c r="E216">
        <v>0.14000000000000001</v>
      </c>
      <c r="F216">
        <v>0</v>
      </c>
      <c r="G216" t="s">
        <v>79</v>
      </c>
      <c r="H216" t="s">
        <v>81</v>
      </c>
      <c r="I216">
        <v>35</v>
      </c>
      <c r="J216">
        <v>288</v>
      </c>
      <c r="K216" s="5">
        <v>46161.618542523152</v>
      </c>
      <c r="M216" s="2" t="s">
        <v>1945</v>
      </c>
      <c r="N216" s="2" t="s">
        <v>1701</v>
      </c>
      <c r="O216" s="5">
        <v>45909.387705011577</v>
      </c>
      <c r="P216" t="str">
        <f>IF($Q216="DELETE",IF($S216="CONFIRMED: NO MODS &gt; 1YR","CONFIRMED: NO MODS &gt; 1YR","DO NOT DELETE — not defensibly confirmed"),IF($Q216="HOLD","DO NOT DELETE — HOLD (Charlie review)",IF($Q216="KEEP","DO NOT DELETE — KEEP",IF(ISNUMBER(SEARCH("REVIEW",$Q216)),"DO NOT DELETE — REVIEW pending",$S216))))</f>
        <v>DO NOT DELETE — REVIEW pending</v>
      </c>
      <c r="Q216" t="str" cm="1">
        <f t="array" ref="Q216">_xlfn.IFS(AND($A216="thg-beauty",ISNUMBER(SEARCH("liveramp",$C216))),"DELETE",$A216="agile-bonbon-662",_xlfn.IFS(LEFT($G216,9)="Tranche 1","DELETE",$C216="Sessions_Level_1_All_Sites","KEEP",ISNUMBER(--$C216),"REVIEW — UA raw logs",$C216="Emag_Reporting","KEEP",$C216="Nutrition_Data_Archived_Tables","KEEP",$C216="EU_Data","KEEP",TRUE,"REVIEW"),OR($A216="thg-influencer",$A216="thg-ingenuity",$A216="thg-central-marketing",$A216="thg-seoclarity"),"HOLD",TRUE,"")</f>
        <v>REVIEW</v>
      </c>
      <c r="R216" t="str" cm="1">
        <f t="array" ref="R216">_xlfn.IFS(AND($A216="thg-beauty",ISNUMBER(SEARCH("liveramp",$C216))),"thg-beauty Liveramp dataset — confirmed safe to delete",$A216="agile-bonbon-662",_xlfn.IFS(LEFT($G216,9)="Tranche 1","Tranche 1: cleared",$C216="Sessions_Level_1_All_Sites","Downstream aggregation of UA raw logs — keep if raw tables go",ISNUMBER(--$C216),"UA raw site logs (account ID) — keep pending audit-retention check",$C216="Emag_Reporting","Legacy but likely needed",$C216="Nutrition_Data_Archived_Tables","Worth keeping",$C216="EU_Data","Static lookup tables — scripts still reference (smoke-test risk)",TRUE,"Review"),OR($A216="thg-influencer",$A216="thg-ingenuity",$A216="thg-central-marketing",$A216="thg-seoclarity"),"HOLD — Charlie Stringer to review before deletion",TRUE,"")</f>
        <v>Review</v>
      </c>
      <c r="S216" t="s">
        <v>1624</v>
      </c>
    </row>
    <row r="217" spans="1:19" ht="76.5" hidden="1">
      <c r="A217" t="s">
        <v>89</v>
      </c>
      <c r="B217" t="s">
        <v>1619</v>
      </c>
      <c r="C217" t="s">
        <v>2043</v>
      </c>
      <c r="D217" s="2" t="s">
        <v>1621</v>
      </c>
      <c r="E217">
        <v>0.04</v>
      </c>
      <c r="F217">
        <v>0</v>
      </c>
      <c r="G217" t="s">
        <v>79</v>
      </c>
      <c r="H217" t="s">
        <v>81</v>
      </c>
      <c r="I217">
        <v>35</v>
      </c>
      <c r="J217">
        <v>89</v>
      </c>
      <c r="K217" s="5">
        <v>46161.580472106492</v>
      </c>
      <c r="L217" s="5">
        <v>46107.696761053237</v>
      </c>
      <c r="M217" s="2" t="s">
        <v>2044</v>
      </c>
      <c r="N217" s="2" t="s">
        <v>2045</v>
      </c>
      <c r="O217" s="5">
        <v>46107.696778182872</v>
      </c>
      <c r="P217" t="str">
        <f>IF($Q217="DELETE",IF($S217="CONFIRMED: NO MODS &gt; 1YR","CONFIRMED: NO MODS &gt; 1YR","DO NOT DELETE — not defensibly confirmed"),IF($Q217="HOLD","DO NOT DELETE — HOLD (Charlie review)",IF($Q217="KEEP","DO NOT DELETE — KEEP",IF(ISNUMBER(SEARCH("REVIEW",$Q217)),"DO NOT DELETE — REVIEW pending",$S217))))</f>
        <v>DO NOT DELETE — REVIEW pending</v>
      </c>
      <c r="Q217" t="str" cm="1">
        <f t="array" ref="Q217">_xlfn.IFS(AND($A217="thg-beauty",ISNUMBER(SEARCH("liveramp",$C217))),"DELETE",$A217="agile-bonbon-662",_xlfn.IFS(LEFT($G217,9)="Tranche 1","DELETE",$C217="Sessions_Level_1_All_Sites","KEEP",ISNUMBER(--$C217),"REVIEW — UA raw logs",$C217="Emag_Reporting","KEEP",$C217="Nutrition_Data_Archived_Tables","KEEP",$C217="EU_Data","KEEP",TRUE,"REVIEW"),OR($A217="thg-influencer",$A217="thg-ingenuity",$A217="thg-central-marketing",$A217="thg-seoclarity"),"HOLD",TRUE,"")</f>
        <v>REVIEW</v>
      </c>
      <c r="R217" t="str" cm="1">
        <f t="array" ref="R217">_xlfn.IFS(AND($A217="thg-beauty",ISNUMBER(SEARCH("liveramp",$C217))),"thg-beauty Liveramp dataset — confirmed safe to delete",$A217="agile-bonbon-662",_xlfn.IFS(LEFT($G217,9)="Tranche 1","Tranche 1: cleared",$C217="Sessions_Level_1_All_Sites","Downstream aggregation of UA raw logs — keep if raw tables go",ISNUMBER(--$C217),"UA raw site logs (account ID) — keep pending audit-retention check",$C217="Emag_Reporting","Legacy but likely needed",$C217="Nutrition_Data_Archived_Tables","Worth keeping",$C217="EU_Data","Static lookup tables — scripts still reference (smoke-test risk)",TRUE,"Review"),OR($A217="thg-influencer",$A217="thg-ingenuity",$A217="thg-central-marketing",$A217="thg-seoclarity"),"HOLD — Charlie Stringer to review before deletion",TRUE,"")</f>
        <v>Review</v>
      </c>
      <c r="S217" t="s">
        <v>1624</v>
      </c>
    </row>
    <row r="218" spans="1:19" ht="45.75" hidden="1">
      <c r="A218" t="s">
        <v>89</v>
      </c>
      <c r="B218" t="s">
        <v>1619</v>
      </c>
      <c r="C218" t="s">
        <v>2046</v>
      </c>
      <c r="D218" s="2" t="s">
        <v>1621</v>
      </c>
      <c r="E218">
        <v>0.02</v>
      </c>
      <c r="F218">
        <v>0</v>
      </c>
      <c r="G218" t="s">
        <v>79</v>
      </c>
      <c r="H218" t="s">
        <v>81</v>
      </c>
      <c r="I218">
        <v>35</v>
      </c>
      <c r="J218">
        <v>230</v>
      </c>
      <c r="K218" s="5">
        <v>46161.607896909722</v>
      </c>
      <c r="M218" s="2" t="s">
        <v>2047</v>
      </c>
      <c r="N218" s="2" t="s">
        <v>1701</v>
      </c>
      <c r="O218" s="5">
        <v>45967.144072164352</v>
      </c>
      <c r="P218" t="str">
        <f>IF($Q218="DELETE",IF($S218="CONFIRMED: NO MODS &gt; 1YR","CONFIRMED: NO MODS &gt; 1YR","DO NOT DELETE — not defensibly confirmed"),IF($Q218="HOLD","DO NOT DELETE — HOLD (Charlie review)",IF($Q218="KEEP","DO NOT DELETE — KEEP",IF(ISNUMBER(SEARCH("REVIEW",$Q218)),"DO NOT DELETE — REVIEW pending",$S218))))</f>
        <v>DO NOT DELETE — REVIEW pending</v>
      </c>
      <c r="Q218" t="str" cm="1">
        <f t="array" ref="Q218">_xlfn.IFS(AND($A218="thg-beauty",ISNUMBER(SEARCH("liveramp",$C218))),"DELETE",$A218="agile-bonbon-662",_xlfn.IFS(LEFT($G218,9)="Tranche 1","DELETE",$C218="Sessions_Level_1_All_Sites","KEEP",ISNUMBER(--$C218),"REVIEW — UA raw logs",$C218="Emag_Reporting","KEEP",$C218="Nutrition_Data_Archived_Tables","KEEP",$C218="EU_Data","KEEP",TRUE,"REVIEW"),OR($A218="thg-influencer",$A218="thg-ingenuity",$A218="thg-central-marketing",$A218="thg-seoclarity"),"HOLD",TRUE,"")</f>
        <v>REVIEW</v>
      </c>
      <c r="R218" t="str" cm="1">
        <f t="array" ref="R218">_xlfn.IFS(AND($A218="thg-beauty",ISNUMBER(SEARCH("liveramp",$C218))),"thg-beauty Liveramp dataset — confirmed safe to delete",$A218="agile-bonbon-662",_xlfn.IFS(LEFT($G218,9)="Tranche 1","Tranche 1: cleared",$C218="Sessions_Level_1_All_Sites","Downstream aggregation of UA raw logs — keep if raw tables go",ISNUMBER(--$C218),"UA raw site logs (account ID) — keep pending audit-retention check",$C218="Emag_Reporting","Legacy but likely needed",$C218="Nutrition_Data_Archived_Tables","Worth keeping",$C218="EU_Data","Static lookup tables — scripts still reference (smoke-test risk)",TRUE,"Review"),OR($A218="thg-influencer",$A218="thg-ingenuity",$A218="thg-central-marketing",$A218="thg-seoclarity"),"HOLD — Charlie Stringer to review before deletion",TRUE,"")</f>
        <v>Review</v>
      </c>
      <c r="S218" t="s">
        <v>1624</v>
      </c>
    </row>
    <row r="219" spans="1:19" ht="30.75" hidden="1">
      <c r="A219" t="s">
        <v>89</v>
      </c>
      <c r="B219" t="s">
        <v>1619</v>
      </c>
      <c r="C219" t="s">
        <v>2048</v>
      </c>
      <c r="D219" s="2" t="s">
        <v>1621</v>
      </c>
      <c r="E219">
        <v>0.01</v>
      </c>
      <c r="F219">
        <v>0</v>
      </c>
      <c r="G219" t="s">
        <v>79</v>
      </c>
      <c r="H219" t="s">
        <v>81</v>
      </c>
      <c r="I219">
        <v>35</v>
      </c>
      <c r="J219">
        <v>49</v>
      </c>
      <c r="K219" s="5">
        <v>46161.604633657407</v>
      </c>
      <c r="L219" s="5">
        <v>46147.477628703702</v>
      </c>
      <c r="M219" s="2" t="s">
        <v>2049</v>
      </c>
      <c r="N219" s="2" t="s">
        <v>2050</v>
      </c>
      <c r="O219" s="5">
        <v>46147.477637662043</v>
      </c>
      <c r="P219" t="str">
        <f>IF($Q219="DELETE",IF($S219="CONFIRMED: NO MODS &gt; 1YR","CONFIRMED: NO MODS &gt; 1YR","DO NOT DELETE — not defensibly confirmed"),IF($Q219="HOLD","DO NOT DELETE — HOLD (Charlie review)",IF($Q219="KEEP","DO NOT DELETE — KEEP",IF(ISNUMBER(SEARCH("REVIEW",$Q219)),"DO NOT DELETE — REVIEW pending",$S219))))</f>
        <v>DO NOT DELETE — REVIEW pending</v>
      </c>
      <c r="Q219" t="str" cm="1">
        <f t="array" ref="Q219">_xlfn.IFS(AND($A219="thg-beauty",ISNUMBER(SEARCH("liveramp",$C219))),"DELETE",$A219="agile-bonbon-662",_xlfn.IFS(LEFT($G219,9)="Tranche 1","DELETE",$C219="Sessions_Level_1_All_Sites","KEEP",ISNUMBER(--$C219),"REVIEW — UA raw logs",$C219="Emag_Reporting","KEEP",$C219="Nutrition_Data_Archived_Tables","KEEP",$C219="EU_Data","KEEP",TRUE,"REVIEW"),OR($A219="thg-influencer",$A219="thg-ingenuity",$A219="thg-central-marketing",$A219="thg-seoclarity"),"HOLD",TRUE,"")</f>
        <v>REVIEW</v>
      </c>
      <c r="R219" t="str" cm="1">
        <f t="array" ref="R219">_xlfn.IFS(AND($A219="thg-beauty",ISNUMBER(SEARCH("liveramp",$C219))),"thg-beauty Liveramp dataset — confirmed safe to delete",$A219="agile-bonbon-662",_xlfn.IFS(LEFT($G219,9)="Tranche 1","Tranche 1: cleared",$C219="Sessions_Level_1_All_Sites","Downstream aggregation of UA raw logs — keep if raw tables go",ISNUMBER(--$C219),"UA raw site logs (account ID) — keep pending audit-retention check",$C219="Emag_Reporting","Legacy but likely needed",$C219="Nutrition_Data_Archived_Tables","Worth keeping",$C219="EU_Data","Static lookup tables — scripts still reference (smoke-test risk)",TRUE,"Review"),OR($A219="thg-influencer",$A219="thg-ingenuity",$A219="thg-central-marketing",$A219="thg-seoclarity"),"HOLD — Charlie Stringer to review before deletion",TRUE,"")</f>
        <v>Review</v>
      </c>
      <c r="S219" t="s">
        <v>1624</v>
      </c>
    </row>
    <row r="220" spans="1:19" ht="45.75" hidden="1">
      <c r="A220" t="s">
        <v>89</v>
      </c>
      <c r="B220" t="s">
        <v>1619</v>
      </c>
      <c r="C220" t="s">
        <v>2051</v>
      </c>
      <c r="D220" s="2" t="s">
        <v>1621</v>
      </c>
      <c r="E220">
        <v>0.01</v>
      </c>
      <c r="F220">
        <v>0</v>
      </c>
      <c r="G220" t="s">
        <v>79</v>
      </c>
      <c r="H220" t="s">
        <v>81</v>
      </c>
      <c r="I220">
        <v>35</v>
      </c>
      <c r="J220">
        <v>249</v>
      </c>
      <c r="K220" s="5">
        <v>46161.609561585647</v>
      </c>
      <c r="M220" s="2" t="s">
        <v>2052</v>
      </c>
      <c r="N220" s="2" t="s">
        <v>1701</v>
      </c>
      <c r="O220" s="5">
        <v>45948.38457681713</v>
      </c>
      <c r="P220" t="str">
        <f>IF($Q220="DELETE",IF($S220="CONFIRMED: NO MODS &gt; 1YR","CONFIRMED: NO MODS &gt; 1YR","DO NOT DELETE — not defensibly confirmed"),IF($Q220="HOLD","DO NOT DELETE — HOLD (Charlie review)",IF($Q220="KEEP","DO NOT DELETE — KEEP",IF(ISNUMBER(SEARCH("REVIEW",$Q220)),"DO NOT DELETE — REVIEW pending",$S220))))</f>
        <v>DO NOT DELETE — REVIEW pending</v>
      </c>
      <c r="Q220" t="str" cm="1">
        <f t="array" ref="Q220">_xlfn.IFS(AND($A220="thg-beauty",ISNUMBER(SEARCH("liveramp",$C220))),"DELETE",$A220="agile-bonbon-662",_xlfn.IFS(LEFT($G220,9)="Tranche 1","DELETE",$C220="Sessions_Level_1_All_Sites","KEEP",ISNUMBER(--$C220),"REVIEW — UA raw logs",$C220="Emag_Reporting","KEEP",$C220="Nutrition_Data_Archived_Tables","KEEP",$C220="EU_Data","KEEP",TRUE,"REVIEW"),OR($A220="thg-influencer",$A220="thg-ingenuity",$A220="thg-central-marketing",$A220="thg-seoclarity"),"HOLD",TRUE,"")</f>
        <v>REVIEW</v>
      </c>
      <c r="R220" t="str" cm="1">
        <f t="array" ref="R220">_xlfn.IFS(AND($A220="thg-beauty",ISNUMBER(SEARCH("liveramp",$C220))),"thg-beauty Liveramp dataset — confirmed safe to delete",$A220="agile-bonbon-662",_xlfn.IFS(LEFT($G220,9)="Tranche 1","Tranche 1: cleared",$C220="Sessions_Level_1_All_Sites","Downstream aggregation of UA raw logs — keep if raw tables go",ISNUMBER(--$C220),"UA raw site logs (account ID) — keep pending audit-retention check",$C220="Emag_Reporting","Legacy but likely needed",$C220="Nutrition_Data_Archived_Tables","Worth keeping",$C220="EU_Data","Static lookup tables — scripts still reference (smoke-test risk)",TRUE,"Review"),OR($A220="thg-influencer",$A220="thg-ingenuity",$A220="thg-central-marketing",$A220="thg-seoclarity"),"HOLD — Charlie Stringer to review before deletion",TRUE,"")</f>
        <v>Review</v>
      </c>
      <c r="S220" t="s">
        <v>1624</v>
      </c>
    </row>
    <row r="221" spans="1:19" ht="76.5" hidden="1">
      <c r="A221" t="s">
        <v>89</v>
      </c>
      <c r="B221" t="s">
        <v>1619</v>
      </c>
      <c r="C221" t="s">
        <v>2053</v>
      </c>
      <c r="D221" s="2" t="s">
        <v>1621</v>
      </c>
      <c r="E221">
        <v>0.01</v>
      </c>
      <c r="F221">
        <v>0</v>
      </c>
      <c r="G221" t="s">
        <v>79</v>
      </c>
      <c r="H221" t="s">
        <v>81</v>
      </c>
      <c r="I221">
        <v>35</v>
      </c>
      <c r="J221">
        <v>168</v>
      </c>
      <c r="K221" s="5">
        <v>46161.579904062499</v>
      </c>
      <c r="L221" s="5">
        <v>46028.706999629627</v>
      </c>
      <c r="M221" s="2" t="s">
        <v>2054</v>
      </c>
      <c r="N221" s="2" t="s">
        <v>2055</v>
      </c>
      <c r="O221" s="5">
        <v>46028.707016504632</v>
      </c>
      <c r="P221" t="str">
        <f>IF($Q221="DELETE",IF($S221="CONFIRMED: NO MODS &gt; 1YR","CONFIRMED: NO MODS &gt; 1YR","DO NOT DELETE — not defensibly confirmed"),IF($Q221="HOLD","DO NOT DELETE — HOLD (Charlie review)",IF($Q221="KEEP","DO NOT DELETE — KEEP",IF(ISNUMBER(SEARCH("REVIEW",$Q221)),"DO NOT DELETE — REVIEW pending",$S221))))</f>
        <v>DO NOT DELETE — REVIEW pending</v>
      </c>
      <c r="Q221" t="str" cm="1">
        <f t="array" ref="Q221">_xlfn.IFS(AND($A221="thg-beauty",ISNUMBER(SEARCH("liveramp",$C221))),"DELETE",$A221="agile-bonbon-662",_xlfn.IFS(LEFT($G221,9)="Tranche 1","DELETE",$C221="Sessions_Level_1_All_Sites","KEEP",ISNUMBER(--$C221),"REVIEW — UA raw logs",$C221="Emag_Reporting","KEEP",$C221="Nutrition_Data_Archived_Tables","KEEP",$C221="EU_Data","KEEP",TRUE,"REVIEW"),OR($A221="thg-influencer",$A221="thg-ingenuity",$A221="thg-central-marketing",$A221="thg-seoclarity"),"HOLD",TRUE,"")</f>
        <v>REVIEW</v>
      </c>
      <c r="R221" t="str" cm="1">
        <f t="array" ref="R221">_xlfn.IFS(AND($A221="thg-beauty",ISNUMBER(SEARCH("liveramp",$C221))),"thg-beauty Liveramp dataset — confirmed safe to delete",$A221="agile-bonbon-662",_xlfn.IFS(LEFT($G221,9)="Tranche 1","Tranche 1: cleared",$C221="Sessions_Level_1_All_Sites","Downstream aggregation of UA raw logs — keep if raw tables go",ISNUMBER(--$C221),"UA raw site logs (account ID) — keep pending audit-retention check",$C221="Emag_Reporting","Legacy but likely needed",$C221="Nutrition_Data_Archived_Tables","Worth keeping",$C221="EU_Data","Static lookup tables — scripts still reference (smoke-test risk)",TRUE,"Review"),OR($A221="thg-influencer",$A221="thg-ingenuity",$A221="thg-central-marketing",$A221="thg-seoclarity"),"HOLD — Charlie Stringer to review before deletion",TRUE,"")</f>
        <v>Review</v>
      </c>
      <c r="S221" t="s">
        <v>1624</v>
      </c>
    </row>
    <row r="222" spans="1:19" ht="45.75" hidden="1">
      <c r="A222" t="s">
        <v>89</v>
      </c>
      <c r="B222" t="s">
        <v>1619</v>
      </c>
      <c r="C222" t="s">
        <v>2056</v>
      </c>
      <c r="D222" s="2" t="s">
        <v>1621</v>
      </c>
      <c r="E222">
        <v>0</v>
      </c>
      <c r="F222">
        <v>0</v>
      </c>
      <c r="G222" t="s">
        <v>79</v>
      </c>
      <c r="H222" t="s">
        <v>81</v>
      </c>
      <c r="I222">
        <v>35</v>
      </c>
      <c r="J222">
        <v>355</v>
      </c>
      <c r="K222" s="5">
        <v>46161.604144976853</v>
      </c>
      <c r="M222" s="2" t="s">
        <v>1994</v>
      </c>
      <c r="N222" s="2" t="s">
        <v>1701</v>
      </c>
      <c r="O222" s="5">
        <v>45842.239688333328</v>
      </c>
      <c r="P222" t="str">
        <f>IF($Q222="DELETE",IF($S222="CONFIRMED: NO MODS &gt; 1YR","CONFIRMED: NO MODS &gt; 1YR","DO NOT DELETE — not defensibly confirmed"),IF($Q222="HOLD","DO NOT DELETE — HOLD (Charlie review)",IF($Q222="KEEP","DO NOT DELETE — KEEP",IF(ISNUMBER(SEARCH("REVIEW",$Q222)),"DO NOT DELETE — REVIEW pending",$S222))))</f>
        <v>DO NOT DELETE — REVIEW pending</v>
      </c>
      <c r="Q222" t="str" cm="1">
        <f t="array" ref="Q222">_xlfn.IFS(AND($A222="thg-beauty",ISNUMBER(SEARCH("liveramp",$C222))),"DELETE",$A222="agile-bonbon-662",_xlfn.IFS(LEFT($G222,9)="Tranche 1","DELETE",$C222="Sessions_Level_1_All_Sites","KEEP",ISNUMBER(--$C222),"REVIEW — UA raw logs",$C222="Emag_Reporting","KEEP",$C222="Nutrition_Data_Archived_Tables","KEEP",$C222="EU_Data","KEEP",TRUE,"REVIEW"),OR($A222="thg-influencer",$A222="thg-ingenuity",$A222="thg-central-marketing",$A222="thg-seoclarity"),"HOLD",TRUE,"")</f>
        <v>REVIEW</v>
      </c>
      <c r="R222" t="str" cm="1">
        <f t="array" ref="R222">_xlfn.IFS(AND($A222="thg-beauty",ISNUMBER(SEARCH("liveramp",$C222))),"thg-beauty Liveramp dataset — confirmed safe to delete",$A222="agile-bonbon-662",_xlfn.IFS(LEFT($G222,9)="Tranche 1","Tranche 1: cleared",$C222="Sessions_Level_1_All_Sites","Downstream aggregation of UA raw logs — keep if raw tables go",ISNUMBER(--$C222),"UA raw site logs (account ID) — keep pending audit-retention check",$C222="Emag_Reporting","Legacy but likely needed",$C222="Nutrition_Data_Archived_Tables","Worth keeping",$C222="EU_Data","Static lookup tables — scripts still reference (smoke-test risk)",TRUE,"Review"),OR($A222="thg-influencer",$A222="thg-ingenuity",$A222="thg-central-marketing",$A222="thg-seoclarity"),"HOLD — Charlie Stringer to review before deletion",TRUE,"")</f>
        <v>Review</v>
      </c>
      <c r="S222" t="s">
        <v>1624</v>
      </c>
    </row>
    <row r="223" spans="1:19" ht="45.75" hidden="1">
      <c r="A223" t="s">
        <v>89</v>
      </c>
      <c r="B223" t="s">
        <v>1619</v>
      </c>
      <c r="C223" t="s">
        <v>2057</v>
      </c>
      <c r="D223" s="2" t="s">
        <v>1621</v>
      </c>
      <c r="E223">
        <v>0</v>
      </c>
      <c r="F223">
        <v>0</v>
      </c>
      <c r="G223" t="s">
        <v>79</v>
      </c>
      <c r="H223" t="s">
        <v>81</v>
      </c>
      <c r="I223">
        <v>35</v>
      </c>
      <c r="K223" s="5">
        <v>46161.610756921298</v>
      </c>
      <c r="M223" s="2" t="s">
        <v>2058</v>
      </c>
      <c r="N223" s="2" t="s">
        <v>1701</v>
      </c>
      <c r="P223" t="str">
        <f>IF($Q223="DELETE",IF($S223="CONFIRMED: NO MODS &gt; 1YR","CONFIRMED: NO MODS &gt; 1YR","DO NOT DELETE — not defensibly confirmed"),IF($Q223="HOLD","DO NOT DELETE — HOLD (Charlie review)",IF($Q223="KEEP","DO NOT DELETE — KEEP",IF(ISNUMBER(SEARCH("REVIEW",$Q223)),"DO NOT DELETE — REVIEW pending",$S223))))</f>
        <v>DO NOT DELETE — REVIEW pending</v>
      </c>
      <c r="Q223" t="str" cm="1">
        <f t="array" ref="Q223">_xlfn.IFS(AND($A223="thg-beauty",ISNUMBER(SEARCH("liveramp",$C223))),"DELETE",$A223="agile-bonbon-662",_xlfn.IFS(LEFT($G223,9)="Tranche 1","DELETE",$C223="Sessions_Level_1_All_Sites","KEEP",ISNUMBER(--$C223),"REVIEW — UA raw logs",$C223="Emag_Reporting","KEEP",$C223="Nutrition_Data_Archived_Tables","KEEP",$C223="EU_Data","KEEP",TRUE,"REVIEW"),OR($A223="thg-influencer",$A223="thg-ingenuity",$A223="thg-central-marketing",$A223="thg-seoclarity"),"HOLD",TRUE,"")</f>
        <v>REVIEW</v>
      </c>
      <c r="R223" t="str" cm="1">
        <f t="array" ref="R223">_xlfn.IFS(AND($A223="thg-beauty",ISNUMBER(SEARCH("liveramp",$C223))),"thg-beauty Liveramp dataset — confirmed safe to delete",$A223="agile-bonbon-662",_xlfn.IFS(LEFT($G223,9)="Tranche 1","Tranche 1: cleared",$C223="Sessions_Level_1_All_Sites","Downstream aggregation of UA raw logs — keep if raw tables go",ISNUMBER(--$C223),"UA raw site logs (account ID) — keep pending audit-retention check",$C223="Emag_Reporting","Legacy but likely needed",$C223="Nutrition_Data_Archived_Tables","Worth keeping",$C223="EU_Data","Static lookup tables — scripts still reference (smoke-test risk)",TRUE,"Review"),OR($A223="thg-influencer",$A223="thg-ingenuity",$A223="thg-central-marketing",$A223="thg-seoclarity"),"HOLD — Charlie Stringer to review before deletion",TRUE,"")</f>
        <v>Review</v>
      </c>
      <c r="S223" t="s">
        <v>1624</v>
      </c>
    </row>
    <row r="224" spans="1:19" ht="45.75" hidden="1">
      <c r="A224" t="s">
        <v>89</v>
      </c>
      <c r="B224" t="s">
        <v>1619</v>
      </c>
      <c r="C224" t="s">
        <v>2059</v>
      </c>
      <c r="D224" s="2" t="s">
        <v>1621</v>
      </c>
      <c r="E224">
        <v>0</v>
      </c>
      <c r="F224">
        <v>0</v>
      </c>
      <c r="G224" t="s">
        <v>79</v>
      </c>
      <c r="H224" t="s">
        <v>81</v>
      </c>
      <c r="I224">
        <v>35</v>
      </c>
      <c r="K224" s="5">
        <v>46161.606841342589</v>
      </c>
      <c r="M224" s="2" t="s">
        <v>2060</v>
      </c>
      <c r="N224" s="2" t="s">
        <v>1701</v>
      </c>
      <c r="P224" t="str">
        <f>IF($Q224="DELETE",IF($S224="CONFIRMED: NO MODS &gt; 1YR","CONFIRMED: NO MODS &gt; 1YR","DO NOT DELETE — not defensibly confirmed"),IF($Q224="HOLD","DO NOT DELETE — HOLD (Charlie review)",IF($Q224="KEEP","DO NOT DELETE — KEEP",IF(ISNUMBER(SEARCH("REVIEW",$Q224)),"DO NOT DELETE — REVIEW pending",$S224))))</f>
        <v>DO NOT DELETE — REVIEW pending</v>
      </c>
      <c r="Q224" t="str" cm="1">
        <f t="array" ref="Q224">_xlfn.IFS(AND($A224="thg-beauty",ISNUMBER(SEARCH("liveramp",$C224))),"DELETE",$A224="agile-bonbon-662",_xlfn.IFS(LEFT($G224,9)="Tranche 1","DELETE",$C224="Sessions_Level_1_All_Sites","KEEP",ISNUMBER(--$C224),"REVIEW — UA raw logs",$C224="Emag_Reporting","KEEP",$C224="Nutrition_Data_Archived_Tables","KEEP",$C224="EU_Data","KEEP",TRUE,"REVIEW"),OR($A224="thg-influencer",$A224="thg-ingenuity",$A224="thg-central-marketing",$A224="thg-seoclarity"),"HOLD",TRUE,"")</f>
        <v>REVIEW</v>
      </c>
      <c r="R224" t="str" cm="1">
        <f t="array" ref="R224">_xlfn.IFS(AND($A224="thg-beauty",ISNUMBER(SEARCH("liveramp",$C224))),"thg-beauty Liveramp dataset — confirmed safe to delete",$A224="agile-bonbon-662",_xlfn.IFS(LEFT($G224,9)="Tranche 1","Tranche 1: cleared",$C224="Sessions_Level_1_All_Sites","Downstream aggregation of UA raw logs — keep if raw tables go",ISNUMBER(--$C224),"UA raw site logs (account ID) — keep pending audit-retention check",$C224="Emag_Reporting","Legacy but likely needed",$C224="Nutrition_Data_Archived_Tables","Worth keeping",$C224="EU_Data","Static lookup tables — scripts still reference (smoke-test risk)",TRUE,"Review"),OR($A224="thg-influencer",$A224="thg-ingenuity",$A224="thg-central-marketing",$A224="thg-seoclarity"),"HOLD — Charlie Stringer to review before deletion",TRUE,"")</f>
        <v>Review</v>
      </c>
      <c r="S224" t="s">
        <v>1624</v>
      </c>
    </row>
    <row r="225" spans="1:19" ht="45.75" hidden="1">
      <c r="A225" t="s">
        <v>89</v>
      </c>
      <c r="B225" t="s">
        <v>1619</v>
      </c>
      <c r="C225" t="s">
        <v>2061</v>
      </c>
      <c r="D225" s="2" t="s">
        <v>1621</v>
      </c>
      <c r="E225">
        <v>0</v>
      </c>
      <c r="F225">
        <v>0</v>
      </c>
      <c r="G225" t="s">
        <v>79</v>
      </c>
      <c r="H225" t="s">
        <v>81</v>
      </c>
      <c r="I225">
        <v>35</v>
      </c>
      <c r="K225" s="5">
        <v>46161.607188078713</v>
      </c>
      <c r="M225" s="2" t="s">
        <v>2062</v>
      </c>
      <c r="N225" s="2" t="s">
        <v>1701</v>
      </c>
      <c r="P225" t="str">
        <f>IF($Q225="DELETE",IF($S225="CONFIRMED: NO MODS &gt; 1YR","CONFIRMED: NO MODS &gt; 1YR","DO NOT DELETE — not defensibly confirmed"),IF($Q225="HOLD","DO NOT DELETE — HOLD (Charlie review)",IF($Q225="KEEP","DO NOT DELETE — KEEP",IF(ISNUMBER(SEARCH("REVIEW",$Q225)),"DO NOT DELETE — REVIEW pending",$S225))))</f>
        <v>DO NOT DELETE — REVIEW pending</v>
      </c>
      <c r="Q225" t="str" cm="1">
        <f t="array" ref="Q225">_xlfn.IFS(AND($A225="thg-beauty",ISNUMBER(SEARCH("liveramp",$C225))),"DELETE",$A225="agile-bonbon-662",_xlfn.IFS(LEFT($G225,9)="Tranche 1","DELETE",$C225="Sessions_Level_1_All_Sites","KEEP",ISNUMBER(--$C225),"REVIEW — UA raw logs",$C225="Emag_Reporting","KEEP",$C225="Nutrition_Data_Archived_Tables","KEEP",$C225="EU_Data","KEEP",TRUE,"REVIEW"),OR($A225="thg-influencer",$A225="thg-ingenuity",$A225="thg-central-marketing",$A225="thg-seoclarity"),"HOLD",TRUE,"")</f>
        <v>REVIEW</v>
      </c>
      <c r="R225" t="str" cm="1">
        <f t="array" ref="R225">_xlfn.IFS(AND($A225="thg-beauty",ISNUMBER(SEARCH("liveramp",$C225))),"thg-beauty Liveramp dataset — confirmed safe to delete",$A225="agile-bonbon-662",_xlfn.IFS(LEFT($G225,9)="Tranche 1","Tranche 1: cleared",$C225="Sessions_Level_1_All_Sites","Downstream aggregation of UA raw logs — keep if raw tables go",ISNUMBER(--$C225),"UA raw site logs (account ID) — keep pending audit-retention check",$C225="Emag_Reporting","Legacy but likely needed",$C225="Nutrition_Data_Archived_Tables","Worth keeping",$C225="EU_Data","Static lookup tables — scripts still reference (smoke-test risk)",TRUE,"Review"),OR($A225="thg-influencer",$A225="thg-ingenuity",$A225="thg-central-marketing",$A225="thg-seoclarity"),"HOLD — Charlie Stringer to review before deletion",TRUE,"")</f>
        <v>Review</v>
      </c>
      <c r="S225" t="s">
        <v>1624</v>
      </c>
    </row>
    <row r="226" spans="1:19" ht="45.75" hidden="1">
      <c r="A226" t="s">
        <v>89</v>
      </c>
      <c r="B226" t="s">
        <v>1619</v>
      </c>
      <c r="C226" t="s">
        <v>2063</v>
      </c>
      <c r="D226" s="2" t="s">
        <v>1621</v>
      </c>
      <c r="E226">
        <v>0</v>
      </c>
      <c r="F226">
        <v>0</v>
      </c>
      <c r="G226" t="s">
        <v>79</v>
      </c>
      <c r="H226" t="s">
        <v>81</v>
      </c>
      <c r="I226">
        <v>35</v>
      </c>
      <c r="J226">
        <v>174</v>
      </c>
      <c r="K226" s="5">
        <v>46161.62116746528</v>
      </c>
      <c r="L226" s="5">
        <v>46023.424792511571</v>
      </c>
      <c r="M226" s="2" t="s">
        <v>1960</v>
      </c>
      <c r="N226" s="2" t="s">
        <v>2064</v>
      </c>
      <c r="O226" s="5">
        <v>46023.424855150457</v>
      </c>
      <c r="P226" t="str">
        <f>IF($Q226="DELETE",IF($S226="CONFIRMED: NO MODS &gt; 1YR","CONFIRMED: NO MODS &gt; 1YR","DO NOT DELETE — not defensibly confirmed"),IF($Q226="HOLD","DO NOT DELETE — HOLD (Charlie review)",IF($Q226="KEEP","DO NOT DELETE — KEEP",IF(ISNUMBER(SEARCH("REVIEW",$Q226)),"DO NOT DELETE — REVIEW pending",$S226))))</f>
        <v>DO NOT DELETE — REVIEW pending</v>
      </c>
      <c r="Q226" t="str" cm="1">
        <f t="array" ref="Q226">_xlfn.IFS(AND($A226="thg-beauty",ISNUMBER(SEARCH("liveramp",$C226))),"DELETE",$A226="agile-bonbon-662",_xlfn.IFS(LEFT($G226,9)="Tranche 1","DELETE",$C226="Sessions_Level_1_All_Sites","KEEP",ISNUMBER(--$C226),"REVIEW — UA raw logs",$C226="Emag_Reporting","KEEP",$C226="Nutrition_Data_Archived_Tables","KEEP",$C226="EU_Data","KEEP",TRUE,"REVIEW"),OR($A226="thg-influencer",$A226="thg-ingenuity",$A226="thg-central-marketing",$A226="thg-seoclarity"),"HOLD",TRUE,"")</f>
        <v>REVIEW</v>
      </c>
      <c r="R226" t="str" cm="1">
        <f t="array" ref="R226">_xlfn.IFS(AND($A226="thg-beauty",ISNUMBER(SEARCH("liveramp",$C226))),"thg-beauty Liveramp dataset — confirmed safe to delete",$A226="agile-bonbon-662",_xlfn.IFS(LEFT($G226,9)="Tranche 1","Tranche 1: cleared",$C226="Sessions_Level_1_All_Sites","Downstream aggregation of UA raw logs — keep if raw tables go",ISNUMBER(--$C226),"UA raw site logs (account ID) — keep pending audit-retention check",$C226="Emag_Reporting","Legacy but likely needed",$C226="Nutrition_Data_Archived_Tables","Worth keeping",$C226="EU_Data","Static lookup tables — scripts still reference (smoke-test risk)",TRUE,"Review"),OR($A226="thg-influencer",$A226="thg-ingenuity",$A226="thg-central-marketing",$A226="thg-seoclarity"),"HOLD — Charlie Stringer to review before deletion",TRUE,"")</f>
        <v>Review</v>
      </c>
      <c r="S226" t="s">
        <v>1624</v>
      </c>
    </row>
    <row r="227" spans="1:19" ht="45.75" hidden="1">
      <c r="A227" t="s">
        <v>89</v>
      </c>
      <c r="B227" t="s">
        <v>1619</v>
      </c>
      <c r="C227" t="s">
        <v>2065</v>
      </c>
      <c r="D227" s="2" t="s">
        <v>1621</v>
      </c>
      <c r="E227">
        <v>0</v>
      </c>
      <c r="F227">
        <v>0</v>
      </c>
      <c r="G227" t="s">
        <v>79</v>
      </c>
      <c r="H227" t="s">
        <v>81</v>
      </c>
      <c r="I227">
        <v>35</v>
      </c>
      <c r="J227">
        <v>280</v>
      </c>
      <c r="K227" s="5">
        <v>46161.60902167824</v>
      </c>
      <c r="M227" s="2" t="s">
        <v>2027</v>
      </c>
      <c r="N227" s="2" t="s">
        <v>1701</v>
      </c>
      <c r="O227" s="5">
        <v>45916.457841134259</v>
      </c>
      <c r="P227" t="str">
        <f>IF($Q227="DELETE",IF($S227="CONFIRMED: NO MODS &gt; 1YR","CONFIRMED: NO MODS &gt; 1YR","DO NOT DELETE — not defensibly confirmed"),IF($Q227="HOLD","DO NOT DELETE — HOLD (Charlie review)",IF($Q227="KEEP","DO NOT DELETE — KEEP",IF(ISNUMBER(SEARCH("REVIEW",$Q227)),"DO NOT DELETE — REVIEW pending",$S227))))</f>
        <v>DO NOT DELETE — REVIEW pending</v>
      </c>
      <c r="Q227" t="str" cm="1">
        <f t="array" ref="Q227">_xlfn.IFS(AND($A227="thg-beauty",ISNUMBER(SEARCH("liveramp",$C227))),"DELETE",$A227="agile-bonbon-662",_xlfn.IFS(LEFT($G227,9)="Tranche 1","DELETE",$C227="Sessions_Level_1_All_Sites","KEEP",ISNUMBER(--$C227),"REVIEW — UA raw logs",$C227="Emag_Reporting","KEEP",$C227="Nutrition_Data_Archived_Tables","KEEP",$C227="EU_Data","KEEP",TRUE,"REVIEW"),OR($A227="thg-influencer",$A227="thg-ingenuity",$A227="thg-central-marketing",$A227="thg-seoclarity"),"HOLD",TRUE,"")</f>
        <v>REVIEW</v>
      </c>
      <c r="R227" t="str" cm="1">
        <f t="array" ref="R227">_xlfn.IFS(AND($A227="thg-beauty",ISNUMBER(SEARCH("liveramp",$C227))),"thg-beauty Liveramp dataset — confirmed safe to delete",$A227="agile-bonbon-662",_xlfn.IFS(LEFT($G227,9)="Tranche 1","Tranche 1: cleared",$C227="Sessions_Level_1_All_Sites","Downstream aggregation of UA raw logs — keep if raw tables go",ISNUMBER(--$C227),"UA raw site logs (account ID) — keep pending audit-retention check",$C227="Emag_Reporting","Legacy but likely needed",$C227="Nutrition_Data_Archived_Tables","Worth keeping",$C227="EU_Data","Static lookup tables — scripts still reference (smoke-test risk)",TRUE,"Review"),OR($A227="thg-influencer",$A227="thg-ingenuity",$A227="thg-central-marketing",$A227="thg-seoclarity"),"HOLD — Charlie Stringer to review before deletion",TRUE,"")</f>
        <v>Review</v>
      </c>
      <c r="S227" t="s">
        <v>1624</v>
      </c>
    </row>
    <row r="228" spans="1:19" ht="60.75" hidden="1">
      <c r="A228" t="s">
        <v>89</v>
      </c>
      <c r="B228" t="s">
        <v>1619</v>
      </c>
      <c r="C228" t="s">
        <v>2066</v>
      </c>
      <c r="D228" s="2" t="s">
        <v>1621</v>
      </c>
      <c r="E228">
        <v>0</v>
      </c>
      <c r="F228">
        <v>0</v>
      </c>
      <c r="G228" t="s">
        <v>79</v>
      </c>
      <c r="H228" t="s">
        <v>81</v>
      </c>
      <c r="I228">
        <v>35</v>
      </c>
      <c r="J228">
        <v>280</v>
      </c>
      <c r="K228" s="5">
        <v>46161.581475694453</v>
      </c>
      <c r="M228" s="2" t="s">
        <v>2032</v>
      </c>
      <c r="N228" s="2" t="s">
        <v>1701</v>
      </c>
      <c r="O228" s="5">
        <v>45917.439505798611</v>
      </c>
      <c r="P228" t="str">
        <f>IF($Q228="DELETE",IF($S228="CONFIRMED: NO MODS &gt; 1YR","CONFIRMED: NO MODS &gt; 1YR","DO NOT DELETE — not defensibly confirmed"),IF($Q228="HOLD","DO NOT DELETE — HOLD (Charlie review)",IF($Q228="KEEP","DO NOT DELETE — KEEP",IF(ISNUMBER(SEARCH("REVIEW",$Q228)),"DO NOT DELETE — REVIEW pending",$S228))))</f>
        <v>DO NOT DELETE — REVIEW pending</v>
      </c>
      <c r="Q228" t="str" cm="1">
        <f t="array" ref="Q228">_xlfn.IFS(AND($A228="thg-beauty",ISNUMBER(SEARCH("liveramp",$C228))),"DELETE",$A228="agile-bonbon-662",_xlfn.IFS(LEFT($G228,9)="Tranche 1","DELETE",$C228="Sessions_Level_1_All_Sites","KEEP",ISNUMBER(--$C228),"REVIEW — UA raw logs",$C228="Emag_Reporting","KEEP",$C228="Nutrition_Data_Archived_Tables","KEEP",$C228="EU_Data","KEEP",TRUE,"REVIEW"),OR($A228="thg-influencer",$A228="thg-ingenuity",$A228="thg-central-marketing",$A228="thg-seoclarity"),"HOLD",TRUE,"")</f>
        <v>REVIEW</v>
      </c>
      <c r="R228" t="str" cm="1">
        <f t="array" ref="R228">_xlfn.IFS(AND($A228="thg-beauty",ISNUMBER(SEARCH("liveramp",$C228))),"thg-beauty Liveramp dataset — confirmed safe to delete",$A228="agile-bonbon-662",_xlfn.IFS(LEFT($G228,9)="Tranche 1","Tranche 1: cleared",$C228="Sessions_Level_1_All_Sites","Downstream aggregation of UA raw logs — keep if raw tables go",ISNUMBER(--$C228),"UA raw site logs (account ID) — keep pending audit-retention check",$C228="Emag_Reporting","Legacy but likely needed",$C228="Nutrition_Data_Archived_Tables","Worth keeping",$C228="EU_Data","Static lookup tables — scripts still reference (smoke-test risk)",TRUE,"Review"),OR($A228="thg-influencer",$A228="thg-ingenuity",$A228="thg-central-marketing",$A228="thg-seoclarity"),"HOLD — Charlie Stringer to review before deletion",TRUE,"")</f>
        <v>Review</v>
      </c>
      <c r="S228" t="s">
        <v>1624</v>
      </c>
    </row>
    <row r="229" spans="1:19" ht="76.5" hidden="1">
      <c r="A229" t="s">
        <v>89</v>
      </c>
      <c r="B229" t="s">
        <v>1619</v>
      </c>
      <c r="C229" t="s">
        <v>2067</v>
      </c>
      <c r="D229" s="2" t="s">
        <v>1621</v>
      </c>
      <c r="E229">
        <v>0</v>
      </c>
      <c r="F229">
        <v>0</v>
      </c>
      <c r="G229" t="s">
        <v>79</v>
      </c>
      <c r="H229" t="s">
        <v>81</v>
      </c>
      <c r="I229">
        <v>35</v>
      </c>
      <c r="K229" s="5">
        <v>46161.609034861111</v>
      </c>
      <c r="M229" s="2" t="s">
        <v>2068</v>
      </c>
      <c r="N229" s="2" t="s">
        <v>1701</v>
      </c>
      <c r="P229" t="str">
        <f>IF($Q229="DELETE",IF($S229="CONFIRMED: NO MODS &gt; 1YR","CONFIRMED: NO MODS &gt; 1YR","DO NOT DELETE — not defensibly confirmed"),IF($Q229="HOLD","DO NOT DELETE — HOLD (Charlie review)",IF($Q229="KEEP","DO NOT DELETE — KEEP",IF(ISNUMBER(SEARCH("REVIEW",$Q229)),"DO NOT DELETE — REVIEW pending",$S229))))</f>
        <v>DO NOT DELETE — REVIEW pending</v>
      </c>
      <c r="Q229" t="str" cm="1">
        <f t="array" ref="Q229">_xlfn.IFS(AND($A229="thg-beauty",ISNUMBER(SEARCH("liveramp",$C229))),"DELETE",$A229="agile-bonbon-662",_xlfn.IFS(LEFT($G229,9)="Tranche 1","DELETE",$C229="Sessions_Level_1_All_Sites","KEEP",ISNUMBER(--$C229),"REVIEW — UA raw logs",$C229="Emag_Reporting","KEEP",$C229="Nutrition_Data_Archived_Tables","KEEP",$C229="EU_Data","KEEP",TRUE,"REVIEW"),OR($A229="thg-influencer",$A229="thg-ingenuity",$A229="thg-central-marketing",$A229="thg-seoclarity"),"HOLD",TRUE,"")</f>
        <v>REVIEW</v>
      </c>
      <c r="R229" t="str" cm="1">
        <f t="array" ref="R229">_xlfn.IFS(AND($A229="thg-beauty",ISNUMBER(SEARCH("liveramp",$C229))),"thg-beauty Liveramp dataset — confirmed safe to delete",$A229="agile-bonbon-662",_xlfn.IFS(LEFT($G229,9)="Tranche 1","Tranche 1: cleared",$C229="Sessions_Level_1_All_Sites","Downstream aggregation of UA raw logs — keep if raw tables go",ISNUMBER(--$C229),"UA raw site logs (account ID) — keep pending audit-retention check",$C229="Emag_Reporting","Legacy but likely needed",$C229="Nutrition_Data_Archived_Tables","Worth keeping",$C229="EU_Data","Static lookup tables — scripts still reference (smoke-test risk)",TRUE,"Review"),OR($A229="thg-influencer",$A229="thg-ingenuity",$A229="thg-central-marketing",$A229="thg-seoclarity"),"HOLD — Charlie Stringer to review before deletion",TRUE,"")</f>
        <v>Review</v>
      </c>
      <c r="S229" t="s">
        <v>1624</v>
      </c>
    </row>
    <row r="230" spans="1:19" ht="76.5" hidden="1">
      <c r="A230" t="s">
        <v>89</v>
      </c>
      <c r="B230" t="s">
        <v>1619</v>
      </c>
      <c r="C230" t="s">
        <v>2069</v>
      </c>
      <c r="D230" s="2" t="s">
        <v>1621</v>
      </c>
      <c r="E230">
        <v>0</v>
      </c>
      <c r="F230">
        <v>0</v>
      </c>
      <c r="G230" t="s">
        <v>79</v>
      </c>
      <c r="H230" t="s">
        <v>81</v>
      </c>
      <c r="I230">
        <v>35</v>
      </c>
      <c r="J230">
        <v>134</v>
      </c>
      <c r="K230" s="5">
        <v>46161.604122060176</v>
      </c>
      <c r="L230" s="5">
        <v>46063.053618217593</v>
      </c>
      <c r="M230" s="2" t="s">
        <v>2070</v>
      </c>
      <c r="N230" s="2" t="s">
        <v>2071</v>
      </c>
      <c r="O230" s="5">
        <v>46063.053634791657</v>
      </c>
      <c r="P230" t="str">
        <f>IF($Q230="DELETE",IF($S230="CONFIRMED: NO MODS &gt; 1YR","CONFIRMED: NO MODS &gt; 1YR","DO NOT DELETE — not defensibly confirmed"),IF($Q230="HOLD","DO NOT DELETE — HOLD (Charlie review)",IF($Q230="KEEP","DO NOT DELETE — KEEP",IF(ISNUMBER(SEARCH("REVIEW",$Q230)),"DO NOT DELETE — REVIEW pending",$S230))))</f>
        <v>DO NOT DELETE — REVIEW pending</v>
      </c>
      <c r="Q230" t="str" cm="1">
        <f t="array" ref="Q230">_xlfn.IFS(AND($A230="thg-beauty",ISNUMBER(SEARCH("liveramp",$C230))),"DELETE",$A230="agile-bonbon-662",_xlfn.IFS(LEFT($G230,9)="Tranche 1","DELETE",$C230="Sessions_Level_1_All_Sites","KEEP",ISNUMBER(--$C230),"REVIEW — UA raw logs",$C230="Emag_Reporting","KEEP",$C230="Nutrition_Data_Archived_Tables","KEEP",$C230="EU_Data","KEEP",TRUE,"REVIEW"),OR($A230="thg-influencer",$A230="thg-ingenuity",$A230="thg-central-marketing",$A230="thg-seoclarity"),"HOLD",TRUE,"")</f>
        <v>REVIEW</v>
      </c>
      <c r="R230" t="str" cm="1">
        <f t="array" ref="R230">_xlfn.IFS(AND($A230="thg-beauty",ISNUMBER(SEARCH("liveramp",$C230))),"thg-beauty Liveramp dataset — confirmed safe to delete",$A230="agile-bonbon-662",_xlfn.IFS(LEFT($G230,9)="Tranche 1","Tranche 1: cleared",$C230="Sessions_Level_1_All_Sites","Downstream aggregation of UA raw logs — keep if raw tables go",ISNUMBER(--$C230),"UA raw site logs (account ID) — keep pending audit-retention check",$C230="Emag_Reporting","Legacy but likely needed",$C230="Nutrition_Data_Archived_Tables","Worth keeping",$C230="EU_Data","Static lookup tables — scripts still reference (smoke-test risk)",TRUE,"Review"),OR($A230="thg-influencer",$A230="thg-ingenuity",$A230="thg-central-marketing",$A230="thg-seoclarity"),"HOLD — Charlie Stringer to review before deletion",TRUE,"")</f>
        <v>Review</v>
      </c>
      <c r="S230" t="s">
        <v>1624</v>
      </c>
    </row>
    <row r="231" spans="1:19" ht="76.5" hidden="1">
      <c r="A231" t="s">
        <v>89</v>
      </c>
      <c r="B231" t="s">
        <v>1619</v>
      </c>
      <c r="C231" t="s">
        <v>2072</v>
      </c>
      <c r="D231" s="2" t="s">
        <v>1621</v>
      </c>
      <c r="E231">
        <v>0</v>
      </c>
      <c r="F231">
        <v>0</v>
      </c>
      <c r="G231" t="s">
        <v>79</v>
      </c>
      <c r="H231" t="s">
        <v>81</v>
      </c>
      <c r="I231">
        <v>35</v>
      </c>
      <c r="K231" s="5">
        <v>46161.579849050933</v>
      </c>
      <c r="M231" s="2" t="s">
        <v>2073</v>
      </c>
      <c r="N231" s="2" t="s">
        <v>1701</v>
      </c>
      <c r="P231" t="str">
        <f>IF($Q231="DELETE",IF($S231="CONFIRMED: NO MODS &gt; 1YR","CONFIRMED: NO MODS &gt; 1YR","DO NOT DELETE — not defensibly confirmed"),IF($Q231="HOLD","DO NOT DELETE — HOLD (Charlie review)",IF($Q231="KEEP","DO NOT DELETE — KEEP",IF(ISNUMBER(SEARCH("REVIEW",$Q231)),"DO NOT DELETE — REVIEW pending",$S231))))</f>
        <v>DO NOT DELETE — REVIEW pending</v>
      </c>
      <c r="Q231" t="str" cm="1">
        <f t="array" ref="Q231">_xlfn.IFS(AND($A231="thg-beauty",ISNUMBER(SEARCH("liveramp",$C231))),"DELETE",$A231="agile-bonbon-662",_xlfn.IFS(LEFT($G231,9)="Tranche 1","DELETE",$C231="Sessions_Level_1_All_Sites","KEEP",ISNUMBER(--$C231),"REVIEW — UA raw logs",$C231="Emag_Reporting","KEEP",$C231="Nutrition_Data_Archived_Tables","KEEP",$C231="EU_Data","KEEP",TRUE,"REVIEW"),OR($A231="thg-influencer",$A231="thg-ingenuity",$A231="thg-central-marketing",$A231="thg-seoclarity"),"HOLD",TRUE,"")</f>
        <v>REVIEW</v>
      </c>
      <c r="R231" t="str" cm="1">
        <f t="array" ref="R231">_xlfn.IFS(AND($A231="thg-beauty",ISNUMBER(SEARCH("liveramp",$C231))),"thg-beauty Liveramp dataset — confirmed safe to delete",$A231="agile-bonbon-662",_xlfn.IFS(LEFT($G231,9)="Tranche 1","Tranche 1: cleared",$C231="Sessions_Level_1_All_Sites","Downstream aggregation of UA raw logs — keep if raw tables go",ISNUMBER(--$C231),"UA raw site logs (account ID) — keep pending audit-retention check",$C231="Emag_Reporting","Legacy but likely needed",$C231="Nutrition_Data_Archived_Tables","Worth keeping",$C231="EU_Data","Static lookup tables — scripts still reference (smoke-test risk)",TRUE,"Review"),OR($A231="thg-influencer",$A231="thg-ingenuity",$A231="thg-central-marketing",$A231="thg-seoclarity"),"HOLD — Charlie Stringer to review before deletion",TRUE,"")</f>
        <v>Review</v>
      </c>
      <c r="S231" t="s">
        <v>1624</v>
      </c>
    </row>
    <row r="232" spans="1:19" ht="45.75" hidden="1">
      <c r="A232" t="s">
        <v>89</v>
      </c>
      <c r="B232" t="s">
        <v>1619</v>
      </c>
      <c r="C232" t="s">
        <v>1820</v>
      </c>
      <c r="D232" s="2" t="s">
        <v>1621</v>
      </c>
      <c r="E232">
        <v>0</v>
      </c>
      <c r="F232">
        <v>0</v>
      </c>
      <c r="G232" t="s">
        <v>79</v>
      </c>
      <c r="H232" t="s">
        <v>81</v>
      </c>
      <c r="I232">
        <v>35</v>
      </c>
      <c r="K232" s="5">
        <v>46161.623398425923</v>
      </c>
      <c r="M232" s="2" t="s">
        <v>1933</v>
      </c>
      <c r="N232" s="2" t="s">
        <v>1701</v>
      </c>
      <c r="P232" t="str">
        <f>IF($Q232="DELETE",IF($S232="CONFIRMED: NO MODS &gt; 1YR","CONFIRMED: NO MODS &gt; 1YR","DO NOT DELETE — not defensibly confirmed"),IF($Q232="HOLD","DO NOT DELETE — HOLD (Charlie review)",IF($Q232="KEEP","DO NOT DELETE — KEEP",IF(ISNUMBER(SEARCH("REVIEW",$Q232)),"DO NOT DELETE — REVIEW pending",$S232))))</f>
        <v>DO NOT DELETE — REVIEW pending</v>
      </c>
      <c r="Q232" t="str" cm="1">
        <f t="array" ref="Q232">_xlfn.IFS(AND($A232="thg-beauty",ISNUMBER(SEARCH("liveramp",$C232))),"DELETE",$A232="agile-bonbon-662",_xlfn.IFS(LEFT($G232,9)="Tranche 1","DELETE",$C232="Sessions_Level_1_All_Sites","KEEP",ISNUMBER(--$C232),"REVIEW — UA raw logs",$C232="Emag_Reporting","KEEP",$C232="Nutrition_Data_Archived_Tables","KEEP",$C232="EU_Data","KEEP",TRUE,"REVIEW"),OR($A232="thg-influencer",$A232="thg-ingenuity",$A232="thg-central-marketing",$A232="thg-seoclarity"),"HOLD",TRUE,"")</f>
        <v>REVIEW</v>
      </c>
      <c r="R232" t="str" cm="1">
        <f t="array" ref="R232">_xlfn.IFS(AND($A232="thg-beauty",ISNUMBER(SEARCH("liveramp",$C232))),"thg-beauty Liveramp dataset — confirmed safe to delete",$A232="agile-bonbon-662",_xlfn.IFS(LEFT($G232,9)="Tranche 1","Tranche 1: cleared",$C232="Sessions_Level_1_All_Sites","Downstream aggregation of UA raw logs — keep if raw tables go",ISNUMBER(--$C232),"UA raw site logs (account ID) — keep pending audit-retention check",$C232="Emag_Reporting","Legacy but likely needed",$C232="Nutrition_Data_Archived_Tables","Worth keeping",$C232="EU_Data","Static lookup tables — scripts still reference (smoke-test risk)",TRUE,"Review"),OR($A232="thg-influencer",$A232="thg-ingenuity",$A232="thg-central-marketing",$A232="thg-seoclarity"),"HOLD — Charlie Stringer to review before deletion",TRUE,"")</f>
        <v>Review</v>
      </c>
      <c r="S232" t="s">
        <v>1624</v>
      </c>
    </row>
    <row r="233" spans="1:19" ht="30.75" hidden="1">
      <c r="A233" t="s">
        <v>89</v>
      </c>
      <c r="B233" t="s">
        <v>1619</v>
      </c>
      <c r="C233" t="s">
        <v>2074</v>
      </c>
      <c r="D233" s="2" t="s">
        <v>1621</v>
      </c>
      <c r="E233">
        <v>0</v>
      </c>
      <c r="F233">
        <v>0</v>
      </c>
      <c r="G233" t="s">
        <v>79</v>
      </c>
      <c r="H233" t="s">
        <v>81</v>
      </c>
      <c r="I233">
        <v>35</v>
      </c>
      <c r="J233">
        <v>47</v>
      </c>
      <c r="K233" s="5">
        <v>46161.611675266213</v>
      </c>
      <c r="L233" s="5">
        <v>46150.395982870366</v>
      </c>
      <c r="M233" s="2" t="s">
        <v>2075</v>
      </c>
      <c r="N233" s="2" t="s">
        <v>2076</v>
      </c>
      <c r="O233" s="5">
        <v>46150.39600346065</v>
      </c>
      <c r="P233" t="str">
        <f>IF($Q233="DELETE",IF($S233="CONFIRMED: NO MODS &gt; 1YR","CONFIRMED: NO MODS &gt; 1YR","DO NOT DELETE — not defensibly confirmed"),IF($Q233="HOLD","DO NOT DELETE — HOLD (Charlie review)",IF($Q233="KEEP","DO NOT DELETE — KEEP",IF(ISNUMBER(SEARCH("REVIEW",$Q233)),"DO NOT DELETE — REVIEW pending",$S233))))</f>
        <v>DO NOT DELETE — REVIEW pending</v>
      </c>
      <c r="Q233" t="str" cm="1">
        <f t="array" ref="Q233">_xlfn.IFS(AND($A233="thg-beauty",ISNUMBER(SEARCH("liveramp",$C233))),"DELETE",$A233="agile-bonbon-662",_xlfn.IFS(LEFT($G233,9)="Tranche 1","DELETE",$C233="Sessions_Level_1_All_Sites","KEEP",ISNUMBER(--$C233),"REVIEW — UA raw logs",$C233="Emag_Reporting","KEEP",$C233="Nutrition_Data_Archived_Tables","KEEP",$C233="EU_Data","KEEP",TRUE,"REVIEW"),OR($A233="thg-influencer",$A233="thg-ingenuity",$A233="thg-central-marketing",$A233="thg-seoclarity"),"HOLD",TRUE,"")</f>
        <v>REVIEW</v>
      </c>
      <c r="R233" t="str" cm="1">
        <f t="array" ref="R233">_xlfn.IFS(AND($A233="thg-beauty",ISNUMBER(SEARCH("liveramp",$C233))),"thg-beauty Liveramp dataset — confirmed safe to delete",$A233="agile-bonbon-662",_xlfn.IFS(LEFT($G233,9)="Tranche 1","Tranche 1: cleared",$C233="Sessions_Level_1_All_Sites","Downstream aggregation of UA raw logs — keep if raw tables go",ISNUMBER(--$C233),"UA raw site logs (account ID) — keep pending audit-retention check",$C233="Emag_Reporting","Legacy but likely needed",$C233="Nutrition_Data_Archived_Tables","Worth keeping",$C233="EU_Data","Static lookup tables — scripts still reference (smoke-test risk)",TRUE,"Review"),OR($A233="thg-influencer",$A233="thg-ingenuity",$A233="thg-central-marketing",$A233="thg-seoclarity"),"HOLD — Charlie Stringer to review before deletion",TRUE,"")</f>
        <v>Review</v>
      </c>
      <c r="S233" t="s">
        <v>1624</v>
      </c>
    </row>
    <row r="234" spans="1:19" ht="45.75" hidden="1">
      <c r="A234" t="s">
        <v>89</v>
      </c>
      <c r="B234" t="s">
        <v>1619</v>
      </c>
      <c r="C234" t="s">
        <v>2077</v>
      </c>
      <c r="D234" s="2" t="s">
        <v>1621</v>
      </c>
      <c r="E234">
        <v>0</v>
      </c>
      <c r="F234">
        <v>0</v>
      </c>
      <c r="G234" t="s">
        <v>79</v>
      </c>
      <c r="H234" t="s">
        <v>81</v>
      </c>
      <c r="I234">
        <v>35</v>
      </c>
      <c r="K234" s="5">
        <v>46161.613146388889</v>
      </c>
      <c r="M234" s="2" t="s">
        <v>2078</v>
      </c>
      <c r="N234" s="2" t="s">
        <v>1701</v>
      </c>
      <c r="P234" t="str">
        <f>IF($Q234="DELETE",IF($S234="CONFIRMED: NO MODS &gt; 1YR","CONFIRMED: NO MODS &gt; 1YR","DO NOT DELETE — not defensibly confirmed"),IF($Q234="HOLD","DO NOT DELETE — HOLD (Charlie review)",IF($Q234="KEEP","DO NOT DELETE — KEEP",IF(ISNUMBER(SEARCH("REVIEW",$Q234)),"DO NOT DELETE — REVIEW pending",$S234))))</f>
        <v>DO NOT DELETE — REVIEW pending</v>
      </c>
      <c r="Q234" t="str" cm="1">
        <f t="array" ref="Q234">_xlfn.IFS(AND($A234="thg-beauty",ISNUMBER(SEARCH("liveramp",$C234))),"DELETE",$A234="agile-bonbon-662",_xlfn.IFS(LEFT($G234,9)="Tranche 1","DELETE",$C234="Sessions_Level_1_All_Sites","KEEP",ISNUMBER(--$C234),"REVIEW — UA raw logs",$C234="Emag_Reporting","KEEP",$C234="Nutrition_Data_Archived_Tables","KEEP",$C234="EU_Data","KEEP",TRUE,"REVIEW"),OR($A234="thg-influencer",$A234="thg-ingenuity",$A234="thg-central-marketing",$A234="thg-seoclarity"),"HOLD",TRUE,"")</f>
        <v>REVIEW</v>
      </c>
      <c r="R234" t="str" cm="1">
        <f t="array" ref="R234">_xlfn.IFS(AND($A234="thg-beauty",ISNUMBER(SEARCH("liveramp",$C234))),"thg-beauty Liveramp dataset — confirmed safe to delete",$A234="agile-bonbon-662",_xlfn.IFS(LEFT($G234,9)="Tranche 1","Tranche 1: cleared",$C234="Sessions_Level_1_All_Sites","Downstream aggregation of UA raw logs — keep if raw tables go",ISNUMBER(--$C234),"UA raw site logs (account ID) — keep pending audit-retention check",$C234="Emag_Reporting","Legacy but likely needed",$C234="Nutrition_Data_Archived_Tables","Worth keeping",$C234="EU_Data","Static lookup tables — scripts still reference (smoke-test risk)",TRUE,"Review"),OR($A234="thg-influencer",$A234="thg-ingenuity",$A234="thg-central-marketing",$A234="thg-seoclarity"),"HOLD — Charlie Stringer to review before deletion",TRUE,"")</f>
        <v>Review</v>
      </c>
      <c r="S234" t="s">
        <v>1624</v>
      </c>
    </row>
    <row r="235" spans="1:19" ht="76.5" hidden="1">
      <c r="A235" t="s">
        <v>35</v>
      </c>
      <c r="B235" t="s">
        <v>1619</v>
      </c>
      <c r="C235" t="s">
        <v>2079</v>
      </c>
      <c r="D235" s="2" t="s">
        <v>1621</v>
      </c>
      <c r="E235">
        <v>29.55</v>
      </c>
      <c r="F235">
        <v>0.59</v>
      </c>
      <c r="G235" t="s">
        <v>79</v>
      </c>
      <c r="H235" t="s">
        <v>81</v>
      </c>
      <c r="I235">
        <v>34</v>
      </c>
      <c r="J235">
        <v>34</v>
      </c>
      <c r="L235" s="5">
        <v>46163.335265868052</v>
      </c>
      <c r="M235" s="2" t="s">
        <v>1715</v>
      </c>
      <c r="N235" s="2" t="s">
        <v>2080</v>
      </c>
      <c r="O235" s="5">
        <v>46163.335255810183</v>
      </c>
      <c r="P235" t="str">
        <f>IF($Q235="DELETE",IF($S235="CONFIRMED: NO MODS &gt; 1YR","CONFIRMED: NO MODS &gt; 1YR","DO NOT DELETE — not defensibly confirmed"),IF($Q235="HOLD","DO NOT DELETE — HOLD (Charlie review)",IF($Q235="KEEP","DO NOT DELETE — KEEP",IF(ISNUMBER(SEARCH("REVIEW",$Q235)),"DO NOT DELETE — REVIEW pending",$S235))))</f>
        <v>DO NOT DELETE — HOLD (Charlie review)</v>
      </c>
      <c r="Q235" t="str" cm="1">
        <f t="array" ref="Q235">_xlfn.IFS(AND($A235="thg-beauty",ISNUMBER(SEARCH("liveramp",$C235))),"DELETE",$A235="agile-bonbon-662",_xlfn.IFS(LEFT($G235,9)="Tranche 1","DELETE",$C235="Sessions_Level_1_All_Sites","KEEP",ISNUMBER(--$C235),"REVIEW — UA raw logs",$C235="Emag_Reporting","KEEP",$C235="Nutrition_Data_Archived_Tables","KEEP",$C235="EU_Data","KEEP",TRUE,"REVIEW"),OR($A235="thg-influencer",$A235="thg-ingenuity",$A235="thg-central-marketing",$A235="thg-seoclarity"),"HOLD",TRUE,"")</f>
        <v>HOLD</v>
      </c>
      <c r="R235" t="str" cm="1">
        <f t="array" ref="R235">_xlfn.IFS(AND($A235="thg-beauty",ISNUMBER(SEARCH("liveramp",$C235))),"thg-beauty Liveramp dataset — confirmed safe to delete",$A235="agile-bonbon-662",_xlfn.IFS(LEFT($G235,9)="Tranche 1","Tranche 1: cleared",$C235="Sessions_Level_1_All_Sites","Downstream aggregation of UA raw logs — keep if raw tables go",ISNUMBER(--$C235),"UA raw site logs (account ID) — keep pending audit-retention check",$C235="Emag_Reporting","Legacy but likely needed",$C235="Nutrition_Data_Archived_Tables","Worth keeping",$C235="EU_Data","Static lookup tables — scripts still reference (smoke-test risk)",TRUE,"Review"),OR($A235="thg-influencer",$A235="thg-ingenuity",$A235="thg-central-marketing",$A235="thg-seoclarity"),"HOLD — Charlie Stringer to review before deletion",TRUE,"")</f>
        <v>HOLD — Charlie Stringer to review before deletion</v>
      </c>
      <c r="S235" t="s">
        <v>1624</v>
      </c>
    </row>
    <row r="236" spans="1:19" ht="45.75" hidden="1">
      <c r="A236" t="s">
        <v>1723</v>
      </c>
      <c r="B236" t="s">
        <v>1724</v>
      </c>
      <c r="C236" t="s">
        <v>2081</v>
      </c>
      <c r="D236" s="2" t="s">
        <v>1621</v>
      </c>
      <c r="E236">
        <v>0</v>
      </c>
      <c r="F236">
        <v>0</v>
      </c>
      <c r="G236" t="s">
        <v>79</v>
      </c>
      <c r="H236" t="s">
        <v>81</v>
      </c>
      <c r="I236">
        <v>34</v>
      </c>
      <c r="J236">
        <v>36</v>
      </c>
      <c r="K236" s="5">
        <v>46163.308511064817</v>
      </c>
      <c r="L236" s="5">
        <v>46160.443922650462</v>
      </c>
      <c r="M236" s="2" t="s">
        <v>2082</v>
      </c>
      <c r="N236" s="2" t="s">
        <v>2083</v>
      </c>
      <c r="O236" s="5">
        <v>46160.486625543977</v>
      </c>
      <c r="P236" t="str">
        <f>IF($Q236="DELETE",IF($S236="CONFIRMED: NO MODS &gt; 1YR","CONFIRMED: NO MODS &gt; 1YR","DO NOT DELETE — not defensibly confirmed"),IF($Q236="HOLD","DO NOT DELETE — HOLD (Charlie review)",IF($Q236="KEEP","DO NOT DELETE — KEEP",IF(ISNUMBER(SEARCH("REVIEW",$Q236)),"DO NOT DELETE — REVIEW pending",$S236))))</f>
        <v>CONFIRMED: NO MODS &gt; 1YR</v>
      </c>
      <c r="Q236" t="str" cm="1">
        <f t="array" ref="Q236">_xlfn.IFS(AND($A236="thg-beauty",ISNUMBER(SEARCH("liveramp",$C236))),"DELETE",$A236="agile-bonbon-662",_xlfn.IFS(LEFT($G236,9)="Tranche 1","DELETE",$C236="Sessions_Level_1_All_Sites","KEEP",ISNUMBER(--$C236),"REVIEW — UA raw logs",$C236="Emag_Reporting","KEEP",$C236="Nutrition_Data_Archived_Tables","KEEP",$C236="EU_Data","KEEP",TRUE,"REVIEW"),OR($A236="thg-influencer",$A236="thg-ingenuity",$A236="thg-central-marketing",$A236="thg-seoclarity"),"HOLD",TRUE,"")</f>
        <v/>
      </c>
      <c r="R236" t="str" cm="1">
        <f t="array" ref="R236">_xlfn.IFS(AND($A236="thg-beauty",ISNUMBER(SEARCH("liveramp",$C236))),"thg-beauty Liveramp dataset — confirmed safe to delete",$A236="agile-bonbon-662",_xlfn.IFS(LEFT($G236,9)="Tranche 1","Tranche 1: cleared",$C236="Sessions_Level_1_All_Sites","Downstream aggregation of UA raw logs — keep if raw tables go",ISNUMBER(--$C236),"UA raw site logs (account ID) — keep pending audit-retention check",$C236="Emag_Reporting","Legacy but likely needed",$C236="Nutrition_Data_Archived_Tables","Worth keeping",$C236="EU_Data","Static lookup tables — scripts still reference (smoke-test risk)",TRUE,"Review"),OR($A236="thg-influencer",$A236="thg-ingenuity",$A236="thg-central-marketing",$A236="thg-seoclarity"),"HOLD — Charlie Stringer to review before deletion",TRUE,"")</f>
        <v/>
      </c>
      <c r="S236" t="s">
        <v>1624</v>
      </c>
    </row>
    <row r="237" spans="1:19" ht="76.5" hidden="1">
      <c r="A237" t="s">
        <v>89</v>
      </c>
      <c r="B237" t="s">
        <v>1619</v>
      </c>
      <c r="C237" t="s">
        <v>2084</v>
      </c>
      <c r="D237" s="2" t="s">
        <v>1621</v>
      </c>
      <c r="E237">
        <v>45.83</v>
      </c>
      <c r="F237">
        <v>0.92</v>
      </c>
      <c r="G237" t="s">
        <v>79</v>
      </c>
      <c r="H237" t="s">
        <v>81</v>
      </c>
      <c r="I237">
        <v>32</v>
      </c>
      <c r="J237">
        <v>32</v>
      </c>
      <c r="K237" s="5">
        <v>46165.418114502318</v>
      </c>
      <c r="L237" s="5">
        <v>46165.367100625001</v>
      </c>
      <c r="M237" s="2" t="s">
        <v>2085</v>
      </c>
      <c r="N237" s="2" t="s">
        <v>2086</v>
      </c>
      <c r="O237" s="5">
        <v>46165.367133518521</v>
      </c>
      <c r="P237" t="str">
        <f>IF($Q237="DELETE",IF($S237="CONFIRMED: NO MODS &gt; 1YR","CONFIRMED: NO MODS &gt; 1YR","DO NOT DELETE — not defensibly confirmed"),IF($Q237="HOLD","DO NOT DELETE — HOLD (Charlie review)",IF($Q237="KEEP","DO NOT DELETE — KEEP",IF(ISNUMBER(SEARCH("REVIEW",$Q237)),"DO NOT DELETE — REVIEW pending",$S237))))</f>
        <v>DO NOT DELETE — REVIEW pending</v>
      </c>
      <c r="Q237" t="str" cm="1">
        <f t="array" ref="Q237">_xlfn.IFS(AND($A237="thg-beauty",ISNUMBER(SEARCH("liveramp",$C237))),"DELETE",$A237="agile-bonbon-662",_xlfn.IFS(LEFT($G237,9)="Tranche 1","DELETE",$C237="Sessions_Level_1_All_Sites","KEEP",ISNUMBER(--$C237),"REVIEW — UA raw logs",$C237="Emag_Reporting","KEEP",$C237="Nutrition_Data_Archived_Tables","KEEP",$C237="EU_Data","KEEP",TRUE,"REVIEW"),OR($A237="thg-influencer",$A237="thg-ingenuity",$A237="thg-central-marketing",$A237="thg-seoclarity"),"HOLD",TRUE,"")</f>
        <v>REVIEW</v>
      </c>
      <c r="R237" t="str" cm="1">
        <f t="array" ref="R237">_xlfn.IFS(AND($A237="thg-beauty",ISNUMBER(SEARCH("liveramp",$C237))),"thg-beauty Liveramp dataset — confirmed safe to delete",$A237="agile-bonbon-662",_xlfn.IFS(LEFT($G237,9)="Tranche 1","Tranche 1: cleared",$C237="Sessions_Level_1_All_Sites","Downstream aggregation of UA raw logs — keep if raw tables go",ISNUMBER(--$C237),"UA raw site logs (account ID) — keep pending audit-retention check",$C237="Emag_Reporting","Legacy but likely needed",$C237="Nutrition_Data_Archived_Tables","Worth keeping",$C237="EU_Data","Static lookup tables — scripts still reference (smoke-test risk)",TRUE,"Review"),OR($A237="thg-influencer",$A237="thg-ingenuity",$A237="thg-central-marketing",$A237="thg-seoclarity"),"HOLD — Charlie Stringer to review before deletion",TRUE,"")</f>
        <v>Review</v>
      </c>
      <c r="S237" t="s">
        <v>1624</v>
      </c>
    </row>
    <row r="238" spans="1:19" ht="76.5" hidden="1">
      <c r="A238" t="s">
        <v>35</v>
      </c>
      <c r="B238" t="s">
        <v>1619</v>
      </c>
      <c r="C238" t="s">
        <v>2087</v>
      </c>
      <c r="D238" s="2" t="s">
        <v>1621</v>
      </c>
      <c r="E238">
        <v>0.08</v>
      </c>
      <c r="F238">
        <v>0</v>
      </c>
      <c r="G238" t="s">
        <v>79</v>
      </c>
      <c r="H238" t="s">
        <v>81</v>
      </c>
      <c r="I238">
        <v>31</v>
      </c>
      <c r="J238">
        <v>31</v>
      </c>
      <c r="K238" s="5">
        <v>46165.591549027777</v>
      </c>
      <c r="L238" s="5">
        <v>46165.632069224543</v>
      </c>
      <c r="M238" s="2" t="s">
        <v>2088</v>
      </c>
      <c r="N238" s="2" t="s">
        <v>2089</v>
      </c>
      <c r="O238" s="5">
        <v>46165.591575891202</v>
      </c>
      <c r="P238" t="str">
        <f>IF($Q238="DELETE",IF($S238="CONFIRMED: NO MODS &gt; 1YR","CONFIRMED: NO MODS &gt; 1YR","DO NOT DELETE — not defensibly confirmed"),IF($Q238="HOLD","DO NOT DELETE — HOLD (Charlie review)",IF($Q238="KEEP","DO NOT DELETE — KEEP",IF(ISNUMBER(SEARCH("REVIEW",$Q238)),"DO NOT DELETE — REVIEW pending",$S238))))</f>
        <v>DO NOT DELETE — HOLD (Charlie review)</v>
      </c>
      <c r="Q238" t="str" cm="1">
        <f t="array" ref="Q238">_xlfn.IFS(AND($A238="thg-beauty",ISNUMBER(SEARCH("liveramp",$C238))),"DELETE",$A238="agile-bonbon-662",_xlfn.IFS(LEFT($G238,9)="Tranche 1","DELETE",$C238="Sessions_Level_1_All_Sites","KEEP",ISNUMBER(--$C238),"REVIEW — UA raw logs",$C238="Emag_Reporting","KEEP",$C238="Nutrition_Data_Archived_Tables","KEEP",$C238="EU_Data","KEEP",TRUE,"REVIEW"),OR($A238="thg-influencer",$A238="thg-ingenuity",$A238="thg-central-marketing",$A238="thg-seoclarity"),"HOLD",TRUE,"")</f>
        <v>HOLD</v>
      </c>
      <c r="R238" t="str" cm="1">
        <f t="array" ref="R238">_xlfn.IFS(AND($A238="thg-beauty",ISNUMBER(SEARCH("liveramp",$C238))),"thg-beauty Liveramp dataset — confirmed safe to delete",$A238="agile-bonbon-662",_xlfn.IFS(LEFT($G238,9)="Tranche 1","Tranche 1: cleared",$C238="Sessions_Level_1_All_Sites","Downstream aggregation of UA raw logs — keep if raw tables go",ISNUMBER(--$C238),"UA raw site logs (account ID) — keep pending audit-retention check",$C238="Emag_Reporting","Legacy but likely needed",$C238="Nutrition_Data_Archived_Tables","Worth keeping",$C238="EU_Data","Static lookup tables — scripts still reference (smoke-test risk)",TRUE,"Review"),OR($A238="thg-influencer",$A238="thg-ingenuity",$A238="thg-central-marketing",$A238="thg-seoclarity"),"HOLD — Charlie Stringer to review before deletion",TRUE,"")</f>
        <v>HOLD — Charlie Stringer to review before deletion</v>
      </c>
      <c r="S238" t="s">
        <v>1624</v>
      </c>
    </row>
    <row r="239" spans="1:19" ht="45.75" hidden="1">
      <c r="A239" t="s">
        <v>38</v>
      </c>
      <c r="B239" t="s">
        <v>1619</v>
      </c>
      <c r="C239" t="s">
        <v>2090</v>
      </c>
      <c r="D239" s="2" t="s">
        <v>1621</v>
      </c>
      <c r="E239">
        <v>0.72</v>
      </c>
      <c r="F239">
        <v>0.01</v>
      </c>
      <c r="G239" t="s">
        <v>79</v>
      </c>
      <c r="H239" t="s">
        <v>81</v>
      </c>
      <c r="I239">
        <v>29</v>
      </c>
      <c r="J239">
        <v>29</v>
      </c>
      <c r="K239" s="5">
        <v>46168.419138425917</v>
      </c>
      <c r="L239" s="5">
        <v>46168.401076828697</v>
      </c>
      <c r="M239" s="2" t="s">
        <v>2091</v>
      </c>
      <c r="N239" s="2" t="s">
        <v>2092</v>
      </c>
      <c r="O239" s="5">
        <v>46168.401114780092</v>
      </c>
      <c r="P239" t="str">
        <f>IF($Q239="DELETE",IF($S239="CONFIRMED: NO MODS &gt; 1YR","CONFIRMED: NO MODS &gt; 1YR","DO NOT DELETE — not defensibly confirmed"),IF($Q239="HOLD","DO NOT DELETE — HOLD (Charlie review)",IF($Q239="KEEP","DO NOT DELETE — KEEP",IF(ISNUMBER(SEARCH("REVIEW",$Q239)),"DO NOT DELETE — REVIEW pending",$S239))))</f>
        <v>DO NOT DELETE — HOLD (Charlie review)</v>
      </c>
      <c r="Q239" t="str" cm="1">
        <f t="array" ref="Q239">_xlfn.IFS(AND($A239="thg-beauty",ISNUMBER(SEARCH("liveramp",$C239))),"DELETE",$A239="agile-bonbon-662",_xlfn.IFS(LEFT($G239,9)="Tranche 1","DELETE",$C239="Sessions_Level_1_All_Sites","KEEP",ISNUMBER(--$C239),"REVIEW — UA raw logs",$C239="Emag_Reporting","KEEP",$C239="Nutrition_Data_Archived_Tables","KEEP",$C239="EU_Data","KEEP",TRUE,"REVIEW"),OR($A239="thg-influencer",$A239="thg-ingenuity",$A239="thg-central-marketing",$A239="thg-seoclarity"),"HOLD",TRUE,"")</f>
        <v>HOLD</v>
      </c>
      <c r="R239" t="str" cm="1">
        <f t="array" ref="R239">_xlfn.IFS(AND($A239="thg-beauty",ISNUMBER(SEARCH("liveramp",$C239))),"thg-beauty Liveramp dataset — confirmed safe to delete",$A239="agile-bonbon-662",_xlfn.IFS(LEFT($G239,9)="Tranche 1","Tranche 1: cleared",$C239="Sessions_Level_1_All_Sites","Downstream aggregation of UA raw logs — keep if raw tables go",ISNUMBER(--$C239),"UA raw site logs (account ID) — keep pending audit-retention check",$C239="Emag_Reporting","Legacy but likely needed",$C239="Nutrition_Data_Archived_Tables","Worth keeping",$C239="EU_Data","Static lookup tables — scripts still reference (smoke-test risk)",TRUE,"Review"),OR($A239="thg-influencer",$A239="thg-ingenuity",$A239="thg-central-marketing",$A239="thg-seoclarity"),"HOLD — Charlie Stringer to review before deletion",TRUE,"")</f>
        <v>HOLD — Charlie Stringer to review before deletion</v>
      </c>
      <c r="S239" t="s">
        <v>1624</v>
      </c>
    </row>
    <row r="240" spans="1:19" hidden="1">
      <c r="A240" t="s">
        <v>2093</v>
      </c>
      <c r="B240" t="s">
        <v>1724</v>
      </c>
      <c r="C240" t="s">
        <v>2094</v>
      </c>
      <c r="D240" s="2" t="s">
        <v>1621</v>
      </c>
      <c r="E240">
        <v>1264.48</v>
      </c>
      <c r="F240">
        <v>25.29</v>
      </c>
      <c r="G240" t="s">
        <v>79</v>
      </c>
      <c r="H240" t="s">
        <v>81</v>
      </c>
      <c r="I240">
        <v>28</v>
      </c>
      <c r="J240">
        <v>28</v>
      </c>
      <c r="K240" s="5">
        <v>46051.504362326392</v>
      </c>
      <c r="M240" s="2" t="s">
        <v>2095</v>
      </c>
      <c r="N240" s="2" t="s">
        <v>1701</v>
      </c>
      <c r="O240" s="5">
        <v>46168.479057048608</v>
      </c>
      <c r="P240" t="str">
        <f>IF($Q240="DELETE",IF($S240="CONFIRMED: NO MODS &gt; 1YR","CONFIRMED: NO MODS &gt; 1YR","DO NOT DELETE — not defensibly confirmed"),IF($Q240="HOLD","DO NOT DELETE — HOLD (Charlie review)",IF($Q240="KEEP","DO NOT DELETE — KEEP",IF(ISNUMBER(SEARCH("REVIEW",$Q240)),"DO NOT DELETE — REVIEW pending",$S240))))</f>
        <v>CONFIRMED: NO MODS &gt; 1YR</v>
      </c>
      <c r="Q240" t="str" cm="1">
        <f t="array" ref="Q240">_xlfn.IFS(AND($A240="thg-beauty",ISNUMBER(SEARCH("liveramp",$C240))),"DELETE",$A240="agile-bonbon-662",_xlfn.IFS(LEFT($G240,9)="Tranche 1","DELETE",$C240="Sessions_Level_1_All_Sites","KEEP",ISNUMBER(--$C240),"REVIEW — UA raw logs",$C240="Emag_Reporting","KEEP",$C240="Nutrition_Data_Archived_Tables","KEEP",$C240="EU_Data","KEEP",TRUE,"REVIEW"),OR($A240="thg-influencer",$A240="thg-ingenuity",$A240="thg-central-marketing",$A240="thg-seoclarity"),"HOLD",TRUE,"")</f>
        <v/>
      </c>
      <c r="R240" t="str" cm="1">
        <f t="array" ref="R240">_xlfn.IFS(AND($A240="thg-beauty",ISNUMBER(SEARCH("liveramp",$C240))),"thg-beauty Liveramp dataset — confirmed safe to delete",$A240="agile-bonbon-662",_xlfn.IFS(LEFT($G240,9)="Tranche 1","Tranche 1: cleared",$C240="Sessions_Level_1_All_Sites","Downstream aggregation of UA raw logs — keep if raw tables go",ISNUMBER(--$C240),"UA raw site logs (account ID) — keep pending audit-retention check",$C240="Emag_Reporting","Legacy but likely needed",$C240="Nutrition_Data_Archived_Tables","Worth keeping",$C240="EU_Data","Static lookup tables — scripts still reference (smoke-test risk)",TRUE,"Review"),OR($A240="thg-influencer",$A240="thg-ingenuity",$A240="thg-central-marketing",$A240="thg-seoclarity"),"HOLD — Charlie Stringer to review before deletion",TRUE,"")</f>
        <v/>
      </c>
      <c r="S240" t="s">
        <v>1624</v>
      </c>
    </row>
    <row r="241" spans="1:19" ht="76.5" hidden="1">
      <c r="A241" t="s">
        <v>38</v>
      </c>
      <c r="B241" t="s">
        <v>1619</v>
      </c>
      <c r="C241" t="s">
        <v>2096</v>
      </c>
      <c r="D241" s="2" t="s">
        <v>1621</v>
      </c>
      <c r="E241">
        <v>33.58</v>
      </c>
      <c r="F241">
        <v>0.67</v>
      </c>
      <c r="G241" t="s">
        <v>79</v>
      </c>
      <c r="H241" t="s">
        <v>81</v>
      </c>
      <c r="I241">
        <v>28</v>
      </c>
      <c r="J241">
        <v>28</v>
      </c>
      <c r="K241" s="5">
        <v>46169.418637106479</v>
      </c>
      <c r="L241" s="5">
        <v>46169.379465763886</v>
      </c>
      <c r="M241" s="2" t="s">
        <v>2097</v>
      </c>
      <c r="N241" s="2" t="s">
        <v>2098</v>
      </c>
      <c r="O241" s="5">
        <v>46169.379509398153</v>
      </c>
      <c r="P241" t="str">
        <f>IF($Q241="DELETE",IF($S241="CONFIRMED: NO MODS &gt; 1YR","CONFIRMED: NO MODS &gt; 1YR","DO NOT DELETE — not defensibly confirmed"),IF($Q241="HOLD","DO NOT DELETE — HOLD (Charlie review)",IF($Q241="KEEP","DO NOT DELETE — KEEP",IF(ISNUMBER(SEARCH("REVIEW",$Q241)),"DO NOT DELETE — REVIEW pending",$S241))))</f>
        <v>DO NOT DELETE — HOLD (Charlie review)</v>
      </c>
      <c r="Q241" t="str" cm="1">
        <f t="array" ref="Q241">_xlfn.IFS(AND($A241="thg-beauty",ISNUMBER(SEARCH("liveramp",$C241))),"DELETE",$A241="agile-bonbon-662",_xlfn.IFS(LEFT($G241,9)="Tranche 1","DELETE",$C241="Sessions_Level_1_All_Sites","KEEP",ISNUMBER(--$C241),"REVIEW — UA raw logs",$C241="Emag_Reporting","KEEP",$C241="Nutrition_Data_Archived_Tables","KEEP",$C241="EU_Data","KEEP",TRUE,"REVIEW"),OR($A241="thg-influencer",$A241="thg-ingenuity",$A241="thg-central-marketing",$A241="thg-seoclarity"),"HOLD",TRUE,"")</f>
        <v>HOLD</v>
      </c>
      <c r="R241" t="str" cm="1">
        <f t="array" ref="R241">_xlfn.IFS(AND($A241="thg-beauty",ISNUMBER(SEARCH("liveramp",$C241))),"thg-beauty Liveramp dataset — confirmed safe to delete",$A241="agile-bonbon-662",_xlfn.IFS(LEFT($G241,9)="Tranche 1","Tranche 1: cleared",$C241="Sessions_Level_1_All_Sites","Downstream aggregation of UA raw logs — keep if raw tables go",ISNUMBER(--$C241),"UA raw site logs (account ID) — keep pending audit-retention check",$C241="Emag_Reporting","Legacy but likely needed",$C241="Nutrition_Data_Archived_Tables","Worth keeping",$C241="EU_Data","Static lookup tables — scripts still reference (smoke-test risk)",TRUE,"Review"),OR($A241="thg-influencer",$A241="thg-ingenuity",$A241="thg-central-marketing",$A241="thg-seoclarity"),"HOLD — Charlie Stringer to review before deletion",TRUE,"")</f>
        <v>HOLD — Charlie Stringer to review before deletion</v>
      </c>
      <c r="S241" t="s">
        <v>1624</v>
      </c>
    </row>
    <row r="242" spans="1:19" hidden="1">
      <c r="A242" t="s">
        <v>91</v>
      </c>
      <c r="B242" t="s">
        <v>1619</v>
      </c>
      <c r="C242" t="s">
        <v>2099</v>
      </c>
      <c r="D242" s="2" t="s">
        <v>1621</v>
      </c>
      <c r="E242">
        <v>19.96</v>
      </c>
      <c r="F242">
        <v>0.4</v>
      </c>
      <c r="G242" t="s">
        <v>79</v>
      </c>
      <c r="H242" t="s">
        <v>81</v>
      </c>
      <c r="I242">
        <v>28</v>
      </c>
      <c r="J242">
        <v>28</v>
      </c>
      <c r="K242" s="5">
        <v>46141.414748009258</v>
      </c>
      <c r="L242" s="5">
        <v>46168.578828541657</v>
      </c>
      <c r="M242" s="2" t="s">
        <v>1802</v>
      </c>
      <c r="N242" s="2" t="s">
        <v>2100</v>
      </c>
      <c r="O242" s="5">
        <v>46168.5788393287</v>
      </c>
      <c r="P242" t="str">
        <f>IF($Q242="DELETE",IF($S242="CONFIRMED: NO MODS &gt; 1YR","CONFIRMED: NO MODS &gt; 1YR","DO NOT DELETE — not defensibly confirmed"),IF($Q242="HOLD","DO NOT DELETE — HOLD (Charlie review)",IF($Q242="KEEP","DO NOT DELETE — KEEP",IF(ISNUMBER(SEARCH("REVIEW",$Q242)),"DO NOT DELETE — REVIEW pending",$S242))))</f>
        <v>CONFIRMED: NO MODS &gt; 1YR</v>
      </c>
      <c r="Q242" t="str" cm="1">
        <f t="array" ref="Q242">_xlfn.IFS(AND($A242="thg-beauty",ISNUMBER(SEARCH("liveramp",$C242))),"DELETE",$A242="agile-bonbon-662",_xlfn.IFS(LEFT($G242,9)="Tranche 1","DELETE",$C242="Sessions_Level_1_All_Sites","KEEP",ISNUMBER(--$C242),"REVIEW — UA raw logs",$C242="Emag_Reporting","KEEP",$C242="Nutrition_Data_Archived_Tables","KEEP",$C242="EU_Data","KEEP",TRUE,"REVIEW"),OR($A242="thg-influencer",$A242="thg-ingenuity",$A242="thg-central-marketing",$A242="thg-seoclarity"),"HOLD",TRUE,"")</f>
        <v/>
      </c>
      <c r="R242" t="str" cm="1">
        <f t="array" ref="R242">_xlfn.IFS(AND($A242="thg-beauty",ISNUMBER(SEARCH("liveramp",$C242))),"thg-beauty Liveramp dataset — confirmed safe to delete",$A242="agile-bonbon-662",_xlfn.IFS(LEFT($G242,9)="Tranche 1","Tranche 1: cleared",$C242="Sessions_Level_1_All_Sites","Downstream aggregation of UA raw logs — keep if raw tables go",ISNUMBER(--$C242),"UA raw site logs (account ID) — keep pending audit-retention check",$C242="Emag_Reporting","Legacy but likely needed",$C242="Nutrition_Data_Archived_Tables","Worth keeping",$C242="EU_Data","Static lookup tables — scripts still reference (smoke-test risk)",TRUE,"Review"),OR($A242="thg-influencer",$A242="thg-ingenuity",$A242="thg-central-marketing",$A242="thg-seoclarity"),"HOLD — Charlie Stringer to review before deletion",TRUE,"")</f>
        <v/>
      </c>
      <c r="S242" t="s">
        <v>1624</v>
      </c>
    </row>
    <row r="243" spans="1:19" ht="60.75" hidden="1">
      <c r="A243" t="s">
        <v>38</v>
      </c>
      <c r="B243" t="s">
        <v>1724</v>
      </c>
      <c r="C243" t="s">
        <v>2101</v>
      </c>
      <c r="D243" s="2" t="s">
        <v>1621</v>
      </c>
      <c r="E243">
        <v>0.01</v>
      </c>
      <c r="F243">
        <v>0</v>
      </c>
      <c r="G243" t="s">
        <v>79</v>
      </c>
      <c r="H243" t="s">
        <v>81</v>
      </c>
      <c r="I243">
        <v>28</v>
      </c>
      <c r="J243">
        <v>28</v>
      </c>
      <c r="K243" s="5">
        <v>46143.414273541668</v>
      </c>
      <c r="L243" s="5">
        <v>46143.357995185193</v>
      </c>
      <c r="M243" s="2" t="s">
        <v>2102</v>
      </c>
      <c r="N243" s="2" t="s">
        <v>2103</v>
      </c>
      <c r="O243" s="5">
        <v>46169.329794386576</v>
      </c>
      <c r="P243" t="str">
        <f>IF($Q243="DELETE",IF($S243="CONFIRMED: NO MODS &gt; 1YR","CONFIRMED: NO MODS &gt; 1YR","DO NOT DELETE — not defensibly confirmed"),IF($Q243="HOLD","DO NOT DELETE — HOLD (Charlie review)",IF($Q243="KEEP","DO NOT DELETE — KEEP",IF(ISNUMBER(SEARCH("REVIEW",$Q243)),"DO NOT DELETE — REVIEW pending",$S243))))</f>
        <v>DO NOT DELETE — HOLD (Charlie review)</v>
      </c>
      <c r="Q243" t="str" cm="1">
        <f t="array" ref="Q243">_xlfn.IFS(AND($A243="thg-beauty",ISNUMBER(SEARCH("liveramp",$C243))),"DELETE",$A243="agile-bonbon-662",_xlfn.IFS(LEFT($G243,9)="Tranche 1","DELETE",$C243="Sessions_Level_1_All_Sites","KEEP",ISNUMBER(--$C243),"REVIEW — UA raw logs",$C243="Emag_Reporting","KEEP",$C243="Nutrition_Data_Archived_Tables","KEEP",$C243="EU_Data","KEEP",TRUE,"REVIEW"),OR($A243="thg-influencer",$A243="thg-ingenuity",$A243="thg-central-marketing",$A243="thg-seoclarity"),"HOLD",TRUE,"")</f>
        <v>HOLD</v>
      </c>
      <c r="R243" t="str" cm="1">
        <f t="array" ref="R243">_xlfn.IFS(AND($A243="thg-beauty",ISNUMBER(SEARCH("liveramp",$C243))),"thg-beauty Liveramp dataset — confirmed safe to delete",$A243="agile-bonbon-662",_xlfn.IFS(LEFT($G243,9)="Tranche 1","Tranche 1: cleared",$C243="Sessions_Level_1_All_Sites","Downstream aggregation of UA raw logs — keep if raw tables go",ISNUMBER(--$C243),"UA raw site logs (account ID) — keep pending audit-retention check",$C243="Emag_Reporting","Legacy but likely needed",$C243="Nutrition_Data_Archived_Tables","Worth keeping",$C243="EU_Data","Static lookup tables — scripts still reference (smoke-test risk)",TRUE,"Review"),OR($A243="thg-influencer",$A243="thg-ingenuity",$A243="thg-central-marketing",$A243="thg-seoclarity"),"HOLD — Charlie Stringer to review before deletion",TRUE,"")</f>
        <v>HOLD — Charlie Stringer to review before deletion</v>
      </c>
      <c r="S243" t="s">
        <v>1624</v>
      </c>
    </row>
    <row r="244" spans="1:19" ht="76.5" hidden="1">
      <c r="A244" t="s">
        <v>89</v>
      </c>
      <c r="B244" t="s">
        <v>1619</v>
      </c>
      <c r="C244" t="s">
        <v>2104</v>
      </c>
      <c r="D244" s="2" t="s">
        <v>1621</v>
      </c>
      <c r="E244">
        <v>0</v>
      </c>
      <c r="F244">
        <v>0</v>
      </c>
      <c r="G244" t="s">
        <v>79</v>
      </c>
      <c r="H244" t="s">
        <v>81</v>
      </c>
      <c r="I244">
        <v>28</v>
      </c>
      <c r="J244">
        <v>28</v>
      </c>
      <c r="K244" s="5">
        <v>46164.261262905093</v>
      </c>
      <c r="L244" s="5">
        <v>46169.34484208333</v>
      </c>
      <c r="M244" s="2" t="s">
        <v>2105</v>
      </c>
      <c r="N244" s="2" t="s">
        <v>2106</v>
      </c>
      <c r="O244" s="5">
        <v>46169.344861782411</v>
      </c>
      <c r="P244" t="str">
        <f>IF($Q244="DELETE",IF($S244="CONFIRMED: NO MODS &gt; 1YR","CONFIRMED: NO MODS &gt; 1YR","DO NOT DELETE — not defensibly confirmed"),IF($Q244="HOLD","DO NOT DELETE — HOLD (Charlie review)",IF($Q244="KEEP","DO NOT DELETE — KEEP",IF(ISNUMBER(SEARCH("REVIEW",$Q244)),"DO NOT DELETE — REVIEW pending",$S244))))</f>
        <v>DO NOT DELETE — REVIEW pending</v>
      </c>
      <c r="Q244" t="str" cm="1">
        <f t="array" ref="Q244">_xlfn.IFS(AND($A244="thg-beauty",ISNUMBER(SEARCH("liveramp",$C244))),"DELETE",$A244="agile-bonbon-662",_xlfn.IFS(LEFT($G244,9)="Tranche 1","DELETE",$C244="Sessions_Level_1_All_Sites","KEEP",ISNUMBER(--$C244),"REVIEW — UA raw logs",$C244="Emag_Reporting","KEEP",$C244="Nutrition_Data_Archived_Tables","KEEP",$C244="EU_Data","KEEP",TRUE,"REVIEW"),OR($A244="thg-influencer",$A244="thg-ingenuity",$A244="thg-central-marketing",$A244="thg-seoclarity"),"HOLD",TRUE,"")</f>
        <v>REVIEW</v>
      </c>
      <c r="R244" t="str" cm="1">
        <f t="array" ref="R244">_xlfn.IFS(AND($A244="thg-beauty",ISNUMBER(SEARCH("liveramp",$C244))),"thg-beauty Liveramp dataset — confirmed safe to delete",$A244="agile-bonbon-662",_xlfn.IFS(LEFT($G244,9)="Tranche 1","Tranche 1: cleared",$C244="Sessions_Level_1_All_Sites","Downstream aggregation of UA raw logs — keep if raw tables go",ISNUMBER(--$C244),"UA raw site logs (account ID) — keep pending audit-retention check",$C244="Emag_Reporting","Legacy but likely needed",$C244="Nutrition_Data_Archived_Tables","Worth keeping",$C244="EU_Data","Static lookup tables — scripts still reference (smoke-test risk)",TRUE,"Review"),OR($A244="thg-influencer",$A244="thg-ingenuity",$A244="thg-central-marketing",$A244="thg-seoclarity"),"HOLD — Charlie Stringer to review before deletion",TRUE,"")</f>
        <v>Review</v>
      </c>
      <c r="S244" t="s">
        <v>1624</v>
      </c>
    </row>
    <row r="245" spans="1:19" ht="76.5" hidden="1">
      <c r="A245" t="s">
        <v>90</v>
      </c>
      <c r="B245" t="s">
        <v>1619</v>
      </c>
      <c r="C245" t="s">
        <v>2107</v>
      </c>
      <c r="D245" s="2" t="s">
        <v>1621</v>
      </c>
      <c r="E245">
        <v>0</v>
      </c>
      <c r="F245">
        <v>0</v>
      </c>
      <c r="G245" t="s">
        <v>79</v>
      </c>
      <c r="H245" t="s">
        <v>81</v>
      </c>
      <c r="I245">
        <v>27</v>
      </c>
      <c r="J245">
        <v>58</v>
      </c>
      <c r="K245" s="5">
        <v>46170.046817395843</v>
      </c>
      <c r="L245" s="5">
        <v>46106.34127877315</v>
      </c>
      <c r="M245" s="2" t="s">
        <v>2108</v>
      </c>
      <c r="N245" s="2" t="s">
        <v>2109</v>
      </c>
      <c r="O245" s="5">
        <v>46139.445196851862</v>
      </c>
      <c r="P245" t="str">
        <f>IF($Q245="DELETE",IF($S245="CONFIRMED: NO MODS &gt; 1YR","CONFIRMED: NO MODS &gt; 1YR","DO NOT DELETE — not defensibly confirmed"),IF($Q245="HOLD","DO NOT DELETE — HOLD (Charlie review)",IF($Q245="KEEP","DO NOT DELETE — KEEP",IF(ISNUMBER(SEARCH("REVIEW",$Q245)),"DO NOT DELETE — REVIEW pending",$S245))))</f>
        <v>CONFIRMED: NO MODS &gt; 1YR</v>
      </c>
      <c r="Q245" t="str" cm="1">
        <f t="array" ref="Q245">_xlfn.IFS(AND($A245="thg-beauty",ISNUMBER(SEARCH("liveramp",$C245))),"DELETE",$A245="agile-bonbon-662",_xlfn.IFS(LEFT($G245,9)="Tranche 1","DELETE",$C245="Sessions_Level_1_All_Sites","KEEP",ISNUMBER(--$C245),"REVIEW — UA raw logs",$C245="Emag_Reporting","KEEP",$C245="Nutrition_Data_Archived_Tables","KEEP",$C245="EU_Data","KEEP",TRUE,"REVIEW"),OR($A245="thg-influencer",$A245="thg-ingenuity",$A245="thg-central-marketing",$A245="thg-seoclarity"),"HOLD",TRUE,"")</f>
        <v/>
      </c>
      <c r="R245" t="str" cm="1">
        <f t="array" ref="R245">_xlfn.IFS(AND($A245="thg-beauty",ISNUMBER(SEARCH("liveramp",$C245))),"thg-beauty Liveramp dataset — confirmed safe to delete",$A245="agile-bonbon-662",_xlfn.IFS(LEFT($G245,9)="Tranche 1","Tranche 1: cleared",$C245="Sessions_Level_1_All_Sites","Downstream aggregation of UA raw logs — keep if raw tables go",ISNUMBER(--$C245),"UA raw site logs (account ID) — keep pending audit-retention check",$C245="Emag_Reporting","Legacy but likely needed",$C245="Nutrition_Data_Archived_Tables","Worth keeping",$C245="EU_Data","Static lookup tables — scripts still reference (smoke-test risk)",TRUE,"Review"),OR($A245="thg-influencer",$A245="thg-ingenuity",$A245="thg-central-marketing",$A245="thg-seoclarity"),"HOLD — Charlie Stringer to review before deletion",TRUE,"")</f>
        <v/>
      </c>
      <c r="S245" t="s">
        <v>1624</v>
      </c>
    </row>
    <row r="246" spans="1:19" ht="45.75" hidden="1">
      <c r="A246" t="s">
        <v>93</v>
      </c>
      <c r="B246" t="s">
        <v>1724</v>
      </c>
      <c r="C246" t="s">
        <v>2110</v>
      </c>
      <c r="D246" s="2" t="s">
        <v>1621</v>
      </c>
      <c r="E246">
        <v>0</v>
      </c>
      <c r="F246">
        <v>0</v>
      </c>
      <c r="G246" t="s">
        <v>79</v>
      </c>
      <c r="H246" t="s">
        <v>81</v>
      </c>
      <c r="I246">
        <v>27</v>
      </c>
      <c r="K246" s="5">
        <v>46169.824002407397</v>
      </c>
      <c r="L246" s="5">
        <v>46056.551556041668</v>
      </c>
      <c r="M246" s="2" t="s">
        <v>2111</v>
      </c>
      <c r="N246" s="2" t="s">
        <v>2112</v>
      </c>
      <c r="P246" t="str">
        <f>IF($Q246="DELETE",IF($S246="CONFIRMED: NO MODS &gt; 1YR","CONFIRMED: NO MODS &gt; 1YR","DO NOT DELETE — not defensibly confirmed"),IF($Q246="HOLD","DO NOT DELETE — HOLD (Charlie review)",IF($Q246="KEEP","DO NOT DELETE — KEEP",IF(ISNUMBER(SEARCH("REVIEW",$Q246)),"DO NOT DELETE — REVIEW pending",$S246))))</f>
        <v>CONFIRMED: NO MODS &gt; 1YR</v>
      </c>
      <c r="Q246" t="str" cm="1">
        <f t="array" ref="Q246">_xlfn.IFS(AND($A246="thg-beauty",ISNUMBER(SEARCH("liveramp",$C246))),"DELETE",$A246="agile-bonbon-662",_xlfn.IFS(LEFT($G246,9)="Tranche 1","DELETE",$C246="Sessions_Level_1_All_Sites","KEEP",ISNUMBER(--$C246),"REVIEW — UA raw logs",$C246="Emag_Reporting","KEEP",$C246="Nutrition_Data_Archived_Tables","KEEP",$C246="EU_Data","KEEP",TRUE,"REVIEW"),OR($A246="thg-influencer",$A246="thg-ingenuity",$A246="thg-central-marketing",$A246="thg-seoclarity"),"HOLD",TRUE,"")</f>
        <v/>
      </c>
      <c r="R246" t="str" cm="1">
        <f t="array" ref="R246">_xlfn.IFS(AND($A246="thg-beauty",ISNUMBER(SEARCH("liveramp",$C246))),"thg-beauty Liveramp dataset — confirmed safe to delete",$A246="agile-bonbon-662",_xlfn.IFS(LEFT($G246,9)="Tranche 1","Tranche 1: cleared",$C246="Sessions_Level_1_All_Sites","Downstream aggregation of UA raw logs — keep if raw tables go",ISNUMBER(--$C246),"UA raw site logs (account ID) — keep pending audit-retention check",$C246="Emag_Reporting","Legacy but likely needed",$C246="Nutrition_Data_Archived_Tables","Worth keeping",$C246="EU_Data","Static lookup tables — scripts still reference (smoke-test risk)",TRUE,"Review"),OR($A246="thg-influencer",$A246="thg-ingenuity",$A246="thg-central-marketing",$A246="thg-seoclarity"),"HOLD — Charlie Stringer to review before deletion",TRUE,"")</f>
        <v/>
      </c>
      <c r="S246" t="s">
        <v>1624</v>
      </c>
    </row>
    <row r="247" spans="1:19" ht="30.75" hidden="1">
      <c r="A247" t="s">
        <v>93</v>
      </c>
      <c r="B247" t="s">
        <v>1724</v>
      </c>
      <c r="C247" t="s">
        <v>2113</v>
      </c>
      <c r="D247" s="2" t="s">
        <v>2114</v>
      </c>
      <c r="E247">
        <v>0</v>
      </c>
      <c r="F247">
        <v>0</v>
      </c>
      <c r="G247" t="s">
        <v>79</v>
      </c>
      <c r="H247" t="s">
        <v>81</v>
      </c>
      <c r="I247">
        <v>27</v>
      </c>
      <c r="K247" s="5">
        <v>46169.895369861108</v>
      </c>
      <c r="M247" s="2" t="s">
        <v>2115</v>
      </c>
      <c r="N247" s="2" t="s">
        <v>1701</v>
      </c>
      <c r="P247" t="str">
        <f>IF($Q247="DELETE",IF($S247="CONFIRMED: NO MODS &gt; 1YR","CONFIRMED: NO MODS &gt; 1YR","DO NOT DELETE — not defensibly confirmed"),IF($Q247="HOLD","DO NOT DELETE — HOLD (Charlie review)",IF($Q247="KEEP","DO NOT DELETE — KEEP",IF(ISNUMBER(SEARCH("REVIEW",$Q247)),"DO NOT DELETE — REVIEW pending",$S247))))</f>
        <v>CONFIRMED: NO MODS &gt; 1YR</v>
      </c>
      <c r="Q247" t="str" cm="1">
        <f t="array" ref="Q247">_xlfn.IFS(AND($A247="thg-beauty",ISNUMBER(SEARCH("liveramp",$C247))),"DELETE",$A247="agile-bonbon-662",_xlfn.IFS(LEFT($G247,9)="Tranche 1","DELETE",$C247="Sessions_Level_1_All_Sites","KEEP",ISNUMBER(--$C247),"REVIEW — UA raw logs",$C247="Emag_Reporting","KEEP",$C247="Nutrition_Data_Archived_Tables","KEEP",$C247="EU_Data","KEEP",TRUE,"REVIEW"),OR($A247="thg-influencer",$A247="thg-ingenuity",$A247="thg-central-marketing",$A247="thg-seoclarity"),"HOLD",TRUE,"")</f>
        <v/>
      </c>
      <c r="R247" t="str" cm="1">
        <f t="array" ref="R247">_xlfn.IFS(AND($A247="thg-beauty",ISNUMBER(SEARCH("liveramp",$C247))),"thg-beauty Liveramp dataset — confirmed safe to delete",$A247="agile-bonbon-662",_xlfn.IFS(LEFT($G247,9)="Tranche 1","Tranche 1: cleared",$C247="Sessions_Level_1_All_Sites","Downstream aggregation of UA raw logs — keep if raw tables go",ISNUMBER(--$C247),"UA raw site logs (account ID) — keep pending audit-retention check",$C247="Emag_Reporting","Legacy but likely needed",$C247="Nutrition_Data_Archived_Tables","Worth keeping",$C247="EU_Data","Static lookup tables — scripts still reference (smoke-test risk)",TRUE,"Review"),OR($A247="thg-influencer",$A247="thg-ingenuity",$A247="thg-central-marketing",$A247="thg-seoclarity"),"HOLD — Charlie Stringer to review before deletion",TRUE,"")</f>
        <v/>
      </c>
      <c r="S247" t="s">
        <v>1624</v>
      </c>
    </row>
    <row r="248" spans="1:19" ht="76.5" hidden="1">
      <c r="A248" t="s">
        <v>1702</v>
      </c>
      <c r="B248" t="s">
        <v>1724</v>
      </c>
      <c r="C248" t="s">
        <v>1777</v>
      </c>
      <c r="D248" s="2" t="s">
        <v>1621</v>
      </c>
      <c r="E248">
        <v>0.02</v>
      </c>
      <c r="F248">
        <v>0</v>
      </c>
      <c r="G248" t="s">
        <v>79</v>
      </c>
      <c r="H248" t="s">
        <v>81</v>
      </c>
      <c r="I248">
        <v>26</v>
      </c>
      <c r="J248">
        <v>26</v>
      </c>
      <c r="K248" s="5">
        <v>46170.577046064813</v>
      </c>
      <c r="L248" s="5">
        <v>46170.577046064813</v>
      </c>
      <c r="M248" s="2" t="s">
        <v>2116</v>
      </c>
      <c r="N248" s="2" t="s">
        <v>2116</v>
      </c>
      <c r="O248" s="5">
        <v>46170.57706491898</v>
      </c>
      <c r="P248" t="str">
        <f>IF($Q248="DELETE",IF($S248="CONFIRMED: NO MODS &gt; 1YR","CONFIRMED: NO MODS &gt; 1YR","DO NOT DELETE — not defensibly confirmed"),IF($Q248="HOLD","DO NOT DELETE — HOLD (Charlie review)",IF($Q248="KEEP","DO NOT DELETE — KEEP",IF(ISNUMBER(SEARCH("REVIEW",$Q248)),"DO NOT DELETE — REVIEW pending",$S248))))</f>
        <v>CONFIRMED: NO MODS &gt; 1YR</v>
      </c>
      <c r="Q248" t="str" cm="1">
        <f t="array" ref="Q248">_xlfn.IFS(AND($A248="thg-beauty",ISNUMBER(SEARCH("liveramp",$C248))),"DELETE",$A248="agile-bonbon-662",_xlfn.IFS(LEFT($G248,9)="Tranche 1","DELETE",$C248="Sessions_Level_1_All_Sites","KEEP",ISNUMBER(--$C248),"REVIEW — UA raw logs",$C248="Emag_Reporting","KEEP",$C248="Nutrition_Data_Archived_Tables","KEEP",$C248="EU_Data","KEEP",TRUE,"REVIEW"),OR($A248="thg-influencer",$A248="thg-ingenuity",$A248="thg-central-marketing",$A248="thg-seoclarity"),"HOLD",TRUE,"")</f>
        <v/>
      </c>
      <c r="R248" t="str" cm="1">
        <f t="array" ref="R248">_xlfn.IFS(AND($A248="thg-beauty",ISNUMBER(SEARCH("liveramp",$C248))),"thg-beauty Liveramp dataset — confirmed safe to delete",$A248="agile-bonbon-662",_xlfn.IFS(LEFT($G248,9)="Tranche 1","Tranche 1: cleared",$C248="Sessions_Level_1_All_Sites","Downstream aggregation of UA raw logs — keep if raw tables go",ISNUMBER(--$C248),"UA raw site logs (account ID) — keep pending audit-retention check",$C248="Emag_Reporting","Legacy but likely needed",$C248="Nutrition_Data_Archived_Tables","Worth keeping",$C248="EU_Data","Static lookup tables — scripts still reference (smoke-test risk)",TRUE,"Review"),OR($A248="thg-influencer",$A248="thg-ingenuity",$A248="thg-central-marketing",$A248="thg-seoclarity"),"HOLD — Charlie Stringer to review before deletion",TRUE,"")</f>
        <v/>
      </c>
      <c r="S248" t="s">
        <v>1624</v>
      </c>
    </row>
    <row r="249" spans="1:19" ht="76.5" hidden="1">
      <c r="A249" t="s">
        <v>89</v>
      </c>
      <c r="B249" t="s">
        <v>1619</v>
      </c>
      <c r="C249" t="s">
        <v>2117</v>
      </c>
      <c r="D249" s="2" t="s">
        <v>1621</v>
      </c>
      <c r="E249">
        <v>85.76</v>
      </c>
      <c r="F249">
        <v>1.72</v>
      </c>
      <c r="G249" t="s">
        <v>79</v>
      </c>
      <c r="H249" t="s">
        <v>81</v>
      </c>
      <c r="I249">
        <v>23</v>
      </c>
      <c r="J249">
        <v>23</v>
      </c>
      <c r="K249" s="5">
        <v>46161.606587222217</v>
      </c>
      <c r="L249" s="5">
        <v>46174.202832118062</v>
      </c>
      <c r="M249" s="2" t="s">
        <v>2118</v>
      </c>
      <c r="N249" s="2" t="s">
        <v>2119</v>
      </c>
      <c r="O249" s="5">
        <v>46174.202850914349</v>
      </c>
      <c r="P249" t="str">
        <f>IF($Q249="DELETE",IF($S249="CONFIRMED: NO MODS &gt; 1YR","CONFIRMED: NO MODS &gt; 1YR","DO NOT DELETE — not defensibly confirmed"),IF($Q249="HOLD","DO NOT DELETE — HOLD (Charlie review)",IF($Q249="KEEP","DO NOT DELETE — KEEP",IF(ISNUMBER(SEARCH("REVIEW",$Q249)),"DO NOT DELETE — REVIEW pending",$S249))))</f>
        <v>DO NOT DELETE — REVIEW pending</v>
      </c>
      <c r="Q249" t="str" cm="1">
        <f t="array" ref="Q249">_xlfn.IFS(AND($A249="thg-beauty",ISNUMBER(SEARCH("liveramp",$C249))),"DELETE",$A249="agile-bonbon-662",_xlfn.IFS(LEFT($G249,9)="Tranche 1","DELETE",$C249="Sessions_Level_1_All_Sites","KEEP",ISNUMBER(--$C249),"REVIEW — UA raw logs",$C249="Emag_Reporting","KEEP",$C249="Nutrition_Data_Archived_Tables","KEEP",$C249="EU_Data","KEEP",TRUE,"REVIEW"),OR($A249="thg-influencer",$A249="thg-ingenuity",$A249="thg-central-marketing",$A249="thg-seoclarity"),"HOLD",TRUE,"")</f>
        <v>REVIEW</v>
      </c>
      <c r="R249" t="str" cm="1">
        <f t="array" ref="R249">_xlfn.IFS(AND($A249="thg-beauty",ISNUMBER(SEARCH("liveramp",$C249))),"thg-beauty Liveramp dataset — confirmed safe to delete",$A249="agile-bonbon-662",_xlfn.IFS(LEFT($G249,9)="Tranche 1","Tranche 1: cleared",$C249="Sessions_Level_1_All_Sites","Downstream aggregation of UA raw logs — keep if raw tables go",ISNUMBER(--$C249),"UA raw site logs (account ID) — keep pending audit-retention check",$C249="Emag_Reporting","Legacy but likely needed",$C249="Nutrition_Data_Archived_Tables","Worth keeping",$C249="EU_Data","Static lookup tables — scripts still reference (smoke-test risk)",TRUE,"Review"),OR($A249="thg-influencer",$A249="thg-ingenuity",$A249="thg-central-marketing",$A249="thg-seoclarity"),"HOLD — Charlie Stringer to review before deletion",TRUE,"")</f>
        <v>Review</v>
      </c>
      <c r="S249" t="s">
        <v>1624</v>
      </c>
    </row>
    <row r="250" spans="1:19" ht="76.5" hidden="1">
      <c r="A250" t="s">
        <v>92</v>
      </c>
      <c r="B250" t="s">
        <v>1619</v>
      </c>
      <c r="C250" t="s">
        <v>2120</v>
      </c>
      <c r="D250" s="2" t="s">
        <v>1621</v>
      </c>
      <c r="E250">
        <v>53.94</v>
      </c>
      <c r="F250">
        <v>1.08</v>
      </c>
      <c r="G250" t="s">
        <v>79</v>
      </c>
      <c r="H250" t="s">
        <v>81</v>
      </c>
      <c r="I250">
        <v>0</v>
      </c>
      <c r="J250">
        <v>0</v>
      </c>
      <c r="K250" s="5">
        <v>46197.417319513886</v>
      </c>
      <c r="L250" s="5">
        <v>46197.41584277778</v>
      </c>
      <c r="M250" s="2" t="s">
        <v>2121</v>
      </c>
      <c r="N250" s="2" t="s">
        <v>2122</v>
      </c>
      <c r="O250" s="5">
        <v>46197.416464722221</v>
      </c>
      <c r="P250" t="str">
        <f>IF($Q250="DELETE",IF($S250="CONFIRMED: NO MODS &gt; 1YR","CONFIRMED: NO MODS &gt; 1YR","DO NOT DELETE — not defensibly confirmed"),IF($Q250="HOLD","DO NOT DELETE — HOLD (Charlie review)",IF($Q250="KEEP","DO NOT DELETE — KEEP",IF(ISNUMBER(SEARCH("REVIEW",$Q250)),"DO NOT DELETE — REVIEW pending",$S250))))</f>
        <v>CONFIRMED: NO MODS &gt; 1YR</v>
      </c>
      <c r="Q250" t="str" cm="1">
        <f t="array" ref="Q250">_xlfn.IFS(AND($A250="thg-beauty",ISNUMBER(SEARCH("liveramp",$C250))),"DELETE",$A250="agile-bonbon-662",_xlfn.IFS(LEFT($G250,9)="Tranche 1","DELETE",$C250="Sessions_Level_1_All_Sites","KEEP",ISNUMBER(--$C250),"REVIEW — UA raw logs",$C250="Emag_Reporting","KEEP",$C250="Nutrition_Data_Archived_Tables","KEEP",$C250="EU_Data","KEEP",TRUE,"REVIEW"),OR($A250="thg-influencer",$A250="thg-ingenuity",$A250="thg-central-marketing",$A250="thg-seoclarity"),"HOLD",TRUE,"")</f>
        <v/>
      </c>
      <c r="R250" t="str" cm="1">
        <f t="array" ref="R250">_xlfn.IFS(AND($A250="thg-beauty",ISNUMBER(SEARCH("liveramp",$C250))),"thg-beauty Liveramp dataset — confirmed safe to delete",$A250="agile-bonbon-662",_xlfn.IFS(LEFT($G250,9)="Tranche 1","Tranche 1: cleared",$C250="Sessions_Level_1_All_Sites","Downstream aggregation of UA raw logs — keep if raw tables go",ISNUMBER(--$C250),"UA raw site logs (account ID) — keep pending audit-retention check",$C250="Emag_Reporting","Legacy but likely needed",$C250="Nutrition_Data_Archived_Tables","Worth keeping",$C250="EU_Data","Static lookup tables — scripts still reference (smoke-test risk)",TRUE,"Review"),OR($A250="thg-influencer",$A250="thg-ingenuity",$A250="thg-central-marketing",$A250="thg-seoclarity"),"HOLD — Charlie Stringer to review before deletion",TRUE,"")</f>
        <v/>
      </c>
      <c r="S250" t="s">
        <v>1624</v>
      </c>
    </row>
    <row r="251" spans="1:19" ht="76.5" hidden="1">
      <c r="A251" t="s">
        <v>92</v>
      </c>
      <c r="B251" t="s">
        <v>1619</v>
      </c>
      <c r="C251" t="s">
        <v>2123</v>
      </c>
      <c r="D251" s="2" t="s">
        <v>1621</v>
      </c>
      <c r="E251">
        <v>48.8</v>
      </c>
      <c r="F251">
        <v>0.98</v>
      </c>
      <c r="G251" t="s">
        <v>79</v>
      </c>
      <c r="H251" t="s">
        <v>81</v>
      </c>
      <c r="I251">
        <v>0</v>
      </c>
      <c r="J251">
        <v>0</v>
      </c>
      <c r="K251" s="5">
        <v>46197.39645497685</v>
      </c>
      <c r="L251" s="5">
        <v>46197.09758386574</v>
      </c>
      <c r="M251" s="2" t="s">
        <v>2124</v>
      </c>
      <c r="N251" s="2" t="s">
        <v>2125</v>
      </c>
      <c r="O251" s="5">
        <v>46197.098039918979</v>
      </c>
      <c r="P251" t="str">
        <f>IF($Q251="DELETE",IF($S251="CONFIRMED: NO MODS &gt; 1YR","CONFIRMED: NO MODS &gt; 1YR","DO NOT DELETE — not defensibly confirmed"),IF($Q251="HOLD","DO NOT DELETE — HOLD (Charlie review)",IF($Q251="KEEP","DO NOT DELETE — KEEP",IF(ISNUMBER(SEARCH("REVIEW",$Q251)),"DO NOT DELETE — REVIEW pending",$S251))))</f>
        <v>CONFIRMED: NO MODS &gt; 1YR</v>
      </c>
      <c r="Q251" t="str" cm="1">
        <f t="array" ref="Q251">_xlfn.IFS(AND($A251="thg-beauty",ISNUMBER(SEARCH("liveramp",$C251))),"DELETE",$A251="agile-bonbon-662",_xlfn.IFS(LEFT($G251,9)="Tranche 1","DELETE",$C251="Sessions_Level_1_All_Sites","KEEP",ISNUMBER(--$C251),"REVIEW — UA raw logs",$C251="Emag_Reporting","KEEP",$C251="Nutrition_Data_Archived_Tables","KEEP",$C251="EU_Data","KEEP",TRUE,"REVIEW"),OR($A251="thg-influencer",$A251="thg-ingenuity",$A251="thg-central-marketing",$A251="thg-seoclarity"),"HOLD",TRUE,"")</f>
        <v/>
      </c>
      <c r="R251" t="str" cm="1">
        <f t="array" ref="R251">_xlfn.IFS(AND($A251="thg-beauty",ISNUMBER(SEARCH("liveramp",$C251))),"thg-beauty Liveramp dataset — confirmed safe to delete",$A251="agile-bonbon-662",_xlfn.IFS(LEFT($G251,9)="Tranche 1","Tranche 1: cleared",$C251="Sessions_Level_1_All_Sites","Downstream aggregation of UA raw logs — keep if raw tables go",ISNUMBER(--$C251),"UA raw site logs (account ID) — keep pending audit-retention check",$C251="Emag_Reporting","Legacy but likely needed",$C251="Nutrition_Data_Archived_Tables","Worth keeping",$C251="EU_Data","Static lookup tables — scripts still reference (smoke-test risk)",TRUE,"Review"),OR($A251="thg-influencer",$A251="thg-ingenuity",$A251="thg-central-marketing",$A251="thg-seoclarity"),"HOLD — Charlie Stringer to review before deletion",TRUE,"")</f>
        <v/>
      </c>
      <c r="S251" t="s">
        <v>1624</v>
      </c>
    </row>
    <row r="252" spans="1:19" ht="76.5" hidden="1">
      <c r="A252" t="s">
        <v>1702</v>
      </c>
      <c r="B252" t="s">
        <v>1619</v>
      </c>
      <c r="C252" t="s">
        <v>1696</v>
      </c>
      <c r="D252" s="2" t="s">
        <v>1621</v>
      </c>
      <c r="E252">
        <v>0.15</v>
      </c>
      <c r="F252">
        <v>0</v>
      </c>
      <c r="G252" t="s">
        <v>79</v>
      </c>
      <c r="H252" t="s">
        <v>81</v>
      </c>
      <c r="I252">
        <v>23</v>
      </c>
      <c r="J252">
        <v>23</v>
      </c>
      <c r="L252" s="5">
        <v>46174.126566122693</v>
      </c>
      <c r="M252" s="2" t="s">
        <v>1715</v>
      </c>
      <c r="N252" s="2" t="s">
        <v>2126</v>
      </c>
      <c r="O252" s="5">
        <v>46174.126584826387</v>
      </c>
      <c r="P252" t="str">
        <f>IF($Q252="DELETE",IF($S252="CONFIRMED: NO MODS &gt; 1YR","CONFIRMED: NO MODS &gt; 1YR","DO NOT DELETE — not defensibly confirmed"),IF($Q252="HOLD","DO NOT DELETE — HOLD (Charlie review)",IF($Q252="KEEP","DO NOT DELETE — KEEP",IF(ISNUMBER(SEARCH("REVIEW",$Q252)),"DO NOT DELETE — REVIEW pending",$S252))))</f>
        <v>CONFIRMED: NO MODS &gt; 1YR</v>
      </c>
      <c r="Q252" t="str" cm="1">
        <f t="array" ref="Q252">_xlfn.IFS(AND($A252="thg-beauty",ISNUMBER(SEARCH("liveramp",$C252))),"DELETE",$A252="agile-bonbon-662",_xlfn.IFS(LEFT($G252,9)="Tranche 1","DELETE",$C252="Sessions_Level_1_All_Sites","KEEP",ISNUMBER(--$C252),"REVIEW — UA raw logs",$C252="Emag_Reporting","KEEP",$C252="Nutrition_Data_Archived_Tables","KEEP",$C252="EU_Data","KEEP",TRUE,"REVIEW"),OR($A252="thg-influencer",$A252="thg-ingenuity",$A252="thg-central-marketing",$A252="thg-seoclarity"),"HOLD",TRUE,"")</f>
        <v/>
      </c>
      <c r="R252" t="str" cm="1">
        <f t="array" ref="R252">_xlfn.IFS(AND($A252="thg-beauty",ISNUMBER(SEARCH("liveramp",$C252))),"thg-beauty Liveramp dataset — confirmed safe to delete",$A252="agile-bonbon-662",_xlfn.IFS(LEFT($G252,9)="Tranche 1","Tranche 1: cleared",$C252="Sessions_Level_1_All_Sites","Downstream aggregation of UA raw logs — keep if raw tables go",ISNUMBER(--$C252),"UA raw site logs (account ID) — keep pending audit-retention check",$C252="Emag_Reporting","Legacy but likely needed",$C252="Nutrition_Data_Archived_Tables","Worth keeping",$C252="EU_Data","Static lookup tables — scripts still reference (smoke-test risk)",TRUE,"Review"),OR($A252="thg-influencer",$A252="thg-ingenuity",$A252="thg-central-marketing",$A252="thg-seoclarity"),"HOLD — Charlie Stringer to review before deletion",TRUE,"")</f>
        <v/>
      </c>
      <c r="S252" t="s">
        <v>1624</v>
      </c>
    </row>
    <row r="253" spans="1:19" ht="76.5" hidden="1">
      <c r="A253" t="s">
        <v>38</v>
      </c>
      <c r="B253" t="s">
        <v>1619</v>
      </c>
      <c r="C253" t="s">
        <v>2127</v>
      </c>
      <c r="D253" s="2" t="s">
        <v>1621</v>
      </c>
      <c r="E253">
        <v>64.819999999999993</v>
      </c>
      <c r="F253">
        <v>1.3</v>
      </c>
      <c r="G253" t="s">
        <v>79</v>
      </c>
      <c r="H253" t="s">
        <v>81</v>
      </c>
      <c r="I253">
        <v>22</v>
      </c>
      <c r="J253">
        <v>22</v>
      </c>
      <c r="L253" s="5">
        <v>46175.311384953697</v>
      </c>
      <c r="M253" s="2" t="s">
        <v>1715</v>
      </c>
      <c r="N253" s="2" t="s">
        <v>2128</v>
      </c>
      <c r="O253" s="5">
        <v>46175.311418715282</v>
      </c>
      <c r="P253" t="str">
        <f>IF($Q253="DELETE",IF($S253="CONFIRMED: NO MODS &gt; 1YR","CONFIRMED: NO MODS &gt; 1YR","DO NOT DELETE — not defensibly confirmed"),IF($Q253="HOLD","DO NOT DELETE — HOLD (Charlie review)",IF($Q253="KEEP","DO NOT DELETE — KEEP",IF(ISNUMBER(SEARCH("REVIEW",$Q253)),"DO NOT DELETE — REVIEW pending",$S253))))</f>
        <v>DO NOT DELETE — HOLD (Charlie review)</v>
      </c>
      <c r="Q253" t="str" cm="1">
        <f t="array" ref="Q253">_xlfn.IFS(AND($A253="thg-beauty",ISNUMBER(SEARCH("liveramp",$C253))),"DELETE",$A253="agile-bonbon-662",_xlfn.IFS(LEFT($G253,9)="Tranche 1","DELETE",$C253="Sessions_Level_1_All_Sites","KEEP",ISNUMBER(--$C253),"REVIEW — UA raw logs",$C253="Emag_Reporting","KEEP",$C253="Nutrition_Data_Archived_Tables","KEEP",$C253="EU_Data","KEEP",TRUE,"REVIEW"),OR($A253="thg-influencer",$A253="thg-ingenuity",$A253="thg-central-marketing",$A253="thg-seoclarity"),"HOLD",TRUE,"")</f>
        <v>HOLD</v>
      </c>
      <c r="R253" t="str" cm="1">
        <f t="array" ref="R253">_xlfn.IFS(AND($A253="thg-beauty",ISNUMBER(SEARCH("liveramp",$C253))),"thg-beauty Liveramp dataset — confirmed safe to delete",$A253="agile-bonbon-662",_xlfn.IFS(LEFT($G253,9)="Tranche 1","Tranche 1: cleared",$C253="Sessions_Level_1_All_Sites","Downstream aggregation of UA raw logs — keep if raw tables go",ISNUMBER(--$C253),"UA raw site logs (account ID) — keep pending audit-retention check",$C253="Emag_Reporting","Legacy but likely needed",$C253="Nutrition_Data_Archived_Tables","Worth keeping",$C253="EU_Data","Static lookup tables — scripts still reference (smoke-test risk)",TRUE,"Review"),OR($A253="thg-influencer",$A253="thg-ingenuity",$A253="thg-central-marketing",$A253="thg-seoclarity"),"HOLD — Charlie Stringer to review before deletion",TRUE,"")</f>
        <v>HOLD — Charlie Stringer to review before deletion</v>
      </c>
      <c r="S253" t="s">
        <v>1624</v>
      </c>
    </row>
    <row r="254" spans="1:19" ht="76.5" hidden="1">
      <c r="A254" t="s">
        <v>1749</v>
      </c>
      <c r="B254" t="s">
        <v>1724</v>
      </c>
      <c r="C254" t="s">
        <v>2129</v>
      </c>
      <c r="D254" s="2" t="s">
        <v>2130</v>
      </c>
      <c r="E254">
        <v>0</v>
      </c>
      <c r="F254">
        <v>0</v>
      </c>
      <c r="G254" t="s">
        <v>79</v>
      </c>
      <c r="H254" t="s">
        <v>81</v>
      </c>
      <c r="I254">
        <v>19</v>
      </c>
      <c r="K254" s="5">
        <v>46177.611863773149</v>
      </c>
      <c r="L254" s="5">
        <v>46177.598867129629</v>
      </c>
      <c r="M254" s="2" t="s">
        <v>2131</v>
      </c>
      <c r="N254" s="2" t="s">
        <v>2132</v>
      </c>
      <c r="P254" t="str">
        <f>IF($Q254="DELETE",IF($S254="CONFIRMED: NO MODS &gt; 1YR","CONFIRMED: NO MODS &gt; 1YR","DO NOT DELETE — not defensibly confirmed"),IF($Q254="HOLD","DO NOT DELETE — HOLD (Charlie review)",IF($Q254="KEEP","DO NOT DELETE — KEEP",IF(ISNUMBER(SEARCH("REVIEW",$Q254)),"DO NOT DELETE — REVIEW pending",$S254))))</f>
        <v>CONFIRMED: NO MODS &gt; 1YR</v>
      </c>
      <c r="Q254" t="str" cm="1">
        <f t="array" ref="Q254">_xlfn.IFS(AND($A254="thg-beauty",ISNUMBER(SEARCH("liveramp",$C254))),"DELETE",$A254="agile-bonbon-662",_xlfn.IFS(LEFT($G254,9)="Tranche 1","DELETE",$C254="Sessions_Level_1_All_Sites","KEEP",ISNUMBER(--$C254),"REVIEW — UA raw logs",$C254="Emag_Reporting","KEEP",$C254="Nutrition_Data_Archived_Tables","KEEP",$C254="EU_Data","KEEP",TRUE,"REVIEW"),OR($A254="thg-influencer",$A254="thg-ingenuity",$A254="thg-central-marketing",$A254="thg-seoclarity"),"HOLD",TRUE,"")</f>
        <v/>
      </c>
      <c r="R254" t="str" cm="1">
        <f t="array" ref="R254">_xlfn.IFS(AND($A254="thg-beauty",ISNUMBER(SEARCH("liveramp",$C254))),"thg-beauty Liveramp dataset — confirmed safe to delete",$A254="agile-bonbon-662",_xlfn.IFS(LEFT($G254,9)="Tranche 1","Tranche 1: cleared",$C254="Sessions_Level_1_All_Sites","Downstream aggregation of UA raw logs — keep if raw tables go",ISNUMBER(--$C254),"UA raw site logs (account ID) — keep pending audit-retention check",$C254="Emag_Reporting","Legacy but likely needed",$C254="Nutrition_Data_Archived_Tables","Worth keeping",$C254="EU_Data","Static lookup tables — scripts still reference (smoke-test risk)",TRUE,"Review"),OR($A254="thg-influencer",$A254="thg-ingenuity",$A254="thg-central-marketing",$A254="thg-seoclarity"),"HOLD — Charlie Stringer to review before deletion",TRUE,"")</f>
        <v/>
      </c>
      <c r="S254" t="s">
        <v>1624</v>
      </c>
    </row>
    <row r="255" spans="1:19" ht="76.5" hidden="1">
      <c r="A255" t="s">
        <v>1749</v>
      </c>
      <c r="B255" t="s">
        <v>1724</v>
      </c>
      <c r="C255" t="s">
        <v>2133</v>
      </c>
      <c r="D255" s="2" t="s">
        <v>1621</v>
      </c>
      <c r="E255">
        <v>0</v>
      </c>
      <c r="F255">
        <v>0</v>
      </c>
      <c r="G255" t="s">
        <v>79</v>
      </c>
      <c r="H255" t="s">
        <v>81</v>
      </c>
      <c r="I255">
        <v>19</v>
      </c>
      <c r="J255">
        <v>47</v>
      </c>
      <c r="K255" s="5">
        <v>46177.613051400462</v>
      </c>
      <c r="L255" s="5">
        <v>46149.521698402779</v>
      </c>
      <c r="M255" s="2" t="s">
        <v>2134</v>
      </c>
      <c r="N255" s="2" t="s">
        <v>2135</v>
      </c>
      <c r="O255" s="5">
        <v>46149.52176491898</v>
      </c>
      <c r="P255" t="str">
        <f>IF($Q255="DELETE",IF($S255="CONFIRMED: NO MODS &gt; 1YR","CONFIRMED: NO MODS &gt; 1YR","DO NOT DELETE — not defensibly confirmed"),IF($Q255="HOLD","DO NOT DELETE — HOLD (Charlie review)",IF($Q255="KEEP","DO NOT DELETE — KEEP",IF(ISNUMBER(SEARCH("REVIEW",$Q255)),"DO NOT DELETE — REVIEW pending",$S255))))</f>
        <v>CONFIRMED: NO MODS &gt; 1YR</v>
      </c>
      <c r="Q255" t="str" cm="1">
        <f t="array" ref="Q255">_xlfn.IFS(AND($A255="thg-beauty",ISNUMBER(SEARCH("liveramp",$C255))),"DELETE",$A255="agile-bonbon-662",_xlfn.IFS(LEFT($G255,9)="Tranche 1","DELETE",$C255="Sessions_Level_1_All_Sites","KEEP",ISNUMBER(--$C255),"REVIEW — UA raw logs",$C255="Emag_Reporting","KEEP",$C255="Nutrition_Data_Archived_Tables","KEEP",$C255="EU_Data","KEEP",TRUE,"REVIEW"),OR($A255="thg-influencer",$A255="thg-ingenuity",$A255="thg-central-marketing",$A255="thg-seoclarity"),"HOLD",TRUE,"")</f>
        <v/>
      </c>
      <c r="R255" t="str" cm="1">
        <f t="array" ref="R255">_xlfn.IFS(AND($A255="thg-beauty",ISNUMBER(SEARCH("liveramp",$C255))),"thg-beauty Liveramp dataset — confirmed safe to delete",$A255="agile-bonbon-662",_xlfn.IFS(LEFT($G255,9)="Tranche 1","Tranche 1: cleared",$C255="Sessions_Level_1_All_Sites","Downstream aggregation of UA raw logs — keep if raw tables go",ISNUMBER(--$C255),"UA raw site logs (account ID) — keep pending audit-retention check",$C255="Emag_Reporting","Legacy but likely needed",$C255="Nutrition_Data_Archived_Tables","Worth keeping",$C255="EU_Data","Static lookup tables — scripts still reference (smoke-test risk)",TRUE,"Review"),OR($A255="thg-influencer",$A255="thg-ingenuity",$A255="thg-central-marketing",$A255="thg-seoclarity"),"HOLD — Charlie Stringer to review before deletion",TRUE,"")</f>
        <v/>
      </c>
      <c r="S255" t="s">
        <v>1624</v>
      </c>
    </row>
    <row r="256" spans="1:19" ht="76.5" hidden="1">
      <c r="A256" t="s">
        <v>90</v>
      </c>
      <c r="B256" t="s">
        <v>1619</v>
      </c>
      <c r="C256" t="s">
        <v>2136</v>
      </c>
      <c r="D256" s="2" t="s">
        <v>1621</v>
      </c>
      <c r="E256">
        <v>10.24</v>
      </c>
      <c r="F256">
        <v>0.2</v>
      </c>
      <c r="G256" t="s">
        <v>79</v>
      </c>
      <c r="H256" t="s">
        <v>81</v>
      </c>
      <c r="I256">
        <v>15</v>
      </c>
      <c r="J256">
        <v>15</v>
      </c>
      <c r="K256" s="5">
        <v>46181.455039247689</v>
      </c>
      <c r="L256" s="5">
        <v>46181.455039247689</v>
      </c>
      <c r="M256" s="2" t="s">
        <v>2137</v>
      </c>
      <c r="N256" s="2" t="s">
        <v>2138</v>
      </c>
      <c r="O256" s="5">
        <v>46181.455062013891</v>
      </c>
      <c r="P256" t="str">
        <f>IF($Q256="DELETE",IF($S256="CONFIRMED: NO MODS &gt; 1YR","CONFIRMED: NO MODS &gt; 1YR","DO NOT DELETE — not defensibly confirmed"),IF($Q256="HOLD","DO NOT DELETE — HOLD (Charlie review)",IF($Q256="KEEP","DO NOT DELETE — KEEP",IF(ISNUMBER(SEARCH("REVIEW",$Q256)),"DO NOT DELETE — REVIEW pending",$S256))))</f>
        <v>CONFIRMED: NO MODS &gt; 1YR</v>
      </c>
      <c r="Q256" t="str" cm="1">
        <f t="array" ref="Q256">_xlfn.IFS(AND($A256="thg-beauty",ISNUMBER(SEARCH("liveramp",$C256))),"DELETE",$A256="agile-bonbon-662",_xlfn.IFS(LEFT($G256,9)="Tranche 1","DELETE",$C256="Sessions_Level_1_All_Sites","KEEP",ISNUMBER(--$C256),"REVIEW — UA raw logs",$C256="Emag_Reporting","KEEP",$C256="Nutrition_Data_Archived_Tables","KEEP",$C256="EU_Data","KEEP",TRUE,"REVIEW"),OR($A256="thg-influencer",$A256="thg-ingenuity",$A256="thg-central-marketing",$A256="thg-seoclarity"),"HOLD",TRUE,"")</f>
        <v/>
      </c>
      <c r="R256" t="str" cm="1">
        <f t="array" ref="R256">_xlfn.IFS(AND($A256="thg-beauty",ISNUMBER(SEARCH("liveramp",$C256))),"thg-beauty Liveramp dataset — confirmed safe to delete",$A256="agile-bonbon-662",_xlfn.IFS(LEFT($G256,9)="Tranche 1","Tranche 1: cleared",$C256="Sessions_Level_1_All_Sites","Downstream aggregation of UA raw logs — keep if raw tables go",ISNUMBER(--$C256),"UA raw site logs (account ID) — keep pending audit-retention check",$C256="Emag_Reporting","Legacy but likely needed",$C256="Nutrition_Data_Archived_Tables","Worth keeping",$C256="EU_Data","Static lookup tables — scripts still reference (smoke-test risk)",TRUE,"Review"),OR($A256="thg-influencer",$A256="thg-ingenuity",$A256="thg-central-marketing",$A256="thg-seoclarity"),"HOLD — Charlie Stringer to review before deletion",TRUE,"")</f>
        <v/>
      </c>
      <c r="S256" t="s">
        <v>1624</v>
      </c>
    </row>
    <row r="257" spans="1:19" ht="76.5" hidden="1">
      <c r="A257" t="s">
        <v>1723</v>
      </c>
      <c r="B257" t="s">
        <v>1724</v>
      </c>
      <c r="C257" t="s">
        <v>1750</v>
      </c>
      <c r="D257" s="2" t="s">
        <v>1726</v>
      </c>
      <c r="E257">
        <v>3.25</v>
      </c>
      <c r="F257">
        <v>0.06</v>
      </c>
      <c r="G257" t="s">
        <v>79</v>
      </c>
      <c r="H257" t="s">
        <v>81</v>
      </c>
      <c r="I257">
        <v>15</v>
      </c>
      <c r="J257">
        <v>36</v>
      </c>
      <c r="K257" s="5">
        <v>46181.480937997687</v>
      </c>
      <c r="L257" s="5">
        <v>46161.302136967592</v>
      </c>
      <c r="M257" s="2" t="s">
        <v>2139</v>
      </c>
      <c r="N257" s="2" t="s">
        <v>2140</v>
      </c>
      <c r="O257" s="5">
        <v>46161.302195127311</v>
      </c>
      <c r="P257" t="str">
        <f>IF($Q257="DELETE",IF($S257="CONFIRMED: NO MODS &gt; 1YR","CONFIRMED: NO MODS &gt; 1YR","DO NOT DELETE — not defensibly confirmed"),IF($Q257="HOLD","DO NOT DELETE — HOLD (Charlie review)",IF($Q257="KEEP","DO NOT DELETE — KEEP",IF(ISNUMBER(SEARCH("REVIEW",$Q257)),"DO NOT DELETE — REVIEW pending",$S257))))</f>
        <v>CONFIRMED: NO MODS &gt; 1YR</v>
      </c>
      <c r="Q257" t="str" cm="1">
        <f t="array" ref="Q257">_xlfn.IFS(AND($A257="thg-beauty",ISNUMBER(SEARCH("liveramp",$C257))),"DELETE",$A257="agile-bonbon-662",_xlfn.IFS(LEFT($G257,9)="Tranche 1","DELETE",$C257="Sessions_Level_1_All_Sites","KEEP",ISNUMBER(--$C257),"REVIEW — UA raw logs",$C257="Emag_Reporting","KEEP",$C257="Nutrition_Data_Archived_Tables","KEEP",$C257="EU_Data","KEEP",TRUE,"REVIEW"),OR($A257="thg-influencer",$A257="thg-ingenuity",$A257="thg-central-marketing",$A257="thg-seoclarity"),"HOLD",TRUE,"")</f>
        <v/>
      </c>
      <c r="R257" t="str" cm="1">
        <f t="array" ref="R257">_xlfn.IFS(AND($A257="thg-beauty",ISNUMBER(SEARCH("liveramp",$C257))),"thg-beauty Liveramp dataset — confirmed safe to delete",$A257="agile-bonbon-662",_xlfn.IFS(LEFT($G257,9)="Tranche 1","Tranche 1: cleared",$C257="Sessions_Level_1_All_Sites","Downstream aggregation of UA raw logs — keep if raw tables go",ISNUMBER(--$C257),"UA raw site logs (account ID) — keep pending audit-retention check",$C257="Emag_Reporting","Legacy but likely needed",$C257="Nutrition_Data_Archived_Tables","Worth keeping",$C257="EU_Data","Static lookup tables — scripts still reference (smoke-test risk)",TRUE,"Review"),OR($A257="thg-influencer",$A257="thg-ingenuity",$A257="thg-central-marketing",$A257="thg-seoclarity"),"HOLD — Charlie Stringer to review before deletion",TRUE,"")</f>
        <v/>
      </c>
      <c r="S257" t="s">
        <v>1624</v>
      </c>
    </row>
    <row r="258" spans="1:19" ht="76.5" hidden="1">
      <c r="A258" t="s">
        <v>38</v>
      </c>
      <c r="B258" t="s">
        <v>1619</v>
      </c>
      <c r="C258" t="s">
        <v>2141</v>
      </c>
      <c r="D258" s="2" t="s">
        <v>1621</v>
      </c>
      <c r="E258">
        <v>12.3</v>
      </c>
      <c r="F258">
        <v>0.25</v>
      </c>
      <c r="G258" t="s">
        <v>79</v>
      </c>
      <c r="H258" t="s">
        <v>81</v>
      </c>
      <c r="I258">
        <v>14</v>
      </c>
      <c r="J258">
        <v>14</v>
      </c>
      <c r="K258" s="5">
        <v>46183.335242465277</v>
      </c>
      <c r="L258" s="5">
        <v>46183.285566817132</v>
      </c>
      <c r="M258" s="2" t="s">
        <v>2142</v>
      </c>
      <c r="N258" s="2" t="s">
        <v>2143</v>
      </c>
      <c r="O258" s="5">
        <v>46183.285614039349</v>
      </c>
      <c r="P258" t="str">
        <f>IF($Q258="DELETE",IF($S258="CONFIRMED: NO MODS &gt; 1YR","CONFIRMED: NO MODS &gt; 1YR","DO NOT DELETE — not defensibly confirmed"),IF($Q258="HOLD","DO NOT DELETE — HOLD (Charlie review)",IF($Q258="KEEP","DO NOT DELETE — KEEP",IF(ISNUMBER(SEARCH("REVIEW",$Q258)),"DO NOT DELETE — REVIEW pending",$S258))))</f>
        <v>DO NOT DELETE — HOLD (Charlie review)</v>
      </c>
      <c r="Q258" t="str" cm="1">
        <f t="array" ref="Q258">_xlfn.IFS(AND($A258="thg-beauty",ISNUMBER(SEARCH("liveramp",$C258))),"DELETE",$A258="agile-bonbon-662",_xlfn.IFS(LEFT($G258,9)="Tranche 1","DELETE",$C258="Sessions_Level_1_All_Sites","KEEP",ISNUMBER(--$C258),"REVIEW — UA raw logs",$C258="Emag_Reporting","KEEP",$C258="Nutrition_Data_Archived_Tables","KEEP",$C258="EU_Data","KEEP",TRUE,"REVIEW"),OR($A258="thg-influencer",$A258="thg-ingenuity",$A258="thg-central-marketing",$A258="thg-seoclarity"),"HOLD",TRUE,"")</f>
        <v>HOLD</v>
      </c>
      <c r="R258" t="str" cm="1">
        <f t="array" ref="R258">_xlfn.IFS(AND($A258="thg-beauty",ISNUMBER(SEARCH("liveramp",$C258))),"thg-beauty Liveramp dataset — confirmed safe to delete",$A258="agile-bonbon-662",_xlfn.IFS(LEFT($G258,9)="Tranche 1","Tranche 1: cleared",$C258="Sessions_Level_1_All_Sites","Downstream aggregation of UA raw logs — keep if raw tables go",ISNUMBER(--$C258),"UA raw site logs (account ID) — keep pending audit-retention check",$C258="Emag_Reporting","Legacy but likely needed",$C258="Nutrition_Data_Archived_Tables","Worth keeping",$C258="EU_Data","Static lookup tables — scripts still reference (smoke-test risk)",TRUE,"Review"),OR($A258="thg-influencer",$A258="thg-ingenuity",$A258="thg-central-marketing",$A258="thg-seoclarity"),"HOLD — Charlie Stringer to review before deletion",TRUE,"")</f>
        <v>HOLD — Charlie Stringer to review before deletion</v>
      </c>
      <c r="S258" t="s">
        <v>1624</v>
      </c>
    </row>
    <row r="259" spans="1:19" ht="76.5" hidden="1">
      <c r="A259" t="s">
        <v>93</v>
      </c>
      <c r="B259" t="s">
        <v>1619</v>
      </c>
      <c r="C259" t="s">
        <v>2144</v>
      </c>
      <c r="D259" s="2" t="s">
        <v>1621</v>
      </c>
      <c r="E259">
        <v>0.02</v>
      </c>
      <c r="F259">
        <v>0</v>
      </c>
      <c r="G259" t="s">
        <v>79</v>
      </c>
      <c r="H259" t="s">
        <v>81</v>
      </c>
      <c r="I259">
        <v>14</v>
      </c>
      <c r="J259">
        <v>14</v>
      </c>
      <c r="K259" s="5">
        <v>46182.334609907397</v>
      </c>
      <c r="M259" s="2" t="s">
        <v>2145</v>
      </c>
      <c r="N259" s="2" t="s">
        <v>1701</v>
      </c>
      <c r="O259" s="5">
        <v>46182.696519027777</v>
      </c>
      <c r="P259" t="str">
        <f>IF($Q259="DELETE",IF($S259="CONFIRMED: NO MODS &gt; 1YR","CONFIRMED: NO MODS &gt; 1YR","DO NOT DELETE — not defensibly confirmed"),IF($Q259="HOLD","DO NOT DELETE — HOLD (Charlie review)",IF($Q259="KEEP","DO NOT DELETE — KEEP",IF(ISNUMBER(SEARCH("REVIEW",$Q259)),"DO NOT DELETE — REVIEW pending",$S259))))</f>
        <v>CONFIRMED: NO MODS &gt; 1YR</v>
      </c>
      <c r="Q259" t="str" cm="1">
        <f t="array" ref="Q259">_xlfn.IFS(AND($A259="thg-beauty",ISNUMBER(SEARCH("liveramp",$C259))),"DELETE",$A259="agile-bonbon-662",_xlfn.IFS(LEFT($G259,9)="Tranche 1","DELETE",$C259="Sessions_Level_1_All_Sites","KEEP",ISNUMBER(--$C259),"REVIEW — UA raw logs",$C259="Emag_Reporting","KEEP",$C259="Nutrition_Data_Archived_Tables","KEEP",$C259="EU_Data","KEEP",TRUE,"REVIEW"),OR($A259="thg-influencer",$A259="thg-ingenuity",$A259="thg-central-marketing",$A259="thg-seoclarity"),"HOLD",TRUE,"")</f>
        <v/>
      </c>
      <c r="R259" t="str" cm="1">
        <f t="array" ref="R259">_xlfn.IFS(AND($A259="thg-beauty",ISNUMBER(SEARCH("liveramp",$C259))),"thg-beauty Liveramp dataset — confirmed safe to delete",$A259="agile-bonbon-662",_xlfn.IFS(LEFT($G259,9)="Tranche 1","Tranche 1: cleared",$C259="Sessions_Level_1_All_Sites","Downstream aggregation of UA raw logs — keep if raw tables go",ISNUMBER(--$C259),"UA raw site logs (account ID) — keep pending audit-retention check",$C259="Emag_Reporting","Legacy but likely needed",$C259="Nutrition_Data_Archived_Tables","Worth keeping",$C259="EU_Data","Static lookup tables — scripts still reference (smoke-test risk)",TRUE,"Review"),OR($A259="thg-influencer",$A259="thg-ingenuity",$A259="thg-central-marketing",$A259="thg-seoclarity"),"HOLD — Charlie Stringer to review before deletion",TRUE,"")</f>
        <v/>
      </c>
      <c r="S259" t="s">
        <v>1624</v>
      </c>
    </row>
    <row r="260" spans="1:19" hidden="1">
      <c r="A260" t="s">
        <v>91</v>
      </c>
      <c r="B260" t="s">
        <v>1619</v>
      </c>
      <c r="C260" t="s">
        <v>2146</v>
      </c>
      <c r="D260" s="2" t="s">
        <v>1621</v>
      </c>
      <c r="E260">
        <v>0.59</v>
      </c>
      <c r="F260">
        <v>0.01</v>
      </c>
      <c r="G260" t="s">
        <v>79</v>
      </c>
      <c r="H260" t="s">
        <v>81</v>
      </c>
      <c r="I260">
        <v>13</v>
      </c>
      <c r="J260">
        <v>13</v>
      </c>
      <c r="K260" s="5">
        <v>46141.414652210653</v>
      </c>
      <c r="M260" s="2" t="s">
        <v>1802</v>
      </c>
      <c r="N260" s="2" t="s">
        <v>1701</v>
      </c>
      <c r="O260" s="5">
        <v>46183.507704884258</v>
      </c>
      <c r="P260" t="str">
        <f>IF($Q260="DELETE",IF($S260="CONFIRMED: NO MODS &gt; 1YR","CONFIRMED: NO MODS &gt; 1YR","DO NOT DELETE — not defensibly confirmed"),IF($Q260="HOLD","DO NOT DELETE — HOLD (Charlie review)",IF($Q260="KEEP","DO NOT DELETE — KEEP",IF(ISNUMBER(SEARCH("REVIEW",$Q260)),"DO NOT DELETE — REVIEW pending",$S260))))</f>
        <v>CONFIRMED: NO MODS &gt; 1YR</v>
      </c>
      <c r="Q260" t="str" cm="1">
        <f t="array" ref="Q260">_xlfn.IFS(AND($A260="thg-beauty",ISNUMBER(SEARCH("liveramp",$C260))),"DELETE",$A260="agile-bonbon-662",_xlfn.IFS(LEFT($G260,9)="Tranche 1","DELETE",$C260="Sessions_Level_1_All_Sites","KEEP",ISNUMBER(--$C260),"REVIEW — UA raw logs",$C260="Emag_Reporting","KEEP",$C260="Nutrition_Data_Archived_Tables","KEEP",$C260="EU_Data","KEEP",TRUE,"REVIEW"),OR($A260="thg-influencer",$A260="thg-ingenuity",$A260="thg-central-marketing",$A260="thg-seoclarity"),"HOLD",TRUE,"")</f>
        <v/>
      </c>
      <c r="R260" t="str" cm="1">
        <f t="array" ref="R260">_xlfn.IFS(AND($A260="thg-beauty",ISNUMBER(SEARCH("liveramp",$C260))),"thg-beauty Liveramp dataset — confirmed safe to delete",$A260="agile-bonbon-662",_xlfn.IFS(LEFT($G260,9)="Tranche 1","Tranche 1: cleared",$C260="Sessions_Level_1_All_Sites","Downstream aggregation of UA raw logs — keep if raw tables go",ISNUMBER(--$C260),"UA raw site logs (account ID) — keep pending audit-retention check",$C260="Emag_Reporting","Legacy but likely needed",$C260="Nutrition_Data_Archived_Tables","Worth keeping",$C260="EU_Data","Static lookup tables — scripts still reference (smoke-test risk)",TRUE,"Review"),OR($A260="thg-influencer",$A260="thg-ingenuity",$A260="thg-central-marketing",$A260="thg-seoclarity"),"HOLD — Charlie Stringer to review before deletion",TRUE,"")</f>
        <v/>
      </c>
      <c r="S260" t="s">
        <v>1624</v>
      </c>
    </row>
    <row r="261" spans="1:19" ht="76.5" hidden="1">
      <c r="A261" t="s">
        <v>92</v>
      </c>
      <c r="B261" t="s">
        <v>1619</v>
      </c>
      <c r="C261" t="s">
        <v>2147</v>
      </c>
      <c r="D261" s="2" t="s">
        <v>1621</v>
      </c>
      <c r="E261">
        <v>43.65</v>
      </c>
      <c r="F261">
        <v>0.87</v>
      </c>
      <c r="G261" t="s">
        <v>79</v>
      </c>
      <c r="H261" t="s">
        <v>81</v>
      </c>
      <c r="I261">
        <v>0</v>
      </c>
      <c r="J261">
        <v>0</v>
      </c>
      <c r="K261" s="5">
        <v>46197.448999270833</v>
      </c>
      <c r="L261" s="5">
        <v>46197.106398206022</v>
      </c>
      <c r="M261" s="2" t="s">
        <v>2148</v>
      </c>
      <c r="N261" s="2" t="s">
        <v>2149</v>
      </c>
      <c r="O261" s="5">
        <v>46197.108236481479</v>
      </c>
      <c r="P261" t="str">
        <f>IF($Q261="DELETE",IF($S261="CONFIRMED: NO MODS &gt; 1YR","CONFIRMED: NO MODS &gt; 1YR","DO NOT DELETE — not defensibly confirmed"),IF($Q261="HOLD","DO NOT DELETE — HOLD (Charlie review)",IF($Q261="KEEP","DO NOT DELETE — KEEP",IF(ISNUMBER(SEARCH("REVIEW",$Q261)),"DO NOT DELETE — REVIEW pending",$S261))))</f>
        <v>CONFIRMED: NO MODS &gt; 1YR</v>
      </c>
      <c r="Q261" t="str" cm="1">
        <f t="array" ref="Q261">_xlfn.IFS(AND($A261="thg-beauty",ISNUMBER(SEARCH("liveramp",$C261))),"DELETE",$A261="agile-bonbon-662",_xlfn.IFS(LEFT($G261,9)="Tranche 1","DELETE",$C261="Sessions_Level_1_All_Sites","KEEP",ISNUMBER(--$C261),"REVIEW — UA raw logs",$C261="Emag_Reporting","KEEP",$C261="Nutrition_Data_Archived_Tables","KEEP",$C261="EU_Data","KEEP",TRUE,"REVIEW"),OR($A261="thg-influencer",$A261="thg-ingenuity",$A261="thg-central-marketing",$A261="thg-seoclarity"),"HOLD",TRUE,"")</f>
        <v/>
      </c>
      <c r="R261" t="str" cm="1">
        <f t="array" ref="R261">_xlfn.IFS(AND($A261="thg-beauty",ISNUMBER(SEARCH("liveramp",$C261))),"thg-beauty Liveramp dataset — confirmed safe to delete",$A261="agile-bonbon-662",_xlfn.IFS(LEFT($G261,9)="Tranche 1","Tranche 1: cleared",$C261="Sessions_Level_1_All_Sites","Downstream aggregation of UA raw logs — keep if raw tables go",ISNUMBER(--$C261),"UA raw site logs (account ID) — keep pending audit-retention check",$C261="Emag_Reporting","Legacy but likely needed",$C261="Nutrition_Data_Archived_Tables","Worth keeping",$C261="EU_Data","Static lookup tables — scripts still reference (smoke-test risk)",TRUE,"Review"),OR($A261="thg-influencer",$A261="thg-ingenuity",$A261="thg-central-marketing",$A261="thg-seoclarity"),"HOLD — Charlie Stringer to review before deletion",TRUE,"")</f>
        <v/>
      </c>
      <c r="S261" t="s">
        <v>1624</v>
      </c>
    </row>
    <row r="262" spans="1:19" ht="76.5" hidden="1">
      <c r="A262" t="s">
        <v>92</v>
      </c>
      <c r="B262" t="s">
        <v>1619</v>
      </c>
      <c r="C262" t="s">
        <v>2150</v>
      </c>
      <c r="D262" s="2" t="s">
        <v>1621</v>
      </c>
      <c r="E262">
        <v>43.18</v>
      </c>
      <c r="F262">
        <v>0.86</v>
      </c>
      <c r="G262" t="s">
        <v>79</v>
      </c>
      <c r="H262" t="s">
        <v>81</v>
      </c>
      <c r="I262">
        <v>0</v>
      </c>
      <c r="J262">
        <v>2</v>
      </c>
      <c r="K262" s="5">
        <v>46197.103400960637</v>
      </c>
      <c r="L262" s="5">
        <v>46195.357895763889</v>
      </c>
      <c r="M262" s="2" t="s">
        <v>2151</v>
      </c>
      <c r="N262" s="2" t="s">
        <v>2152</v>
      </c>
      <c r="O262" s="5">
        <v>46195.357961006943</v>
      </c>
      <c r="P262" t="str">
        <f>IF($Q262="DELETE",IF($S262="CONFIRMED: NO MODS &gt; 1YR","CONFIRMED: NO MODS &gt; 1YR","DO NOT DELETE — not defensibly confirmed"),IF($Q262="HOLD","DO NOT DELETE — HOLD (Charlie review)",IF($Q262="KEEP","DO NOT DELETE — KEEP",IF(ISNUMBER(SEARCH("REVIEW",$Q262)),"DO NOT DELETE — REVIEW pending",$S262))))</f>
        <v>CONFIRMED: NO MODS &gt; 1YR</v>
      </c>
      <c r="Q262" t="str" cm="1">
        <f t="array" ref="Q262">_xlfn.IFS(AND($A262="thg-beauty",ISNUMBER(SEARCH("liveramp",$C262))),"DELETE",$A262="agile-bonbon-662",_xlfn.IFS(LEFT($G262,9)="Tranche 1","DELETE",$C262="Sessions_Level_1_All_Sites","KEEP",ISNUMBER(--$C262),"REVIEW — UA raw logs",$C262="Emag_Reporting","KEEP",$C262="Nutrition_Data_Archived_Tables","KEEP",$C262="EU_Data","KEEP",TRUE,"REVIEW"),OR($A262="thg-influencer",$A262="thg-ingenuity",$A262="thg-central-marketing",$A262="thg-seoclarity"),"HOLD",TRUE,"")</f>
        <v/>
      </c>
      <c r="R262" t="str" cm="1">
        <f t="array" ref="R262">_xlfn.IFS(AND($A262="thg-beauty",ISNUMBER(SEARCH("liveramp",$C262))),"thg-beauty Liveramp dataset — confirmed safe to delete",$A262="agile-bonbon-662",_xlfn.IFS(LEFT($G262,9)="Tranche 1","Tranche 1: cleared",$C262="Sessions_Level_1_All_Sites","Downstream aggregation of UA raw logs — keep if raw tables go",ISNUMBER(--$C262),"UA raw site logs (account ID) — keep pending audit-retention check",$C262="Emag_Reporting","Legacy but likely needed",$C262="Nutrition_Data_Archived_Tables","Worth keeping",$C262="EU_Data","Static lookup tables — scripts still reference (smoke-test risk)",TRUE,"Review"),OR($A262="thg-influencer",$A262="thg-ingenuity",$A262="thg-central-marketing",$A262="thg-seoclarity"),"HOLD — Charlie Stringer to review before deletion",TRUE,"")</f>
        <v/>
      </c>
      <c r="S262" t="s">
        <v>1624</v>
      </c>
    </row>
    <row r="263" spans="1:19" ht="76.5" hidden="1">
      <c r="A263" t="s">
        <v>39</v>
      </c>
      <c r="B263" t="s">
        <v>1619</v>
      </c>
      <c r="C263" t="s">
        <v>2153</v>
      </c>
      <c r="D263" s="2" t="s">
        <v>1621</v>
      </c>
      <c r="E263">
        <v>0.69</v>
      </c>
      <c r="F263">
        <v>0.01</v>
      </c>
      <c r="G263" t="s">
        <v>79</v>
      </c>
      <c r="H263" t="s">
        <v>81</v>
      </c>
      <c r="I263">
        <v>12</v>
      </c>
      <c r="J263">
        <v>259</v>
      </c>
      <c r="K263" s="5">
        <v>46185.348019027777</v>
      </c>
      <c r="M263" s="2" t="s">
        <v>2154</v>
      </c>
      <c r="N263" s="2" t="s">
        <v>1701</v>
      </c>
      <c r="O263" s="5">
        <v>45937.572392430557</v>
      </c>
      <c r="P263" t="str">
        <f>IF($Q263="DELETE",IF($S263="CONFIRMED: NO MODS &gt; 1YR","CONFIRMED: NO MODS &gt; 1YR","DO NOT DELETE — not defensibly confirmed"),IF($Q263="HOLD","DO NOT DELETE — HOLD (Charlie review)",IF($Q263="KEEP","DO NOT DELETE — KEEP",IF(ISNUMBER(SEARCH("REVIEW",$Q263)),"DO NOT DELETE — REVIEW pending",$S263))))</f>
        <v>DO NOT DELETE — HOLD (Charlie review)</v>
      </c>
      <c r="Q263" t="str" cm="1">
        <f t="array" ref="Q263">_xlfn.IFS(AND($A263="thg-beauty",ISNUMBER(SEARCH("liveramp",$C263))),"DELETE",$A263="agile-bonbon-662",_xlfn.IFS(LEFT($G263,9)="Tranche 1","DELETE",$C263="Sessions_Level_1_All_Sites","KEEP",ISNUMBER(--$C263),"REVIEW — UA raw logs",$C263="Emag_Reporting","KEEP",$C263="Nutrition_Data_Archived_Tables","KEEP",$C263="EU_Data","KEEP",TRUE,"REVIEW"),OR($A263="thg-influencer",$A263="thg-ingenuity",$A263="thg-central-marketing",$A263="thg-seoclarity"),"HOLD",TRUE,"")</f>
        <v>HOLD</v>
      </c>
      <c r="R263" t="str" cm="1">
        <f t="array" ref="R263">_xlfn.IFS(AND($A263="thg-beauty",ISNUMBER(SEARCH("liveramp",$C263))),"thg-beauty Liveramp dataset — confirmed safe to delete",$A263="agile-bonbon-662",_xlfn.IFS(LEFT($G263,9)="Tranche 1","Tranche 1: cleared",$C263="Sessions_Level_1_All_Sites","Downstream aggregation of UA raw logs — keep if raw tables go",ISNUMBER(--$C263),"UA raw site logs (account ID) — keep pending audit-retention check",$C263="Emag_Reporting","Legacy but likely needed",$C263="Nutrition_Data_Archived_Tables","Worth keeping",$C263="EU_Data","Static lookup tables — scripts still reference (smoke-test risk)",TRUE,"Review"),OR($A263="thg-influencer",$A263="thg-ingenuity",$A263="thg-central-marketing",$A263="thg-seoclarity"),"HOLD — Charlie Stringer to review before deletion",TRUE,"")</f>
        <v>HOLD — Charlie Stringer to review before deletion</v>
      </c>
      <c r="S263" t="s">
        <v>1624</v>
      </c>
    </row>
    <row r="264" spans="1:19" ht="76.5" hidden="1">
      <c r="A264" t="s">
        <v>38</v>
      </c>
      <c r="B264" t="s">
        <v>1619</v>
      </c>
      <c r="C264" t="s">
        <v>2155</v>
      </c>
      <c r="D264" s="2" t="s">
        <v>1621</v>
      </c>
      <c r="E264">
        <v>0.11</v>
      </c>
      <c r="F264">
        <v>0</v>
      </c>
      <c r="G264" t="s">
        <v>79</v>
      </c>
      <c r="H264" t="s">
        <v>81</v>
      </c>
      <c r="I264">
        <v>12</v>
      </c>
      <c r="J264">
        <v>12</v>
      </c>
      <c r="K264" s="5">
        <v>46185.271678599544</v>
      </c>
      <c r="L264" s="5">
        <v>46185.271678599544</v>
      </c>
      <c r="M264" s="2" t="s">
        <v>2156</v>
      </c>
      <c r="N264" s="2" t="s">
        <v>2156</v>
      </c>
      <c r="O264" s="5">
        <v>46185.273393460651</v>
      </c>
      <c r="P264" t="str">
        <f>IF($Q264="DELETE",IF($S264="CONFIRMED: NO MODS &gt; 1YR","CONFIRMED: NO MODS &gt; 1YR","DO NOT DELETE — not defensibly confirmed"),IF($Q264="HOLD","DO NOT DELETE — HOLD (Charlie review)",IF($Q264="KEEP","DO NOT DELETE — KEEP",IF(ISNUMBER(SEARCH("REVIEW",$Q264)),"DO NOT DELETE — REVIEW pending",$S264))))</f>
        <v>DO NOT DELETE — HOLD (Charlie review)</v>
      </c>
      <c r="Q264" t="str" cm="1">
        <f t="array" ref="Q264">_xlfn.IFS(AND($A264="thg-beauty",ISNUMBER(SEARCH("liveramp",$C264))),"DELETE",$A264="agile-bonbon-662",_xlfn.IFS(LEFT($G264,9)="Tranche 1","DELETE",$C264="Sessions_Level_1_All_Sites","KEEP",ISNUMBER(--$C264),"REVIEW — UA raw logs",$C264="Emag_Reporting","KEEP",$C264="Nutrition_Data_Archived_Tables","KEEP",$C264="EU_Data","KEEP",TRUE,"REVIEW"),OR($A264="thg-influencer",$A264="thg-ingenuity",$A264="thg-central-marketing",$A264="thg-seoclarity"),"HOLD",TRUE,"")</f>
        <v>HOLD</v>
      </c>
      <c r="R264" t="str" cm="1">
        <f t="array" ref="R264">_xlfn.IFS(AND($A264="thg-beauty",ISNUMBER(SEARCH("liveramp",$C264))),"thg-beauty Liveramp dataset — confirmed safe to delete",$A264="agile-bonbon-662",_xlfn.IFS(LEFT($G264,9)="Tranche 1","Tranche 1: cleared",$C264="Sessions_Level_1_All_Sites","Downstream aggregation of UA raw logs — keep if raw tables go",ISNUMBER(--$C264),"UA raw site logs (account ID) — keep pending audit-retention check",$C264="Emag_Reporting","Legacy but likely needed",$C264="Nutrition_Data_Archived_Tables","Worth keeping",$C264="EU_Data","Static lookup tables — scripts still reference (smoke-test risk)",TRUE,"Review"),OR($A264="thg-influencer",$A264="thg-ingenuity",$A264="thg-central-marketing",$A264="thg-seoclarity"),"HOLD — Charlie Stringer to review before deletion",TRUE,"")</f>
        <v>HOLD — Charlie Stringer to review before deletion</v>
      </c>
      <c r="S264" t="s">
        <v>1624</v>
      </c>
    </row>
    <row r="265" spans="1:19" ht="76.5" hidden="1">
      <c r="A265" t="s">
        <v>39</v>
      </c>
      <c r="B265" t="s">
        <v>1619</v>
      </c>
      <c r="C265" t="s">
        <v>2157</v>
      </c>
      <c r="D265" s="2" t="s">
        <v>1621</v>
      </c>
      <c r="E265">
        <v>0</v>
      </c>
      <c r="F265">
        <v>0</v>
      </c>
      <c r="G265" t="s">
        <v>79</v>
      </c>
      <c r="H265" t="s">
        <v>81</v>
      </c>
      <c r="I265">
        <v>12</v>
      </c>
      <c r="K265" s="5">
        <v>46185.348019027777</v>
      </c>
      <c r="M265" s="2" t="s">
        <v>2154</v>
      </c>
      <c r="N265" s="2" t="s">
        <v>1701</v>
      </c>
      <c r="P265" t="str">
        <f>IF($Q265="DELETE",IF($S265="CONFIRMED: NO MODS &gt; 1YR","CONFIRMED: NO MODS &gt; 1YR","DO NOT DELETE — not defensibly confirmed"),IF($Q265="HOLD","DO NOT DELETE — HOLD (Charlie review)",IF($Q265="KEEP","DO NOT DELETE — KEEP",IF(ISNUMBER(SEARCH("REVIEW",$Q265)),"DO NOT DELETE — REVIEW pending",$S265))))</f>
        <v>DO NOT DELETE — HOLD (Charlie review)</v>
      </c>
      <c r="Q265" t="str" cm="1">
        <f t="array" ref="Q265">_xlfn.IFS(AND($A265="thg-beauty",ISNUMBER(SEARCH("liveramp",$C265))),"DELETE",$A265="agile-bonbon-662",_xlfn.IFS(LEFT($G265,9)="Tranche 1","DELETE",$C265="Sessions_Level_1_All_Sites","KEEP",ISNUMBER(--$C265),"REVIEW — UA raw logs",$C265="Emag_Reporting","KEEP",$C265="Nutrition_Data_Archived_Tables","KEEP",$C265="EU_Data","KEEP",TRUE,"REVIEW"),OR($A265="thg-influencer",$A265="thg-ingenuity",$A265="thg-central-marketing",$A265="thg-seoclarity"),"HOLD",TRUE,"")</f>
        <v>HOLD</v>
      </c>
      <c r="R265" t="str" cm="1">
        <f t="array" ref="R265">_xlfn.IFS(AND($A265="thg-beauty",ISNUMBER(SEARCH("liveramp",$C265))),"thg-beauty Liveramp dataset — confirmed safe to delete",$A265="agile-bonbon-662",_xlfn.IFS(LEFT($G265,9)="Tranche 1","Tranche 1: cleared",$C265="Sessions_Level_1_All_Sites","Downstream aggregation of UA raw logs — keep if raw tables go",ISNUMBER(--$C265),"UA raw site logs (account ID) — keep pending audit-retention check",$C265="Emag_Reporting","Legacy but likely needed",$C265="Nutrition_Data_Archived_Tables","Worth keeping",$C265="EU_Data","Static lookup tables — scripts still reference (smoke-test risk)",TRUE,"Review"),OR($A265="thg-influencer",$A265="thg-ingenuity",$A265="thg-central-marketing",$A265="thg-seoclarity"),"HOLD — Charlie Stringer to review before deletion",TRUE,"")</f>
        <v>HOLD — Charlie Stringer to review before deletion</v>
      </c>
      <c r="S265" t="s">
        <v>1624</v>
      </c>
    </row>
    <row r="266" spans="1:19" ht="76.5" hidden="1">
      <c r="A266" t="s">
        <v>39</v>
      </c>
      <c r="B266" t="s">
        <v>1619</v>
      </c>
      <c r="C266" t="s">
        <v>2158</v>
      </c>
      <c r="D266" s="2" t="s">
        <v>1621</v>
      </c>
      <c r="E266">
        <v>0</v>
      </c>
      <c r="F266">
        <v>0</v>
      </c>
      <c r="G266" t="s">
        <v>79</v>
      </c>
      <c r="H266" t="s">
        <v>81</v>
      </c>
      <c r="I266">
        <v>12</v>
      </c>
      <c r="K266" s="5">
        <v>46185.348019027777</v>
      </c>
      <c r="M266" s="2" t="s">
        <v>2154</v>
      </c>
      <c r="N266" s="2" t="s">
        <v>1701</v>
      </c>
      <c r="P266" t="str">
        <f>IF($Q266="DELETE",IF($S266="CONFIRMED: NO MODS &gt; 1YR","CONFIRMED: NO MODS &gt; 1YR","DO NOT DELETE — not defensibly confirmed"),IF($Q266="HOLD","DO NOT DELETE — HOLD (Charlie review)",IF($Q266="KEEP","DO NOT DELETE — KEEP",IF(ISNUMBER(SEARCH("REVIEW",$Q266)),"DO NOT DELETE — REVIEW pending",$S266))))</f>
        <v>DO NOT DELETE — HOLD (Charlie review)</v>
      </c>
      <c r="Q266" t="str" cm="1">
        <f t="array" ref="Q266">_xlfn.IFS(AND($A266="thg-beauty",ISNUMBER(SEARCH("liveramp",$C266))),"DELETE",$A266="agile-bonbon-662",_xlfn.IFS(LEFT($G266,9)="Tranche 1","DELETE",$C266="Sessions_Level_1_All_Sites","KEEP",ISNUMBER(--$C266),"REVIEW — UA raw logs",$C266="Emag_Reporting","KEEP",$C266="Nutrition_Data_Archived_Tables","KEEP",$C266="EU_Data","KEEP",TRUE,"REVIEW"),OR($A266="thg-influencer",$A266="thg-ingenuity",$A266="thg-central-marketing",$A266="thg-seoclarity"),"HOLD",TRUE,"")</f>
        <v>HOLD</v>
      </c>
      <c r="R266" t="str" cm="1">
        <f t="array" ref="R266">_xlfn.IFS(AND($A266="thg-beauty",ISNUMBER(SEARCH("liveramp",$C266))),"thg-beauty Liveramp dataset — confirmed safe to delete",$A266="agile-bonbon-662",_xlfn.IFS(LEFT($G266,9)="Tranche 1","Tranche 1: cleared",$C266="Sessions_Level_1_All_Sites","Downstream aggregation of UA raw logs — keep if raw tables go",ISNUMBER(--$C266),"UA raw site logs (account ID) — keep pending audit-retention check",$C266="Emag_Reporting","Legacy but likely needed",$C266="Nutrition_Data_Archived_Tables","Worth keeping",$C266="EU_Data","Static lookup tables — scripts still reference (smoke-test risk)",TRUE,"Review"),OR($A266="thg-influencer",$A266="thg-ingenuity",$A266="thg-central-marketing",$A266="thg-seoclarity"),"HOLD — Charlie Stringer to review before deletion",TRUE,"")</f>
        <v>HOLD — Charlie Stringer to review before deletion</v>
      </c>
      <c r="S266" t="s">
        <v>1624</v>
      </c>
    </row>
    <row r="267" spans="1:19" ht="76.5" hidden="1">
      <c r="A267" t="s">
        <v>39</v>
      </c>
      <c r="B267" t="s">
        <v>1619</v>
      </c>
      <c r="C267" t="s">
        <v>2159</v>
      </c>
      <c r="D267" s="2" t="s">
        <v>1621</v>
      </c>
      <c r="E267">
        <v>0</v>
      </c>
      <c r="F267">
        <v>0</v>
      </c>
      <c r="G267" t="s">
        <v>79</v>
      </c>
      <c r="H267" t="s">
        <v>81</v>
      </c>
      <c r="I267">
        <v>12</v>
      </c>
      <c r="K267" s="5">
        <v>46185.348019027777</v>
      </c>
      <c r="M267" s="2" t="s">
        <v>2154</v>
      </c>
      <c r="N267" s="2" t="s">
        <v>1701</v>
      </c>
      <c r="P267" t="str">
        <f>IF($Q267="DELETE",IF($S267="CONFIRMED: NO MODS &gt; 1YR","CONFIRMED: NO MODS &gt; 1YR","DO NOT DELETE — not defensibly confirmed"),IF($Q267="HOLD","DO NOT DELETE — HOLD (Charlie review)",IF($Q267="KEEP","DO NOT DELETE — KEEP",IF(ISNUMBER(SEARCH("REVIEW",$Q267)),"DO NOT DELETE — REVIEW pending",$S267))))</f>
        <v>DO NOT DELETE — HOLD (Charlie review)</v>
      </c>
      <c r="Q267" t="str" cm="1">
        <f t="array" ref="Q267">_xlfn.IFS(AND($A267="thg-beauty",ISNUMBER(SEARCH("liveramp",$C267))),"DELETE",$A267="agile-bonbon-662",_xlfn.IFS(LEFT($G267,9)="Tranche 1","DELETE",$C267="Sessions_Level_1_All_Sites","KEEP",ISNUMBER(--$C267),"REVIEW — UA raw logs",$C267="Emag_Reporting","KEEP",$C267="Nutrition_Data_Archived_Tables","KEEP",$C267="EU_Data","KEEP",TRUE,"REVIEW"),OR($A267="thg-influencer",$A267="thg-ingenuity",$A267="thg-central-marketing",$A267="thg-seoclarity"),"HOLD",TRUE,"")</f>
        <v>HOLD</v>
      </c>
      <c r="R267" t="str" cm="1">
        <f t="array" ref="R267">_xlfn.IFS(AND($A267="thg-beauty",ISNUMBER(SEARCH("liveramp",$C267))),"thg-beauty Liveramp dataset — confirmed safe to delete",$A267="agile-bonbon-662",_xlfn.IFS(LEFT($G267,9)="Tranche 1","Tranche 1: cleared",$C267="Sessions_Level_1_All_Sites","Downstream aggregation of UA raw logs — keep if raw tables go",ISNUMBER(--$C267),"UA raw site logs (account ID) — keep pending audit-retention check",$C267="Emag_Reporting","Legacy but likely needed",$C267="Nutrition_Data_Archived_Tables","Worth keeping",$C267="EU_Data","Static lookup tables — scripts still reference (smoke-test risk)",TRUE,"Review"),OR($A267="thg-influencer",$A267="thg-ingenuity",$A267="thg-central-marketing",$A267="thg-seoclarity"),"HOLD — Charlie Stringer to review before deletion",TRUE,"")</f>
        <v>HOLD — Charlie Stringer to review before deletion</v>
      </c>
      <c r="S267" t="s">
        <v>1624</v>
      </c>
    </row>
    <row r="268" spans="1:19" ht="76.5" hidden="1">
      <c r="A268" t="s">
        <v>39</v>
      </c>
      <c r="B268" t="s">
        <v>1619</v>
      </c>
      <c r="C268" t="s">
        <v>2160</v>
      </c>
      <c r="D268" s="2" t="s">
        <v>1621</v>
      </c>
      <c r="E268">
        <v>0</v>
      </c>
      <c r="F268">
        <v>0</v>
      </c>
      <c r="G268" t="s">
        <v>79</v>
      </c>
      <c r="H268" t="s">
        <v>81</v>
      </c>
      <c r="I268">
        <v>12</v>
      </c>
      <c r="J268">
        <v>278</v>
      </c>
      <c r="K268" s="5">
        <v>46185.348019027777</v>
      </c>
      <c r="M268" s="2" t="s">
        <v>2161</v>
      </c>
      <c r="N268" s="2" t="s">
        <v>1701</v>
      </c>
      <c r="O268" s="5">
        <v>45918.5766334375</v>
      </c>
      <c r="P268" t="str">
        <f>IF($Q268="DELETE",IF($S268="CONFIRMED: NO MODS &gt; 1YR","CONFIRMED: NO MODS &gt; 1YR","DO NOT DELETE — not defensibly confirmed"),IF($Q268="HOLD","DO NOT DELETE — HOLD (Charlie review)",IF($Q268="KEEP","DO NOT DELETE — KEEP",IF(ISNUMBER(SEARCH("REVIEW",$Q268)),"DO NOT DELETE — REVIEW pending",$S268))))</f>
        <v>DO NOT DELETE — HOLD (Charlie review)</v>
      </c>
      <c r="Q268" t="str" cm="1">
        <f t="array" ref="Q268">_xlfn.IFS(AND($A268="thg-beauty",ISNUMBER(SEARCH("liveramp",$C268))),"DELETE",$A268="agile-bonbon-662",_xlfn.IFS(LEFT($G268,9)="Tranche 1","DELETE",$C268="Sessions_Level_1_All_Sites","KEEP",ISNUMBER(--$C268),"REVIEW — UA raw logs",$C268="Emag_Reporting","KEEP",$C268="Nutrition_Data_Archived_Tables","KEEP",$C268="EU_Data","KEEP",TRUE,"REVIEW"),OR($A268="thg-influencer",$A268="thg-ingenuity",$A268="thg-central-marketing",$A268="thg-seoclarity"),"HOLD",TRUE,"")</f>
        <v>HOLD</v>
      </c>
      <c r="R268" t="str" cm="1">
        <f t="array" ref="R268">_xlfn.IFS(AND($A268="thg-beauty",ISNUMBER(SEARCH("liveramp",$C268))),"thg-beauty Liveramp dataset — confirmed safe to delete",$A268="agile-bonbon-662",_xlfn.IFS(LEFT($G268,9)="Tranche 1","Tranche 1: cleared",$C268="Sessions_Level_1_All_Sites","Downstream aggregation of UA raw logs — keep if raw tables go",ISNUMBER(--$C268),"UA raw site logs (account ID) — keep pending audit-retention check",$C268="Emag_Reporting","Legacy but likely needed",$C268="Nutrition_Data_Archived_Tables","Worth keeping",$C268="EU_Data","Static lookup tables — scripts still reference (smoke-test risk)",TRUE,"Review"),OR($A268="thg-influencer",$A268="thg-ingenuity",$A268="thg-central-marketing",$A268="thg-seoclarity"),"HOLD — Charlie Stringer to review before deletion",TRUE,"")</f>
        <v>HOLD — Charlie Stringer to review before deletion</v>
      </c>
      <c r="S268" t="s">
        <v>1624</v>
      </c>
    </row>
    <row r="269" spans="1:19" ht="76.5" hidden="1">
      <c r="A269" t="s">
        <v>39</v>
      </c>
      <c r="B269" t="s">
        <v>1619</v>
      </c>
      <c r="C269" t="s">
        <v>2162</v>
      </c>
      <c r="D269" s="2" t="s">
        <v>1621</v>
      </c>
      <c r="E269">
        <v>0</v>
      </c>
      <c r="F269">
        <v>0</v>
      </c>
      <c r="G269" t="s">
        <v>79</v>
      </c>
      <c r="H269" t="s">
        <v>81</v>
      </c>
      <c r="I269">
        <v>12</v>
      </c>
      <c r="K269" s="5">
        <v>46185.348019027777</v>
      </c>
      <c r="M269" s="2" t="s">
        <v>2154</v>
      </c>
      <c r="N269" s="2" t="s">
        <v>1701</v>
      </c>
      <c r="P269" t="str">
        <f>IF($Q269="DELETE",IF($S269="CONFIRMED: NO MODS &gt; 1YR","CONFIRMED: NO MODS &gt; 1YR","DO NOT DELETE — not defensibly confirmed"),IF($Q269="HOLD","DO NOT DELETE — HOLD (Charlie review)",IF($Q269="KEEP","DO NOT DELETE — KEEP",IF(ISNUMBER(SEARCH("REVIEW",$Q269)),"DO NOT DELETE — REVIEW pending",$S269))))</f>
        <v>DO NOT DELETE — HOLD (Charlie review)</v>
      </c>
      <c r="Q269" t="str" cm="1">
        <f t="array" ref="Q269">_xlfn.IFS(AND($A269="thg-beauty",ISNUMBER(SEARCH("liveramp",$C269))),"DELETE",$A269="agile-bonbon-662",_xlfn.IFS(LEFT($G269,9)="Tranche 1","DELETE",$C269="Sessions_Level_1_All_Sites","KEEP",ISNUMBER(--$C269),"REVIEW — UA raw logs",$C269="Emag_Reporting","KEEP",$C269="Nutrition_Data_Archived_Tables","KEEP",$C269="EU_Data","KEEP",TRUE,"REVIEW"),OR($A269="thg-influencer",$A269="thg-ingenuity",$A269="thg-central-marketing",$A269="thg-seoclarity"),"HOLD",TRUE,"")</f>
        <v>HOLD</v>
      </c>
      <c r="R269" t="str" cm="1">
        <f t="array" ref="R269">_xlfn.IFS(AND($A269="thg-beauty",ISNUMBER(SEARCH("liveramp",$C269))),"thg-beauty Liveramp dataset — confirmed safe to delete",$A269="agile-bonbon-662",_xlfn.IFS(LEFT($G269,9)="Tranche 1","Tranche 1: cleared",$C269="Sessions_Level_1_All_Sites","Downstream aggregation of UA raw logs — keep if raw tables go",ISNUMBER(--$C269),"UA raw site logs (account ID) — keep pending audit-retention check",$C269="Emag_Reporting","Legacy but likely needed",$C269="Nutrition_Data_Archived_Tables","Worth keeping",$C269="EU_Data","Static lookup tables — scripts still reference (smoke-test risk)",TRUE,"Review"),OR($A269="thg-influencer",$A269="thg-ingenuity",$A269="thg-central-marketing",$A269="thg-seoclarity"),"HOLD — Charlie Stringer to review before deletion",TRUE,"")</f>
        <v>HOLD — Charlie Stringer to review before deletion</v>
      </c>
      <c r="S269" t="s">
        <v>1624</v>
      </c>
    </row>
    <row r="270" spans="1:19" ht="76.5" hidden="1">
      <c r="A270" t="s">
        <v>2163</v>
      </c>
      <c r="B270" t="s">
        <v>1619</v>
      </c>
      <c r="C270" t="s">
        <v>2164</v>
      </c>
      <c r="D270" s="2" t="s">
        <v>1621</v>
      </c>
      <c r="E270">
        <v>90.64</v>
      </c>
      <c r="F270">
        <v>1.81</v>
      </c>
      <c r="G270" t="s">
        <v>79</v>
      </c>
      <c r="H270" t="s">
        <v>81</v>
      </c>
      <c r="I270">
        <v>11</v>
      </c>
      <c r="J270">
        <v>37</v>
      </c>
      <c r="K270" s="5">
        <v>46185.573596805552</v>
      </c>
      <c r="L270" s="5">
        <v>46160.009243449073</v>
      </c>
      <c r="M270" s="2" t="s">
        <v>2165</v>
      </c>
      <c r="N270" s="2" t="s">
        <v>2166</v>
      </c>
      <c r="O270" s="5">
        <v>46160.009438935187</v>
      </c>
      <c r="P270" t="str">
        <f>IF($Q270="DELETE",IF($S270="CONFIRMED: NO MODS &gt; 1YR","CONFIRMED: NO MODS &gt; 1YR","DO NOT DELETE — not defensibly confirmed"),IF($Q270="HOLD","DO NOT DELETE — HOLD (Charlie review)",IF($Q270="KEEP","DO NOT DELETE — KEEP",IF(ISNUMBER(SEARCH("REVIEW",$Q270)),"DO NOT DELETE — REVIEW pending",$S270))))</f>
        <v>CONFIRMED: NO MODS &gt; 1YR</v>
      </c>
      <c r="Q270" t="str" cm="1">
        <f t="array" ref="Q270">_xlfn.IFS(AND($A270="thg-beauty",ISNUMBER(SEARCH("liveramp",$C270))),"DELETE",$A270="agile-bonbon-662",_xlfn.IFS(LEFT($G270,9)="Tranche 1","DELETE",$C270="Sessions_Level_1_All_Sites","KEEP",ISNUMBER(--$C270),"REVIEW — UA raw logs",$C270="Emag_Reporting","KEEP",$C270="Nutrition_Data_Archived_Tables","KEEP",$C270="EU_Data","KEEP",TRUE,"REVIEW"),OR($A270="thg-influencer",$A270="thg-ingenuity",$A270="thg-central-marketing",$A270="thg-seoclarity"),"HOLD",TRUE,"")</f>
        <v/>
      </c>
      <c r="R270" t="str" cm="1">
        <f t="array" ref="R270">_xlfn.IFS(AND($A270="thg-beauty",ISNUMBER(SEARCH("liveramp",$C270))),"thg-beauty Liveramp dataset — confirmed safe to delete",$A270="agile-bonbon-662",_xlfn.IFS(LEFT($G270,9)="Tranche 1","Tranche 1: cleared",$C270="Sessions_Level_1_All_Sites","Downstream aggregation of UA raw logs — keep if raw tables go",ISNUMBER(--$C270),"UA raw site logs (account ID) — keep pending audit-retention check",$C270="Emag_Reporting","Legacy but likely needed",$C270="Nutrition_Data_Archived_Tables","Worth keeping",$C270="EU_Data","Static lookup tables — scripts still reference (smoke-test risk)",TRUE,"Review"),OR($A270="thg-influencer",$A270="thg-ingenuity",$A270="thg-central-marketing",$A270="thg-seoclarity"),"HOLD — Charlie Stringer to review before deletion",TRUE,"")</f>
        <v/>
      </c>
      <c r="S270" t="s">
        <v>1624</v>
      </c>
    </row>
    <row r="271" spans="1:19" ht="76.5" hidden="1">
      <c r="A271" t="s">
        <v>92</v>
      </c>
      <c r="B271" t="s">
        <v>1619</v>
      </c>
      <c r="C271" t="s">
        <v>2167</v>
      </c>
      <c r="D271" s="2" t="s">
        <v>1621</v>
      </c>
      <c r="E271">
        <v>40.729999999999997</v>
      </c>
      <c r="F271">
        <v>0.81</v>
      </c>
      <c r="G271" t="s">
        <v>79</v>
      </c>
      <c r="H271" t="s">
        <v>81</v>
      </c>
      <c r="I271">
        <v>0</v>
      </c>
      <c r="J271">
        <v>0</v>
      </c>
      <c r="K271" s="5">
        <v>46197.271431724534</v>
      </c>
      <c r="L271" s="5">
        <v>46197.271361689818</v>
      </c>
      <c r="M271" s="2" t="s">
        <v>2168</v>
      </c>
      <c r="N271" s="2" t="s">
        <v>2168</v>
      </c>
      <c r="O271" s="5">
        <v>46197.271424143517</v>
      </c>
      <c r="P271" t="str">
        <f>IF($Q271="DELETE",IF($S271="CONFIRMED: NO MODS &gt; 1YR","CONFIRMED: NO MODS &gt; 1YR","DO NOT DELETE — not defensibly confirmed"),IF($Q271="HOLD","DO NOT DELETE — HOLD (Charlie review)",IF($Q271="KEEP","DO NOT DELETE — KEEP",IF(ISNUMBER(SEARCH("REVIEW",$Q271)),"DO NOT DELETE — REVIEW pending",$S271))))</f>
        <v>CONFIRMED: NO MODS &gt; 1YR</v>
      </c>
      <c r="Q271" t="str" cm="1">
        <f t="array" ref="Q271">_xlfn.IFS(AND($A271="thg-beauty",ISNUMBER(SEARCH("liveramp",$C271))),"DELETE",$A271="agile-bonbon-662",_xlfn.IFS(LEFT($G271,9)="Tranche 1","DELETE",$C271="Sessions_Level_1_All_Sites","KEEP",ISNUMBER(--$C271),"REVIEW — UA raw logs",$C271="Emag_Reporting","KEEP",$C271="Nutrition_Data_Archived_Tables","KEEP",$C271="EU_Data","KEEP",TRUE,"REVIEW"),OR($A271="thg-influencer",$A271="thg-ingenuity",$A271="thg-central-marketing",$A271="thg-seoclarity"),"HOLD",TRUE,"")</f>
        <v/>
      </c>
      <c r="R271" t="str" cm="1">
        <f t="array" ref="R271">_xlfn.IFS(AND($A271="thg-beauty",ISNUMBER(SEARCH("liveramp",$C271))),"thg-beauty Liveramp dataset — confirmed safe to delete",$A271="agile-bonbon-662",_xlfn.IFS(LEFT($G271,9)="Tranche 1","Tranche 1: cleared",$C271="Sessions_Level_1_All_Sites","Downstream aggregation of UA raw logs — keep if raw tables go",ISNUMBER(--$C271),"UA raw site logs (account ID) — keep pending audit-retention check",$C271="Emag_Reporting","Legacy but likely needed",$C271="Nutrition_Data_Archived_Tables","Worth keeping",$C271="EU_Data","Static lookup tables — scripts still reference (smoke-test risk)",TRUE,"Review"),OR($A271="thg-influencer",$A271="thg-ingenuity",$A271="thg-central-marketing",$A271="thg-seoclarity"),"HOLD — Charlie Stringer to review before deletion",TRUE,"")</f>
        <v/>
      </c>
      <c r="S271" t="s">
        <v>1624</v>
      </c>
    </row>
    <row r="272" spans="1:19" ht="76.5" hidden="1">
      <c r="A272" t="s">
        <v>38</v>
      </c>
      <c r="B272" t="s">
        <v>1619</v>
      </c>
      <c r="C272" t="s">
        <v>2169</v>
      </c>
      <c r="D272" s="2" t="s">
        <v>1621</v>
      </c>
      <c r="E272">
        <v>49.08</v>
      </c>
      <c r="F272">
        <v>0.98</v>
      </c>
      <c r="G272" t="s">
        <v>79</v>
      </c>
      <c r="H272" t="s">
        <v>81</v>
      </c>
      <c r="I272">
        <v>8</v>
      </c>
      <c r="J272">
        <v>8</v>
      </c>
      <c r="L272" s="5">
        <v>46189.229139606483</v>
      </c>
      <c r="M272" s="2" t="s">
        <v>1715</v>
      </c>
      <c r="N272" s="2" t="s">
        <v>2170</v>
      </c>
      <c r="O272" s="5">
        <v>46189.229173749998</v>
      </c>
      <c r="P272" t="str">
        <f>IF($Q272="DELETE",IF($S272="CONFIRMED: NO MODS &gt; 1YR","CONFIRMED: NO MODS &gt; 1YR","DO NOT DELETE — not defensibly confirmed"),IF($Q272="HOLD","DO NOT DELETE — HOLD (Charlie review)",IF($Q272="KEEP","DO NOT DELETE — KEEP",IF(ISNUMBER(SEARCH("REVIEW",$Q272)),"DO NOT DELETE — REVIEW pending",$S272))))</f>
        <v>DO NOT DELETE — HOLD (Charlie review)</v>
      </c>
      <c r="Q272" t="str" cm="1">
        <f t="array" ref="Q272">_xlfn.IFS(AND($A272="thg-beauty",ISNUMBER(SEARCH("liveramp",$C272))),"DELETE",$A272="agile-bonbon-662",_xlfn.IFS(LEFT($G272,9)="Tranche 1","DELETE",$C272="Sessions_Level_1_All_Sites","KEEP",ISNUMBER(--$C272),"REVIEW — UA raw logs",$C272="Emag_Reporting","KEEP",$C272="Nutrition_Data_Archived_Tables","KEEP",$C272="EU_Data","KEEP",TRUE,"REVIEW"),OR($A272="thg-influencer",$A272="thg-ingenuity",$A272="thg-central-marketing",$A272="thg-seoclarity"),"HOLD",TRUE,"")</f>
        <v>HOLD</v>
      </c>
      <c r="R272" t="str" cm="1">
        <f t="array" ref="R272">_xlfn.IFS(AND($A272="thg-beauty",ISNUMBER(SEARCH("liveramp",$C272))),"thg-beauty Liveramp dataset — confirmed safe to delete",$A272="agile-bonbon-662",_xlfn.IFS(LEFT($G272,9)="Tranche 1","Tranche 1: cleared",$C272="Sessions_Level_1_All_Sites","Downstream aggregation of UA raw logs — keep if raw tables go",ISNUMBER(--$C272),"UA raw site logs (account ID) — keep pending audit-retention check",$C272="Emag_Reporting","Legacy but likely needed",$C272="Nutrition_Data_Archived_Tables","Worth keeping",$C272="EU_Data","Static lookup tables — scripts still reference (smoke-test risk)",TRUE,"Review"),OR($A272="thg-influencer",$A272="thg-ingenuity",$A272="thg-central-marketing",$A272="thg-seoclarity"),"HOLD — Charlie Stringer to review before deletion",TRUE,"")</f>
        <v>HOLD — Charlie Stringer to review before deletion</v>
      </c>
      <c r="S272" t="s">
        <v>1624</v>
      </c>
    </row>
    <row r="273" spans="1:19" ht="76.5" hidden="1">
      <c r="A273" t="s">
        <v>38</v>
      </c>
      <c r="B273" t="s">
        <v>1619</v>
      </c>
      <c r="C273" t="s">
        <v>2171</v>
      </c>
      <c r="D273" s="2" t="s">
        <v>1621</v>
      </c>
      <c r="E273">
        <v>23.4</v>
      </c>
      <c r="F273">
        <v>0.47</v>
      </c>
      <c r="G273" t="s">
        <v>79</v>
      </c>
      <c r="H273" t="s">
        <v>81</v>
      </c>
      <c r="I273">
        <v>8</v>
      </c>
      <c r="J273">
        <v>8</v>
      </c>
      <c r="K273" s="5">
        <v>46189.33515136574</v>
      </c>
      <c r="L273" s="5">
        <v>46189.324936874997</v>
      </c>
      <c r="M273" s="2" t="s">
        <v>2172</v>
      </c>
      <c r="N273" s="2" t="s">
        <v>2173</v>
      </c>
      <c r="O273" s="5">
        <v>46189.324973275463</v>
      </c>
      <c r="P273" t="str">
        <f>IF($Q273="DELETE",IF($S273="CONFIRMED: NO MODS &gt; 1YR","CONFIRMED: NO MODS &gt; 1YR","DO NOT DELETE — not defensibly confirmed"),IF($Q273="HOLD","DO NOT DELETE — HOLD (Charlie review)",IF($Q273="KEEP","DO NOT DELETE — KEEP",IF(ISNUMBER(SEARCH("REVIEW",$Q273)),"DO NOT DELETE — REVIEW pending",$S273))))</f>
        <v>DO NOT DELETE — HOLD (Charlie review)</v>
      </c>
      <c r="Q273" t="str" cm="1">
        <f t="array" ref="Q273">_xlfn.IFS(AND($A273="thg-beauty",ISNUMBER(SEARCH("liveramp",$C273))),"DELETE",$A273="agile-bonbon-662",_xlfn.IFS(LEFT($G273,9)="Tranche 1","DELETE",$C273="Sessions_Level_1_All_Sites","KEEP",ISNUMBER(--$C273),"REVIEW — UA raw logs",$C273="Emag_Reporting","KEEP",$C273="Nutrition_Data_Archived_Tables","KEEP",$C273="EU_Data","KEEP",TRUE,"REVIEW"),OR($A273="thg-influencer",$A273="thg-ingenuity",$A273="thg-central-marketing",$A273="thg-seoclarity"),"HOLD",TRUE,"")</f>
        <v>HOLD</v>
      </c>
      <c r="R273" t="str" cm="1">
        <f t="array" ref="R273">_xlfn.IFS(AND($A273="thg-beauty",ISNUMBER(SEARCH("liveramp",$C273))),"thg-beauty Liveramp dataset — confirmed safe to delete",$A273="agile-bonbon-662",_xlfn.IFS(LEFT($G273,9)="Tranche 1","Tranche 1: cleared",$C273="Sessions_Level_1_All_Sites","Downstream aggregation of UA raw logs — keep if raw tables go",ISNUMBER(--$C273),"UA raw site logs (account ID) — keep pending audit-retention check",$C273="Emag_Reporting","Legacy but likely needed",$C273="Nutrition_Data_Archived_Tables","Worth keeping",$C273="EU_Data","Static lookup tables — scripts still reference (smoke-test risk)",TRUE,"Review"),OR($A273="thg-influencer",$A273="thg-ingenuity",$A273="thg-central-marketing",$A273="thg-seoclarity"),"HOLD — Charlie Stringer to review before deletion",TRUE,"")</f>
        <v>HOLD — Charlie Stringer to review before deletion</v>
      </c>
      <c r="S273" t="s">
        <v>1624</v>
      </c>
    </row>
    <row r="274" spans="1:19" ht="60.75" hidden="1">
      <c r="A274" t="s">
        <v>1768</v>
      </c>
      <c r="B274" t="s">
        <v>1619</v>
      </c>
      <c r="C274" t="s">
        <v>1703</v>
      </c>
      <c r="D274" s="2" t="s">
        <v>1621</v>
      </c>
      <c r="E274">
        <v>0</v>
      </c>
      <c r="F274">
        <v>0</v>
      </c>
      <c r="G274" t="s">
        <v>79</v>
      </c>
      <c r="H274" t="s">
        <v>81</v>
      </c>
      <c r="I274">
        <v>7</v>
      </c>
      <c r="J274">
        <v>266</v>
      </c>
      <c r="K274" s="5">
        <v>46189.519786527781</v>
      </c>
      <c r="M274" s="2" t="s">
        <v>2174</v>
      </c>
      <c r="N274" s="2" t="s">
        <v>1701</v>
      </c>
      <c r="O274" s="5">
        <v>45930.723217129627</v>
      </c>
      <c r="P274" t="str">
        <f>IF($Q274="DELETE",IF($S274="CONFIRMED: NO MODS &gt; 1YR","CONFIRMED: NO MODS &gt; 1YR","DO NOT DELETE — not defensibly confirmed"),IF($Q274="HOLD","DO NOT DELETE — HOLD (Charlie review)",IF($Q274="KEEP","DO NOT DELETE — KEEP",IF(ISNUMBER(SEARCH("REVIEW",$Q274)),"DO NOT DELETE — REVIEW pending",$S274))))</f>
        <v>CONFIRMED: NO MODS &gt; 1YR</v>
      </c>
      <c r="Q274" t="str" cm="1">
        <f t="array" ref="Q274">_xlfn.IFS(AND($A274="thg-beauty",ISNUMBER(SEARCH("liveramp",$C274))),"DELETE",$A274="agile-bonbon-662",_xlfn.IFS(LEFT($G274,9)="Tranche 1","DELETE",$C274="Sessions_Level_1_All_Sites","KEEP",ISNUMBER(--$C274),"REVIEW — UA raw logs",$C274="Emag_Reporting","KEEP",$C274="Nutrition_Data_Archived_Tables","KEEP",$C274="EU_Data","KEEP",TRUE,"REVIEW"),OR($A274="thg-influencer",$A274="thg-ingenuity",$A274="thg-central-marketing",$A274="thg-seoclarity"),"HOLD",TRUE,"")</f>
        <v/>
      </c>
      <c r="R274" t="str" cm="1">
        <f t="array" ref="R274">_xlfn.IFS(AND($A274="thg-beauty",ISNUMBER(SEARCH("liveramp",$C274))),"thg-beauty Liveramp dataset — confirmed safe to delete",$A274="agile-bonbon-662",_xlfn.IFS(LEFT($G274,9)="Tranche 1","Tranche 1: cleared",$C274="Sessions_Level_1_All_Sites","Downstream aggregation of UA raw logs — keep if raw tables go",ISNUMBER(--$C274),"UA raw site logs (account ID) — keep pending audit-retention check",$C274="Emag_Reporting","Legacy but likely needed",$C274="Nutrition_Data_Archived_Tables","Worth keeping",$C274="EU_Data","Static lookup tables — scripts still reference (smoke-test risk)",TRUE,"Review"),OR($A274="thg-influencer",$A274="thg-ingenuity",$A274="thg-central-marketing",$A274="thg-seoclarity"),"HOLD — Charlie Stringer to review before deletion",TRUE,"")</f>
        <v/>
      </c>
      <c r="S274" t="s">
        <v>1624</v>
      </c>
    </row>
    <row r="275" spans="1:19" hidden="1">
      <c r="A275" t="s">
        <v>1723</v>
      </c>
      <c r="B275" t="s">
        <v>1724</v>
      </c>
      <c r="C275" t="s">
        <v>2175</v>
      </c>
      <c r="D275" s="2" t="s">
        <v>2176</v>
      </c>
      <c r="E275">
        <v>0</v>
      </c>
      <c r="F275">
        <v>0</v>
      </c>
      <c r="G275" t="s">
        <v>79</v>
      </c>
      <c r="H275" t="s">
        <v>81</v>
      </c>
      <c r="I275">
        <v>7</v>
      </c>
      <c r="J275">
        <v>7</v>
      </c>
      <c r="M275" s="2" t="s">
        <v>1715</v>
      </c>
      <c r="N275" s="2" t="s">
        <v>1701</v>
      </c>
      <c r="O275" s="5">
        <v>46189.527259467592</v>
      </c>
      <c r="P275" t="str">
        <f>IF($Q275="DELETE",IF($S275="CONFIRMED: NO MODS &gt; 1YR","CONFIRMED: NO MODS &gt; 1YR","DO NOT DELETE — not defensibly confirmed"),IF($Q275="HOLD","DO NOT DELETE — HOLD (Charlie review)",IF($Q275="KEEP","DO NOT DELETE — KEEP",IF(ISNUMBER(SEARCH("REVIEW",$Q275)),"DO NOT DELETE — REVIEW pending",$S275))))</f>
        <v>CONFIRMED: NO MODS &gt; 1YR</v>
      </c>
      <c r="Q275" t="str" cm="1">
        <f t="array" ref="Q275">_xlfn.IFS(AND($A275="thg-beauty",ISNUMBER(SEARCH("liveramp",$C275))),"DELETE",$A275="agile-bonbon-662",_xlfn.IFS(LEFT($G275,9)="Tranche 1","DELETE",$C275="Sessions_Level_1_All_Sites","KEEP",ISNUMBER(--$C275),"REVIEW — UA raw logs",$C275="Emag_Reporting","KEEP",$C275="Nutrition_Data_Archived_Tables","KEEP",$C275="EU_Data","KEEP",TRUE,"REVIEW"),OR($A275="thg-influencer",$A275="thg-ingenuity",$A275="thg-central-marketing",$A275="thg-seoclarity"),"HOLD",TRUE,"")</f>
        <v/>
      </c>
      <c r="R275" t="str" cm="1">
        <f t="array" ref="R275">_xlfn.IFS(AND($A275="thg-beauty",ISNUMBER(SEARCH("liveramp",$C275))),"thg-beauty Liveramp dataset — confirmed safe to delete",$A275="agile-bonbon-662",_xlfn.IFS(LEFT($G275,9)="Tranche 1","Tranche 1: cleared",$C275="Sessions_Level_1_All_Sites","Downstream aggregation of UA raw logs — keep if raw tables go",ISNUMBER(--$C275),"UA raw site logs (account ID) — keep pending audit-retention check",$C275="Emag_Reporting","Legacy but likely needed",$C275="Nutrition_Data_Archived_Tables","Worth keeping",$C275="EU_Data","Static lookup tables — scripts still reference (smoke-test risk)",TRUE,"Review"),OR($A275="thg-influencer",$A275="thg-ingenuity",$A275="thg-central-marketing",$A275="thg-seoclarity"),"HOLD — Charlie Stringer to review before deletion",TRUE,"")</f>
        <v/>
      </c>
      <c r="S275" t="s">
        <v>1624</v>
      </c>
    </row>
    <row r="276" spans="1:19" ht="76.5" hidden="1">
      <c r="A276" t="s">
        <v>92</v>
      </c>
      <c r="B276" t="s">
        <v>1619</v>
      </c>
      <c r="C276" t="s">
        <v>2177</v>
      </c>
      <c r="D276" s="2" t="s">
        <v>1621</v>
      </c>
      <c r="E276">
        <v>40.5</v>
      </c>
      <c r="F276">
        <v>0.81</v>
      </c>
      <c r="G276" t="s">
        <v>79</v>
      </c>
      <c r="H276" t="s">
        <v>81</v>
      </c>
      <c r="I276">
        <v>0</v>
      </c>
      <c r="J276">
        <v>0</v>
      </c>
      <c r="K276" s="5">
        <v>46197.335079074073</v>
      </c>
      <c r="L276" s="5">
        <v>46197.119948449072</v>
      </c>
      <c r="M276" s="2" t="s">
        <v>2178</v>
      </c>
      <c r="N276" s="2" t="s">
        <v>2179</v>
      </c>
      <c r="O276" s="5">
        <v>46197.199415474533</v>
      </c>
      <c r="P276" t="str">
        <f>IF($Q276="DELETE",IF($S276="CONFIRMED: NO MODS &gt; 1YR","CONFIRMED: NO MODS &gt; 1YR","DO NOT DELETE — not defensibly confirmed"),IF($Q276="HOLD","DO NOT DELETE — HOLD (Charlie review)",IF($Q276="KEEP","DO NOT DELETE — KEEP",IF(ISNUMBER(SEARCH("REVIEW",$Q276)),"DO NOT DELETE — REVIEW pending",$S276))))</f>
        <v>CONFIRMED: NO MODS &gt; 1YR</v>
      </c>
      <c r="Q276" t="str" cm="1">
        <f t="array" ref="Q276">_xlfn.IFS(AND($A276="thg-beauty",ISNUMBER(SEARCH("liveramp",$C276))),"DELETE",$A276="agile-bonbon-662",_xlfn.IFS(LEFT($G276,9)="Tranche 1","DELETE",$C276="Sessions_Level_1_All_Sites","KEEP",ISNUMBER(--$C276),"REVIEW — UA raw logs",$C276="Emag_Reporting","KEEP",$C276="Nutrition_Data_Archived_Tables","KEEP",$C276="EU_Data","KEEP",TRUE,"REVIEW"),OR($A276="thg-influencer",$A276="thg-ingenuity",$A276="thg-central-marketing",$A276="thg-seoclarity"),"HOLD",TRUE,"")</f>
        <v/>
      </c>
      <c r="R276" t="str" cm="1">
        <f t="array" ref="R276">_xlfn.IFS(AND($A276="thg-beauty",ISNUMBER(SEARCH("liveramp",$C276))),"thg-beauty Liveramp dataset — confirmed safe to delete",$A276="agile-bonbon-662",_xlfn.IFS(LEFT($G276,9)="Tranche 1","Tranche 1: cleared",$C276="Sessions_Level_1_All_Sites","Downstream aggregation of UA raw logs — keep if raw tables go",ISNUMBER(--$C276),"UA raw site logs (account ID) — keep pending audit-retention check",$C276="Emag_Reporting","Legacy but likely needed",$C276="Nutrition_Data_Archived_Tables","Worth keeping",$C276="EU_Data","Static lookup tables — scripts still reference (smoke-test risk)",TRUE,"Review"),OR($A276="thg-influencer",$A276="thg-ingenuity",$A276="thg-central-marketing",$A276="thg-seoclarity"),"HOLD — Charlie Stringer to review before deletion",TRUE,"")</f>
        <v/>
      </c>
      <c r="S276" t="s">
        <v>1624</v>
      </c>
    </row>
    <row r="277" spans="1:19" ht="76.5" hidden="1">
      <c r="A277" t="s">
        <v>93</v>
      </c>
      <c r="B277" t="s">
        <v>1619</v>
      </c>
      <c r="C277" t="s">
        <v>2180</v>
      </c>
      <c r="D277" s="2" t="s">
        <v>1621</v>
      </c>
      <c r="E277">
        <v>2333.37</v>
      </c>
      <c r="F277">
        <v>46.67</v>
      </c>
      <c r="G277" t="s">
        <v>79</v>
      </c>
      <c r="H277" t="s">
        <v>81</v>
      </c>
      <c r="I277">
        <v>5</v>
      </c>
      <c r="J277">
        <v>5</v>
      </c>
      <c r="K277" s="5">
        <v>46192.267959618053</v>
      </c>
      <c r="L277" s="5">
        <v>46191.62443275463</v>
      </c>
      <c r="M277" s="2" t="s">
        <v>2181</v>
      </c>
      <c r="N277" s="2" t="s">
        <v>2182</v>
      </c>
      <c r="O277" s="5">
        <v>46191.624471076393</v>
      </c>
      <c r="P277" t="str">
        <f>IF($Q277="DELETE",IF($S277="CONFIRMED: NO MODS &gt; 1YR","CONFIRMED: NO MODS &gt; 1YR","DO NOT DELETE — not defensibly confirmed"),IF($Q277="HOLD","DO NOT DELETE — HOLD (Charlie review)",IF($Q277="KEEP","DO NOT DELETE — KEEP",IF(ISNUMBER(SEARCH("REVIEW",$Q277)),"DO NOT DELETE — REVIEW pending",$S277))))</f>
        <v>CONFIRMED: NO MODS &gt; 1YR</v>
      </c>
      <c r="Q277" t="str" cm="1">
        <f t="array" ref="Q277">_xlfn.IFS(AND($A277="thg-beauty",ISNUMBER(SEARCH("liveramp",$C277))),"DELETE",$A277="agile-bonbon-662",_xlfn.IFS(LEFT($G277,9)="Tranche 1","DELETE",$C277="Sessions_Level_1_All_Sites","KEEP",ISNUMBER(--$C277),"REVIEW — UA raw logs",$C277="Emag_Reporting","KEEP",$C277="Nutrition_Data_Archived_Tables","KEEP",$C277="EU_Data","KEEP",TRUE,"REVIEW"),OR($A277="thg-influencer",$A277="thg-ingenuity",$A277="thg-central-marketing",$A277="thg-seoclarity"),"HOLD",TRUE,"")</f>
        <v/>
      </c>
      <c r="R277" t="str" cm="1">
        <f t="array" ref="R277">_xlfn.IFS(AND($A277="thg-beauty",ISNUMBER(SEARCH("liveramp",$C277))),"thg-beauty Liveramp dataset — confirmed safe to delete",$A277="agile-bonbon-662",_xlfn.IFS(LEFT($G277,9)="Tranche 1","Tranche 1: cleared",$C277="Sessions_Level_1_All_Sites","Downstream aggregation of UA raw logs — keep if raw tables go",ISNUMBER(--$C277),"UA raw site logs (account ID) — keep pending audit-retention check",$C277="Emag_Reporting","Legacy but likely needed",$C277="Nutrition_Data_Archived_Tables","Worth keeping",$C277="EU_Data","Static lookup tables — scripts still reference (smoke-test risk)",TRUE,"Review"),OR($A277="thg-influencer",$A277="thg-ingenuity",$A277="thg-central-marketing",$A277="thg-seoclarity"),"HOLD — Charlie Stringer to review before deletion",TRUE,"")</f>
        <v/>
      </c>
      <c r="S277" t="s">
        <v>1624</v>
      </c>
    </row>
    <row r="278" spans="1:19" ht="76.5" hidden="1">
      <c r="A278" t="s">
        <v>92</v>
      </c>
      <c r="B278" t="s">
        <v>1619</v>
      </c>
      <c r="C278" t="s">
        <v>2183</v>
      </c>
      <c r="D278" s="2" t="s">
        <v>1621</v>
      </c>
      <c r="E278">
        <v>38.58</v>
      </c>
      <c r="F278">
        <v>0.77</v>
      </c>
      <c r="G278" t="s">
        <v>79</v>
      </c>
      <c r="H278" t="s">
        <v>81</v>
      </c>
      <c r="I278">
        <v>0</v>
      </c>
      <c r="J278">
        <v>0</v>
      </c>
      <c r="K278" s="5">
        <v>46197.3771365625</v>
      </c>
      <c r="L278" s="5">
        <v>46197.3771365625</v>
      </c>
      <c r="M278" s="2" t="s">
        <v>2184</v>
      </c>
      <c r="N278" s="2" t="s">
        <v>2184</v>
      </c>
      <c r="O278" s="5">
        <v>46197.377176828697</v>
      </c>
      <c r="P278" t="str">
        <f>IF($Q278="DELETE",IF($S278="CONFIRMED: NO MODS &gt; 1YR","CONFIRMED: NO MODS &gt; 1YR","DO NOT DELETE — not defensibly confirmed"),IF($Q278="HOLD","DO NOT DELETE — HOLD (Charlie review)",IF($Q278="KEEP","DO NOT DELETE — KEEP",IF(ISNUMBER(SEARCH("REVIEW",$Q278)),"DO NOT DELETE — REVIEW pending",$S278))))</f>
        <v>CONFIRMED: NO MODS &gt; 1YR</v>
      </c>
      <c r="Q278" t="str" cm="1">
        <f t="array" ref="Q278">_xlfn.IFS(AND($A278="thg-beauty",ISNUMBER(SEARCH("liveramp",$C278))),"DELETE",$A278="agile-bonbon-662",_xlfn.IFS(LEFT($G278,9)="Tranche 1","DELETE",$C278="Sessions_Level_1_All_Sites","KEEP",ISNUMBER(--$C278),"REVIEW — UA raw logs",$C278="Emag_Reporting","KEEP",$C278="Nutrition_Data_Archived_Tables","KEEP",$C278="EU_Data","KEEP",TRUE,"REVIEW"),OR($A278="thg-influencer",$A278="thg-ingenuity",$A278="thg-central-marketing",$A278="thg-seoclarity"),"HOLD",TRUE,"")</f>
        <v/>
      </c>
      <c r="R278" t="str" cm="1">
        <f t="array" ref="R278">_xlfn.IFS(AND($A278="thg-beauty",ISNUMBER(SEARCH("liveramp",$C278))),"thg-beauty Liveramp dataset — confirmed safe to delete",$A278="agile-bonbon-662",_xlfn.IFS(LEFT($G278,9)="Tranche 1","Tranche 1: cleared",$C278="Sessions_Level_1_All_Sites","Downstream aggregation of UA raw logs — keep if raw tables go",ISNUMBER(--$C278),"UA raw site logs (account ID) — keep pending audit-retention check",$C278="Emag_Reporting","Legacy but likely needed",$C278="Nutrition_Data_Archived_Tables","Worth keeping",$C278="EU_Data","Static lookup tables — scripts still reference (smoke-test risk)",TRUE,"Review"),OR($A278="thg-influencer",$A278="thg-ingenuity",$A278="thg-central-marketing",$A278="thg-seoclarity"),"HOLD — Charlie Stringer to review before deletion",TRUE,"")</f>
        <v/>
      </c>
      <c r="S278" t="s">
        <v>1624</v>
      </c>
    </row>
    <row r="279" spans="1:19" ht="76.5" hidden="1">
      <c r="A279" t="s">
        <v>38</v>
      </c>
      <c r="B279" t="s">
        <v>1619</v>
      </c>
      <c r="C279" t="s">
        <v>2185</v>
      </c>
      <c r="D279" s="2" t="s">
        <v>1621</v>
      </c>
      <c r="E279">
        <v>12.41</v>
      </c>
      <c r="F279">
        <v>0.25</v>
      </c>
      <c r="G279" t="s">
        <v>79</v>
      </c>
      <c r="H279" t="s">
        <v>81</v>
      </c>
      <c r="I279">
        <v>5</v>
      </c>
      <c r="J279">
        <v>5</v>
      </c>
      <c r="K279" s="5">
        <v>46192.335207511584</v>
      </c>
      <c r="L279" s="5">
        <v>46192.328704201391</v>
      </c>
      <c r="M279" s="2" t="s">
        <v>2186</v>
      </c>
      <c r="N279" s="2" t="s">
        <v>2187</v>
      </c>
      <c r="O279" s="5">
        <v>46192.328756006937</v>
      </c>
      <c r="P279" t="str">
        <f>IF($Q279="DELETE",IF($S279="CONFIRMED: NO MODS &gt; 1YR","CONFIRMED: NO MODS &gt; 1YR","DO NOT DELETE — not defensibly confirmed"),IF($Q279="HOLD","DO NOT DELETE — HOLD (Charlie review)",IF($Q279="KEEP","DO NOT DELETE — KEEP",IF(ISNUMBER(SEARCH("REVIEW",$Q279)),"DO NOT DELETE — REVIEW pending",$S279))))</f>
        <v>DO NOT DELETE — HOLD (Charlie review)</v>
      </c>
      <c r="Q279" t="str" cm="1">
        <f t="array" ref="Q279">_xlfn.IFS(AND($A279="thg-beauty",ISNUMBER(SEARCH("liveramp",$C279))),"DELETE",$A279="agile-bonbon-662",_xlfn.IFS(LEFT($G279,9)="Tranche 1","DELETE",$C279="Sessions_Level_1_All_Sites","KEEP",ISNUMBER(--$C279),"REVIEW — UA raw logs",$C279="Emag_Reporting","KEEP",$C279="Nutrition_Data_Archived_Tables","KEEP",$C279="EU_Data","KEEP",TRUE,"REVIEW"),OR($A279="thg-influencer",$A279="thg-ingenuity",$A279="thg-central-marketing",$A279="thg-seoclarity"),"HOLD",TRUE,"")</f>
        <v>HOLD</v>
      </c>
      <c r="R279" t="str" cm="1">
        <f t="array" ref="R279">_xlfn.IFS(AND($A279="thg-beauty",ISNUMBER(SEARCH("liveramp",$C279))),"thg-beauty Liveramp dataset — confirmed safe to delete",$A279="agile-bonbon-662",_xlfn.IFS(LEFT($G279,9)="Tranche 1","Tranche 1: cleared",$C279="Sessions_Level_1_All_Sites","Downstream aggregation of UA raw logs — keep if raw tables go",ISNUMBER(--$C279),"UA raw site logs (account ID) — keep pending audit-retention check",$C279="Emag_Reporting","Legacy but likely needed",$C279="Nutrition_Data_Archived_Tables","Worth keeping",$C279="EU_Data","Static lookup tables — scripts still reference (smoke-test risk)",TRUE,"Review"),OR($A279="thg-influencer",$A279="thg-ingenuity",$A279="thg-central-marketing",$A279="thg-seoclarity"),"HOLD — Charlie Stringer to review before deletion",TRUE,"")</f>
        <v>HOLD — Charlie Stringer to review before deletion</v>
      </c>
      <c r="S279" t="s">
        <v>1624</v>
      </c>
    </row>
    <row r="280" spans="1:19" ht="76.5" hidden="1">
      <c r="A280" t="s">
        <v>1768</v>
      </c>
      <c r="B280" t="s">
        <v>1619</v>
      </c>
      <c r="C280" t="s">
        <v>2188</v>
      </c>
      <c r="D280" s="2" t="s">
        <v>1621</v>
      </c>
      <c r="E280">
        <v>0.03</v>
      </c>
      <c r="F280">
        <v>0</v>
      </c>
      <c r="G280" t="s">
        <v>79</v>
      </c>
      <c r="H280" t="s">
        <v>81</v>
      </c>
      <c r="I280">
        <v>5</v>
      </c>
      <c r="J280">
        <v>5</v>
      </c>
      <c r="K280" s="5">
        <v>46063.582371736113</v>
      </c>
      <c r="M280" s="2" t="s">
        <v>2189</v>
      </c>
      <c r="N280" s="2" t="s">
        <v>1701</v>
      </c>
      <c r="O280" s="5">
        <v>46191.645655011584</v>
      </c>
      <c r="P280" t="str">
        <f>IF($Q280="DELETE",IF($S280="CONFIRMED: NO MODS &gt; 1YR","CONFIRMED: NO MODS &gt; 1YR","DO NOT DELETE — not defensibly confirmed"),IF($Q280="HOLD","DO NOT DELETE — HOLD (Charlie review)",IF($Q280="KEEP","DO NOT DELETE — KEEP",IF(ISNUMBER(SEARCH("REVIEW",$Q280)),"DO NOT DELETE — REVIEW pending",$S280))))</f>
        <v>CONFIRMED: NO MODS &gt; 1YR</v>
      </c>
      <c r="Q280" t="str" cm="1">
        <f t="array" ref="Q280">_xlfn.IFS(AND($A280="thg-beauty",ISNUMBER(SEARCH("liveramp",$C280))),"DELETE",$A280="agile-bonbon-662",_xlfn.IFS(LEFT($G280,9)="Tranche 1","DELETE",$C280="Sessions_Level_1_All_Sites","KEEP",ISNUMBER(--$C280),"REVIEW — UA raw logs",$C280="Emag_Reporting","KEEP",$C280="Nutrition_Data_Archived_Tables","KEEP",$C280="EU_Data","KEEP",TRUE,"REVIEW"),OR($A280="thg-influencer",$A280="thg-ingenuity",$A280="thg-central-marketing",$A280="thg-seoclarity"),"HOLD",TRUE,"")</f>
        <v/>
      </c>
      <c r="R280" t="str" cm="1">
        <f t="array" ref="R280">_xlfn.IFS(AND($A280="thg-beauty",ISNUMBER(SEARCH("liveramp",$C280))),"thg-beauty Liveramp dataset — confirmed safe to delete",$A280="agile-bonbon-662",_xlfn.IFS(LEFT($G280,9)="Tranche 1","Tranche 1: cleared",$C280="Sessions_Level_1_All_Sites","Downstream aggregation of UA raw logs — keep if raw tables go",ISNUMBER(--$C280),"UA raw site logs (account ID) — keep pending audit-retention check",$C280="Emag_Reporting","Legacy but likely needed",$C280="Nutrition_Data_Archived_Tables","Worth keeping",$C280="EU_Data","Static lookup tables — scripts still reference (smoke-test risk)",TRUE,"Review"),OR($A280="thg-influencer",$A280="thg-ingenuity",$A280="thg-central-marketing",$A280="thg-seoclarity"),"HOLD — Charlie Stringer to review before deletion",TRUE,"")</f>
        <v/>
      </c>
      <c r="S280" t="s">
        <v>1624</v>
      </c>
    </row>
    <row r="281" spans="1:19" ht="76.5" hidden="1">
      <c r="A281" t="s">
        <v>93</v>
      </c>
      <c r="B281" t="s">
        <v>1724</v>
      </c>
      <c r="C281" t="s">
        <v>2190</v>
      </c>
      <c r="D281" s="2" t="s">
        <v>2191</v>
      </c>
      <c r="E281">
        <v>0</v>
      </c>
      <c r="F281">
        <v>0</v>
      </c>
      <c r="G281" t="s">
        <v>79</v>
      </c>
      <c r="H281" t="s">
        <v>81</v>
      </c>
      <c r="I281">
        <v>5</v>
      </c>
      <c r="J281">
        <v>5</v>
      </c>
      <c r="K281" s="5">
        <v>46190.532312129631</v>
      </c>
      <c r="M281" s="2" t="s">
        <v>2192</v>
      </c>
      <c r="N281" s="2" t="s">
        <v>1701</v>
      </c>
      <c r="O281" s="5">
        <v>46191.620765069441</v>
      </c>
      <c r="P281" t="str">
        <f>IF($Q281="DELETE",IF($S281="CONFIRMED: NO MODS &gt; 1YR","CONFIRMED: NO MODS &gt; 1YR","DO NOT DELETE — not defensibly confirmed"),IF($Q281="HOLD","DO NOT DELETE — HOLD (Charlie review)",IF($Q281="KEEP","DO NOT DELETE — KEEP",IF(ISNUMBER(SEARCH("REVIEW",$Q281)),"DO NOT DELETE — REVIEW pending",$S281))))</f>
        <v>CONFIRMED: NO MODS &gt; 1YR</v>
      </c>
      <c r="Q281" t="str" cm="1">
        <f t="array" ref="Q281">_xlfn.IFS(AND($A281="thg-beauty",ISNUMBER(SEARCH("liveramp",$C281))),"DELETE",$A281="agile-bonbon-662",_xlfn.IFS(LEFT($G281,9)="Tranche 1","DELETE",$C281="Sessions_Level_1_All_Sites","KEEP",ISNUMBER(--$C281),"REVIEW — UA raw logs",$C281="Emag_Reporting","KEEP",$C281="Nutrition_Data_Archived_Tables","KEEP",$C281="EU_Data","KEEP",TRUE,"REVIEW"),OR($A281="thg-influencer",$A281="thg-ingenuity",$A281="thg-central-marketing",$A281="thg-seoclarity"),"HOLD",TRUE,"")</f>
        <v/>
      </c>
      <c r="R281" t="str" cm="1">
        <f t="array" ref="R281">_xlfn.IFS(AND($A281="thg-beauty",ISNUMBER(SEARCH("liveramp",$C281))),"thg-beauty Liveramp dataset — confirmed safe to delete",$A281="agile-bonbon-662",_xlfn.IFS(LEFT($G281,9)="Tranche 1","Tranche 1: cleared",$C281="Sessions_Level_1_All_Sites","Downstream aggregation of UA raw logs — keep if raw tables go",ISNUMBER(--$C281),"UA raw site logs (account ID) — keep pending audit-retention check",$C281="Emag_Reporting","Legacy but likely needed",$C281="Nutrition_Data_Archived_Tables","Worth keeping",$C281="EU_Data","Static lookup tables — scripts still reference (smoke-test risk)",TRUE,"Review"),OR($A281="thg-influencer",$A281="thg-ingenuity",$A281="thg-central-marketing",$A281="thg-seoclarity"),"HOLD — Charlie Stringer to review before deletion",TRUE,"")</f>
        <v/>
      </c>
      <c r="S281" t="s">
        <v>1624</v>
      </c>
    </row>
    <row r="282" spans="1:19" ht="76.5" hidden="1">
      <c r="A282" t="s">
        <v>91</v>
      </c>
      <c r="B282" t="s">
        <v>1619</v>
      </c>
      <c r="C282" t="s">
        <v>2193</v>
      </c>
      <c r="D282" s="2" t="s">
        <v>1621</v>
      </c>
      <c r="E282">
        <v>155.19</v>
      </c>
      <c r="F282">
        <v>3.1</v>
      </c>
      <c r="G282" t="s">
        <v>79</v>
      </c>
      <c r="H282" t="s">
        <v>81</v>
      </c>
      <c r="I282">
        <v>4</v>
      </c>
      <c r="J282">
        <v>7</v>
      </c>
      <c r="K282" s="5">
        <v>46192.465574351852</v>
      </c>
      <c r="L282" s="5">
        <v>46189.601483935177</v>
      </c>
      <c r="M282" s="2" t="s">
        <v>2194</v>
      </c>
      <c r="N282" s="2" t="s">
        <v>2195</v>
      </c>
      <c r="O282" s="5">
        <v>46189.648754918977</v>
      </c>
      <c r="P282" t="str">
        <f>IF($Q282="DELETE",IF($S282="CONFIRMED: NO MODS &gt; 1YR","CONFIRMED: NO MODS &gt; 1YR","DO NOT DELETE — not defensibly confirmed"),IF($Q282="HOLD","DO NOT DELETE — HOLD (Charlie review)",IF($Q282="KEEP","DO NOT DELETE — KEEP",IF(ISNUMBER(SEARCH("REVIEW",$Q282)),"DO NOT DELETE — REVIEW pending",$S282))))</f>
        <v>CONFIRMED: NO MODS &gt; 1YR</v>
      </c>
      <c r="Q282" t="str" cm="1">
        <f t="array" ref="Q282">_xlfn.IFS(AND($A282="thg-beauty",ISNUMBER(SEARCH("liveramp",$C282))),"DELETE",$A282="agile-bonbon-662",_xlfn.IFS(LEFT($G282,9)="Tranche 1","DELETE",$C282="Sessions_Level_1_All_Sites","KEEP",ISNUMBER(--$C282),"REVIEW — UA raw logs",$C282="Emag_Reporting","KEEP",$C282="Nutrition_Data_Archived_Tables","KEEP",$C282="EU_Data","KEEP",TRUE,"REVIEW"),OR($A282="thg-influencer",$A282="thg-ingenuity",$A282="thg-central-marketing",$A282="thg-seoclarity"),"HOLD",TRUE,"")</f>
        <v/>
      </c>
      <c r="R282" t="str" cm="1">
        <f t="array" ref="R282">_xlfn.IFS(AND($A282="thg-beauty",ISNUMBER(SEARCH("liveramp",$C282))),"thg-beauty Liveramp dataset — confirmed safe to delete",$A282="agile-bonbon-662",_xlfn.IFS(LEFT($G282,9)="Tranche 1","Tranche 1: cleared",$C282="Sessions_Level_1_All_Sites","Downstream aggregation of UA raw logs — keep if raw tables go",ISNUMBER(--$C282),"UA raw site logs (account ID) — keep pending audit-retention check",$C282="Emag_Reporting","Legacy but likely needed",$C282="Nutrition_Data_Archived_Tables","Worth keeping",$C282="EU_Data","Static lookup tables — scripts still reference (smoke-test risk)",TRUE,"Review"),OR($A282="thg-influencer",$A282="thg-ingenuity",$A282="thg-central-marketing",$A282="thg-seoclarity"),"HOLD — Charlie Stringer to review before deletion",TRUE,"")</f>
        <v/>
      </c>
      <c r="S282" t="s">
        <v>1624</v>
      </c>
    </row>
    <row r="283" spans="1:19" ht="76.5" hidden="1">
      <c r="A283" t="s">
        <v>1702</v>
      </c>
      <c r="B283" t="s">
        <v>1619</v>
      </c>
      <c r="C283" t="s">
        <v>2196</v>
      </c>
      <c r="D283" s="2" t="s">
        <v>1621</v>
      </c>
      <c r="E283">
        <v>1312.81</v>
      </c>
      <c r="F283">
        <v>26.26</v>
      </c>
      <c r="G283" t="s">
        <v>79</v>
      </c>
      <c r="H283" t="s">
        <v>81</v>
      </c>
      <c r="I283">
        <v>3</v>
      </c>
      <c r="J283">
        <v>3</v>
      </c>
      <c r="K283" s="5">
        <v>46194.043346736107</v>
      </c>
      <c r="L283" s="5">
        <v>46194.043346736107</v>
      </c>
      <c r="M283" s="2" t="s">
        <v>2197</v>
      </c>
      <c r="N283" s="2" t="s">
        <v>2198</v>
      </c>
      <c r="O283" s="5">
        <v>46194.043428217592</v>
      </c>
      <c r="P283" t="str">
        <f>IF($Q283="DELETE",IF($S283="CONFIRMED: NO MODS &gt; 1YR","CONFIRMED: NO MODS &gt; 1YR","DO NOT DELETE — not defensibly confirmed"),IF($Q283="HOLD","DO NOT DELETE — HOLD (Charlie review)",IF($Q283="KEEP","DO NOT DELETE — KEEP",IF(ISNUMBER(SEARCH("REVIEW",$Q283)),"DO NOT DELETE — REVIEW pending",$S283))))</f>
        <v>CONFIRMED: NO MODS &gt; 1YR</v>
      </c>
      <c r="Q283" t="str" cm="1">
        <f t="array" ref="Q283">_xlfn.IFS(AND($A283="thg-beauty",ISNUMBER(SEARCH("liveramp",$C283))),"DELETE",$A283="agile-bonbon-662",_xlfn.IFS(LEFT($G283,9)="Tranche 1","DELETE",$C283="Sessions_Level_1_All_Sites","KEEP",ISNUMBER(--$C283),"REVIEW — UA raw logs",$C283="Emag_Reporting","KEEP",$C283="Nutrition_Data_Archived_Tables","KEEP",$C283="EU_Data","KEEP",TRUE,"REVIEW"),OR($A283="thg-influencer",$A283="thg-ingenuity",$A283="thg-central-marketing",$A283="thg-seoclarity"),"HOLD",TRUE,"")</f>
        <v/>
      </c>
      <c r="R283" t="str" cm="1">
        <f t="array" ref="R283">_xlfn.IFS(AND($A283="thg-beauty",ISNUMBER(SEARCH("liveramp",$C283))),"thg-beauty Liveramp dataset — confirmed safe to delete",$A283="agile-bonbon-662",_xlfn.IFS(LEFT($G283,9)="Tranche 1","Tranche 1: cleared",$C283="Sessions_Level_1_All_Sites","Downstream aggregation of UA raw logs — keep if raw tables go",ISNUMBER(--$C283),"UA raw site logs (account ID) — keep pending audit-retention check",$C283="Emag_Reporting","Legacy but likely needed",$C283="Nutrition_Data_Archived_Tables","Worth keeping",$C283="EU_Data","Static lookup tables — scripts still reference (smoke-test risk)",TRUE,"Review"),OR($A283="thg-influencer",$A283="thg-ingenuity",$A283="thg-central-marketing",$A283="thg-seoclarity"),"HOLD — Charlie Stringer to review before deletion",TRUE,"")</f>
        <v/>
      </c>
      <c r="S283" t="s">
        <v>1624</v>
      </c>
    </row>
    <row r="284" spans="1:19" ht="76.5" hidden="1">
      <c r="A284" t="s">
        <v>89</v>
      </c>
      <c r="B284" t="s">
        <v>1619</v>
      </c>
      <c r="C284" t="s">
        <v>2199</v>
      </c>
      <c r="D284" s="2" t="s">
        <v>1621</v>
      </c>
      <c r="E284">
        <v>10.39</v>
      </c>
      <c r="F284">
        <v>0.21</v>
      </c>
      <c r="G284" t="s">
        <v>79</v>
      </c>
      <c r="H284" t="s">
        <v>81</v>
      </c>
      <c r="I284">
        <v>3</v>
      </c>
      <c r="J284">
        <v>3</v>
      </c>
      <c r="K284" s="5">
        <v>46194.334725451386</v>
      </c>
      <c r="L284" s="5">
        <v>46194.294939826388</v>
      </c>
      <c r="M284" s="2" t="s">
        <v>2200</v>
      </c>
      <c r="N284" s="2" t="s">
        <v>2201</v>
      </c>
      <c r="O284" s="5">
        <v>46194.294973379627</v>
      </c>
      <c r="P284" t="str">
        <f>IF($Q284="DELETE",IF($S284="CONFIRMED: NO MODS &gt; 1YR","CONFIRMED: NO MODS &gt; 1YR","DO NOT DELETE — not defensibly confirmed"),IF($Q284="HOLD","DO NOT DELETE — HOLD (Charlie review)",IF($Q284="KEEP","DO NOT DELETE — KEEP",IF(ISNUMBER(SEARCH("REVIEW",$Q284)),"DO NOT DELETE — REVIEW pending",$S284))))</f>
        <v>DO NOT DELETE — REVIEW pending</v>
      </c>
      <c r="Q284" t="str" cm="1">
        <f t="array" ref="Q284">_xlfn.IFS(AND($A284="thg-beauty",ISNUMBER(SEARCH("liveramp",$C284))),"DELETE",$A284="agile-bonbon-662",_xlfn.IFS(LEFT($G284,9)="Tranche 1","DELETE",$C284="Sessions_Level_1_All_Sites","KEEP",ISNUMBER(--$C284),"REVIEW — UA raw logs",$C284="Emag_Reporting","KEEP",$C284="Nutrition_Data_Archived_Tables","KEEP",$C284="EU_Data","KEEP",TRUE,"REVIEW"),OR($A284="thg-influencer",$A284="thg-ingenuity",$A284="thg-central-marketing",$A284="thg-seoclarity"),"HOLD",TRUE,"")</f>
        <v>REVIEW</v>
      </c>
      <c r="R284" t="str" cm="1">
        <f t="array" ref="R284">_xlfn.IFS(AND($A284="thg-beauty",ISNUMBER(SEARCH("liveramp",$C284))),"thg-beauty Liveramp dataset — confirmed safe to delete",$A284="agile-bonbon-662",_xlfn.IFS(LEFT($G284,9)="Tranche 1","Tranche 1: cleared",$C284="Sessions_Level_1_All_Sites","Downstream aggregation of UA raw logs — keep if raw tables go",ISNUMBER(--$C284),"UA raw site logs (account ID) — keep pending audit-retention check",$C284="Emag_Reporting","Legacy but likely needed",$C284="Nutrition_Data_Archived_Tables","Worth keeping",$C284="EU_Data","Static lookup tables — scripts still reference (smoke-test risk)",TRUE,"Review"),OR($A284="thg-influencer",$A284="thg-ingenuity",$A284="thg-central-marketing",$A284="thg-seoclarity"),"HOLD — Charlie Stringer to review before deletion",TRUE,"")</f>
        <v>Review</v>
      </c>
      <c r="S284" t="s">
        <v>1624</v>
      </c>
    </row>
    <row r="285" spans="1:19" ht="76.5" hidden="1">
      <c r="A285" t="s">
        <v>92</v>
      </c>
      <c r="B285" t="s">
        <v>1619</v>
      </c>
      <c r="C285" t="s">
        <v>2202</v>
      </c>
      <c r="D285" s="2" t="s">
        <v>1621</v>
      </c>
      <c r="E285">
        <v>38.369999999999997</v>
      </c>
      <c r="F285">
        <v>0.77</v>
      </c>
      <c r="G285" t="s">
        <v>79</v>
      </c>
      <c r="H285" t="s">
        <v>81</v>
      </c>
      <c r="I285">
        <v>0</v>
      </c>
      <c r="J285">
        <v>0</v>
      </c>
      <c r="K285" s="5">
        <v>46197.448538067132</v>
      </c>
      <c r="L285" s="5">
        <v>46197.434441898149</v>
      </c>
      <c r="M285" s="2" t="s">
        <v>2203</v>
      </c>
      <c r="N285" s="2" t="s">
        <v>2204</v>
      </c>
      <c r="O285" s="5">
        <v>46197.434479236108</v>
      </c>
      <c r="P285" t="str">
        <f>IF($Q285="DELETE",IF($S285="CONFIRMED: NO MODS &gt; 1YR","CONFIRMED: NO MODS &gt; 1YR","DO NOT DELETE — not defensibly confirmed"),IF($Q285="HOLD","DO NOT DELETE — HOLD (Charlie review)",IF($Q285="KEEP","DO NOT DELETE — KEEP",IF(ISNUMBER(SEARCH("REVIEW",$Q285)),"DO NOT DELETE — REVIEW pending",$S285))))</f>
        <v>CONFIRMED: NO MODS &gt; 1YR</v>
      </c>
      <c r="Q285" t="str" cm="1">
        <f t="array" ref="Q285">_xlfn.IFS(AND($A285="thg-beauty",ISNUMBER(SEARCH("liveramp",$C285))),"DELETE",$A285="agile-bonbon-662",_xlfn.IFS(LEFT($G285,9)="Tranche 1","DELETE",$C285="Sessions_Level_1_All_Sites","KEEP",ISNUMBER(--$C285),"REVIEW — UA raw logs",$C285="Emag_Reporting","KEEP",$C285="Nutrition_Data_Archived_Tables","KEEP",$C285="EU_Data","KEEP",TRUE,"REVIEW"),OR($A285="thg-influencer",$A285="thg-ingenuity",$A285="thg-central-marketing",$A285="thg-seoclarity"),"HOLD",TRUE,"")</f>
        <v/>
      </c>
      <c r="R285" t="str" cm="1">
        <f t="array" ref="R285">_xlfn.IFS(AND($A285="thg-beauty",ISNUMBER(SEARCH("liveramp",$C285))),"thg-beauty Liveramp dataset — confirmed safe to delete",$A285="agile-bonbon-662",_xlfn.IFS(LEFT($G285,9)="Tranche 1","Tranche 1: cleared",$C285="Sessions_Level_1_All_Sites","Downstream aggregation of UA raw logs — keep if raw tables go",ISNUMBER(--$C285),"UA raw site logs (account ID) — keep pending audit-retention check",$C285="Emag_Reporting","Legacy but likely needed",$C285="Nutrition_Data_Archived_Tables","Worth keeping",$C285="EU_Data","Static lookup tables — scripts still reference (smoke-test risk)",TRUE,"Review"),OR($A285="thg-influencer",$A285="thg-ingenuity",$A285="thg-central-marketing",$A285="thg-seoclarity"),"HOLD — Charlie Stringer to review before deletion",TRUE,"")</f>
        <v/>
      </c>
      <c r="S285" t="s">
        <v>1624</v>
      </c>
    </row>
    <row r="286" spans="1:19" ht="76.5" hidden="1">
      <c r="A286" t="s">
        <v>1702</v>
      </c>
      <c r="B286" t="s">
        <v>1619</v>
      </c>
      <c r="C286" t="s">
        <v>1717</v>
      </c>
      <c r="D286" s="2" t="s">
        <v>1621</v>
      </c>
      <c r="E286">
        <v>0.05</v>
      </c>
      <c r="F286">
        <v>0</v>
      </c>
      <c r="G286" t="s">
        <v>79</v>
      </c>
      <c r="H286" t="s">
        <v>81</v>
      </c>
      <c r="I286">
        <v>3</v>
      </c>
      <c r="J286">
        <v>3</v>
      </c>
      <c r="K286" s="5">
        <v>46194.048272777778</v>
      </c>
      <c r="L286" s="5">
        <v>46194.048231527777</v>
      </c>
      <c r="M286" s="2" t="s">
        <v>2205</v>
      </c>
      <c r="N286" s="2" t="s">
        <v>2206</v>
      </c>
      <c r="O286" s="5">
        <v>46194.048263946759</v>
      </c>
      <c r="P286" t="str">
        <f>IF($Q286="DELETE",IF($S286="CONFIRMED: NO MODS &gt; 1YR","CONFIRMED: NO MODS &gt; 1YR","DO NOT DELETE — not defensibly confirmed"),IF($Q286="HOLD","DO NOT DELETE — HOLD (Charlie review)",IF($Q286="KEEP","DO NOT DELETE — KEEP",IF(ISNUMBER(SEARCH("REVIEW",$Q286)),"DO NOT DELETE — REVIEW pending",$S286))))</f>
        <v>CONFIRMED: NO MODS &gt; 1YR</v>
      </c>
      <c r="Q286" t="str" cm="1">
        <f t="array" ref="Q286">_xlfn.IFS(AND($A286="thg-beauty",ISNUMBER(SEARCH("liveramp",$C286))),"DELETE",$A286="agile-bonbon-662",_xlfn.IFS(LEFT($G286,9)="Tranche 1","DELETE",$C286="Sessions_Level_1_All_Sites","KEEP",ISNUMBER(--$C286),"REVIEW — UA raw logs",$C286="Emag_Reporting","KEEP",$C286="Nutrition_Data_Archived_Tables","KEEP",$C286="EU_Data","KEEP",TRUE,"REVIEW"),OR($A286="thg-influencer",$A286="thg-ingenuity",$A286="thg-central-marketing",$A286="thg-seoclarity"),"HOLD",TRUE,"")</f>
        <v/>
      </c>
      <c r="R286" t="str" cm="1">
        <f t="array" ref="R286">_xlfn.IFS(AND($A286="thg-beauty",ISNUMBER(SEARCH("liveramp",$C286))),"thg-beauty Liveramp dataset — confirmed safe to delete",$A286="agile-bonbon-662",_xlfn.IFS(LEFT($G286,9)="Tranche 1","Tranche 1: cleared",$C286="Sessions_Level_1_All_Sites","Downstream aggregation of UA raw logs — keep if raw tables go",ISNUMBER(--$C286),"UA raw site logs (account ID) — keep pending audit-retention check",$C286="Emag_Reporting","Legacy but likely needed",$C286="Nutrition_Data_Archived_Tables","Worth keeping",$C286="EU_Data","Static lookup tables — scripts still reference (smoke-test risk)",TRUE,"Review"),OR($A286="thg-influencer",$A286="thg-ingenuity",$A286="thg-central-marketing",$A286="thg-seoclarity"),"HOLD — Charlie Stringer to review before deletion",TRUE,"")</f>
        <v/>
      </c>
      <c r="S286" t="s">
        <v>1624</v>
      </c>
    </row>
    <row r="287" spans="1:19" ht="76.5" hidden="1">
      <c r="A287" t="s">
        <v>38</v>
      </c>
      <c r="B287" t="s">
        <v>1619</v>
      </c>
      <c r="C287" t="s">
        <v>2207</v>
      </c>
      <c r="D287" s="2" t="s">
        <v>1621</v>
      </c>
      <c r="E287">
        <v>89.59</v>
      </c>
      <c r="F287">
        <v>1.79</v>
      </c>
      <c r="G287" t="s">
        <v>79</v>
      </c>
      <c r="H287" t="s">
        <v>81</v>
      </c>
      <c r="I287">
        <v>2</v>
      </c>
      <c r="J287">
        <v>2</v>
      </c>
      <c r="K287" s="5">
        <v>46195.418772685189</v>
      </c>
      <c r="L287" s="5">
        <v>46195.374150451389</v>
      </c>
      <c r="M287" s="2" t="s">
        <v>2208</v>
      </c>
      <c r="N287" s="2" t="s">
        <v>2209</v>
      </c>
      <c r="O287" s="5">
        <v>46195.374187106478</v>
      </c>
      <c r="P287" t="str">
        <f>IF($Q287="DELETE",IF($S287="CONFIRMED: NO MODS &gt; 1YR","CONFIRMED: NO MODS &gt; 1YR","DO NOT DELETE — not defensibly confirmed"),IF($Q287="HOLD","DO NOT DELETE — HOLD (Charlie review)",IF($Q287="KEEP","DO NOT DELETE — KEEP",IF(ISNUMBER(SEARCH("REVIEW",$Q287)),"DO NOT DELETE — REVIEW pending",$S287))))</f>
        <v>DO NOT DELETE — HOLD (Charlie review)</v>
      </c>
      <c r="Q287" t="str" cm="1">
        <f t="array" ref="Q287">_xlfn.IFS(AND($A287="thg-beauty",ISNUMBER(SEARCH("liveramp",$C287))),"DELETE",$A287="agile-bonbon-662",_xlfn.IFS(LEFT($G287,9)="Tranche 1","DELETE",$C287="Sessions_Level_1_All_Sites","KEEP",ISNUMBER(--$C287),"REVIEW — UA raw logs",$C287="Emag_Reporting","KEEP",$C287="Nutrition_Data_Archived_Tables","KEEP",$C287="EU_Data","KEEP",TRUE,"REVIEW"),OR($A287="thg-influencer",$A287="thg-ingenuity",$A287="thg-central-marketing",$A287="thg-seoclarity"),"HOLD",TRUE,"")</f>
        <v>HOLD</v>
      </c>
      <c r="R287" t="str" cm="1">
        <f t="array" ref="R287">_xlfn.IFS(AND($A287="thg-beauty",ISNUMBER(SEARCH("liveramp",$C287))),"thg-beauty Liveramp dataset — confirmed safe to delete",$A287="agile-bonbon-662",_xlfn.IFS(LEFT($G287,9)="Tranche 1","Tranche 1: cleared",$C287="Sessions_Level_1_All_Sites","Downstream aggregation of UA raw logs — keep if raw tables go",ISNUMBER(--$C287),"UA raw site logs (account ID) — keep pending audit-retention check",$C287="Emag_Reporting","Legacy but likely needed",$C287="Nutrition_Data_Archived_Tables","Worth keeping",$C287="EU_Data","Static lookup tables — scripts still reference (smoke-test risk)",TRUE,"Review"),OR($A287="thg-influencer",$A287="thg-ingenuity",$A287="thg-central-marketing",$A287="thg-seoclarity"),"HOLD — Charlie Stringer to review before deletion",TRUE,"")</f>
        <v>HOLD — Charlie Stringer to review before deletion</v>
      </c>
      <c r="S287" t="s">
        <v>1624</v>
      </c>
    </row>
    <row r="288" spans="1:19" ht="76.5" hidden="1">
      <c r="A288" t="s">
        <v>89</v>
      </c>
      <c r="B288" t="s">
        <v>1619</v>
      </c>
      <c r="C288" t="s">
        <v>2210</v>
      </c>
      <c r="D288" s="2" t="s">
        <v>1621</v>
      </c>
      <c r="E288">
        <v>2.61</v>
      </c>
      <c r="F288">
        <v>0.05</v>
      </c>
      <c r="G288" t="s">
        <v>79</v>
      </c>
      <c r="H288" t="s">
        <v>81</v>
      </c>
      <c r="I288">
        <v>2</v>
      </c>
      <c r="J288">
        <v>2</v>
      </c>
      <c r="K288" s="5">
        <v>46195.105156018522</v>
      </c>
      <c r="L288" s="5">
        <v>46195.003194965277</v>
      </c>
      <c r="M288" s="2" t="s">
        <v>2211</v>
      </c>
      <c r="N288" s="2" t="s">
        <v>2212</v>
      </c>
      <c r="O288" s="5">
        <v>46195.003223888889</v>
      </c>
      <c r="P288" t="str">
        <f>IF($Q288="DELETE",IF($S288="CONFIRMED: NO MODS &gt; 1YR","CONFIRMED: NO MODS &gt; 1YR","DO NOT DELETE — not defensibly confirmed"),IF($Q288="HOLD","DO NOT DELETE — HOLD (Charlie review)",IF($Q288="KEEP","DO NOT DELETE — KEEP",IF(ISNUMBER(SEARCH("REVIEW",$Q288)),"DO NOT DELETE — REVIEW pending",$S288))))</f>
        <v>DO NOT DELETE — REVIEW pending</v>
      </c>
      <c r="Q288" t="str" cm="1">
        <f t="array" ref="Q288">_xlfn.IFS(AND($A288="thg-beauty",ISNUMBER(SEARCH("liveramp",$C288))),"DELETE",$A288="agile-bonbon-662",_xlfn.IFS(LEFT($G288,9)="Tranche 1","DELETE",$C288="Sessions_Level_1_All_Sites","KEEP",ISNUMBER(--$C288),"REVIEW — UA raw logs",$C288="Emag_Reporting","KEEP",$C288="Nutrition_Data_Archived_Tables","KEEP",$C288="EU_Data","KEEP",TRUE,"REVIEW"),OR($A288="thg-influencer",$A288="thg-ingenuity",$A288="thg-central-marketing",$A288="thg-seoclarity"),"HOLD",TRUE,"")</f>
        <v>REVIEW</v>
      </c>
      <c r="R288" t="str" cm="1">
        <f t="array" ref="R288">_xlfn.IFS(AND($A288="thg-beauty",ISNUMBER(SEARCH("liveramp",$C288))),"thg-beauty Liveramp dataset — confirmed safe to delete",$A288="agile-bonbon-662",_xlfn.IFS(LEFT($G288,9)="Tranche 1","Tranche 1: cleared",$C288="Sessions_Level_1_All_Sites","Downstream aggregation of UA raw logs — keep if raw tables go",ISNUMBER(--$C288),"UA raw site logs (account ID) — keep pending audit-retention check",$C288="Emag_Reporting","Legacy but likely needed",$C288="Nutrition_Data_Archived_Tables","Worth keeping",$C288="EU_Data","Static lookup tables — scripts still reference (smoke-test risk)",TRUE,"Review"),OR($A288="thg-influencer",$A288="thg-ingenuity",$A288="thg-central-marketing",$A288="thg-seoclarity"),"HOLD — Charlie Stringer to review before deletion",TRUE,"")</f>
        <v>Review</v>
      </c>
      <c r="S288" t="s">
        <v>1624</v>
      </c>
    </row>
    <row r="289" spans="1:19" ht="76.5" hidden="1">
      <c r="A289" t="s">
        <v>89</v>
      </c>
      <c r="B289" t="s">
        <v>1619</v>
      </c>
      <c r="C289" t="s">
        <v>2213</v>
      </c>
      <c r="D289" s="2" t="s">
        <v>1621</v>
      </c>
      <c r="E289">
        <v>0.62</v>
      </c>
      <c r="F289">
        <v>0.01</v>
      </c>
      <c r="G289" t="s">
        <v>79</v>
      </c>
      <c r="H289" t="s">
        <v>81</v>
      </c>
      <c r="I289">
        <v>2</v>
      </c>
      <c r="J289">
        <v>2</v>
      </c>
      <c r="K289" s="5">
        <v>46195.335659189812</v>
      </c>
      <c r="L289" s="5">
        <v>46195.003518530088</v>
      </c>
      <c r="M289" s="2" t="s">
        <v>2214</v>
      </c>
      <c r="N289" s="2" t="s">
        <v>2215</v>
      </c>
      <c r="O289" s="5">
        <v>46195.003532812501</v>
      </c>
      <c r="P289" t="str">
        <f>IF($Q289="DELETE",IF($S289="CONFIRMED: NO MODS &gt; 1YR","CONFIRMED: NO MODS &gt; 1YR","DO NOT DELETE — not defensibly confirmed"),IF($Q289="HOLD","DO NOT DELETE — HOLD (Charlie review)",IF($Q289="KEEP","DO NOT DELETE — KEEP",IF(ISNUMBER(SEARCH("REVIEW",$Q289)),"DO NOT DELETE — REVIEW pending",$S289))))</f>
        <v>DO NOT DELETE — REVIEW pending</v>
      </c>
      <c r="Q289" t="str" cm="1">
        <f t="array" ref="Q289">_xlfn.IFS(AND($A289="thg-beauty",ISNUMBER(SEARCH("liveramp",$C289))),"DELETE",$A289="agile-bonbon-662",_xlfn.IFS(LEFT($G289,9)="Tranche 1","DELETE",$C289="Sessions_Level_1_All_Sites","KEEP",ISNUMBER(--$C289),"REVIEW — UA raw logs",$C289="Emag_Reporting","KEEP",$C289="Nutrition_Data_Archived_Tables","KEEP",$C289="EU_Data","KEEP",TRUE,"REVIEW"),OR($A289="thg-influencer",$A289="thg-ingenuity",$A289="thg-central-marketing",$A289="thg-seoclarity"),"HOLD",TRUE,"")</f>
        <v>REVIEW</v>
      </c>
      <c r="R289" t="str" cm="1">
        <f t="array" ref="R289">_xlfn.IFS(AND($A289="thg-beauty",ISNUMBER(SEARCH("liveramp",$C289))),"thg-beauty Liveramp dataset — confirmed safe to delete",$A289="agile-bonbon-662",_xlfn.IFS(LEFT($G289,9)="Tranche 1","Tranche 1: cleared",$C289="Sessions_Level_1_All_Sites","Downstream aggregation of UA raw logs — keep if raw tables go",ISNUMBER(--$C289),"UA raw site logs (account ID) — keep pending audit-retention check",$C289="Emag_Reporting","Legacy but likely needed",$C289="Nutrition_Data_Archived_Tables","Worth keeping",$C289="EU_Data","Static lookup tables — scripts still reference (smoke-test risk)",TRUE,"Review"),OR($A289="thg-influencer",$A289="thg-ingenuity",$A289="thg-central-marketing",$A289="thg-seoclarity"),"HOLD — Charlie Stringer to review before deletion",TRUE,"")</f>
        <v>Review</v>
      </c>
      <c r="S289" t="s">
        <v>1624</v>
      </c>
    </row>
    <row r="290" spans="1:19" ht="76.5" hidden="1">
      <c r="A290" t="s">
        <v>89</v>
      </c>
      <c r="B290" t="s">
        <v>1619</v>
      </c>
      <c r="C290" t="s">
        <v>2216</v>
      </c>
      <c r="D290" s="2" t="s">
        <v>1621</v>
      </c>
      <c r="E290">
        <v>0.01</v>
      </c>
      <c r="F290">
        <v>0</v>
      </c>
      <c r="G290" t="s">
        <v>79</v>
      </c>
      <c r="H290" t="s">
        <v>81</v>
      </c>
      <c r="I290">
        <v>2</v>
      </c>
      <c r="J290">
        <v>2</v>
      </c>
      <c r="K290" s="5">
        <v>46195.105502430553</v>
      </c>
      <c r="L290" s="5">
        <v>46195.064070370368</v>
      </c>
      <c r="M290" s="2" t="s">
        <v>2217</v>
      </c>
      <c r="N290" s="2" t="s">
        <v>2218</v>
      </c>
      <c r="O290" s="5">
        <v>46195.064085752318</v>
      </c>
      <c r="P290" t="str">
        <f>IF($Q290="DELETE",IF($S290="CONFIRMED: NO MODS &gt; 1YR","CONFIRMED: NO MODS &gt; 1YR","DO NOT DELETE — not defensibly confirmed"),IF($Q290="HOLD","DO NOT DELETE — HOLD (Charlie review)",IF($Q290="KEEP","DO NOT DELETE — KEEP",IF(ISNUMBER(SEARCH("REVIEW",$Q290)),"DO NOT DELETE — REVIEW pending",$S290))))</f>
        <v>DO NOT DELETE — REVIEW pending</v>
      </c>
      <c r="Q290" t="str" cm="1">
        <f t="array" ref="Q290">_xlfn.IFS(AND($A290="thg-beauty",ISNUMBER(SEARCH("liveramp",$C290))),"DELETE",$A290="agile-bonbon-662",_xlfn.IFS(LEFT($G290,9)="Tranche 1","DELETE",$C290="Sessions_Level_1_All_Sites","KEEP",ISNUMBER(--$C290),"REVIEW — UA raw logs",$C290="Emag_Reporting","KEEP",$C290="Nutrition_Data_Archived_Tables","KEEP",$C290="EU_Data","KEEP",TRUE,"REVIEW"),OR($A290="thg-influencer",$A290="thg-ingenuity",$A290="thg-central-marketing",$A290="thg-seoclarity"),"HOLD",TRUE,"")</f>
        <v>REVIEW</v>
      </c>
      <c r="R290" t="str" cm="1">
        <f t="array" ref="R290">_xlfn.IFS(AND($A290="thg-beauty",ISNUMBER(SEARCH("liveramp",$C290))),"thg-beauty Liveramp dataset — confirmed safe to delete",$A290="agile-bonbon-662",_xlfn.IFS(LEFT($G290,9)="Tranche 1","Tranche 1: cleared",$C290="Sessions_Level_1_All_Sites","Downstream aggregation of UA raw logs — keep if raw tables go",ISNUMBER(--$C290),"UA raw site logs (account ID) — keep pending audit-retention check",$C290="Emag_Reporting","Legacy but likely needed",$C290="Nutrition_Data_Archived_Tables","Worth keeping",$C290="EU_Data","Static lookup tables — scripts still reference (smoke-test risk)",TRUE,"Review"),OR($A290="thg-influencer",$A290="thg-ingenuity",$A290="thg-central-marketing",$A290="thg-seoclarity"),"HOLD — Charlie Stringer to review before deletion",TRUE,"")</f>
        <v>Review</v>
      </c>
      <c r="S290" t="s">
        <v>1624</v>
      </c>
    </row>
    <row r="291" spans="1:19" ht="76.5" hidden="1">
      <c r="A291" t="s">
        <v>89</v>
      </c>
      <c r="B291" t="s">
        <v>1619</v>
      </c>
      <c r="C291" t="s">
        <v>2219</v>
      </c>
      <c r="D291" s="2" t="s">
        <v>1621</v>
      </c>
      <c r="E291">
        <v>0.01</v>
      </c>
      <c r="F291">
        <v>0</v>
      </c>
      <c r="G291" t="s">
        <v>79</v>
      </c>
      <c r="H291" t="s">
        <v>81</v>
      </c>
      <c r="I291">
        <v>2</v>
      </c>
      <c r="J291">
        <v>2</v>
      </c>
      <c r="K291" s="5">
        <v>46195.105591446758</v>
      </c>
      <c r="L291" s="5">
        <v>46195.115010185182</v>
      </c>
      <c r="M291" s="2" t="s">
        <v>2220</v>
      </c>
      <c r="N291" s="2" t="s">
        <v>2221</v>
      </c>
      <c r="O291" s="5">
        <v>46195.115036863433</v>
      </c>
      <c r="P291" t="str">
        <f>IF($Q291="DELETE",IF($S291="CONFIRMED: NO MODS &gt; 1YR","CONFIRMED: NO MODS &gt; 1YR","DO NOT DELETE — not defensibly confirmed"),IF($Q291="HOLD","DO NOT DELETE — HOLD (Charlie review)",IF($Q291="KEEP","DO NOT DELETE — KEEP",IF(ISNUMBER(SEARCH("REVIEW",$Q291)),"DO NOT DELETE — REVIEW pending",$S291))))</f>
        <v>DO NOT DELETE — REVIEW pending</v>
      </c>
      <c r="Q291" t="str" cm="1">
        <f t="array" ref="Q291">_xlfn.IFS(AND($A291="thg-beauty",ISNUMBER(SEARCH("liveramp",$C291))),"DELETE",$A291="agile-bonbon-662",_xlfn.IFS(LEFT($G291,9)="Tranche 1","DELETE",$C291="Sessions_Level_1_All_Sites","KEEP",ISNUMBER(--$C291),"REVIEW — UA raw logs",$C291="Emag_Reporting","KEEP",$C291="Nutrition_Data_Archived_Tables","KEEP",$C291="EU_Data","KEEP",TRUE,"REVIEW"),OR($A291="thg-influencer",$A291="thg-ingenuity",$A291="thg-central-marketing",$A291="thg-seoclarity"),"HOLD",TRUE,"")</f>
        <v>REVIEW</v>
      </c>
      <c r="R291" t="str" cm="1">
        <f t="array" ref="R291">_xlfn.IFS(AND($A291="thg-beauty",ISNUMBER(SEARCH("liveramp",$C291))),"thg-beauty Liveramp dataset — confirmed safe to delete",$A291="agile-bonbon-662",_xlfn.IFS(LEFT($G291,9)="Tranche 1","Tranche 1: cleared",$C291="Sessions_Level_1_All_Sites","Downstream aggregation of UA raw logs — keep if raw tables go",ISNUMBER(--$C291),"UA raw site logs (account ID) — keep pending audit-retention check",$C291="Emag_Reporting","Legacy but likely needed",$C291="Nutrition_Data_Archived_Tables","Worth keeping",$C291="EU_Data","Static lookup tables — scripts still reference (smoke-test risk)",TRUE,"Review"),OR($A291="thg-influencer",$A291="thg-ingenuity",$A291="thg-central-marketing",$A291="thg-seoclarity"),"HOLD — Charlie Stringer to review before deletion",TRUE,"")</f>
        <v>Review</v>
      </c>
      <c r="S291" t="s">
        <v>1624</v>
      </c>
    </row>
    <row r="292" spans="1:19" ht="76.5" hidden="1">
      <c r="A292" t="s">
        <v>89</v>
      </c>
      <c r="B292" t="s">
        <v>1619</v>
      </c>
      <c r="C292" t="s">
        <v>2222</v>
      </c>
      <c r="D292" s="2" t="s">
        <v>1621</v>
      </c>
      <c r="E292">
        <v>0</v>
      </c>
      <c r="F292">
        <v>0</v>
      </c>
      <c r="G292" t="s">
        <v>79</v>
      </c>
      <c r="H292" t="s">
        <v>81</v>
      </c>
      <c r="I292">
        <v>2</v>
      </c>
      <c r="J292">
        <v>48</v>
      </c>
      <c r="K292" s="5">
        <v>46195.341480324067</v>
      </c>
      <c r="L292" s="5">
        <v>46149.391385798612</v>
      </c>
      <c r="M292" s="2" t="s">
        <v>2223</v>
      </c>
      <c r="N292" s="2" t="s">
        <v>2224</v>
      </c>
      <c r="O292" s="5">
        <v>46149.391411597222</v>
      </c>
      <c r="P292" t="str">
        <f>IF($Q292="DELETE",IF($S292="CONFIRMED: NO MODS &gt; 1YR","CONFIRMED: NO MODS &gt; 1YR","DO NOT DELETE — not defensibly confirmed"),IF($Q292="HOLD","DO NOT DELETE — HOLD (Charlie review)",IF($Q292="KEEP","DO NOT DELETE — KEEP",IF(ISNUMBER(SEARCH("REVIEW",$Q292)),"DO NOT DELETE — REVIEW pending",$S292))))</f>
        <v>DO NOT DELETE — REVIEW pending</v>
      </c>
      <c r="Q292" t="str" cm="1">
        <f t="array" ref="Q292">_xlfn.IFS(AND($A292="thg-beauty",ISNUMBER(SEARCH("liveramp",$C292))),"DELETE",$A292="agile-bonbon-662",_xlfn.IFS(LEFT($G292,9)="Tranche 1","DELETE",$C292="Sessions_Level_1_All_Sites","KEEP",ISNUMBER(--$C292),"REVIEW — UA raw logs",$C292="Emag_Reporting","KEEP",$C292="Nutrition_Data_Archived_Tables","KEEP",$C292="EU_Data","KEEP",TRUE,"REVIEW"),OR($A292="thg-influencer",$A292="thg-ingenuity",$A292="thg-central-marketing",$A292="thg-seoclarity"),"HOLD",TRUE,"")</f>
        <v>REVIEW</v>
      </c>
      <c r="R292" t="str" cm="1">
        <f t="array" ref="R292">_xlfn.IFS(AND($A292="thg-beauty",ISNUMBER(SEARCH("liveramp",$C292))),"thg-beauty Liveramp dataset — confirmed safe to delete",$A292="agile-bonbon-662",_xlfn.IFS(LEFT($G292,9)="Tranche 1","Tranche 1: cleared",$C292="Sessions_Level_1_All_Sites","Downstream aggregation of UA raw logs — keep if raw tables go",ISNUMBER(--$C292),"UA raw site logs (account ID) — keep pending audit-retention check",$C292="Emag_Reporting","Legacy but likely needed",$C292="Nutrition_Data_Archived_Tables","Worth keeping",$C292="EU_Data","Static lookup tables — scripts still reference (smoke-test risk)",TRUE,"Review"),OR($A292="thg-influencer",$A292="thg-ingenuity",$A292="thg-central-marketing",$A292="thg-seoclarity"),"HOLD — Charlie Stringer to review before deletion",TRUE,"")</f>
        <v>Review</v>
      </c>
      <c r="S292" t="s">
        <v>1624</v>
      </c>
    </row>
    <row r="293" spans="1:19" ht="76.5" hidden="1">
      <c r="A293" t="s">
        <v>92</v>
      </c>
      <c r="B293" t="s">
        <v>1619</v>
      </c>
      <c r="C293" t="s">
        <v>2225</v>
      </c>
      <c r="D293" s="2" t="s">
        <v>1621</v>
      </c>
      <c r="E293">
        <v>37.94</v>
      </c>
      <c r="F293">
        <v>0.76</v>
      </c>
      <c r="G293" t="s">
        <v>79</v>
      </c>
      <c r="H293" t="s">
        <v>81</v>
      </c>
      <c r="I293">
        <v>0</v>
      </c>
      <c r="J293">
        <v>0</v>
      </c>
      <c r="K293" s="5">
        <v>46197.276578414348</v>
      </c>
      <c r="L293" s="5">
        <v>46197.113144675917</v>
      </c>
      <c r="M293" s="2" t="s">
        <v>2226</v>
      </c>
      <c r="N293" s="2" t="s">
        <v>2227</v>
      </c>
      <c r="O293" s="5">
        <v>46197.113397870373</v>
      </c>
      <c r="P293" t="str">
        <f>IF($Q293="DELETE",IF($S293="CONFIRMED: NO MODS &gt; 1YR","CONFIRMED: NO MODS &gt; 1YR","DO NOT DELETE — not defensibly confirmed"),IF($Q293="HOLD","DO NOT DELETE — HOLD (Charlie review)",IF($Q293="KEEP","DO NOT DELETE — KEEP",IF(ISNUMBER(SEARCH("REVIEW",$Q293)),"DO NOT DELETE — REVIEW pending",$S293))))</f>
        <v>CONFIRMED: NO MODS &gt; 1YR</v>
      </c>
      <c r="Q293" t="str" cm="1">
        <f t="array" ref="Q293">_xlfn.IFS(AND($A293="thg-beauty",ISNUMBER(SEARCH("liveramp",$C293))),"DELETE",$A293="agile-bonbon-662",_xlfn.IFS(LEFT($G293,9)="Tranche 1","DELETE",$C293="Sessions_Level_1_All_Sites","KEEP",ISNUMBER(--$C293),"REVIEW — UA raw logs",$C293="Emag_Reporting","KEEP",$C293="Nutrition_Data_Archived_Tables","KEEP",$C293="EU_Data","KEEP",TRUE,"REVIEW"),OR($A293="thg-influencer",$A293="thg-ingenuity",$A293="thg-central-marketing",$A293="thg-seoclarity"),"HOLD",TRUE,"")</f>
        <v/>
      </c>
      <c r="R293" t="str" cm="1">
        <f t="array" ref="R293">_xlfn.IFS(AND($A293="thg-beauty",ISNUMBER(SEARCH("liveramp",$C293))),"thg-beauty Liveramp dataset — confirmed safe to delete",$A293="agile-bonbon-662",_xlfn.IFS(LEFT($G293,9)="Tranche 1","Tranche 1: cleared",$C293="Sessions_Level_1_All_Sites","Downstream aggregation of UA raw logs — keep if raw tables go",ISNUMBER(--$C293),"UA raw site logs (account ID) — keep pending audit-retention check",$C293="Emag_Reporting","Legacy but likely needed",$C293="Nutrition_Data_Archived_Tables","Worth keeping",$C293="EU_Data","Static lookup tables — scripts still reference (smoke-test risk)",TRUE,"Review"),OR($A293="thg-influencer",$A293="thg-ingenuity",$A293="thg-central-marketing",$A293="thg-seoclarity"),"HOLD — Charlie Stringer to review before deletion",TRUE,"")</f>
        <v/>
      </c>
      <c r="S293" t="s">
        <v>1624</v>
      </c>
    </row>
    <row r="294" spans="1:19" ht="76.5" hidden="1">
      <c r="A294" t="s">
        <v>89</v>
      </c>
      <c r="B294" t="s">
        <v>1619</v>
      </c>
      <c r="C294" t="s">
        <v>2228</v>
      </c>
      <c r="D294" s="2" t="s">
        <v>1621</v>
      </c>
      <c r="E294">
        <v>107.14</v>
      </c>
      <c r="F294">
        <v>2.14</v>
      </c>
      <c r="G294" t="s">
        <v>79</v>
      </c>
      <c r="H294" t="s">
        <v>81</v>
      </c>
      <c r="I294">
        <v>1</v>
      </c>
      <c r="J294">
        <v>1</v>
      </c>
      <c r="K294" s="5">
        <v>46196.420375243048</v>
      </c>
      <c r="L294" s="5">
        <v>46196.402275127322</v>
      </c>
      <c r="M294" s="2" t="s">
        <v>2229</v>
      </c>
      <c r="N294" s="2" t="s">
        <v>2230</v>
      </c>
      <c r="O294" s="5">
        <v>46196.40231297454</v>
      </c>
      <c r="P294" t="str">
        <f>IF($Q294="DELETE",IF($S294="CONFIRMED: NO MODS &gt; 1YR","CONFIRMED: NO MODS &gt; 1YR","DO NOT DELETE — not defensibly confirmed"),IF($Q294="HOLD","DO NOT DELETE — HOLD (Charlie review)",IF($Q294="KEEP","DO NOT DELETE — KEEP",IF(ISNUMBER(SEARCH("REVIEW",$Q294)),"DO NOT DELETE — REVIEW pending",$S294))))</f>
        <v>DO NOT DELETE — REVIEW pending</v>
      </c>
      <c r="Q294" t="str" cm="1">
        <f t="array" ref="Q294">_xlfn.IFS(AND($A294="thg-beauty",ISNUMBER(SEARCH("liveramp",$C294))),"DELETE",$A294="agile-bonbon-662",_xlfn.IFS(LEFT($G294,9)="Tranche 1","DELETE",$C294="Sessions_Level_1_All_Sites","KEEP",ISNUMBER(--$C294),"REVIEW — UA raw logs",$C294="Emag_Reporting","KEEP",$C294="Nutrition_Data_Archived_Tables","KEEP",$C294="EU_Data","KEEP",TRUE,"REVIEW"),OR($A294="thg-influencer",$A294="thg-ingenuity",$A294="thg-central-marketing",$A294="thg-seoclarity"),"HOLD",TRUE,"")</f>
        <v>REVIEW</v>
      </c>
      <c r="R294" t="str" cm="1">
        <f t="array" ref="R294">_xlfn.IFS(AND($A294="thg-beauty",ISNUMBER(SEARCH("liveramp",$C294))),"thg-beauty Liveramp dataset — confirmed safe to delete",$A294="agile-bonbon-662",_xlfn.IFS(LEFT($G294,9)="Tranche 1","Tranche 1: cleared",$C294="Sessions_Level_1_All_Sites","Downstream aggregation of UA raw logs — keep if raw tables go",ISNUMBER(--$C294),"UA raw site logs (account ID) — keep pending audit-retention check",$C294="Emag_Reporting","Legacy but likely needed",$C294="Nutrition_Data_Archived_Tables","Worth keeping",$C294="EU_Data","Static lookup tables — scripts still reference (smoke-test risk)",TRUE,"Review"),OR($A294="thg-influencer",$A294="thg-ingenuity",$A294="thg-central-marketing",$A294="thg-seoclarity"),"HOLD — Charlie Stringer to review before deletion",TRUE,"")</f>
        <v>Review</v>
      </c>
      <c r="S294" t="s">
        <v>1624</v>
      </c>
    </row>
    <row r="295" spans="1:19" ht="76.5" hidden="1">
      <c r="A295" t="s">
        <v>92</v>
      </c>
      <c r="B295" t="s">
        <v>1619</v>
      </c>
      <c r="C295" t="s">
        <v>2231</v>
      </c>
      <c r="D295" s="2" t="s">
        <v>1621</v>
      </c>
      <c r="E295">
        <v>36.450000000000003</v>
      </c>
      <c r="F295">
        <v>0.73</v>
      </c>
      <c r="G295" t="s">
        <v>79</v>
      </c>
      <c r="H295" t="s">
        <v>81</v>
      </c>
      <c r="I295">
        <v>0</v>
      </c>
      <c r="J295">
        <v>0</v>
      </c>
      <c r="K295" s="5">
        <v>46197.294743321763</v>
      </c>
      <c r="L295" s="5">
        <v>46197.10523872685</v>
      </c>
      <c r="M295" s="2" t="s">
        <v>2232</v>
      </c>
      <c r="N295" s="2" t="s">
        <v>2233</v>
      </c>
      <c r="O295" s="5">
        <v>46197.109843333332</v>
      </c>
      <c r="P295" t="str">
        <f>IF($Q295="DELETE",IF($S295="CONFIRMED: NO MODS &gt; 1YR","CONFIRMED: NO MODS &gt; 1YR","DO NOT DELETE — not defensibly confirmed"),IF($Q295="HOLD","DO NOT DELETE — HOLD (Charlie review)",IF($Q295="KEEP","DO NOT DELETE — KEEP",IF(ISNUMBER(SEARCH("REVIEW",$Q295)),"DO NOT DELETE — REVIEW pending",$S295))))</f>
        <v>CONFIRMED: NO MODS &gt; 1YR</v>
      </c>
      <c r="Q295" t="str" cm="1">
        <f t="array" ref="Q295">_xlfn.IFS(AND($A295="thg-beauty",ISNUMBER(SEARCH("liveramp",$C295))),"DELETE",$A295="agile-bonbon-662",_xlfn.IFS(LEFT($G295,9)="Tranche 1","DELETE",$C295="Sessions_Level_1_All_Sites","KEEP",ISNUMBER(--$C295),"REVIEW — UA raw logs",$C295="Emag_Reporting","KEEP",$C295="Nutrition_Data_Archived_Tables","KEEP",$C295="EU_Data","KEEP",TRUE,"REVIEW"),OR($A295="thg-influencer",$A295="thg-ingenuity",$A295="thg-central-marketing",$A295="thg-seoclarity"),"HOLD",TRUE,"")</f>
        <v/>
      </c>
      <c r="R295" t="str" cm="1">
        <f t="array" ref="R295">_xlfn.IFS(AND($A295="thg-beauty",ISNUMBER(SEARCH("liveramp",$C295))),"thg-beauty Liveramp dataset — confirmed safe to delete",$A295="agile-bonbon-662",_xlfn.IFS(LEFT($G295,9)="Tranche 1","Tranche 1: cleared",$C295="Sessions_Level_1_All_Sites","Downstream aggregation of UA raw logs — keep if raw tables go",ISNUMBER(--$C295),"UA raw site logs (account ID) — keep pending audit-retention check",$C295="Emag_Reporting","Legacy but likely needed",$C295="Nutrition_Data_Archived_Tables","Worth keeping",$C295="EU_Data","Static lookup tables — scripts still reference (smoke-test risk)",TRUE,"Review"),OR($A295="thg-influencer",$A295="thg-ingenuity",$A295="thg-central-marketing",$A295="thg-seoclarity"),"HOLD — Charlie Stringer to review before deletion",TRUE,"")</f>
        <v/>
      </c>
      <c r="S295" t="s">
        <v>1624</v>
      </c>
    </row>
    <row r="296" spans="1:19" ht="76.5" hidden="1">
      <c r="A296" t="s">
        <v>89</v>
      </c>
      <c r="B296" t="s">
        <v>1619</v>
      </c>
      <c r="C296" t="s">
        <v>2234</v>
      </c>
      <c r="D296" s="2" t="s">
        <v>1621</v>
      </c>
      <c r="E296">
        <v>81.99</v>
      </c>
      <c r="F296">
        <v>1.64</v>
      </c>
      <c r="G296" t="s">
        <v>79</v>
      </c>
      <c r="H296" t="s">
        <v>81</v>
      </c>
      <c r="I296">
        <v>1</v>
      </c>
      <c r="J296">
        <v>1</v>
      </c>
      <c r="K296" s="5">
        <v>46196.334834675923</v>
      </c>
      <c r="L296" s="5">
        <v>46196.331266423607</v>
      </c>
      <c r="M296" s="2" t="s">
        <v>2235</v>
      </c>
      <c r="N296" s="2" t="s">
        <v>2236</v>
      </c>
      <c r="O296" s="5">
        <v>46196.331301840277</v>
      </c>
      <c r="P296" t="str">
        <f>IF($Q296="DELETE",IF($S296="CONFIRMED: NO MODS &gt; 1YR","CONFIRMED: NO MODS &gt; 1YR","DO NOT DELETE — not defensibly confirmed"),IF($Q296="HOLD","DO NOT DELETE — HOLD (Charlie review)",IF($Q296="KEEP","DO NOT DELETE — KEEP",IF(ISNUMBER(SEARCH("REVIEW",$Q296)),"DO NOT DELETE — REVIEW pending",$S296))))</f>
        <v>DO NOT DELETE — REVIEW pending</v>
      </c>
      <c r="Q296" t="str" cm="1">
        <f t="array" ref="Q296">_xlfn.IFS(AND($A296="thg-beauty",ISNUMBER(SEARCH("liveramp",$C296))),"DELETE",$A296="agile-bonbon-662",_xlfn.IFS(LEFT($G296,9)="Tranche 1","DELETE",$C296="Sessions_Level_1_All_Sites","KEEP",ISNUMBER(--$C296),"REVIEW — UA raw logs",$C296="Emag_Reporting","KEEP",$C296="Nutrition_Data_Archived_Tables","KEEP",$C296="EU_Data","KEEP",TRUE,"REVIEW"),OR($A296="thg-influencer",$A296="thg-ingenuity",$A296="thg-central-marketing",$A296="thg-seoclarity"),"HOLD",TRUE,"")</f>
        <v>REVIEW</v>
      </c>
      <c r="R296" t="str" cm="1">
        <f t="array" ref="R296">_xlfn.IFS(AND($A296="thg-beauty",ISNUMBER(SEARCH("liveramp",$C296))),"thg-beauty Liveramp dataset — confirmed safe to delete",$A296="agile-bonbon-662",_xlfn.IFS(LEFT($G296,9)="Tranche 1","Tranche 1: cleared",$C296="Sessions_Level_1_All_Sites","Downstream aggregation of UA raw logs — keep if raw tables go",ISNUMBER(--$C296),"UA raw site logs (account ID) — keep pending audit-retention check",$C296="Emag_Reporting","Legacy but likely needed",$C296="Nutrition_Data_Archived_Tables","Worth keeping",$C296="EU_Data","Static lookup tables — scripts still reference (smoke-test risk)",TRUE,"Review"),OR($A296="thg-influencer",$A296="thg-ingenuity",$A296="thg-central-marketing",$A296="thg-seoclarity"),"HOLD — Charlie Stringer to review before deletion",TRUE,"")</f>
        <v>Review</v>
      </c>
      <c r="S296" t="s">
        <v>1624</v>
      </c>
    </row>
    <row r="297" spans="1:19" ht="76.5" hidden="1">
      <c r="A297" t="s">
        <v>90</v>
      </c>
      <c r="B297" t="s">
        <v>1619</v>
      </c>
      <c r="C297" t="s">
        <v>2237</v>
      </c>
      <c r="D297" s="2" t="s">
        <v>1621</v>
      </c>
      <c r="E297">
        <v>0.02</v>
      </c>
      <c r="F297">
        <v>0</v>
      </c>
      <c r="G297" t="s">
        <v>79</v>
      </c>
      <c r="H297" t="s">
        <v>81</v>
      </c>
      <c r="I297">
        <v>1</v>
      </c>
      <c r="J297">
        <v>336</v>
      </c>
      <c r="K297" s="5">
        <v>46196.409037662037</v>
      </c>
      <c r="M297" s="2" t="s">
        <v>2238</v>
      </c>
      <c r="N297" s="2" t="s">
        <v>1701</v>
      </c>
      <c r="O297" s="5">
        <v>45860.673520625001</v>
      </c>
      <c r="P297" t="str">
        <f>IF($Q297="DELETE",IF($S297="CONFIRMED: NO MODS &gt; 1YR","CONFIRMED: NO MODS &gt; 1YR","DO NOT DELETE — not defensibly confirmed"),IF($Q297="HOLD","DO NOT DELETE — HOLD (Charlie review)",IF($Q297="KEEP","DO NOT DELETE — KEEP",IF(ISNUMBER(SEARCH("REVIEW",$Q297)),"DO NOT DELETE — REVIEW pending",$S297))))</f>
        <v>CONFIRMED: NO MODS &gt; 1YR</v>
      </c>
      <c r="Q297" t="str" cm="1">
        <f t="array" ref="Q297">_xlfn.IFS(AND($A297="thg-beauty",ISNUMBER(SEARCH("liveramp",$C297))),"DELETE",$A297="agile-bonbon-662",_xlfn.IFS(LEFT($G297,9)="Tranche 1","DELETE",$C297="Sessions_Level_1_All_Sites","KEEP",ISNUMBER(--$C297),"REVIEW — UA raw logs",$C297="Emag_Reporting","KEEP",$C297="Nutrition_Data_Archived_Tables","KEEP",$C297="EU_Data","KEEP",TRUE,"REVIEW"),OR($A297="thg-influencer",$A297="thg-ingenuity",$A297="thg-central-marketing",$A297="thg-seoclarity"),"HOLD",TRUE,"")</f>
        <v/>
      </c>
      <c r="R297" t="str" cm="1">
        <f t="array" ref="R297">_xlfn.IFS(AND($A297="thg-beauty",ISNUMBER(SEARCH("liveramp",$C297))),"thg-beauty Liveramp dataset — confirmed safe to delete",$A297="agile-bonbon-662",_xlfn.IFS(LEFT($G297,9)="Tranche 1","Tranche 1: cleared",$C297="Sessions_Level_1_All_Sites","Downstream aggregation of UA raw logs — keep if raw tables go",ISNUMBER(--$C297),"UA raw site logs (account ID) — keep pending audit-retention check",$C297="Emag_Reporting","Legacy but likely needed",$C297="Nutrition_Data_Archived_Tables","Worth keeping",$C297="EU_Data","Static lookup tables — scripts still reference (smoke-test risk)",TRUE,"Review"),OR($A297="thg-influencer",$A297="thg-ingenuity",$A297="thg-central-marketing",$A297="thg-seoclarity"),"HOLD — Charlie Stringer to review before deletion",TRUE,"")</f>
        <v/>
      </c>
      <c r="S297" t="s">
        <v>1624</v>
      </c>
    </row>
    <row r="298" spans="1:19" ht="76.5" hidden="1">
      <c r="A298" t="s">
        <v>90</v>
      </c>
      <c r="B298" t="s">
        <v>1619</v>
      </c>
      <c r="C298" t="s">
        <v>2239</v>
      </c>
      <c r="D298" s="2" t="s">
        <v>2240</v>
      </c>
      <c r="E298">
        <v>560135.75</v>
      </c>
      <c r="F298">
        <v>11202.72</v>
      </c>
      <c r="G298" t="s">
        <v>79</v>
      </c>
      <c r="H298" t="s">
        <v>81</v>
      </c>
      <c r="I298">
        <v>0</v>
      </c>
      <c r="J298">
        <v>0</v>
      </c>
      <c r="K298" s="5">
        <v>46197.454233877317</v>
      </c>
      <c r="L298" s="5">
        <v>46197.452161469897</v>
      </c>
      <c r="M298" s="2" t="s">
        <v>2241</v>
      </c>
      <c r="N298" s="2" t="s">
        <v>2242</v>
      </c>
      <c r="O298" s="5">
        <v>46197.452176388892</v>
      </c>
      <c r="P298" t="str">
        <f>IF($Q298="DELETE",IF($S298="CONFIRMED: NO MODS &gt; 1YR","CONFIRMED: NO MODS &gt; 1YR","DO NOT DELETE — not defensibly confirmed"),IF($Q298="HOLD","DO NOT DELETE — HOLD (Charlie review)",IF($Q298="KEEP","DO NOT DELETE — KEEP",IF(ISNUMBER(SEARCH("REVIEW",$Q298)),"DO NOT DELETE — REVIEW pending",$S298))))</f>
        <v>CONFIRMED: NO MODS &gt; 1YR</v>
      </c>
      <c r="Q298" t="str" cm="1">
        <f t="array" ref="Q298">_xlfn.IFS(AND($A298="thg-beauty",ISNUMBER(SEARCH("liveramp",$C298))),"DELETE",$A298="agile-bonbon-662",_xlfn.IFS(LEFT($G298,9)="Tranche 1","DELETE",$C298="Sessions_Level_1_All_Sites","KEEP",ISNUMBER(--$C298),"REVIEW — UA raw logs",$C298="Emag_Reporting","KEEP",$C298="Nutrition_Data_Archived_Tables","KEEP",$C298="EU_Data","KEEP",TRUE,"REVIEW"),OR($A298="thg-influencer",$A298="thg-ingenuity",$A298="thg-central-marketing",$A298="thg-seoclarity"),"HOLD",TRUE,"")</f>
        <v/>
      </c>
      <c r="R298" t="str" cm="1">
        <f t="array" ref="R298">_xlfn.IFS(AND($A298="thg-beauty",ISNUMBER(SEARCH("liveramp",$C298))),"thg-beauty Liveramp dataset — confirmed safe to delete",$A298="agile-bonbon-662",_xlfn.IFS(LEFT($G298,9)="Tranche 1","Tranche 1: cleared",$C298="Sessions_Level_1_All_Sites","Downstream aggregation of UA raw logs — keep if raw tables go",ISNUMBER(--$C298),"UA raw site logs (account ID) — keep pending audit-retention check",$C298="Emag_Reporting","Legacy but likely needed",$C298="Nutrition_Data_Archived_Tables","Worth keeping",$C298="EU_Data","Static lookup tables — scripts still reference (smoke-test risk)",TRUE,"Review"),OR($A298="thg-influencer",$A298="thg-ingenuity",$A298="thg-central-marketing",$A298="thg-seoclarity"),"HOLD — Charlie Stringer to review before deletion",TRUE,"")</f>
        <v/>
      </c>
      <c r="S298" t="s">
        <v>1624</v>
      </c>
    </row>
    <row r="299" spans="1:19" ht="76.5" hidden="1">
      <c r="A299" t="s">
        <v>39</v>
      </c>
      <c r="B299" t="s">
        <v>1619</v>
      </c>
      <c r="C299" t="s">
        <v>1811</v>
      </c>
      <c r="D299" s="2" t="s">
        <v>1621</v>
      </c>
      <c r="E299">
        <v>145228.66</v>
      </c>
      <c r="F299">
        <v>2904.57</v>
      </c>
      <c r="G299" t="s">
        <v>79</v>
      </c>
      <c r="H299" t="s">
        <v>81</v>
      </c>
      <c r="I299">
        <v>0</v>
      </c>
      <c r="J299">
        <v>0</v>
      </c>
      <c r="K299" s="5">
        <v>46197.434637453713</v>
      </c>
      <c r="M299" s="2" t="s">
        <v>2243</v>
      </c>
      <c r="N299" s="2" t="s">
        <v>1701</v>
      </c>
      <c r="O299" s="5">
        <v>46197.450385034717</v>
      </c>
      <c r="P299" t="str">
        <f>IF($Q299="DELETE",IF($S299="CONFIRMED: NO MODS &gt; 1YR","CONFIRMED: NO MODS &gt; 1YR","DO NOT DELETE — not defensibly confirmed"),IF($Q299="HOLD","DO NOT DELETE — HOLD (Charlie review)",IF($Q299="KEEP","DO NOT DELETE — KEEP",IF(ISNUMBER(SEARCH("REVIEW",$Q299)),"DO NOT DELETE — REVIEW pending",$S299))))</f>
        <v>DO NOT DELETE — HOLD (Charlie review)</v>
      </c>
      <c r="Q299" t="str" cm="1">
        <f t="array" ref="Q299">_xlfn.IFS(AND($A299="thg-beauty",ISNUMBER(SEARCH("liveramp",$C299))),"DELETE",$A299="agile-bonbon-662",_xlfn.IFS(LEFT($G299,9)="Tranche 1","DELETE",$C299="Sessions_Level_1_All_Sites","KEEP",ISNUMBER(--$C299),"REVIEW — UA raw logs",$C299="Emag_Reporting","KEEP",$C299="Nutrition_Data_Archived_Tables","KEEP",$C299="EU_Data","KEEP",TRUE,"REVIEW"),OR($A299="thg-influencer",$A299="thg-ingenuity",$A299="thg-central-marketing",$A299="thg-seoclarity"),"HOLD",TRUE,"")</f>
        <v>HOLD</v>
      </c>
      <c r="R299" t="str" cm="1">
        <f t="array" ref="R299">_xlfn.IFS(AND($A299="thg-beauty",ISNUMBER(SEARCH("liveramp",$C299))),"thg-beauty Liveramp dataset — confirmed safe to delete",$A299="agile-bonbon-662",_xlfn.IFS(LEFT($G299,9)="Tranche 1","Tranche 1: cleared",$C299="Sessions_Level_1_All_Sites","Downstream aggregation of UA raw logs — keep if raw tables go",ISNUMBER(--$C299),"UA raw site logs (account ID) — keep pending audit-retention check",$C299="Emag_Reporting","Legacy but likely needed",$C299="Nutrition_Data_Archived_Tables","Worth keeping",$C299="EU_Data","Static lookup tables — scripts still reference (smoke-test risk)",TRUE,"Review"),OR($A299="thg-influencer",$A299="thg-ingenuity",$A299="thg-central-marketing",$A299="thg-seoclarity"),"HOLD — Charlie Stringer to review before deletion",TRUE,"")</f>
        <v>HOLD — Charlie Stringer to review before deletion</v>
      </c>
      <c r="S299" t="s">
        <v>1624</v>
      </c>
    </row>
    <row r="300" spans="1:19" ht="76.5" hidden="1">
      <c r="A300" t="s">
        <v>89</v>
      </c>
      <c r="B300" t="s">
        <v>1619</v>
      </c>
      <c r="C300" t="s">
        <v>136</v>
      </c>
      <c r="D300" s="2" t="s">
        <v>1621</v>
      </c>
      <c r="E300">
        <v>107291.39</v>
      </c>
      <c r="F300">
        <v>2145.83</v>
      </c>
      <c r="G300" t="s">
        <v>79</v>
      </c>
      <c r="H300" t="s">
        <v>81</v>
      </c>
      <c r="I300">
        <v>0</v>
      </c>
      <c r="J300">
        <v>0</v>
      </c>
      <c r="K300" s="5">
        <v>46197.429020474527</v>
      </c>
      <c r="M300" s="2" t="s">
        <v>2244</v>
      </c>
      <c r="N300" s="2" t="s">
        <v>1701</v>
      </c>
      <c r="O300" s="5">
        <v>46197.418239131941</v>
      </c>
      <c r="P300" t="str">
        <f>IF($Q300="DELETE",IF($S300="CONFIRMED: NO MODS &gt; 1YR","CONFIRMED: NO MODS &gt; 1YR","DO NOT DELETE — not defensibly confirmed"),IF($Q300="HOLD","DO NOT DELETE — HOLD (Charlie review)",IF($Q300="KEEP","DO NOT DELETE — KEEP",IF(ISNUMBER(SEARCH("REVIEW",$Q300)),"DO NOT DELETE — REVIEW pending",$S300))))</f>
        <v>DO NOT DELETE — REVIEW pending</v>
      </c>
      <c r="Q300" t="str" cm="1">
        <f t="array" ref="Q300">_xlfn.IFS(AND($A300="thg-beauty",ISNUMBER(SEARCH("liveramp",$C300))),"DELETE",$A300="agile-bonbon-662",_xlfn.IFS(LEFT($G300,9)="Tranche 1","DELETE",$C300="Sessions_Level_1_All_Sites","KEEP",ISNUMBER(--$C300),"REVIEW — UA raw logs",$C300="Emag_Reporting","KEEP",$C300="Nutrition_Data_Archived_Tables","KEEP",$C300="EU_Data","KEEP",TRUE,"REVIEW"),OR($A300="thg-influencer",$A300="thg-ingenuity",$A300="thg-central-marketing",$A300="thg-seoclarity"),"HOLD",TRUE,"")</f>
        <v>REVIEW</v>
      </c>
      <c r="R300" t="str" cm="1">
        <f t="array" ref="R300">_xlfn.IFS(AND($A300="thg-beauty",ISNUMBER(SEARCH("liveramp",$C300))),"thg-beauty Liveramp dataset — confirmed safe to delete",$A300="agile-bonbon-662",_xlfn.IFS(LEFT($G300,9)="Tranche 1","Tranche 1: cleared",$C300="Sessions_Level_1_All_Sites","Downstream aggregation of UA raw logs — keep if raw tables go",ISNUMBER(--$C300),"UA raw site logs (account ID) — keep pending audit-retention check",$C300="Emag_Reporting","Legacy but likely needed",$C300="Nutrition_Data_Archived_Tables","Worth keeping",$C300="EU_Data","Static lookup tables — scripts still reference (smoke-test risk)",TRUE,"Review"),OR($A300="thg-influencer",$A300="thg-ingenuity",$A300="thg-central-marketing",$A300="thg-seoclarity"),"HOLD — Charlie Stringer to review before deletion",TRUE,"")</f>
        <v>Review</v>
      </c>
      <c r="S300" t="s">
        <v>1624</v>
      </c>
    </row>
    <row r="301" spans="1:19" ht="76.5" hidden="1">
      <c r="A301" t="s">
        <v>89</v>
      </c>
      <c r="B301" t="s">
        <v>1619</v>
      </c>
      <c r="C301" t="s">
        <v>2245</v>
      </c>
      <c r="D301" s="2" t="s">
        <v>2246</v>
      </c>
      <c r="E301">
        <v>75328.009999999995</v>
      </c>
      <c r="F301">
        <v>1506.56</v>
      </c>
      <c r="G301" t="s">
        <v>79</v>
      </c>
      <c r="H301" t="s">
        <v>81</v>
      </c>
      <c r="I301">
        <v>0</v>
      </c>
      <c r="J301">
        <v>0</v>
      </c>
      <c r="K301" s="5">
        <v>46197.211580289353</v>
      </c>
      <c r="M301" s="2" t="s">
        <v>2247</v>
      </c>
      <c r="N301" s="2" t="s">
        <v>1701</v>
      </c>
      <c r="O301" s="5">
        <v>46197.410082893519</v>
      </c>
      <c r="P301" t="str">
        <f>IF($Q301="DELETE",IF($S301="CONFIRMED: NO MODS &gt; 1YR","CONFIRMED: NO MODS &gt; 1YR","DO NOT DELETE — not defensibly confirmed"),IF($Q301="HOLD","DO NOT DELETE — HOLD (Charlie review)",IF($Q301="KEEP","DO NOT DELETE — KEEP",IF(ISNUMBER(SEARCH("REVIEW",$Q301)),"DO NOT DELETE — REVIEW pending",$S301))))</f>
        <v>DO NOT DELETE — REVIEW pending</v>
      </c>
      <c r="Q301" t="str" cm="1">
        <f t="array" ref="Q301">_xlfn.IFS(AND($A301="thg-beauty",ISNUMBER(SEARCH("liveramp",$C301))),"DELETE",$A301="agile-bonbon-662",_xlfn.IFS(LEFT($G301,9)="Tranche 1","DELETE",$C301="Sessions_Level_1_All_Sites","KEEP",ISNUMBER(--$C301),"REVIEW — UA raw logs",$C301="Emag_Reporting","KEEP",$C301="Nutrition_Data_Archived_Tables","KEEP",$C301="EU_Data","KEEP",TRUE,"REVIEW"),OR($A301="thg-influencer",$A301="thg-ingenuity",$A301="thg-central-marketing",$A301="thg-seoclarity"),"HOLD",TRUE,"")</f>
        <v>REVIEW</v>
      </c>
      <c r="R301" t="str" cm="1">
        <f t="array" ref="R301">_xlfn.IFS(AND($A301="thg-beauty",ISNUMBER(SEARCH("liveramp",$C301))),"thg-beauty Liveramp dataset — confirmed safe to delete",$A301="agile-bonbon-662",_xlfn.IFS(LEFT($G301,9)="Tranche 1","Tranche 1: cleared",$C301="Sessions_Level_1_All_Sites","Downstream aggregation of UA raw logs — keep if raw tables go",ISNUMBER(--$C301),"UA raw site logs (account ID) — keep pending audit-retention check",$C301="Emag_Reporting","Legacy but likely needed",$C301="Nutrition_Data_Archived_Tables","Worth keeping",$C301="EU_Data","Static lookup tables — scripts still reference (smoke-test risk)",TRUE,"Review"),OR($A301="thg-influencer",$A301="thg-ingenuity",$A301="thg-central-marketing",$A301="thg-seoclarity"),"HOLD — Charlie Stringer to review before deletion",TRUE,"")</f>
        <v>Review</v>
      </c>
      <c r="S301" t="s">
        <v>1624</v>
      </c>
    </row>
    <row r="302" spans="1:19" ht="76.5" hidden="1">
      <c r="A302" t="s">
        <v>89</v>
      </c>
      <c r="B302" t="s">
        <v>1619</v>
      </c>
      <c r="C302" t="s">
        <v>2248</v>
      </c>
      <c r="D302" s="2" t="s">
        <v>1621</v>
      </c>
      <c r="E302">
        <v>73003.88</v>
      </c>
      <c r="F302">
        <v>1460.08</v>
      </c>
      <c r="G302" t="s">
        <v>79</v>
      </c>
      <c r="H302" t="s">
        <v>81</v>
      </c>
      <c r="I302">
        <v>0</v>
      </c>
      <c r="J302">
        <v>0</v>
      </c>
      <c r="K302" s="5">
        <v>46197.437616076393</v>
      </c>
      <c r="L302" s="5">
        <v>46197.388692523149</v>
      </c>
      <c r="M302" s="2" t="s">
        <v>2249</v>
      </c>
      <c r="N302" s="2" t="s">
        <v>2250</v>
      </c>
      <c r="O302" s="5">
        <v>46197.45059547454</v>
      </c>
      <c r="P302" t="str">
        <f>IF($Q302="DELETE",IF($S302="CONFIRMED: NO MODS &gt; 1YR","CONFIRMED: NO MODS &gt; 1YR","DO NOT DELETE — not defensibly confirmed"),IF($Q302="HOLD","DO NOT DELETE — HOLD (Charlie review)",IF($Q302="KEEP","DO NOT DELETE — KEEP",IF(ISNUMBER(SEARCH("REVIEW",$Q302)),"DO NOT DELETE — REVIEW pending",$S302))))</f>
        <v>DO NOT DELETE — REVIEW pending</v>
      </c>
      <c r="Q302" t="str" cm="1">
        <f t="array" ref="Q302">_xlfn.IFS(AND($A302="thg-beauty",ISNUMBER(SEARCH("liveramp",$C302))),"DELETE",$A302="agile-bonbon-662",_xlfn.IFS(LEFT($G302,9)="Tranche 1","DELETE",$C302="Sessions_Level_1_All_Sites","KEEP",ISNUMBER(--$C302),"REVIEW — UA raw logs",$C302="Emag_Reporting","KEEP",$C302="Nutrition_Data_Archived_Tables","KEEP",$C302="EU_Data","KEEP",TRUE,"REVIEW"),OR($A302="thg-influencer",$A302="thg-ingenuity",$A302="thg-central-marketing",$A302="thg-seoclarity"),"HOLD",TRUE,"")</f>
        <v>REVIEW</v>
      </c>
      <c r="R302" t="str" cm="1">
        <f t="array" ref="R302">_xlfn.IFS(AND($A302="thg-beauty",ISNUMBER(SEARCH("liveramp",$C302))),"thg-beauty Liveramp dataset — confirmed safe to delete",$A302="agile-bonbon-662",_xlfn.IFS(LEFT($G302,9)="Tranche 1","Tranche 1: cleared",$C302="Sessions_Level_1_All_Sites","Downstream aggregation of UA raw logs — keep if raw tables go",ISNUMBER(--$C302),"UA raw site logs (account ID) — keep pending audit-retention check",$C302="Emag_Reporting","Legacy but likely needed",$C302="Nutrition_Data_Archived_Tables","Worth keeping",$C302="EU_Data","Static lookup tables — scripts still reference (smoke-test risk)",TRUE,"Review"),OR($A302="thg-influencer",$A302="thg-ingenuity",$A302="thg-central-marketing",$A302="thg-seoclarity"),"HOLD — Charlie Stringer to review before deletion",TRUE,"")</f>
        <v>Review</v>
      </c>
      <c r="S302" t="s">
        <v>1624</v>
      </c>
    </row>
    <row r="303" spans="1:19" ht="76.5" hidden="1">
      <c r="A303" t="s">
        <v>89</v>
      </c>
      <c r="B303" t="s">
        <v>1619</v>
      </c>
      <c r="C303" t="s">
        <v>2251</v>
      </c>
      <c r="D303" s="2" t="s">
        <v>1621</v>
      </c>
      <c r="E303">
        <v>51921.32</v>
      </c>
      <c r="F303">
        <v>1038.43</v>
      </c>
      <c r="G303" t="s">
        <v>79</v>
      </c>
      <c r="H303" t="s">
        <v>81</v>
      </c>
      <c r="I303">
        <v>0</v>
      </c>
      <c r="J303">
        <v>0</v>
      </c>
      <c r="K303" s="5">
        <v>46197.437616076393</v>
      </c>
      <c r="L303" s="5">
        <v>46196.578305462957</v>
      </c>
      <c r="M303" s="2" t="s">
        <v>2252</v>
      </c>
      <c r="N303" s="2" t="s">
        <v>2253</v>
      </c>
      <c r="O303" s="5">
        <v>46197.451724664352</v>
      </c>
      <c r="P303" t="str">
        <f>IF($Q303="DELETE",IF($S303="CONFIRMED: NO MODS &gt; 1YR","CONFIRMED: NO MODS &gt; 1YR","DO NOT DELETE — not defensibly confirmed"),IF($Q303="HOLD","DO NOT DELETE — HOLD (Charlie review)",IF($Q303="KEEP","DO NOT DELETE — KEEP",IF(ISNUMBER(SEARCH("REVIEW",$Q303)),"DO NOT DELETE — REVIEW pending",$S303))))</f>
        <v>DO NOT DELETE — REVIEW pending</v>
      </c>
      <c r="Q303" t="str" cm="1">
        <f t="array" ref="Q303">_xlfn.IFS(AND($A303="thg-beauty",ISNUMBER(SEARCH("liveramp",$C303))),"DELETE",$A303="agile-bonbon-662",_xlfn.IFS(LEFT($G303,9)="Tranche 1","DELETE",$C303="Sessions_Level_1_All_Sites","KEEP",ISNUMBER(--$C303),"REVIEW — UA raw logs",$C303="Emag_Reporting","KEEP",$C303="Nutrition_Data_Archived_Tables","KEEP",$C303="EU_Data","KEEP",TRUE,"REVIEW"),OR($A303="thg-influencer",$A303="thg-ingenuity",$A303="thg-central-marketing",$A303="thg-seoclarity"),"HOLD",TRUE,"")</f>
        <v>REVIEW</v>
      </c>
      <c r="R303" t="str" cm="1">
        <f t="array" ref="R303">_xlfn.IFS(AND($A303="thg-beauty",ISNUMBER(SEARCH("liveramp",$C303))),"thg-beauty Liveramp dataset — confirmed safe to delete",$A303="agile-bonbon-662",_xlfn.IFS(LEFT($G303,9)="Tranche 1","Tranche 1: cleared",$C303="Sessions_Level_1_All_Sites","Downstream aggregation of UA raw logs — keep if raw tables go",ISNUMBER(--$C303),"UA raw site logs (account ID) — keep pending audit-retention check",$C303="Emag_Reporting","Legacy but likely needed",$C303="Nutrition_Data_Archived_Tables","Worth keeping",$C303="EU_Data","Static lookup tables — scripts still reference (smoke-test risk)",TRUE,"Review"),OR($A303="thg-influencer",$A303="thg-ingenuity",$A303="thg-central-marketing",$A303="thg-seoclarity"),"HOLD — Charlie Stringer to review before deletion",TRUE,"")</f>
        <v>Review</v>
      </c>
      <c r="S303" t="s">
        <v>1624</v>
      </c>
    </row>
    <row r="304" spans="1:19" ht="76.5" hidden="1">
      <c r="A304" t="s">
        <v>2093</v>
      </c>
      <c r="B304" t="s">
        <v>1724</v>
      </c>
      <c r="C304" t="s">
        <v>2239</v>
      </c>
      <c r="D304" s="2" t="s">
        <v>1621</v>
      </c>
      <c r="E304">
        <v>45383.26</v>
      </c>
      <c r="F304">
        <v>907.67</v>
      </c>
      <c r="G304" t="s">
        <v>79</v>
      </c>
      <c r="H304" t="s">
        <v>81</v>
      </c>
      <c r="I304">
        <v>0</v>
      </c>
      <c r="J304">
        <v>0</v>
      </c>
      <c r="K304" s="5">
        <v>46175.310990694437</v>
      </c>
      <c r="M304" s="2" t="s">
        <v>2254</v>
      </c>
      <c r="N304" s="2" t="s">
        <v>1701</v>
      </c>
      <c r="O304" s="5">
        <v>46197.451292708327</v>
      </c>
      <c r="P304" t="str">
        <f>IF($Q304="DELETE",IF($S304="CONFIRMED: NO MODS &gt; 1YR","CONFIRMED: NO MODS &gt; 1YR","DO NOT DELETE — not defensibly confirmed"),IF($Q304="HOLD","DO NOT DELETE — HOLD (Charlie review)",IF($Q304="KEEP","DO NOT DELETE — KEEP",IF(ISNUMBER(SEARCH("REVIEW",$Q304)),"DO NOT DELETE — REVIEW pending",$S304))))</f>
        <v>CONFIRMED: NO MODS &gt; 1YR</v>
      </c>
      <c r="Q304" t="str" cm="1">
        <f t="array" ref="Q304">_xlfn.IFS(AND($A304="thg-beauty",ISNUMBER(SEARCH("liveramp",$C304))),"DELETE",$A304="agile-bonbon-662",_xlfn.IFS(LEFT($G304,9)="Tranche 1","DELETE",$C304="Sessions_Level_1_All_Sites","KEEP",ISNUMBER(--$C304),"REVIEW — UA raw logs",$C304="Emag_Reporting","KEEP",$C304="Nutrition_Data_Archived_Tables","KEEP",$C304="EU_Data","KEEP",TRUE,"REVIEW"),OR($A304="thg-influencer",$A304="thg-ingenuity",$A304="thg-central-marketing",$A304="thg-seoclarity"),"HOLD",TRUE,"")</f>
        <v/>
      </c>
      <c r="R304" t="str" cm="1">
        <f t="array" ref="R304">_xlfn.IFS(AND($A304="thg-beauty",ISNUMBER(SEARCH("liveramp",$C304))),"thg-beauty Liveramp dataset — confirmed safe to delete",$A304="agile-bonbon-662",_xlfn.IFS(LEFT($G304,9)="Tranche 1","Tranche 1: cleared",$C304="Sessions_Level_1_All_Sites","Downstream aggregation of UA raw logs — keep if raw tables go",ISNUMBER(--$C304),"UA raw site logs (account ID) — keep pending audit-retention check",$C304="Emag_Reporting","Legacy but likely needed",$C304="Nutrition_Data_Archived_Tables","Worth keeping",$C304="EU_Data","Static lookup tables — scripts still reference (smoke-test risk)",TRUE,"Review"),OR($A304="thg-influencer",$A304="thg-ingenuity",$A304="thg-central-marketing",$A304="thg-seoclarity"),"HOLD — Charlie Stringer to review before deletion",TRUE,"")</f>
        <v/>
      </c>
      <c r="S304" t="s">
        <v>1624</v>
      </c>
    </row>
    <row r="305" spans="1:19" ht="76.5" hidden="1">
      <c r="A305" t="s">
        <v>89</v>
      </c>
      <c r="B305" t="s">
        <v>1619</v>
      </c>
      <c r="C305" t="s">
        <v>2255</v>
      </c>
      <c r="D305" s="2" t="s">
        <v>1621</v>
      </c>
      <c r="E305">
        <v>38362.97</v>
      </c>
      <c r="F305">
        <v>767.26</v>
      </c>
      <c r="G305" t="s">
        <v>79</v>
      </c>
      <c r="H305" t="s">
        <v>81</v>
      </c>
      <c r="I305">
        <v>0</v>
      </c>
      <c r="J305">
        <v>0</v>
      </c>
      <c r="K305" s="5">
        <v>46197.453503993063</v>
      </c>
      <c r="L305" s="5">
        <v>46197.431762476852</v>
      </c>
      <c r="M305" s="2" t="s">
        <v>2256</v>
      </c>
      <c r="N305" s="2" t="s">
        <v>2257</v>
      </c>
      <c r="O305" s="5">
        <v>46197.453023240741</v>
      </c>
      <c r="P305" t="str">
        <f>IF($Q305="DELETE",IF($S305="CONFIRMED: NO MODS &gt; 1YR","CONFIRMED: NO MODS &gt; 1YR","DO NOT DELETE — not defensibly confirmed"),IF($Q305="HOLD","DO NOT DELETE — HOLD (Charlie review)",IF($Q305="KEEP","DO NOT DELETE — KEEP",IF(ISNUMBER(SEARCH("REVIEW",$Q305)),"DO NOT DELETE — REVIEW pending",$S305))))</f>
        <v>DO NOT DELETE — REVIEW pending</v>
      </c>
      <c r="Q305" t="str" cm="1">
        <f t="array" ref="Q305">_xlfn.IFS(AND($A305="thg-beauty",ISNUMBER(SEARCH("liveramp",$C305))),"DELETE",$A305="agile-bonbon-662",_xlfn.IFS(LEFT($G305,9)="Tranche 1","DELETE",$C305="Sessions_Level_1_All_Sites","KEEP",ISNUMBER(--$C305),"REVIEW — UA raw logs",$C305="Emag_Reporting","KEEP",$C305="Nutrition_Data_Archived_Tables","KEEP",$C305="EU_Data","KEEP",TRUE,"REVIEW"),OR($A305="thg-influencer",$A305="thg-ingenuity",$A305="thg-central-marketing",$A305="thg-seoclarity"),"HOLD",TRUE,"")</f>
        <v>REVIEW</v>
      </c>
      <c r="R305" t="str" cm="1">
        <f t="array" ref="R305">_xlfn.IFS(AND($A305="thg-beauty",ISNUMBER(SEARCH("liveramp",$C305))),"thg-beauty Liveramp dataset — confirmed safe to delete",$A305="agile-bonbon-662",_xlfn.IFS(LEFT($G305,9)="Tranche 1","Tranche 1: cleared",$C305="Sessions_Level_1_All_Sites","Downstream aggregation of UA raw logs — keep if raw tables go",ISNUMBER(--$C305),"UA raw site logs (account ID) — keep pending audit-retention check",$C305="Emag_Reporting","Legacy but likely needed",$C305="Nutrition_Data_Archived_Tables","Worth keeping",$C305="EU_Data","Static lookup tables — scripts still reference (smoke-test risk)",TRUE,"Review"),OR($A305="thg-influencer",$A305="thg-ingenuity",$A305="thg-central-marketing",$A305="thg-seoclarity"),"HOLD — Charlie Stringer to review before deletion",TRUE,"")</f>
        <v>Review</v>
      </c>
      <c r="S305" t="s">
        <v>1624</v>
      </c>
    </row>
    <row r="306" spans="1:19" ht="76.5" hidden="1">
      <c r="A306" t="s">
        <v>89</v>
      </c>
      <c r="B306" t="s">
        <v>1619</v>
      </c>
      <c r="C306" t="s">
        <v>2258</v>
      </c>
      <c r="D306" s="2" t="s">
        <v>1621</v>
      </c>
      <c r="E306">
        <v>33975.67</v>
      </c>
      <c r="F306">
        <v>679.51</v>
      </c>
      <c r="G306" t="s">
        <v>79</v>
      </c>
      <c r="H306" t="s">
        <v>81</v>
      </c>
      <c r="I306">
        <v>0</v>
      </c>
      <c r="J306">
        <v>3</v>
      </c>
      <c r="K306" s="5">
        <v>46197.166772997683</v>
      </c>
      <c r="L306" s="5">
        <v>46194.125200995368</v>
      </c>
      <c r="M306" s="2" t="s">
        <v>2259</v>
      </c>
      <c r="N306" s="2" t="s">
        <v>2260</v>
      </c>
      <c r="O306" s="5">
        <v>46194.126865069447</v>
      </c>
      <c r="P306" t="str">
        <f>IF($Q306="DELETE",IF($S306="CONFIRMED: NO MODS &gt; 1YR","CONFIRMED: NO MODS &gt; 1YR","DO NOT DELETE — not defensibly confirmed"),IF($Q306="HOLD","DO NOT DELETE — HOLD (Charlie review)",IF($Q306="KEEP","DO NOT DELETE — KEEP",IF(ISNUMBER(SEARCH("REVIEW",$Q306)),"DO NOT DELETE — REVIEW pending",$S306))))</f>
        <v>DO NOT DELETE — REVIEW pending</v>
      </c>
      <c r="Q306" t="str" cm="1">
        <f t="array" ref="Q306">_xlfn.IFS(AND($A306="thg-beauty",ISNUMBER(SEARCH("liveramp",$C306))),"DELETE",$A306="agile-bonbon-662",_xlfn.IFS(LEFT($G306,9)="Tranche 1","DELETE",$C306="Sessions_Level_1_All_Sites","KEEP",ISNUMBER(--$C306),"REVIEW — UA raw logs",$C306="Emag_Reporting","KEEP",$C306="Nutrition_Data_Archived_Tables","KEEP",$C306="EU_Data","KEEP",TRUE,"REVIEW"),OR($A306="thg-influencer",$A306="thg-ingenuity",$A306="thg-central-marketing",$A306="thg-seoclarity"),"HOLD",TRUE,"")</f>
        <v>REVIEW</v>
      </c>
      <c r="R306" t="str" cm="1">
        <f t="array" ref="R306">_xlfn.IFS(AND($A306="thg-beauty",ISNUMBER(SEARCH("liveramp",$C306))),"thg-beauty Liveramp dataset — confirmed safe to delete",$A306="agile-bonbon-662",_xlfn.IFS(LEFT($G306,9)="Tranche 1","Tranche 1: cleared",$C306="Sessions_Level_1_All_Sites","Downstream aggregation of UA raw logs — keep if raw tables go",ISNUMBER(--$C306),"UA raw site logs (account ID) — keep pending audit-retention check",$C306="Emag_Reporting","Legacy but likely needed",$C306="Nutrition_Data_Archived_Tables","Worth keeping",$C306="EU_Data","Static lookup tables — scripts still reference (smoke-test risk)",TRUE,"Review"),OR($A306="thg-influencer",$A306="thg-ingenuity",$A306="thg-central-marketing",$A306="thg-seoclarity"),"HOLD — Charlie Stringer to review before deletion",TRUE,"")</f>
        <v>Review</v>
      </c>
      <c r="S306" t="s">
        <v>1624</v>
      </c>
    </row>
    <row r="307" spans="1:19" ht="76.5" hidden="1">
      <c r="A307" t="s">
        <v>90</v>
      </c>
      <c r="B307" t="s">
        <v>1619</v>
      </c>
      <c r="C307" t="s">
        <v>2261</v>
      </c>
      <c r="D307" s="2" t="s">
        <v>1621</v>
      </c>
      <c r="E307">
        <v>29473.42</v>
      </c>
      <c r="F307">
        <v>589.47</v>
      </c>
      <c r="G307" t="s">
        <v>79</v>
      </c>
      <c r="H307" t="s">
        <v>81</v>
      </c>
      <c r="I307">
        <v>0</v>
      </c>
      <c r="J307">
        <v>0</v>
      </c>
      <c r="K307" s="5">
        <v>46197.233503402778</v>
      </c>
      <c r="L307" s="5">
        <v>46197.433325254628</v>
      </c>
      <c r="M307" s="2" t="s">
        <v>2262</v>
      </c>
      <c r="N307" s="2" t="s">
        <v>2263</v>
      </c>
      <c r="O307" s="5">
        <v>46197.433775659723</v>
      </c>
      <c r="P307" t="str">
        <f>IF($Q307="DELETE",IF($S307="CONFIRMED: NO MODS &gt; 1YR","CONFIRMED: NO MODS &gt; 1YR","DO NOT DELETE — not defensibly confirmed"),IF($Q307="HOLD","DO NOT DELETE — HOLD (Charlie review)",IF($Q307="KEEP","DO NOT DELETE — KEEP",IF(ISNUMBER(SEARCH("REVIEW",$Q307)),"DO NOT DELETE — REVIEW pending",$S307))))</f>
        <v>CONFIRMED: NO MODS &gt; 1YR</v>
      </c>
      <c r="Q307" t="str" cm="1">
        <f t="array" ref="Q307">_xlfn.IFS(AND($A307="thg-beauty",ISNUMBER(SEARCH("liveramp",$C307))),"DELETE",$A307="agile-bonbon-662",_xlfn.IFS(LEFT($G307,9)="Tranche 1","DELETE",$C307="Sessions_Level_1_All_Sites","KEEP",ISNUMBER(--$C307),"REVIEW — UA raw logs",$C307="Emag_Reporting","KEEP",$C307="Nutrition_Data_Archived_Tables","KEEP",$C307="EU_Data","KEEP",TRUE,"REVIEW"),OR($A307="thg-influencer",$A307="thg-ingenuity",$A307="thg-central-marketing",$A307="thg-seoclarity"),"HOLD",TRUE,"")</f>
        <v/>
      </c>
      <c r="R307" t="str" cm="1">
        <f t="array" ref="R307">_xlfn.IFS(AND($A307="thg-beauty",ISNUMBER(SEARCH("liveramp",$C307))),"thg-beauty Liveramp dataset — confirmed safe to delete",$A307="agile-bonbon-662",_xlfn.IFS(LEFT($G307,9)="Tranche 1","Tranche 1: cleared",$C307="Sessions_Level_1_All_Sites","Downstream aggregation of UA raw logs — keep if raw tables go",ISNUMBER(--$C307),"UA raw site logs (account ID) — keep pending audit-retention check",$C307="Emag_Reporting","Legacy but likely needed",$C307="Nutrition_Data_Archived_Tables","Worth keeping",$C307="EU_Data","Static lookup tables — scripts still reference (smoke-test risk)",TRUE,"Review"),OR($A307="thg-influencer",$A307="thg-ingenuity",$A307="thg-central-marketing",$A307="thg-seoclarity"),"HOLD — Charlie Stringer to review before deletion",TRUE,"")</f>
        <v/>
      </c>
      <c r="S307" t="s">
        <v>1624</v>
      </c>
    </row>
    <row r="308" spans="1:19" ht="76.5" hidden="1">
      <c r="A308" t="s">
        <v>90</v>
      </c>
      <c r="B308" t="s">
        <v>1619</v>
      </c>
      <c r="C308" t="s">
        <v>717</v>
      </c>
      <c r="D308" s="2" t="s">
        <v>1621</v>
      </c>
      <c r="E308">
        <v>27207.24</v>
      </c>
      <c r="F308">
        <v>544.14</v>
      </c>
      <c r="G308" t="s">
        <v>79</v>
      </c>
      <c r="H308" t="s">
        <v>81</v>
      </c>
      <c r="I308">
        <v>0</v>
      </c>
      <c r="J308">
        <v>0</v>
      </c>
      <c r="K308" s="5">
        <v>46197.451390254631</v>
      </c>
      <c r="M308" s="2" t="s">
        <v>2264</v>
      </c>
      <c r="N308" s="2" t="s">
        <v>1701</v>
      </c>
      <c r="O308" s="5">
        <v>46197.076096817131</v>
      </c>
      <c r="P308" t="str">
        <f>IF($Q308="DELETE",IF($S308="CONFIRMED: NO MODS &gt; 1YR","CONFIRMED: NO MODS &gt; 1YR","DO NOT DELETE — not defensibly confirmed"),IF($Q308="HOLD","DO NOT DELETE — HOLD (Charlie review)",IF($Q308="KEEP","DO NOT DELETE — KEEP",IF(ISNUMBER(SEARCH("REVIEW",$Q308)),"DO NOT DELETE — REVIEW pending",$S308))))</f>
        <v>CONFIRMED: NO MODS &gt; 1YR</v>
      </c>
      <c r="Q308" t="str" cm="1">
        <f t="array" ref="Q308">_xlfn.IFS(AND($A308="thg-beauty",ISNUMBER(SEARCH("liveramp",$C308))),"DELETE",$A308="agile-bonbon-662",_xlfn.IFS(LEFT($G308,9)="Tranche 1","DELETE",$C308="Sessions_Level_1_All_Sites","KEEP",ISNUMBER(--$C308),"REVIEW — UA raw logs",$C308="Emag_Reporting","KEEP",$C308="Nutrition_Data_Archived_Tables","KEEP",$C308="EU_Data","KEEP",TRUE,"REVIEW"),OR($A308="thg-influencer",$A308="thg-ingenuity",$A308="thg-central-marketing",$A308="thg-seoclarity"),"HOLD",TRUE,"")</f>
        <v/>
      </c>
      <c r="R308" t="str" cm="1">
        <f t="array" ref="R308">_xlfn.IFS(AND($A308="thg-beauty",ISNUMBER(SEARCH("liveramp",$C308))),"thg-beauty Liveramp dataset — confirmed safe to delete",$A308="agile-bonbon-662",_xlfn.IFS(LEFT($G308,9)="Tranche 1","Tranche 1: cleared",$C308="Sessions_Level_1_All_Sites","Downstream aggregation of UA raw logs — keep if raw tables go",ISNUMBER(--$C308),"UA raw site logs (account ID) — keep pending audit-retention check",$C308="Emag_Reporting","Legacy but likely needed",$C308="Nutrition_Data_Archived_Tables","Worth keeping",$C308="EU_Data","Static lookup tables — scripts still reference (smoke-test risk)",TRUE,"Review"),OR($A308="thg-influencer",$A308="thg-ingenuity",$A308="thg-central-marketing",$A308="thg-seoclarity"),"HOLD — Charlie Stringer to review before deletion",TRUE,"")</f>
        <v/>
      </c>
      <c r="S308" t="s">
        <v>1624</v>
      </c>
    </row>
    <row r="309" spans="1:19" ht="76.5" hidden="1">
      <c r="A309" t="s">
        <v>90</v>
      </c>
      <c r="B309" t="s">
        <v>1619</v>
      </c>
      <c r="C309" t="s">
        <v>1801</v>
      </c>
      <c r="D309" s="2" t="s">
        <v>1621</v>
      </c>
      <c r="E309">
        <v>24808.73</v>
      </c>
      <c r="F309">
        <v>496.17</v>
      </c>
      <c r="G309" t="s">
        <v>79</v>
      </c>
      <c r="H309" t="s">
        <v>81</v>
      </c>
      <c r="I309">
        <v>0</v>
      </c>
      <c r="J309">
        <v>0</v>
      </c>
      <c r="K309" s="5">
        <v>46197.046106712973</v>
      </c>
      <c r="L309" s="5">
        <v>46197.046106712973</v>
      </c>
      <c r="M309" s="2" t="s">
        <v>2265</v>
      </c>
      <c r="N309" s="2" t="s">
        <v>2265</v>
      </c>
      <c r="O309" s="5">
        <v>46197.046136377307</v>
      </c>
      <c r="P309" t="str">
        <f>IF($Q309="DELETE",IF($S309="CONFIRMED: NO MODS &gt; 1YR","CONFIRMED: NO MODS &gt; 1YR","DO NOT DELETE — not defensibly confirmed"),IF($Q309="HOLD","DO NOT DELETE — HOLD (Charlie review)",IF($Q309="KEEP","DO NOT DELETE — KEEP",IF(ISNUMBER(SEARCH("REVIEW",$Q309)),"DO NOT DELETE — REVIEW pending",$S309))))</f>
        <v>CONFIRMED: NO MODS &gt; 1YR</v>
      </c>
      <c r="Q309" t="str" cm="1">
        <f t="array" ref="Q309">_xlfn.IFS(AND($A309="thg-beauty",ISNUMBER(SEARCH("liveramp",$C309))),"DELETE",$A309="agile-bonbon-662",_xlfn.IFS(LEFT($G309,9)="Tranche 1","DELETE",$C309="Sessions_Level_1_All_Sites","KEEP",ISNUMBER(--$C309),"REVIEW — UA raw logs",$C309="Emag_Reporting","KEEP",$C309="Nutrition_Data_Archived_Tables","KEEP",$C309="EU_Data","KEEP",TRUE,"REVIEW"),OR($A309="thg-influencer",$A309="thg-ingenuity",$A309="thg-central-marketing",$A309="thg-seoclarity"),"HOLD",TRUE,"")</f>
        <v/>
      </c>
      <c r="R309" t="str" cm="1">
        <f t="array" ref="R309">_xlfn.IFS(AND($A309="thg-beauty",ISNUMBER(SEARCH("liveramp",$C309))),"thg-beauty Liveramp dataset — confirmed safe to delete",$A309="agile-bonbon-662",_xlfn.IFS(LEFT($G309,9)="Tranche 1","Tranche 1: cleared",$C309="Sessions_Level_1_All_Sites","Downstream aggregation of UA raw logs — keep if raw tables go",ISNUMBER(--$C309),"UA raw site logs (account ID) — keep pending audit-retention check",$C309="Emag_Reporting","Legacy but likely needed",$C309="Nutrition_Data_Archived_Tables","Worth keeping",$C309="EU_Data","Static lookup tables — scripts still reference (smoke-test risk)",TRUE,"Review"),OR($A309="thg-influencer",$A309="thg-ingenuity",$A309="thg-central-marketing",$A309="thg-seoclarity"),"HOLD — Charlie Stringer to review before deletion",TRUE,"")</f>
        <v/>
      </c>
      <c r="S309" t="s">
        <v>1624</v>
      </c>
    </row>
    <row r="310" spans="1:19" ht="76.5" hidden="1">
      <c r="A310" t="s">
        <v>89</v>
      </c>
      <c r="B310" t="s">
        <v>1619</v>
      </c>
      <c r="C310" t="s">
        <v>2266</v>
      </c>
      <c r="D310" s="2" t="s">
        <v>1621</v>
      </c>
      <c r="E310">
        <v>22571.74</v>
      </c>
      <c r="F310">
        <v>451.43</v>
      </c>
      <c r="G310" t="s">
        <v>79</v>
      </c>
      <c r="H310" t="s">
        <v>81</v>
      </c>
      <c r="I310">
        <v>0</v>
      </c>
      <c r="J310">
        <v>0</v>
      </c>
      <c r="K310" s="5">
        <v>46197.422257280094</v>
      </c>
      <c r="L310" s="5">
        <v>46197.410752615739</v>
      </c>
      <c r="M310" s="2" t="s">
        <v>2267</v>
      </c>
      <c r="N310" s="2" t="s">
        <v>2268</v>
      </c>
      <c r="O310" s="5">
        <v>46197.451811747676</v>
      </c>
      <c r="P310" t="str">
        <f>IF($Q310="DELETE",IF($S310="CONFIRMED: NO MODS &gt; 1YR","CONFIRMED: NO MODS &gt; 1YR","DO NOT DELETE — not defensibly confirmed"),IF($Q310="HOLD","DO NOT DELETE — HOLD (Charlie review)",IF($Q310="KEEP","DO NOT DELETE — KEEP",IF(ISNUMBER(SEARCH("REVIEW",$Q310)),"DO NOT DELETE — REVIEW pending",$S310))))</f>
        <v>DO NOT DELETE — REVIEW pending</v>
      </c>
      <c r="Q310" t="str" cm="1">
        <f t="array" ref="Q310">_xlfn.IFS(AND($A310="thg-beauty",ISNUMBER(SEARCH("liveramp",$C310))),"DELETE",$A310="agile-bonbon-662",_xlfn.IFS(LEFT($G310,9)="Tranche 1","DELETE",$C310="Sessions_Level_1_All_Sites","KEEP",ISNUMBER(--$C310),"REVIEW — UA raw logs",$C310="Emag_Reporting","KEEP",$C310="Nutrition_Data_Archived_Tables","KEEP",$C310="EU_Data","KEEP",TRUE,"REVIEW"),OR($A310="thg-influencer",$A310="thg-ingenuity",$A310="thg-central-marketing",$A310="thg-seoclarity"),"HOLD",TRUE,"")</f>
        <v>REVIEW</v>
      </c>
      <c r="R310" t="str" cm="1">
        <f t="array" ref="R310">_xlfn.IFS(AND($A310="thg-beauty",ISNUMBER(SEARCH("liveramp",$C310))),"thg-beauty Liveramp dataset — confirmed safe to delete",$A310="agile-bonbon-662",_xlfn.IFS(LEFT($G310,9)="Tranche 1","Tranche 1: cleared",$C310="Sessions_Level_1_All_Sites","Downstream aggregation of UA raw logs — keep if raw tables go",ISNUMBER(--$C310),"UA raw site logs (account ID) — keep pending audit-retention check",$C310="Emag_Reporting","Legacy but likely needed",$C310="Nutrition_Data_Archived_Tables","Worth keeping",$C310="EU_Data","Static lookup tables — scripts still reference (smoke-test risk)",TRUE,"Review"),OR($A310="thg-influencer",$A310="thg-ingenuity",$A310="thg-central-marketing",$A310="thg-seoclarity"),"HOLD — Charlie Stringer to review before deletion",TRUE,"")</f>
        <v>Review</v>
      </c>
      <c r="S310" t="s">
        <v>1624</v>
      </c>
    </row>
    <row r="311" spans="1:19" ht="76.5" hidden="1">
      <c r="A311" t="s">
        <v>1738</v>
      </c>
      <c r="B311" t="s">
        <v>1724</v>
      </c>
      <c r="C311" t="s">
        <v>2269</v>
      </c>
      <c r="D311" s="2" t="s">
        <v>1621</v>
      </c>
      <c r="E311">
        <v>20799.669999999998</v>
      </c>
      <c r="F311">
        <v>415.99</v>
      </c>
      <c r="G311" t="s">
        <v>79</v>
      </c>
      <c r="H311" t="s">
        <v>81</v>
      </c>
      <c r="I311">
        <v>0</v>
      </c>
      <c r="J311">
        <v>0</v>
      </c>
      <c r="K311" s="5">
        <v>46196.411187962964</v>
      </c>
      <c r="M311" s="2" t="s">
        <v>2270</v>
      </c>
      <c r="N311" s="2" t="s">
        <v>1701</v>
      </c>
      <c r="O311" s="5">
        <v>46197.449868240743</v>
      </c>
      <c r="P311" t="str">
        <f>IF($Q311="DELETE",IF($S311="CONFIRMED: NO MODS &gt; 1YR","CONFIRMED: NO MODS &gt; 1YR","DO NOT DELETE — not defensibly confirmed"),IF($Q311="HOLD","DO NOT DELETE — HOLD (Charlie review)",IF($Q311="KEEP","DO NOT DELETE — KEEP",IF(ISNUMBER(SEARCH("REVIEW",$Q311)),"DO NOT DELETE — REVIEW pending",$S311))))</f>
        <v>CONFIRMED: NO MODS &gt; 1YR</v>
      </c>
      <c r="Q311" t="str" cm="1">
        <f t="array" ref="Q311">_xlfn.IFS(AND($A311="thg-beauty",ISNUMBER(SEARCH("liveramp",$C311))),"DELETE",$A311="agile-bonbon-662",_xlfn.IFS(LEFT($G311,9)="Tranche 1","DELETE",$C311="Sessions_Level_1_All_Sites","KEEP",ISNUMBER(--$C311),"REVIEW — UA raw logs",$C311="Emag_Reporting","KEEP",$C311="Nutrition_Data_Archived_Tables","KEEP",$C311="EU_Data","KEEP",TRUE,"REVIEW"),OR($A311="thg-influencer",$A311="thg-ingenuity",$A311="thg-central-marketing",$A311="thg-seoclarity"),"HOLD",TRUE,"")</f>
        <v/>
      </c>
      <c r="R311" t="str" cm="1">
        <f t="array" ref="R311">_xlfn.IFS(AND($A311="thg-beauty",ISNUMBER(SEARCH("liveramp",$C311))),"thg-beauty Liveramp dataset — confirmed safe to delete",$A311="agile-bonbon-662",_xlfn.IFS(LEFT($G311,9)="Tranche 1","Tranche 1: cleared",$C311="Sessions_Level_1_All_Sites","Downstream aggregation of UA raw logs — keep if raw tables go",ISNUMBER(--$C311),"UA raw site logs (account ID) — keep pending audit-retention check",$C311="Emag_Reporting","Legacy but likely needed",$C311="Nutrition_Data_Archived_Tables","Worth keeping",$C311="EU_Data","Static lookup tables — scripts still reference (smoke-test risk)",TRUE,"Review"),OR($A311="thg-influencer",$A311="thg-ingenuity",$A311="thg-central-marketing",$A311="thg-seoclarity"),"HOLD — Charlie Stringer to review before deletion",TRUE,"")</f>
        <v/>
      </c>
      <c r="S311" t="s">
        <v>1624</v>
      </c>
    </row>
    <row r="312" spans="1:19" hidden="1">
      <c r="A312" t="s">
        <v>1907</v>
      </c>
      <c r="B312" t="s">
        <v>1724</v>
      </c>
      <c r="C312" t="s">
        <v>2271</v>
      </c>
      <c r="D312" s="2" t="s">
        <v>1621</v>
      </c>
      <c r="E312">
        <v>20252.11</v>
      </c>
      <c r="F312">
        <v>405.04</v>
      </c>
      <c r="G312" t="s">
        <v>79</v>
      </c>
      <c r="H312" t="s">
        <v>81</v>
      </c>
      <c r="I312">
        <v>0</v>
      </c>
      <c r="J312">
        <v>0</v>
      </c>
      <c r="M312" s="2" t="s">
        <v>1715</v>
      </c>
      <c r="N312" s="2" t="s">
        <v>1701</v>
      </c>
      <c r="O312" s="5">
        <v>46197.451923703702</v>
      </c>
      <c r="P312" t="str">
        <f>IF($Q312="DELETE",IF($S312="CONFIRMED: NO MODS &gt; 1YR","CONFIRMED: NO MODS &gt; 1YR","DO NOT DELETE — not defensibly confirmed"),IF($Q312="HOLD","DO NOT DELETE — HOLD (Charlie review)",IF($Q312="KEEP","DO NOT DELETE — KEEP",IF(ISNUMBER(SEARCH("REVIEW",$Q312)),"DO NOT DELETE — REVIEW pending",$S312))))</f>
        <v>CONFIRMED: NO MODS &gt; 1YR</v>
      </c>
      <c r="Q312" t="str" cm="1">
        <f t="array" ref="Q312">_xlfn.IFS(AND($A312="thg-beauty",ISNUMBER(SEARCH("liveramp",$C312))),"DELETE",$A312="agile-bonbon-662",_xlfn.IFS(LEFT($G312,9)="Tranche 1","DELETE",$C312="Sessions_Level_1_All_Sites","KEEP",ISNUMBER(--$C312),"REVIEW — UA raw logs",$C312="Emag_Reporting","KEEP",$C312="Nutrition_Data_Archived_Tables","KEEP",$C312="EU_Data","KEEP",TRUE,"REVIEW"),OR($A312="thg-influencer",$A312="thg-ingenuity",$A312="thg-central-marketing",$A312="thg-seoclarity"),"HOLD",TRUE,"")</f>
        <v/>
      </c>
      <c r="R312" t="str" cm="1">
        <f t="array" ref="R312">_xlfn.IFS(AND($A312="thg-beauty",ISNUMBER(SEARCH("liveramp",$C312))),"thg-beauty Liveramp dataset — confirmed safe to delete",$A312="agile-bonbon-662",_xlfn.IFS(LEFT($G312,9)="Tranche 1","Tranche 1: cleared",$C312="Sessions_Level_1_All_Sites","Downstream aggregation of UA raw logs — keep if raw tables go",ISNUMBER(--$C312),"UA raw site logs (account ID) — keep pending audit-retention check",$C312="Emag_Reporting","Legacy but likely needed",$C312="Nutrition_Data_Archived_Tables","Worth keeping",$C312="EU_Data","Static lookup tables — scripts still reference (smoke-test risk)",TRUE,"Review"),OR($A312="thg-influencer",$A312="thg-ingenuity",$A312="thg-central-marketing",$A312="thg-seoclarity"),"HOLD — Charlie Stringer to review before deletion",TRUE,"")</f>
        <v/>
      </c>
      <c r="S312" t="s">
        <v>1624</v>
      </c>
    </row>
    <row r="313" spans="1:19" ht="76.5" hidden="1">
      <c r="A313" t="s">
        <v>89</v>
      </c>
      <c r="B313" t="s">
        <v>1619</v>
      </c>
      <c r="C313" t="s">
        <v>2272</v>
      </c>
      <c r="D313" s="2" t="s">
        <v>1621</v>
      </c>
      <c r="E313">
        <v>18654.740000000002</v>
      </c>
      <c r="F313">
        <v>373.09</v>
      </c>
      <c r="G313" t="s">
        <v>79</v>
      </c>
      <c r="H313" t="s">
        <v>81</v>
      </c>
      <c r="I313">
        <v>0</v>
      </c>
      <c r="J313">
        <v>0</v>
      </c>
      <c r="K313" s="5">
        <v>46161.594289803237</v>
      </c>
      <c r="L313" s="5">
        <v>46197.428565243063</v>
      </c>
      <c r="M313" s="2" t="s">
        <v>2273</v>
      </c>
      <c r="N313" s="2" t="s">
        <v>2274</v>
      </c>
      <c r="O313" s="5">
        <v>46197.428741759257</v>
      </c>
      <c r="P313" t="str">
        <f>IF($Q313="DELETE",IF($S313="CONFIRMED: NO MODS &gt; 1YR","CONFIRMED: NO MODS &gt; 1YR","DO NOT DELETE — not defensibly confirmed"),IF($Q313="HOLD","DO NOT DELETE — HOLD (Charlie review)",IF($Q313="KEEP","DO NOT DELETE — KEEP",IF(ISNUMBER(SEARCH("REVIEW",$Q313)),"DO NOT DELETE — REVIEW pending",$S313))))</f>
        <v>DO NOT DELETE — REVIEW pending</v>
      </c>
      <c r="Q313" t="str" cm="1">
        <f t="array" ref="Q313">_xlfn.IFS(AND($A313="thg-beauty",ISNUMBER(SEARCH("liveramp",$C313))),"DELETE",$A313="agile-bonbon-662",_xlfn.IFS(LEFT($G313,9)="Tranche 1","DELETE",$C313="Sessions_Level_1_All_Sites","KEEP",ISNUMBER(--$C313),"REVIEW — UA raw logs",$C313="Emag_Reporting","KEEP",$C313="Nutrition_Data_Archived_Tables","KEEP",$C313="EU_Data","KEEP",TRUE,"REVIEW"),OR($A313="thg-influencer",$A313="thg-ingenuity",$A313="thg-central-marketing",$A313="thg-seoclarity"),"HOLD",TRUE,"")</f>
        <v>REVIEW — UA raw logs</v>
      </c>
      <c r="R313" t="str" cm="1">
        <f t="array" ref="R313">_xlfn.IFS(AND($A313="thg-beauty",ISNUMBER(SEARCH("liveramp",$C313))),"thg-beauty Liveramp dataset — confirmed safe to delete",$A313="agile-bonbon-662",_xlfn.IFS(LEFT($G313,9)="Tranche 1","Tranche 1: cleared",$C313="Sessions_Level_1_All_Sites","Downstream aggregation of UA raw logs — keep if raw tables go",ISNUMBER(--$C313),"UA raw site logs (account ID) — keep pending audit-retention check",$C313="Emag_Reporting","Legacy but likely needed",$C313="Nutrition_Data_Archived_Tables","Worth keeping",$C313="EU_Data","Static lookup tables — scripts still reference (smoke-test risk)",TRUE,"Review"),OR($A313="thg-influencer",$A313="thg-ingenuity",$A313="thg-central-marketing",$A313="thg-seoclarity"),"HOLD — Charlie Stringer to review before deletion",TRUE,"")</f>
        <v>UA raw site logs (account ID) — keep pending audit-retention check</v>
      </c>
      <c r="S313" t="s">
        <v>1624</v>
      </c>
    </row>
    <row r="314" spans="1:19" ht="76.5" hidden="1">
      <c r="A314" t="s">
        <v>1911</v>
      </c>
      <c r="B314" t="s">
        <v>1619</v>
      </c>
      <c r="C314" t="s">
        <v>2180</v>
      </c>
      <c r="D314" s="2" t="s">
        <v>1621</v>
      </c>
      <c r="E314">
        <v>16855.810000000001</v>
      </c>
      <c r="F314">
        <v>337.12</v>
      </c>
      <c r="G314" t="s">
        <v>79</v>
      </c>
      <c r="H314" t="s">
        <v>81</v>
      </c>
      <c r="I314">
        <v>0</v>
      </c>
      <c r="J314">
        <v>0</v>
      </c>
      <c r="K314" s="5">
        <v>46190.453887164353</v>
      </c>
      <c r="M314" s="2" t="s">
        <v>2275</v>
      </c>
      <c r="N314" s="2" t="s">
        <v>1701</v>
      </c>
      <c r="O314" s="5">
        <v>46197.043923819438</v>
      </c>
      <c r="P314" t="str">
        <f>IF($Q314="DELETE",IF($S314="CONFIRMED: NO MODS &gt; 1YR","CONFIRMED: NO MODS &gt; 1YR","DO NOT DELETE — not defensibly confirmed"),IF($Q314="HOLD","DO NOT DELETE — HOLD (Charlie review)",IF($Q314="KEEP","DO NOT DELETE — KEEP",IF(ISNUMBER(SEARCH("REVIEW",$Q314)),"DO NOT DELETE — REVIEW pending",$S314))))</f>
        <v>CONFIRMED: NO MODS &gt; 1YR</v>
      </c>
      <c r="Q314" t="str" cm="1">
        <f t="array" ref="Q314">_xlfn.IFS(AND($A314="thg-beauty",ISNUMBER(SEARCH("liveramp",$C314))),"DELETE",$A314="agile-bonbon-662",_xlfn.IFS(LEFT($G314,9)="Tranche 1","DELETE",$C314="Sessions_Level_1_All_Sites","KEEP",ISNUMBER(--$C314),"REVIEW — UA raw logs",$C314="Emag_Reporting","KEEP",$C314="Nutrition_Data_Archived_Tables","KEEP",$C314="EU_Data","KEEP",TRUE,"REVIEW"),OR($A314="thg-influencer",$A314="thg-ingenuity",$A314="thg-central-marketing",$A314="thg-seoclarity"),"HOLD",TRUE,"")</f>
        <v/>
      </c>
      <c r="R314" t="str" cm="1">
        <f t="array" ref="R314">_xlfn.IFS(AND($A314="thg-beauty",ISNUMBER(SEARCH("liveramp",$C314))),"thg-beauty Liveramp dataset — confirmed safe to delete",$A314="agile-bonbon-662",_xlfn.IFS(LEFT($G314,9)="Tranche 1","Tranche 1: cleared",$C314="Sessions_Level_1_All_Sites","Downstream aggregation of UA raw logs — keep if raw tables go",ISNUMBER(--$C314),"UA raw site logs (account ID) — keep pending audit-retention check",$C314="Emag_Reporting","Legacy but likely needed",$C314="Nutrition_Data_Archived_Tables","Worth keeping",$C314="EU_Data","Static lookup tables — scripts still reference (smoke-test risk)",TRUE,"Review"),OR($A314="thg-influencer",$A314="thg-ingenuity",$A314="thg-central-marketing",$A314="thg-seoclarity"),"HOLD — Charlie Stringer to review before deletion",TRUE,"")</f>
        <v/>
      </c>
      <c r="S314" t="s">
        <v>1624</v>
      </c>
    </row>
    <row r="315" spans="1:19" ht="76.5" hidden="1">
      <c r="A315" t="s">
        <v>39</v>
      </c>
      <c r="B315" t="s">
        <v>1619</v>
      </c>
      <c r="C315" t="s">
        <v>2276</v>
      </c>
      <c r="D315" s="2" t="s">
        <v>1621</v>
      </c>
      <c r="E315">
        <v>16472.060000000001</v>
      </c>
      <c r="F315">
        <v>329.44</v>
      </c>
      <c r="G315" t="s">
        <v>79</v>
      </c>
      <c r="H315" t="s">
        <v>81</v>
      </c>
      <c r="I315">
        <v>0</v>
      </c>
      <c r="J315">
        <v>0</v>
      </c>
      <c r="K315" s="5">
        <v>46197.439285532397</v>
      </c>
      <c r="L315" s="5">
        <v>46197.436551921302</v>
      </c>
      <c r="M315" s="2" t="s">
        <v>2277</v>
      </c>
      <c r="N315" s="2" t="s">
        <v>2278</v>
      </c>
      <c r="O315" s="5">
        <v>46197.436614131948</v>
      </c>
      <c r="P315" t="str">
        <f>IF($Q315="DELETE",IF($S315="CONFIRMED: NO MODS &gt; 1YR","CONFIRMED: NO MODS &gt; 1YR","DO NOT DELETE — not defensibly confirmed"),IF($Q315="HOLD","DO NOT DELETE — HOLD (Charlie review)",IF($Q315="KEEP","DO NOT DELETE — KEEP",IF(ISNUMBER(SEARCH("REVIEW",$Q315)),"DO NOT DELETE — REVIEW pending",$S315))))</f>
        <v>DO NOT DELETE — HOLD (Charlie review)</v>
      </c>
      <c r="Q315" t="str" cm="1">
        <f t="array" ref="Q315">_xlfn.IFS(AND($A315="thg-beauty",ISNUMBER(SEARCH("liveramp",$C315))),"DELETE",$A315="agile-bonbon-662",_xlfn.IFS(LEFT($G315,9)="Tranche 1","DELETE",$C315="Sessions_Level_1_All_Sites","KEEP",ISNUMBER(--$C315),"REVIEW — UA raw logs",$C315="Emag_Reporting","KEEP",$C315="Nutrition_Data_Archived_Tables","KEEP",$C315="EU_Data","KEEP",TRUE,"REVIEW"),OR($A315="thg-influencer",$A315="thg-ingenuity",$A315="thg-central-marketing",$A315="thg-seoclarity"),"HOLD",TRUE,"")</f>
        <v>HOLD</v>
      </c>
      <c r="R315" t="str" cm="1">
        <f t="array" ref="R315">_xlfn.IFS(AND($A315="thg-beauty",ISNUMBER(SEARCH("liveramp",$C315))),"thg-beauty Liveramp dataset — confirmed safe to delete",$A315="agile-bonbon-662",_xlfn.IFS(LEFT($G315,9)="Tranche 1","Tranche 1: cleared",$C315="Sessions_Level_1_All_Sites","Downstream aggregation of UA raw logs — keep if raw tables go",ISNUMBER(--$C315),"UA raw site logs (account ID) — keep pending audit-retention check",$C315="Emag_Reporting","Legacy but likely needed",$C315="Nutrition_Data_Archived_Tables","Worth keeping",$C315="EU_Data","Static lookup tables — scripts still reference (smoke-test risk)",TRUE,"Review"),OR($A315="thg-influencer",$A315="thg-ingenuity",$A315="thg-central-marketing",$A315="thg-seoclarity"),"HOLD — Charlie Stringer to review before deletion",TRUE,"")</f>
        <v>HOLD — Charlie Stringer to review before deletion</v>
      </c>
      <c r="S315" t="s">
        <v>1624</v>
      </c>
    </row>
    <row r="316" spans="1:19" ht="76.5" hidden="1">
      <c r="A316" t="s">
        <v>1738</v>
      </c>
      <c r="B316" t="s">
        <v>1724</v>
      </c>
      <c r="C316" t="s">
        <v>2279</v>
      </c>
      <c r="D316" s="2" t="s">
        <v>1621</v>
      </c>
      <c r="E316">
        <v>15408.87</v>
      </c>
      <c r="F316">
        <v>308.18</v>
      </c>
      <c r="G316" t="s">
        <v>79</v>
      </c>
      <c r="H316" t="s">
        <v>81</v>
      </c>
      <c r="I316">
        <v>0</v>
      </c>
      <c r="J316">
        <v>42</v>
      </c>
      <c r="K316" s="5">
        <v>46197.421721585648</v>
      </c>
      <c r="L316" s="5">
        <v>46154.59831454861</v>
      </c>
      <c r="M316" s="2" t="s">
        <v>2280</v>
      </c>
      <c r="N316" s="2" t="s">
        <v>2281</v>
      </c>
      <c r="O316" s="5">
        <v>46154.598937881943</v>
      </c>
      <c r="P316" t="str">
        <f>IF($Q316="DELETE",IF($S316="CONFIRMED: NO MODS &gt; 1YR","CONFIRMED: NO MODS &gt; 1YR","DO NOT DELETE — not defensibly confirmed"),IF($Q316="HOLD","DO NOT DELETE — HOLD (Charlie review)",IF($Q316="KEEP","DO NOT DELETE — KEEP",IF(ISNUMBER(SEARCH("REVIEW",$Q316)),"DO NOT DELETE — REVIEW pending",$S316))))</f>
        <v>CONFIRMED: NO MODS &gt; 1YR</v>
      </c>
      <c r="Q316" t="str" cm="1">
        <f t="array" ref="Q316">_xlfn.IFS(AND($A316="thg-beauty",ISNUMBER(SEARCH("liveramp",$C316))),"DELETE",$A316="agile-bonbon-662",_xlfn.IFS(LEFT($G316,9)="Tranche 1","DELETE",$C316="Sessions_Level_1_All_Sites","KEEP",ISNUMBER(--$C316),"REVIEW — UA raw logs",$C316="Emag_Reporting","KEEP",$C316="Nutrition_Data_Archived_Tables","KEEP",$C316="EU_Data","KEEP",TRUE,"REVIEW"),OR($A316="thg-influencer",$A316="thg-ingenuity",$A316="thg-central-marketing",$A316="thg-seoclarity"),"HOLD",TRUE,"")</f>
        <v/>
      </c>
      <c r="R316" t="str" cm="1">
        <f t="array" ref="R316">_xlfn.IFS(AND($A316="thg-beauty",ISNUMBER(SEARCH("liveramp",$C316))),"thg-beauty Liveramp dataset — confirmed safe to delete",$A316="agile-bonbon-662",_xlfn.IFS(LEFT($G316,9)="Tranche 1","Tranche 1: cleared",$C316="Sessions_Level_1_All_Sites","Downstream aggregation of UA raw logs — keep if raw tables go",ISNUMBER(--$C316),"UA raw site logs (account ID) — keep pending audit-retention check",$C316="Emag_Reporting","Legacy but likely needed",$C316="Nutrition_Data_Archived_Tables","Worth keeping",$C316="EU_Data","Static lookup tables — scripts still reference (smoke-test risk)",TRUE,"Review"),OR($A316="thg-influencer",$A316="thg-ingenuity",$A316="thg-central-marketing",$A316="thg-seoclarity"),"HOLD — Charlie Stringer to review before deletion",TRUE,"")</f>
        <v/>
      </c>
      <c r="S316" t="s">
        <v>1624</v>
      </c>
    </row>
    <row r="317" spans="1:19" ht="76.5" hidden="1">
      <c r="A317" t="s">
        <v>1768</v>
      </c>
      <c r="B317" t="s">
        <v>1619</v>
      </c>
      <c r="C317" t="s">
        <v>2180</v>
      </c>
      <c r="D317" s="2" t="s">
        <v>1621</v>
      </c>
      <c r="E317">
        <v>13561.92</v>
      </c>
      <c r="F317">
        <v>271.24</v>
      </c>
      <c r="G317" t="s">
        <v>79</v>
      </c>
      <c r="H317" t="s">
        <v>81</v>
      </c>
      <c r="I317">
        <v>0</v>
      </c>
      <c r="J317">
        <v>0</v>
      </c>
      <c r="K317" s="5">
        <v>46197.417693842603</v>
      </c>
      <c r="L317" s="5">
        <v>46197.417806493053</v>
      </c>
      <c r="M317" s="2" t="s">
        <v>2282</v>
      </c>
      <c r="N317" s="2" t="s">
        <v>2283</v>
      </c>
      <c r="O317" s="5">
        <v>46197.417830810176</v>
      </c>
      <c r="P317" t="str">
        <f>IF($Q317="DELETE",IF($S317="CONFIRMED: NO MODS &gt; 1YR","CONFIRMED: NO MODS &gt; 1YR","DO NOT DELETE — not defensibly confirmed"),IF($Q317="HOLD","DO NOT DELETE — HOLD (Charlie review)",IF($Q317="KEEP","DO NOT DELETE — KEEP",IF(ISNUMBER(SEARCH("REVIEW",$Q317)),"DO NOT DELETE — REVIEW pending",$S317))))</f>
        <v>CONFIRMED: NO MODS &gt; 1YR</v>
      </c>
      <c r="Q317" t="str" cm="1">
        <f t="array" ref="Q317">_xlfn.IFS(AND($A317="thg-beauty",ISNUMBER(SEARCH("liveramp",$C317))),"DELETE",$A317="agile-bonbon-662",_xlfn.IFS(LEFT($G317,9)="Tranche 1","DELETE",$C317="Sessions_Level_1_All_Sites","KEEP",ISNUMBER(--$C317),"REVIEW — UA raw logs",$C317="Emag_Reporting","KEEP",$C317="Nutrition_Data_Archived_Tables","KEEP",$C317="EU_Data","KEEP",TRUE,"REVIEW"),OR($A317="thg-influencer",$A317="thg-ingenuity",$A317="thg-central-marketing",$A317="thg-seoclarity"),"HOLD",TRUE,"")</f>
        <v/>
      </c>
      <c r="R317" t="str" cm="1">
        <f t="array" ref="R317">_xlfn.IFS(AND($A317="thg-beauty",ISNUMBER(SEARCH("liveramp",$C317))),"thg-beauty Liveramp dataset — confirmed safe to delete",$A317="agile-bonbon-662",_xlfn.IFS(LEFT($G317,9)="Tranche 1","Tranche 1: cleared",$C317="Sessions_Level_1_All_Sites","Downstream aggregation of UA raw logs — keep if raw tables go",ISNUMBER(--$C317),"UA raw site logs (account ID) — keep pending audit-retention check",$C317="Emag_Reporting","Legacy but likely needed",$C317="Nutrition_Data_Archived_Tables","Worth keeping",$C317="EU_Data","Static lookup tables — scripts still reference (smoke-test risk)",TRUE,"Review"),OR($A317="thg-influencer",$A317="thg-ingenuity",$A317="thg-central-marketing",$A317="thg-seoclarity"),"HOLD — Charlie Stringer to review before deletion",TRUE,"")</f>
        <v/>
      </c>
      <c r="S317" t="s">
        <v>1624</v>
      </c>
    </row>
    <row r="318" spans="1:19" ht="76.5" hidden="1">
      <c r="A318" t="s">
        <v>92</v>
      </c>
      <c r="B318" t="s">
        <v>1619</v>
      </c>
      <c r="C318" t="s">
        <v>2284</v>
      </c>
      <c r="D318" s="2" t="s">
        <v>1621</v>
      </c>
      <c r="E318">
        <v>36.01</v>
      </c>
      <c r="F318">
        <v>0.72</v>
      </c>
      <c r="G318" t="s">
        <v>79</v>
      </c>
      <c r="H318" t="s">
        <v>81</v>
      </c>
      <c r="I318">
        <v>0</v>
      </c>
      <c r="J318">
        <v>18</v>
      </c>
      <c r="K318" s="5">
        <v>46197.251015798611</v>
      </c>
      <c r="L318" s="5">
        <v>46179.295620289347</v>
      </c>
      <c r="M318" s="2" t="s">
        <v>2285</v>
      </c>
      <c r="N318" s="2" t="s">
        <v>2286</v>
      </c>
      <c r="O318" s="5">
        <v>46179.295716840279</v>
      </c>
      <c r="P318" t="str">
        <f>IF($Q318="DELETE",IF($S318="CONFIRMED: NO MODS &gt; 1YR","CONFIRMED: NO MODS &gt; 1YR","DO NOT DELETE — not defensibly confirmed"),IF($Q318="HOLD","DO NOT DELETE — HOLD (Charlie review)",IF($Q318="KEEP","DO NOT DELETE — KEEP",IF(ISNUMBER(SEARCH("REVIEW",$Q318)),"DO NOT DELETE — REVIEW pending",$S318))))</f>
        <v>CONFIRMED: NO MODS &gt; 1YR</v>
      </c>
      <c r="Q318" t="str" cm="1">
        <f t="array" ref="Q318">_xlfn.IFS(AND($A318="thg-beauty",ISNUMBER(SEARCH("liveramp",$C318))),"DELETE",$A318="agile-bonbon-662",_xlfn.IFS(LEFT($G318,9)="Tranche 1","DELETE",$C318="Sessions_Level_1_All_Sites","KEEP",ISNUMBER(--$C318),"REVIEW — UA raw logs",$C318="Emag_Reporting","KEEP",$C318="Nutrition_Data_Archived_Tables","KEEP",$C318="EU_Data","KEEP",TRUE,"REVIEW"),OR($A318="thg-influencer",$A318="thg-ingenuity",$A318="thg-central-marketing",$A318="thg-seoclarity"),"HOLD",TRUE,"")</f>
        <v/>
      </c>
      <c r="R318" t="str" cm="1">
        <f t="array" ref="R318">_xlfn.IFS(AND($A318="thg-beauty",ISNUMBER(SEARCH("liveramp",$C318))),"thg-beauty Liveramp dataset — confirmed safe to delete",$A318="agile-bonbon-662",_xlfn.IFS(LEFT($G318,9)="Tranche 1","Tranche 1: cleared",$C318="Sessions_Level_1_All_Sites","Downstream aggregation of UA raw logs — keep if raw tables go",ISNUMBER(--$C318),"UA raw site logs (account ID) — keep pending audit-retention check",$C318="Emag_Reporting","Legacy but likely needed",$C318="Nutrition_Data_Archived_Tables","Worth keeping",$C318="EU_Data","Static lookup tables — scripts still reference (smoke-test risk)",TRUE,"Review"),OR($A318="thg-influencer",$A318="thg-ingenuity",$A318="thg-central-marketing",$A318="thg-seoclarity"),"HOLD — Charlie Stringer to review before deletion",TRUE,"")</f>
        <v/>
      </c>
      <c r="S318" t="s">
        <v>1624</v>
      </c>
    </row>
    <row r="319" spans="1:19" ht="76.5" hidden="1">
      <c r="A319" t="s">
        <v>38</v>
      </c>
      <c r="B319" t="s">
        <v>1619</v>
      </c>
      <c r="C319" t="s">
        <v>2287</v>
      </c>
      <c r="D319" s="2" t="s">
        <v>1621</v>
      </c>
      <c r="E319">
        <v>12259.58</v>
      </c>
      <c r="F319">
        <v>245.19</v>
      </c>
      <c r="G319" t="s">
        <v>79</v>
      </c>
      <c r="H319" t="s">
        <v>81</v>
      </c>
      <c r="I319">
        <v>0</v>
      </c>
      <c r="J319">
        <v>0</v>
      </c>
      <c r="K319" s="5">
        <v>46185.125241631948</v>
      </c>
      <c r="M319" s="2" t="s">
        <v>2288</v>
      </c>
      <c r="N319" s="2" t="s">
        <v>1701</v>
      </c>
      <c r="O319" s="5">
        <v>46197.418202881941</v>
      </c>
      <c r="P319" t="str">
        <f>IF($Q319="DELETE",IF($S319="CONFIRMED: NO MODS &gt; 1YR","CONFIRMED: NO MODS &gt; 1YR","DO NOT DELETE — not defensibly confirmed"),IF($Q319="HOLD","DO NOT DELETE — HOLD (Charlie review)",IF($Q319="KEEP","DO NOT DELETE — KEEP",IF(ISNUMBER(SEARCH("REVIEW",$Q319)),"DO NOT DELETE — REVIEW pending",$S319))))</f>
        <v>DO NOT DELETE — HOLD (Charlie review)</v>
      </c>
      <c r="Q319" t="str" cm="1">
        <f t="array" ref="Q319">_xlfn.IFS(AND($A319="thg-beauty",ISNUMBER(SEARCH("liveramp",$C319))),"DELETE",$A319="agile-bonbon-662",_xlfn.IFS(LEFT($G319,9)="Tranche 1","DELETE",$C319="Sessions_Level_1_All_Sites","KEEP",ISNUMBER(--$C319),"REVIEW — UA raw logs",$C319="Emag_Reporting","KEEP",$C319="Nutrition_Data_Archived_Tables","KEEP",$C319="EU_Data","KEEP",TRUE,"REVIEW"),OR($A319="thg-influencer",$A319="thg-ingenuity",$A319="thg-central-marketing",$A319="thg-seoclarity"),"HOLD",TRUE,"")</f>
        <v>HOLD</v>
      </c>
      <c r="R319" t="str" cm="1">
        <f t="array" ref="R319">_xlfn.IFS(AND($A319="thg-beauty",ISNUMBER(SEARCH("liveramp",$C319))),"thg-beauty Liveramp dataset — confirmed safe to delete",$A319="agile-bonbon-662",_xlfn.IFS(LEFT($G319,9)="Tranche 1","Tranche 1: cleared",$C319="Sessions_Level_1_All_Sites","Downstream aggregation of UA raw logs — keep if raw tables go",ISNUMBER(--$C319),"UA raw site logs (account ID) — keep pending audit-retention check",$C319="Emag_Reporting","Legacy but likely needed",$C319="Nutrition_Data_Archived_Tables","Worth keeping",$C319="EU_Data","Static lookup tables — scripts still reference (smoke-test risk)",TRUE,"Review"),OR($A319="thg-influencer",$A319="thg-ingenuity",$A319="thg-central-marketing",$A319="thg-seoclarity"),"HOLD — Charlie Stringer to review before deletion",TRUE,"")</f>
        <v>HOLD — Charlie Stringer to review before deletion</v>
      </c>
      <c r="S319" t="s">
        <v>1624</v>
      </c>
    </row>
    <row r="320" spans="1:19" ht="76.5" hidden="1">
      <c r="A320" t="s">
        <v>1702</v>
      </c>
      <c r="B320" t="s">
        <v>1619</v>
      </c>
      <c r="C320" t="s">
        <v>2180</v>
      </c>
      <c r="D320" s="2" t="s">
        <v>1621</v>
      </c>
      <c r="E320">
        <v>10639.13</v>
      </c>
      <c r="F320">
        <v>212.78</v>
      </c>
      <c r="G320" t="s">
        <v>79</v>
      </c>
      <c r="H320" t="s">
        <v>81</v>
      </c>
      <c r="I320">
        <v>0</v>
      </c>
      <c r="J320">
        <v>0</v>
      </c>
      <c r="K320" s="5">
        <v>46197.114636006947</v>
      </c>
      <c r="L320" s="5">
        <v>46197.114636006947</v>
      </c>
      <c r="M320" s="2" t="s">
        <v>2289</v>
      </c>
      <c r="N320" s="2" t="s">
        <v>2289</v>
      </c>
      <c r="O320" s="5">
        <v>46197.114661087973</v>
      </c>
      <c r="P320" t="str">
        <f>IF($Q320="DELETE",IF($S320="CONFIRMED: NO MODS &gt; 1YR","CONFIRMED: NO MODS &gt; 1YR","DO NOT DELETE — not defensibly confirmed"),IF($Q320="HOLD","DO NOT DELETE — HOLD (Charlie review)",IF($Q320="KEEP","DO NOT DELETE — KEEP",IF(ISNUMBER(SEARCH("REVIEW",$Q320)),"DO NOT DELETE — REVIEW pending",$S320))))</f>
        <v>CONFIRMED: NO MODS &gt; 1YR</v>
      </c>
      <c r="Q320" t="str" cm="1">
        <f t="array" ref="Q320">_xlfn.IFS(AND($A320="thg-beauty",ISNUMBER(SEARCH("liveramp",$C320))),"DELETE",$A320="agile-bonbon-662",_xlfn.IFS(LEFT($G320,9)="Tranche 1","DELETE",$C320="Sessions_Level_1_All_Sites","KEEP",ISNUMBER(--$C320),"REVIEW — UA raw logs",$C320="Emag_Reporting","KEEP",$C320="Nutrition_Data_Archived_Tables","KEEP",$C320="EU_Data","KEEP",TRUE,"REVIEW"),OR($A320="thg-influencer",$A320="thg-ingenuity",$A320="thg-central-marketing",$A320="thg-seoclarity"),"HOLD",TRUE,"")</f>
        <v/>
      </c>
      <c r="R320" t="str" cm="1">
        <f t="array" ref="R320">_xlfn.IFS(AND($A320="thg-beauty",ISNUMBER(SEARCH("liveramp",$C320))),"thg-beauty Liveramp dataset — confirmed safe to delete",$A320="agile-bonbon-662",_xlfn.IFS(LEFT($G320,9)="Tranche 1","Tranche 1: cleared",$C320="Sessions_Level_1_All_Sites","Downstream aggregation of UA raw logs — keep if raw tables go",ISNUMBER(--$C320),"UA raw site logs (account ID) — keep pending audit-retention check",$C320="Emag_Reporting","Legacy but likely needed",$C320="Nutrition_Data_Archived_Tables","Worth keeping",$C320="EU_Data","Static lookup tables — scripts still reference (smoke-test risk)",TRUE,"Review"),OR($A320="thg-influencer",$A320="thg-ingenuity",$A320="thg-central-marketing",$A320="thg-seoclarity"),"HOLD — Charlie Stringer to review before deletion",TRUE,"")</f>
        <v/>
      </c>
      <c r="S320" t="s">
        <v>1624</v>
      </c>
    </row>
    <row r="321" spans="1:19" ht="76.5" hidden="1">
      <c r="A321" t="s">
        <v>38</v>
      </c>
      <c r="B321" t="s">
        <v>1619</v>
      </c>
      <c r="C321" t="s">
        <v>2255</v>
      </c>
      <c r="D321" s="2" t="s">
        <v>1621</v>
      </c>
      <c r="E321">
        <v>8756.6299999999992</v>
      </c>
      <c r="F321">
        <v>175.13</v>
      </c>
      <c r="G321" t="s">
        <v>79</v>
      </c>
      <c r="H321" t="s">
        <v>81</v>
      </c>
      <c r="I321">
        <v>0</v>
      </c>
      <c r="J321">
        <v>0</v>
      </c>
      <c r="K321" s="5">
        <v>46197.436290254627</v>
      </c>
      <c r="M321" s="2" t="s">
        <v>2290</v>
      </c>
      <c r="N321" s="2" t="s">
        <v>1701</v>
      </c>
      <c r="O321" s="5">
        <v>46197.453127997687</v>
      </c>
      <c r="P321" t="str">
        <f>IF($Q321="DELETE",IF($S321="CONFIRMED: NO MODS &gt; 1YR","CONFIRMED: NO MODS &gt; 1YR","DO NOT DELETE — not defensibly confirmed"),IF($Q321="HOLD","DO NOT DELETE — HOLD (Charlie review)",IF($Q321="KEEP","DO NOT DELETE — KEEP",IF(ISNUMBER(SEARCH("REVIEW",$Q321)),"DO NOT DELETE — REVIEW pending",$S321))))</f>
        <v>DO NOT DELETE — HOLD (Charlie review)</v>
      </c>
      <c r="Q321" t="str" cm="1">
        <f t="array" ref="Q321">_xlfn.IFS(AND($A321="thg-beauty",ISNUMBER(SEARCH("liveramp",$C321))),"DELETE",$A321="agile-bonbon-662",_xlfn.IFS(LEFT($G321,9)="Tranche 1","DELETE",$C321="Sessions_Level_1_All_Sites","KEEP",ISNUMBER(--$C321),"REVIEW — UA raw logs",$C321="Emag_Reporting","KEEP",$C321="Nutrition_Data_Archived_Tables","KEEP",$C321="EU_Data","KEEP",TRUE,"REVIEW"),OR($A321="thg-influencer",$A321="thg-ingenuity",$A321="thg-central-marketing",$A321="thg-seoclarity"),"HOLD",TRUE,"")</f>
        <v>HOLD</v>
      </c>
      <c r="R321" t="str" cm="1">
        <f t="array" ref="R321">_xlfn.IFS(AND($A321="thg-beauty",ISNUMBER(SEARCH("liveramp",$C321))),"thg-beauty Liveramp dataset — confirmed safe to delete",$A321="agile-bonbon-662",_xlfn.IFS(LEFT($G321,9)="Tranche 1","Tranche 1: cleared",$C321="Sessions_Level_1_All_Sites","Downstream aggregation of UA raw logs — keep if raw tables go",ISNUMBER(--$C321),"UA raw site logs (account ID) — keep pending audit-retention check",$C321="Emag_Reporting","Legacy but likely needed",$C321="Nutrition_Data_Archived_Tables","Worth keeping",$C321="EU_Data","Static lookup tables — scripts still reference (smoke-test risk)",TRUE,"Review"),OR($A321="thg-influencer",$A321="thg-ingenuity",$A321="thg-central-marketing",$A321="thg-seoclarity"),"HOLD — Charlie Stringer to review before deletion",TRUE,"")</f>
        <v>HOLD — Charlie Stringer to review before deletion</v>
      </c>
      <c r="S321" t="s">
        <v>1624</v>
      </c>
    </row>
    <row r="322" spans="1:19" ht="76.5" hidden="1">
      <c r="A322" t="s">
        <v>39</v>
      </c>
      <c r="B322" t="s">
        <v>1619</v>
      </c>
      <c r="C322" t="s">
        <v>2291</v>
      </c>
      <c r="D322" s="2" t="s">
        <v>1621</v>
      </c>
      <c r="E322">
        <v>7139</v>
      </c>
      <c r="F322">
        <v>142.78</v>
      </c>
      <c r="G322" t="s">
        <v>79</v>
      </c>
      <c r="H322" t="s">
        <v>81</v>
      </c>
      <c r="I322">
        <v>0</v>
      </c>
      <c r="J322">
        <v>0</v>
      </c>
      <c r="K322" s="5">
        <v>46197.441797523148</v>
      </c>
      <c r="L322" s="5">
        <v>46197.441797523148</v>
      </c>
      <c r="M322" s="2" t="s">
        <v>2292</v>
      </c>
      <c r="N322" s="2" t="s">
        <v>2293</v>
      </c>
      <c r="O322" s="5">
        <v>46197.441827986113</v>
      </c>
      <c r="P322" t="str">
        <f>IF($Q322="DELETE",IF($S322="CONFIRMED: NO MODS &gt; 1YR","CONFIRMED: NO MODS &gt; 1YR","DO NOT DELETE — not defensibly confirmed"),IF($Q322="HOLD","DO NOT DELETE — HOLD (Charlie review)",IF($Q322="KEEP","DO NOT DELETE — KEEP",IF(ISNUMBER(SEARCH("REVIEW",$Q322)),"DO NOT DELETE — REVIEW pending",$S322))))</f>
        <v>DO NOT DELETE — HOLD (Charlie review)</v>
      </c>
      <c r="Q322" t="str" cm="1">
        <f t="array" ref="Q322">_xlfn.IFS(AND($A322="thg-beauty",ISNUMBER(SEARCH("liveramp",$C322))),"DELETE",$A322="agile-bonbon-662",_xlfn.IFS(LEFT($G322,9)="Tranche 1","DELETE",$C322="Sessions_Level_1_All_Sites","KEEP",ISNUMBER(--$C322),"REVIEW — UA raw logs",$C322="Emag_Reporting","KEEP",$C322="Nutrition_Data_Archived_Tables","KEEP",$C322="EU_Data","KEEP",TRUE,"REVIEW"),OR($A322="thg-influencer",$A322="thg-ingenuity",$A322="thg-central-marketing",$A322="thg-seoclarity"),"HOLD",TRUE,"")</f>
        <v>HOLD</v>
      </c>
      <c r="R322" t="str" cm="1">
        <f t="array" ref="R322">_xlfn.IFS(AND($A322="thg-beauty",ISNUMBER(SEARCH("liveramp",$C322))),"thg-beauty Liveramp dataset — confirmed safe to delete",$A322="agile-bonbon-662",_xlfn.IFS(LEFT($G322,9)="Tranche 1","Tranche 1: cleared",$C322="Sessions_Level_1_All_Sites","Downstream aggregation of UA raw logs — keep if raw tables go",ISNUMBER(--$C322),"UA raw site logs (account ID) — keep pending audit-retention check",$C322="Emag_Reporting","Legacy but likely needed",$C322="Nutrition_Data_Archived_Tables","Worth keeping",$C322="EU_Data","Static lookup tables — scripts still reference (smoke-test risk)",TRUE,"Review"),OR($A322="thg-influencer",$A322="thg-ingenuity",$A322="thg-central-marketing",$A322="thg-seoclarity"),"HOLD — Charlie Stringer to review before deletion",TRUE,"")</f>
        <v>HOLD — Charlie Stringer to review before deletion</v>
      </c>
      <c r="S322" t="s">
        <v>1624</v>
      </c>
    </row>
    <row r="323" spans="1:19" ht="76.5" hidden="1">
      <c r="A323" t="s">
        <v>38</v>
      </c>
      <c r="B323" t="s">
        <v>1619</v>
      </c>
      <c r="C323" t="s">
        <v>2245</v>
      </c>
      <c r="D323" s="2" t="s">
        <v>1621</v>
      </c>
      <c r="E323">
        <v>7075.64</v>
      </c>
      <c r="F323">
        <v>141.51</v>
      </c>
      <c r="G323" t="s">
        <v>79</v>
      </c>
      <c r="H323" t="s">
        <v>81</v>
      </c>
      <c r="I323">
        <v>0</v>
      </c>
      <c r="J323">
        <v>0</v>
      </c>
      <c r="K323" s="5">
        <v>46197.211702962974</v>
      </c>
      <c r="L323" s="5">
        <v>46197.451690000002</v>
      </c>
      <c r="M323" s="2" t="s">
        <v>2294</v>
      </c>
      <c r="N323" s="2" t="s">
        <v>2295</v>
      </c>
      <c r="O323" s="5">
        <v>46197.41004490741</v>
      </c>
      <c r="P323" t="str">
        <f>IF($Q323="DELETE",IF($S323="CONFIRMED: NO MODS &gt; 1YR","CONFIRMED: NO MODS &gt; 1YR","DO NOT DELETE — not defensibly confirmed"),IF($Q323="HOLD","DO NOT DELETE — HOLD (Charlie review)",IF($Q323="KEEP","DO NOT DELETE — KEEP",IF(ISNUMBER(SEARCH("REVIEW",$Q323)),"DO NOT DELETE — REVIEW pending",$S323))))</f>
        <v>DO NOT DELETE — HOLD (Charlie review)</v>
      </c>
      <c r="Q323" t="str" cm="1">
        <f t="array" ref="Q323">_xlfn.IFS(AND($A323="thg-beauty",ISNUMBER(SEARCH("liveramp",$C323))),"DELETE",$A323="agile-bonbon-662",_xlfn.IFS(LEFT($G323,9)="Tranche 1","DELETE",$C323="Sessions_Level_1_All_Sites","KEEP",ISNUMBER(--$C323),"REVIEW — UA raw logs",$C323="Emag_Reporting","KEEP",$C323="Nutrition_Data_Archived_Tables","KEEP",$C323="EU_Data","KEEP",TRUE,"REVIEW"),OR($A323="thg-influencer",$A323="thg-ingenuity",$A323="thg-central-marketing",$A323="thg-seoclarity"),"HOLD",TRUE,"")</f>
        <v>HOLD</v>
      </c>
      <c r="R323" t="str" cm="1">
        <f t="array" ref="R323">_xlfn.IFS(AND($A323="thg-beauty",ISNUMBER(SEARCH("liveramp",$C323))),"thg-beauty Liveramp dataset — confirmed safe to delete",$A323="agile-bonbon-662",_xlfn.IFS(LEFT($G323,9)="Tranche 1","Tranche 1: cleared",$C323="Sessions_Level_1_All_Sites","Downstream aggregation of UA raw logs — keep if raw tables go",ISNUMBER(--$C323),"UA raw site logs (account ID) — keep pending audit-retention check",$C323="Emag_Reporting","Legacy but likely needed",$C323="Nutrition_Data_Archived_Tables","Worth keeping",$C323="EU_Data","Static lookup tables — scripts still reference (smoke-test risk)",TRUE,"Review"),OR($A323="thg-influencer",$A323="thg-ingenuity",$A323="thg-central-marketing",$A323="thg-seoclarity"),"HOLD — Charlie Stringer to review before deletion",TRUE,"")</f>
        <v>HOLD — Charlie Stringer to review before deletion</v>
      </c>
      <c r="S323" t="s">
        <v>1624</v>
      </c>
    </row>
    <row r="324" spans="1:19" ht="76.5" hidden="1">
      <c r="A324" t="s">
        <v>92</v>
      </c>
      <c r="B324" t="s">
        <v>1619</v>
      </c>
      <c r="C324" t="s">
        <v>2296</v>
      </c>
      <c r="D324" s="2" t="s">
        <v>1621</v>
      </c>
      <c r="E324">
        <v>33.909999999999997</v>
      </c>
      <c r="F324">
        <v>0.68</v>
      </c>
      <c r="G324" t="s">
        <v>79</v>
      </c>
      <c r="H324" t="s">
        <v>81</v>
      </c>
      <c r="I324">
        <v>20</v>
      </c>
      <c r="J324">
        <v>20</v>
      </c>
      <c r="K324" s="5">
        <v>46177.132520347222</v>
      </c>
      <c r="L324" s="5">
        <v>46177.132400196759</v>
      </c>
      <c r="M324" s="2" t="s">
        <v>2297</v>
      </c>
      <c r="N324" s="2" t="s">
        <v>2297</v>
      </c>
      <c r="O324" s="5">
        <v>46177.132492581019</v>
      </c>
      <c r="P324" t="str">
        <f>IF($Q324="DELETE",IF($S324="CONFIRMED: NO MODS &gt; 1YR","CONFIRMED: NO MODS &gt; 1YR","DO NOT DELETE — not defensibly confirmed"),IF($Q324="HOLD","DO NOT DELETE — HOLD (Charlie review)",IF($Q324="KEEP","DO NOT DELETE — KEEP",IF(ISNUMBER(SEARCH("REVIEW",$Q324)),"DO NOT DELETE — REVIEW pending",$S324))))</f>
        <v>CONFIRMED: NO MODS &gt; 1YR</v>
      </c>
      <c r="Q324" t="str" cm="1">
        <f t="array" ref="Q324">_xlfn.IFS(AND($A324="thg-beauty",ISNUMBER(SEARCH("liveramp",$C324))),"DELETE",$A324="agile-bonbon-662",_xlfn.IFS(LEFT($G324,9)="Tranche 1","DELETE",$C324="Sessions_Level_1_All_Sites","KEEP",ISNUMBER(--$C324),"REVIEW — UA raw logs",$C324="Emag_Reporting","KEEP",$C324="Nutrition_Data_Archived_Tables","KEEP",$C324="EU_Data","KEEP",TRUE,"REVIEW"),OR($A324="thg-influencer",$A324="thg-ingenuity",$A324="thg-central-marketing",$A324="thg-seoclarity"),"HOLD",TRUE,"")</f>
        <v/>
      </c>
      <c r="R324" t="str" cm="1">
        <f t="array" ref="R324">_xlfn.IFS(AND($A324="thg-beauty",ISNUMBER(SEARCH("liveramp",$C324))),"thg-beauty Liveramp dataset — confirmed safe to delete",$A324="agile-bonbon-662",_xlfn.IFS(LEFT($G324,9)="Tranche 1","Tranche 1: cleared",$C324="Sessions_Level_1_All_Sites","Downstream aggregation of UA raw logs — keep if raw tables go",ISNUMBER(--$C324),"UA raw site logs (account ID) — keep pending audit-retention check",$C324="Emag_Reporting","Legacy but likely needed",$C324="Nutrition_Data_Archived_Tables","Worth keeping",$C324="EU_Data","Static lookup tables — scripts still reference (smoke-test risk)",TRUE,"Review"),OR($A324="thg-influencer",$A324="thg-ingenuity",$A324="thg-central-marketing",$A324="thg-seoclarity"),"HOLD — Charlie Stringer to review before deletion",TRUE,"")</f>
        <v/>
      </c>
      <c r="S324" t="s">
        <v>1624</v>
      </c>
    </row>
    <row r="325" spans="1:19" ht="76.5" hidden="1">
      <c r="A325" t="s">
        <v>89</v>
      </c>
      <c r="B325" t="s">
        <v>1619</v>
      </c>
      <c r="C325" t="s">
        <v>2298</v>
      </c>
      <c r="D325" s="2" t="s">
        <v>1621</v>
      </c>
      <c r="E325">
        <v>6107.94</v>
      </c>
      <c r="F325">
        <v>122.16</v>
      </c>
      <c r="G325" t="s">
        <v>79</v>
      </c>
      <c r="H325" t="s">
        <v>81</v>
      </c>
      <c r="I325">
        <v>0</v>
      </c>
      <c r="J325">
        <v>0</v>
      </c>
      <c r="K325" s="5">
        <v>46197.422137847221</v>
      </c>
      <c r="L325" s="5">
        <v>46197.364413541669</v>
      </c>
      <c r="M325" s="2" t="s">
        <v>2299</v>
      </c>
      <c r="N325" s="2" t="s">
        <v>2300</v>
      </c>
      <c r="O325" s="5">
        <v>46197.444596076391</v>
      </c>
      <c r="P325" t="str">
        <f>IF($Q325="DELETE",IF($S325="CONFIRMED: NO MODS &gt; 1YR","CONFIRMED: NO MODS &gt; 1YR","DO NOT DELETE — not defensibly confirmed"),IF($Q325="HOLD","DO NOT DELETE — HOLD (Charlie review)",IF($Q325="KEEP","DO NOT DELETE — KEEP",IF(ISNUMBER(SEARCH("REVIEW",$Q325)),"DO NOT DELETE — REVIEW pending",$S325))))</f>
        <v>DO NOT DELETE — REVIEW pending</v>
      </c>
      <c r="Q325" t="str" cm="1">
        <f t="array" ref="Q325">_xlfn.IFS(AND($A325="thg-beauty",ISNUMBER(SEARCH("liveramp",$C325))),"DELETE",$A325="agile-bonbon-662",_xlfn.IFS(LEFT($G325,9)="Tranche 1","DELETE",$C325="Sessions_Level_1_All_Sites","KEEP",ISNUMBER(--$C325),"REVIEW — UA raw logs",$C325="Emag_Reporting","KEEP",$C325="Nutrition_Data_Archived_Tables","KEEP",$C325="EU_Data","KEEP",TRUE,"REVIEW"),OR($A325="thg-influencer",$A325="thg-ingenuity",$A325="thg-central-marketing",$A325="thg-seoclarity"),"HOLD",TRUE,"")</f>
        <v>REVIEW</v>
      </c>
      <c r="R325" t="str" cm="1">
        <f t="array" ref="R325">_xlfn.IFS(AND($A325="thg-beauty",ISNUMBER(SEARCH("liveramp",$C325))),"thg-beauty Liveramp dataset — confirmed safe to delete",$A325="agile-bonbon-662",_xlfn.IFS(LEFT($G325,9)="Tranche 1","Tranche 1: cleared",$C325="Sessions_Level_1_All_Sites","Downstream aggregation of UA raw logs — keep if raw tables go",ISNUMBER(--$C325),"UA raw site logs (account ID) — keep pending audit-retention check",$C325="Emag_Reporting","Legacy but likely needed",$C325="Nutrition_Data_Archived_Tables","Worth keeping",$C325="EU_Data","Static lookup tables — scripts still reference (smoke-test risk)",TRUE,"Review"),OR($A325="thg-influencer",$A325="thg-ingenuity",$A325="thg-central-marketing",$A325="thg-seoclarity"),"HOLD — Charlie Stringer to review before deletion",TRUE,"")</f>
        <v>Review</v>
      </c>
      <c r="S325" t="s">
        <v>1624</v>
      </c>
    </row>
    <row r="326" spans="1:19" ht="76.5" hidden="1">
      <c r="A326" t="s">
        <v>92</v>
      </c>
      <c r="B326" t="s">
        <v>1619</v>
      </c>
      <c r="C326" t="s">
        <v>2301</v>
      </c>
      <c r="D326" s="2" t="s">
        <v>1621</v>
      </c>
      <c r="E326">
        <v>34.119999999999997</v>
      </c>
      <c r="F326">
        <v>0.68</v>
      </c>
      <c r="G326" t="s">
        <v>79</v>
      </c>
      <c r="H326" t="s">
        <v>81</v>
      </c>
      <c r="I326">
        <v>0</v>
      </c>
      <c r="J326">
        <v>0</v>
      </c>
      <c r="K326" s="5">
        <v>46197.437901446763</v>
      </c>
      <c r="L326" s="5">
        <v>46197.400810509258</v>
      </c>
      <c r="M326" s="2" t="s">
        <v>2302</v>
      </c>
      <c r="N326" s="2" t="s">
        <v>2303</v>
      </c>
      <c r="O326" s="5">
        <v>46197.40082505787</v>
      </c>
      <c r="P326" t="str">
        <f>IF($Q326="DELETE",IF($S326="CONFIRMED: NO MODS &gt; 1YR","CONFIRMED: NO MODS &gt; 1YR","DO NOT DELETE — not defensibly confirmed"),IF($Q326="HOLD","DO NOT DELETE — HOLD (Charlie review)",IF($Q326="KEEP","DO NOT DELETE — KEEP",IF(ISNUMBER(SEARCH("REVIEW",$Q326)),"DO NOT DELETE — REVIEW pending",$S326))))</f>
        <v>CONFIRMED: NO MODS &gt; 1YR</v>
      </c>
      <c r="Q326" t="str" cm="1">
        <f t="array" ref="Q326">_xlfn.IFS(AND($A326="thg-beauty",ISNUMBER(SEARCH("liveramp",$C326))),"DELETE",$A326="agile-bonbon-662",_xlfn.IFS(LEFT($G326,9)="Tranche 1","DELETE",$C326="Sessions_Level_1_All_Sites","KEEP",ISNUMBER(--$C326),"REVIEW — UA raw logs",$C326="Emag_Reporting","KEEP",$C326="Nutrition_Data_Archived_Tables","KEEP",$C326="EU_Data","KEEP",TRUE,"REVIEW"),OR($A326="thg-influencer",$A326="thg-ingenuity",$A326="thg-central-marketing",$A326="thg-seoclarity"),"HOLD",TRUE,"")</f>
        <v/>
      </c>
      <c r="R326" t="str" cm="1">
        <f t="array" ref="R326">_xlfn.IFS(AND($A326="thg-beauty",ISNUMBER(SEARCH("liveramp",$C326))),"thg-beauty Liveramp dataset — confirmed safe to delete",$A326="agile-bonbon-662",_xlfn.IFS(LEFT($G326,9)="Tranche 1","Tranche 1: cleared",$C326="Sessions_Level_1_All_Sites","Downstream aggregation of UA raw logs — keep if raw tables go",ISNUMBER(--$C326),"UA raw site logs (account ID) — keep pending audit-retention check",$C326="Emag_Reporting","Legacy but likely needed",$C326="Nutrition_Data_Archived_Tables","Worth keeping",$C326="EU_Data","Static lookup tables — scripts still reference (smoke-test risk)",TRUE,"Review"),OR($A326="thg-influencer",$A326="thg-ingenuity",$A326="thg-central-marketing",$A326="thg-seoclarity"),"HOLD — Charlie Stringer to review before deletion",TRUE,"")</f>
        <v/>
      </c>
      <c r="S326" t="s">
        <v>1624</v>
      </c>
    </row>
    <row r="327" spans="1:19" ht="76.5" hidden="1">
      <c r="A327" t="s">
        <v>90</v>
      </c>
      <c r="B327" t="s">
        <v>1619</v>
      </c>
      <c r="C327" t="s">
        <v>2304</v>
      </c>
      <c r="D327" s="2" t="s">
        <v>1621</v>
      </c>
      <c r="E327">
        <v>4581.66</v>
      </c>
      <c r="F327">
        <v>91.63</v>
      </c>
      <c r="G327" t="s">
        <v>79</v>
      </c>
      <c r="H327" t="s">
        <v>81</v>
      </c>
      <c r="I327">
        <v>0</v>
      </c>
      <c r="J327">
        <v>0</v>
      </c>
      <c r="K327" s="5">
        <v>46197.433325254628</v>
      </c>
      <c r="L327" s="5">
        <v>46197.432378379628</v>
      </c>
      <c r="M327" s="2" t="s">
        <v>2305</v>
      </c>
      <c r="N327" s="2" t="s">
        <v>2306</v>
      </c>
      <c r="O327" s="5">
        <v>46197.433305497689</v>
      </c>
      <c r="P327" t="str">
        <f>IF($Q327="DELETE",IF($S327="CONFIRMED: NO MODS &gt; 1YR","CONFIRMED: NO MODS &gt; 1YR","DO NOT DELETE — not defensibly confirmed"),IF($Q327="HOLD","DO NOT DELETE — HOLD (Charlie review)",IF($Q327="KEEP","DO NOT DELETE — KEEP",IF(ISNUMBER(SEARCH("REVIEW",$Q327)),"DO NOT DELETE — REVIEW pending",$S327))))</f>
        <v>CONFIRMED: NO MODS &gt; 1YR</v>
      </c>
      <c r="Q327" t="str" cm="1">
        <f t="array" ref="Q327">_xlfn.IFS(AND($A327="thg-beauty",ISNUMBER(SEARCH("liveramp",$C327))),"DELETE",$A327="agile-bonbon-662",_xlfn.IFS(LEFT($G327,9)="Tranche 1","DELETE",$C327="Sessions_Level_1_All_Sites","KEEP",ISNUMBER(--$C327),"REVIEW — UA raw logs",$C327="Emag_Reporting","KEEP",$C327="Nutrition_Data_Archived_Tables","KEEP",$C327="EU_Data","KEEP",TRUE,"REVIEW"),OR($A327="thg-influencer",$A327="thg-ingenuity",$A327="thg-central-marketing",$A327="thg-seoclarity"),"HOLD",TRUE,"")</f>
        <v/>
      </c>
      <c r="R327" t="str" cm="1">
        <f t="array" ref="R327">_xlfn.IFS(AND($A327="thg-beauty",ISNUMBER(SEARCH("liveramp",$C327))),"thg-beauty Liveramp dataset — confirmed safe to delete",$A327="agile-bonbon-662",_xlfn.IFS(LEFT($G327,9)="Tranche 1","Tranche 1: cleared",$C327="Sessions_Level_1_All_Sites","Downstream aggregation of UA raw logs — keep if raw tables go",ISNUMBER(--$C327),"UA raw site logs (account ID) — keep pending audit-retention check",$C327="Emag_Reporting","Legacy but likely needed",$C327="Nutrition_Data_Archived_Tables","Worth keeping",$C327="EU_Data","Static lookup tables — scripts still reference (smoke-test risk)",TRUE,"Review"),OR($A327="thg-influencer",$A327="thg-ingenuity",$A327="thg-central-marketing",$A327="thg-seoclarity"),"HOLD — Charlie Stringer to review before deletion",TRUE,"")</f>
        <v/>
      </c>
      <c r="S327" t="s">
        <v>1624</v>
      </c>
    </row>
    <row r="328" spans="1:19" ht="76.5" hidden="1">
      <c r="A328" t="s">
        <v>89</v>
      </c>
      <c r="B328" t="s">
        <v>1619</v>
      </c>
      <c r="C328" t="s">
        <v>2307</v>
      </c>
      <c r="D328" s="2" t="s">
        <v>1621</v>
      </c>
      <c r="E328">
        <v>4089.37</v>
      </c>
      <c r="F328">
        <v>81.790000000000006</v>
      </c>
      <c r="G328" t="s">
        <v>79</v>
      </c>
      <c r="H328" t="s">
        <v>81</v>
      </c>
      <c r="I328">
        <v>0</v>
      </c>
      <c r="J328">
        <v>0</v>
      </c>
      <c r="K328" s="5">
        <v>46194.125200995368</v>
      </c>
      <c r="L328" s="5">
        <v>46197.292671550917</v>
      </c>
      <c r="M328" s="2" t="s">
        <v>2260</v>
      </c>
      <c r="N328" s="2" t="s">
        <v>2308</v>
      </c>
      <c r="O328" s="5">
        <v>46197.431177256942</v>
      </c>
      <c r="P328" t="str">
        <f>IF($Q328="DELETE",IF($S328="CONFIRMED: NO MODS &gt; 1YR","CONFIRMED: NO MODS &gt; 1YR","DO NOT DELETE — not defensibly confirmed"),IF($Q328="HOLD","DO NOT DELETE — HOLD (Charlie review)",IF($Q328="KEEP","DO NOT DELETE — KEEP",IF(ISNUMBER(SEARCH("REVIEW",$Q328)),"DO NOT DELETE — REVIEW pending",$S328))))</f>
        <v>DO NOT DELETE — REVIEW pending</v>
      </c>
      <c r="Q328" t="str" cm="1">
        <f t="array" ref="Q328">_xlfn.IFS(AND($A328="thg-beauty",ISNUMBER(SEARCH("liveramp",$C328))),"DELETE",$A328="agile-bonbon-662",_xlfn.IFS(LEFT($G328,9)="Tranche 1","DELETE",$C328="Sessions_Level_1_All_Sites","KEEP",ISNUMBER(--$C328),"REVIEW — UA raw logs",$C328="Emag_Reporting","KEEP",$C328="Nutrition_Data_Archived_Tables","KEEP",$C328="EU_Data","KEEP",TRUE,"REVIEW"),OR($A328="thg-influencer",$A328="thg-ingenuity",$A328="thg-central-marketing",$A328="thg-seoclarity"),"HOLD",TRUE,"")</f>
        <v>REVIEW</v>
      </c>
      <c r="R328" t="str" cm="1">
        <f t="array" ref="R328">_xlfn.IFS(AND($A328="thg-beauty",ISNUMBER(SEARCH("liveramp",$C328))),"thg-beauty Liveramp dataset — confirmed safe to delete",$A328="agile-bonbon-662",_xlfn.IFS(LEFT($G328,9)="Tranche 1","Tranche 1: cleared",$C328="Sessions_Level_1_All_Sites","Downstream aggregation of UA raw logs — keep if raw tables go",ISNUMBER(--$C328),"UA raw site logs (account ID) — keep pending audit-retention check",$C328="Emag_Reporting","Legacy but likely needed",$C328="Nutrition_Data_Archived_Tables","Worth keeping",$C328="EU_Data","Static lookup tables — scripts still reference (smoke-test risk)",TRUE,"Review"),OR($A328="thg-influencer",$A328="thg-ingenuity",$A328="thg-central-marketing",$A328="thg-seoclarity"),"HOLD — Charlie Stringer to review before deletion",TRUE,"")</f>
        <v>Review</v>
      </c>
      <c r="S328" t="s">
        <v>1624</v>
      </c>
    </row>
    <row r="329" spans="1:19" ht="76.5" hidden="1">
      <c r="A329" t="s">
        <v>90</v>
      </c>
      <c r="B329" t="s">
        <v>1619</v>
      </c>
      <c r="C329" t="s">
        <v>2309</v>
      </c>
      <c r="D329" s="2" t="s">
        <v>1621</v>
      </c>
      <c r="E329">
        <v>4039.89</v>
      </c>
      <c r="F329">
        <v>80.8</v>
      </c>
      <c r="G329" t="s">
        <v>79</v>
      </c>
      <c r="H329" t="s">
        <v>81</v>
      </c>
      <c r="I329">
        <v>0</v>
      </c>
      <c r="J329">
        <v>0</v>
      </c>
      <c r="K329" s="5">
        <v>46197.451502256947</v>
      </c>
      <c r="L329" s="5">
        <v>46197.451502256947</v>
      </c>
      <c r="M329" s="2" t="s">
        <v>2310</v>
      </c>
      <c r="N329" s="2" t="s">
        <v>2310</v>
      </c>
      <c r="O329" s="5">
        <v>46197.451536307868</v>
      </c>
      <c r="P329" t="str">
        <f>IF($Q329="DELETE",IF($S329="CONFIRMED: NO MODS &gt; 1YR","CONFIRMED: NO MODS &gt; 1YR","DO NOT DELETE — not defensibly confirmed"),IF($Q329="HOLD","DO NOT DELETE — HOLD (Charlie review)",IF($Q329="KEEP","DO NOT DELETE — KEEP",IF(ISNUMBER(SEARCH("REVIEW",$Q329)),"DO NOT DELETE — REVIEW pending",$S329))))</f>
        <v>CONFIRMED: NO MODS &gt; 1YR</v>
      </c>
      <c r="Q329" t="str" cm="1">
        <f t="array" ref="Q329">_xlfn.IFS(AND($A329="thg-beauty",ISNUMBER(SEARCH("liveramp",$C329))),"DELETE",$A329="agile-bonbon-662",_xlfn.IFS(LEFT($G329,9)="Tranche 1","DELETE",$C329="Sessions_Level_1_All_Sites","KEEP",ISNUMBER(--$C329),"REVIEW — UA raw logs",$C329="Emag_Reporting","KEEP",$C329="Nutrition_Data_Archived_Tables","KEEP",$C329="EU_Data","KEEP",TRUE,"REVIEW"),OR($A329="thg-influencer",$A329="thg-ingenuity",$A329="thg-central-marketing",$A329="thg-seoclarity"),"HOLD",TRUE,"")</f>
        <v/>
      </c>
      <c r="R329" t="str" cm="1">
        <f t="array" ref="R329">_xlfn.IFS(AND($A329="thg-beauty",ISNUMBER(SEARCH("liveramp",$C329))),"thg-beauty Liveramp dataset — confirmed safe to delete",$A329="agile-bonbon-662",_xlfn.IFS(LEFT($G329,9)="Tranche 1","Tranche 1: cleared",$C329="Sessions_Level_1_All_Sites","Downstream aggregation of UA raw logs — keep if raw tables go",ISNUMBER(--$C329),"UA raw site logs (account ID) — keep pending audit-retention check",$C329="Emag_Reporting","Legacy but likely needed",$C329="Nutrition_Data_Archived_Tables","Worth keeping",$C329="EU_Data","Static lookup tables — scripts still reference (smoke-test risk)",TRUE,"Review"),OR($A329="thg-influencer",$A329="thg-ingenuity",$A329="thg-central-marketing",$A329="thg-seoclarity"),"HOLD — Charlie Stringer to review before deletion",TRUE,"")</f>
        <v/>
      </c>
      <c r="S329" t="s">
        <v>1624</v>
      </c>
    </row>
    <row r="330" spans="1:19" ht="76.5" hidden="1">
      <c r="A330" t="s">
        <v>89</v>
      </c>
      <c r="B330" t="s">
        <v>1619</v>
      </c>
      <c r="C330" t="s">
        <v>2311</v>
      </c>
      <c r="D330" s="2" t="s">
        <v>1621</v>
      </c>
      <c r="E330">
        <v>4015.1</v>
      </c>
      <c r="F330">
        <v>80.3</v>
      </c>
      <c r="G330" t="s">
        <v>79</v>
      </c>
      <c r="H330" t="s">
        <v>81</v>
      </c>
      <c r="I330">
        <v>0</v>
      </c>
      <c r="J330">
        <v>0</v>
      </c>
      <c r="K330" s="5">
        <v>46164.513568703696</v>
      </c>
      <c r="L330" s="5">
        <v>46197.422427245372</v>
      </c>
      <c r="M330" s="2" t="s">
        <v>2312</v>
      </c>
      <c r="N330" s="2" t="s">
        <v>2313</v>
      </c>
      <c r="O330" s="5">
        <v>46197.422506840281</v>
      </c>
      <c r="P330" t="str">
        <f>IF($Q330="DELETE",IF($S330="CONFIRMED: NO MODS &gt; 1YR","CONFIRMED: NO MODS &gt; 1YR","DO NOT DELETE — not defensibly confirmed"),IF($Q330="HOLD","DO NOT DELETE — HOLD (Charlie review)",IF($Q330="KEEP","DO NOT DELETE — KEEP",IF(ISNUMBER(SEARCH("REVIEW",$Q330)),"DO NOT DELETE — REVIEW pending",$S330))))</f>
        <v>DO NOT DELETE — REVIEW pending</v>
      </c>
      <c r="Q330" t="str" cm="1">
        <f t="array" ref="Q330">_xlfn.IFS(AND($A330="thg-beauty",ISNUMBER(SEARCH("liveramp",$C330))),"DELETE",$A330="agile-bonbon-662",_xlfn.IFS(LEFT($G330,9)="Tranche 1","DELETE",$C330="Sessions_Level_1_All_Sites","KEEP",ISNUMBER(--$C330),"REVIEW — UA raw logs",$C330="Emag_Reporting","KEEP",$C330="Nutrition_Data_Archived_Tables","KEEP",$C330="EU_Data","KEEP",TRUE,"REVIEW"),OR($A330="thg-influencer",$A330="thg-ingenuity",$A330="thg-central-marketing",$A330="thg-seoclarity"),"HOLD",TRUE,"")</f>
        <v>REVIEW</v>
      </c>
      <c r="R330" t="str" cm="1">
        <f t="array" ref="R330">_xlfn.IFS(AND($A330="thg-beauty",ISNUMBER(SEARCH("liveramp",$C330))),"thg-beauty Liveramp dataset — confirmed safe to delete",$A330="agile-bonbon-662",_xlfn.IFS(LEFT($G330,9)="Tranche 1","Tranche 1: cleared",$C330="Sessions_Level_1_All_Sites","Downstream aggregation of UA raw logs — keep if raw tables go",ISNUMBER(--$C330),"UA raw site logs (account ID) — keep pending audit-retention check",$C330="Emag_Reporting","Legacy but likely needed",$C330="Nutrition_Data_Archived_Tables","Worth keeping",$C330="EU_Data","Static lookup tables — scripts still reference (smoke-test risk)",TRUE,"Review"),OR($A330="thg-influencer",$A330="thg-ingenuity",$A330="thg-central-marketing",$A330="thg-seoclarity"),"HOLD — Charlie Stringer to review before deletion",TRUE,"")</f>
        <v>Review</v>
      </c>
      <c r="S330" t="s">
        <v>1624</v>
      </c>
    </row>
    <row r="331" spans="1:19" ht="76.5" hidden="1">
      <c r="A331" t="s">
        <v>92</v>
      </c>
      <c r="B331" t="s">
        <v>1619</v>
      </c>
      <c r="C331" t="s">
        <v>2314</v>
      </c>
      <c r="D331" s="2" t="s">
        <v>1621</v>
      </c>
      <c r="E331">
        <v>30.72</v>
      </c>
      <c r="F331">
        <v>0.61</v>
      </c>
      <c r="G331" t="s">
        <v>79</v>
      </c>
      <c r="H331" t="s">
        <v>81</v>
      </c>
      <c r="I331">
        <v>12</v>
      </c>
      <c r="J331">
        <v>23</v>
      </c>
      <c r="K331" s="5">
        <v>46185.294258912043</v>
      </c>
      <c r="L331" s="5">
        <v>46174.209100254629</v>
      </c>
      <c r="M331" s="2" t="s">
        <v>2315</v>
      </c>
      <c r="N331" s="2" t="s">
        <v>2316</v>
      </c>
      <c r="O331" s="5">
        <v>46174.242540868057</v>
      </c>
      <c r="P331" t="str">
        <f>IF($Q331="DELETE",IF($S331="CONFIRMED: NO MODS &gt; 1YR","CONFIRMED: NO MODS &gt; 1YR","DO NOT DELETE — not defensibly confirmed"),IF($Q331="HOLD","DO NOT DELETE — HOLD (Charlie review)",IF($Q331="KEEP","DO NOT DELETE — KEEP",IF(ISNUMBER(SEARCH("REVIEW",$Q331)),"DO NOT DELETE — REVIEW pending",$S331))))</f>
        <v>CONFIRMED: NO MODS &gt; 1YR</v>
      </c>
      <c r="Q331" t="str" cm="1">
        <f t="array" ref="Q331">_xlfn.IFS(AND($A331="thg-beauty",ISNUMBER(SEARCH("liveramp",$C331))),"DELETE",$A331="agile-bonbon-662",_xlfn.IFS(LEFT($G331,9)="Tranche 1","DELETE",$C331="Sessions_Level_1_All_Sites","KEEP",ISNUMBER(--$C331),"REVIEW — UA raw logs",$C331="Emag_Reporting","KEEP",$C331="Nutrition_Data_Archived_Tables","KEEP",$C331="EU_Data","KEEP",TRUE,"REVIEW"),OR($A331="thg-influencer",$A331="thg-ingenuity",$A331="thg-central-marketing",$A331="thg-seoclarity"),"HOLD",TRUE,"")</f>
        <v/>
      </c>
      <c r="R331" t="str" cm="1">
        <f t="array" ref="R331">_xlfn.IFS(AND($A331="thg-beauty",ISNUMBER(SEARCH("liveramp",$C331))),"thg-beauty Liveramp dataset — confirmed safe to delete",$A331="agile-bonbon-662",_xlfn.IFS(LEFT($G331,9)="Tranche 1","Tranche 1: cleared",$C331="Sessions_Level_1_All_Sites","Downstream aggregation of UA raw logs — keep if raw tables go",ISNUMBER(--$C331),"UA raw site logs (account ID) — keep pending audit-retention check",$C331="Emag_Reporting","Legacy but likely needed",$C331="Nutrition_Data_Archived_Tables","Worth keeping",$C331="EU_Data","Static lookup tables — scripts still reference (smoke-test risk)",TRUE,"Review"),OR($A331="thg-influencer",$A331="thg-ingenuity",$A331="thg-central-marketing",$A331="thg-seoclarity"),"HOLD — Charlie Stringer to review before deletion",TRUE,"")</f>
        <v/>
      </c>
      <c r="S331" t="s">
        <v>1624</v>
      </c>
    </row>
    <row r="332" spans="1:19" ht="76.5" hidden="1">
      <c r="A332" t="s">
        <v>92</v>
      </c>
      <c r="B332" t="s">
        <v>1619</v>
      </c>
      <c r="C332" t="s">
        <v>2317</v>
      </c>
      <c r="D332" s="2" t="s">
        <v>1621</v>
      </c>
      <c r="E332">
        <v>30.35</v>
      </c>
      <c r="F332">
        <v>0.61</v>
      </c>
      <c r="G332" t="s">
        <v>79</v>
      </c>
      <c r="H332" t="s">
        <v>81</v>
      </c>
      <c r="I332">
        <v>0</v>
      </c>
      <c r="J332">
        <v>0</v>
      </c>
      <c r="K332" s="5">
        <v>46197.146943518521</v>
      </c>
      <c r="L332" s="5">
        <v>46197.144147280087</v>
      </c>
      <c r="M332" s="2" t="s">
        <v>2318</v>
      </c>
      <c r="N332" s="2" t="s">
        <v>2319</v>
      </c>
      <c r="O332" s="5">
        <v>46197.144244363422</v>
      </c>
      <c r="P332" t="str">
        <f>IF($Q332="DELETE",IF($S332="CONFIRMED: NO MODS &gt; 1YR","CONFIRMED: NO MODS &gt; 1YR","DO NOT DELETE — not defensibly confirmed"),IF($Q332="HOLD","DO NOT DELETE — HOLD (Charlie review)",IF($Q332="KEEP","DO NOT DELETE — KEEP",IF(ISNUMBER(SEARCH("REVIEW",$Q332)),"DO NOT DELETE — REVIEW pending",$S332))))</f>
        <v>CONFIRMED: NO MODS &gt; 1YR</v>
      </c>
      <c r="Q332" t="str" cm="1">
        <f t="array" ref="Q332">_xlfn.IFS(AND($A332="thg-beauty",ISNUMBER(SEARCH("liveramp",$C332))),"DELETE",$A332="agile-bonbon-662",_xlfn.IFS(LEFT($G332,9)="Tranche 1","DELETE",$C332="Sessions_Level_1_All_Sites","KEEP",ISNUMBER(--$C332),"REVIEW — UA raw logs",$C332="Emag_Reporting","KEEP",$C332="Nutrition_Data_Archived_Tables","KEEP",$C332="EU_Data","KEEP",TRUE,"REVIEW"),OR($A332="thg-influencer",$A332="thg-ingenuity",$A332="thg-central-marketing",$A332="thg-seoclarity"),"HOLD",TRUE,"")</f>
        <v/>
      </c>
      <c r="R332" t="str" cm="1">
        <f t="array" ref="R332">_xlfn.IFS(AND($A332="thg-beauty",ISNUMBER(SEARCH("liveramp",$C332))),"thg-beauty Liveramp dataset — confirmed safe to delete",$A332="agile-bonbon-662",_xlfn.IFS(LEFT($G332,9)="Tranche 1","Tranche 1: cleared",$C332="Sessions_Level_1_All_Sites","Downstream aggregation of UA raw logs — keep if raw tables go",ISNUMBER(--$C332),"UA raw site logs (account ID) — keep pending audit-retention check",$C332="Emag_Reporting","Legacy but likely needed",$C332="Nutrition_Data_Archived_Tables","Worth keeping",$C332="EU_Data","Static lookup tables — scripts still reference (smoke-test risk)",TRUE,"Review"),OR($A332="thg-influencer",$A332="thg-ingenuity",$A332="thg-central-marketing",$A332="thg-seoclarity"),"HOLD — Charlie Stringer to review before deletion",TRUE,"")</f>
        <v/>
      </c>
      <c r="S332" t="s">
        <v>1624</v>
      </c>
    </row>
    <row r="333" spans="1:19" ht="76.5" hidden="1">
      <c r="A333" t="s">
        <v>92</v>
      </c>
      <c r="B333" t="s">
        <v>1619</v>
      </c>
      <c r="C333" t="s">
        <v>2320</v>
      </c>
      <c r="D333" s="2" t="s">
        <v>1621</v>
      </c>
      <c r="E333">
        <v>29.22</v>
      </c>
      <c r="F333">
        <v>0.57999999999999996</v>
      </c>
      <c r="G333" t="s">
        <v>79</v>
      </c>
      <c r="H333" t="s">
        <v>81</v>
      </c>
      <c r="I333">
        <v>0</v>
      </c>
      <c r="J333">
        <v>0</v>
      </c>
      <c r="K333" s="5">
        <v>46197.208389016203</v>
      </c>
      <c r="L333" s="5">
        <v>46197.166846342603</v>
      </c>
      <c r="M333" s="2" t="s">
        <v>2321</v>
      </c>
      <c r="N333" s="2" t="s">
        <v>2322</v>
      </c>
      <c r="O333" s="5">
        <v>46197.167018692133</v>
      </c>
      <c r="P333" t="str">
        <f>IF($Q333="DELETE",IF($S333="CONFIRMED: NO MODS &gt; 1YR","CONFIRMED: NO MODS &gt; 1YR","DO NOT DELETE — not defensibly confirmed"),IF($Q333="HOLD","DO NOT DELETE — HOLD (Charlie review)",IF($Q333="KEEP","DO NOT DELETE — KEEP",IF(ISNUMBER(SEARCH("REVIEW",$Q333)),"DO NOT DELETE — REVIEW pending",$S333))))</f>
        <v>CONFIRMED: NO MODS &gt; 1YR</v>
      </c>
      <c r="Q333" t="str" cm="1">
        <f t="array" ref="Q333">_xlfn.IFS(AND($A333="thg-beauty",ISNUMBER(SEARCH("liveramp",$C333))),"DELETE",$A333="agile-bonbon-662",_xlfn.IFS(LEFT($G333,9)="Tranche 1","DELETE",$C333="Sessions_Level_1_All_Sites","KEEP",ISNUMBER(--$C333),"REVIEW — UA raw logs",$C333="Emag_Reporting","KEEP",$C333="Nutrition_Data_Archived_Tables","KEEP",$C333="EU_Data","KEEP",TRUE,"REVIEW"),OR($A333="thg-influencer",$A333="thg-ingenuity",$A333="thg-central-marketing",$A333="thg-seoclarity"),"HOLD",TRUE,"")</f>
        <v/>
      </c>
      <c r="R333" t="str" cm="1">
        <f t="array" ref="R333">_xlfn.IFS(AND($A333="thg-beauty",ISNUMBER(SEARCH("liveramp",$C333))),"thg-beauty Liveramp dataset — confirmed safe to delete",$A333="agile-bonbon-662",_xlfn.IFS(LEFT($G333,9)="Tranche 1","Tranche 1: cleared",$C333="Sessions_Level_1_All_Sites","Downstream aggregation of UA raw logs — keep if raw tables go",ISNUMBER(--$C333),"UA raw site logs (account ID) — keep pending audit-retention check",$C333="Emag_Reporting","Legacy but likely needed",$C333="Nutrition_Data_Archived_Tables","Worth keeping",$C333="EU_Data","Static lookup tables — scripts still reference (smoke-test risk)",TRUE,"Review"),OR($A333="thg-influencer",$A333="thg-ingenuity",$A333="thg-central-marketing",$A333="thg-seoclarity"),"HOLD — Charlie Stringer to review before deletion",TRUE,"")</f>
        <v/>
      </c>
      <c r="S333" t="s">
        <v>1624</v>
      </c>
    </row>
    <row r="334" spans="1:19" ht="76.5" hidden="1">
      <c r="A334" t="s">
        <v>95</v>
      </c>
      <c r="B334" t="s">
        <v>1619</v>
      </c>
      <c r="C334" t="s">
        <v>2323</v>
      </c>
      <c r="D334" s="2" t="s">
        <v>1621</v>
      </c>
      <c r="E334">
        <v>2250.1799999999998</v>
      </c>
      <c r="F334">
        <v>45</v>
      </c>
      <c r="G334" t="s">
        <v>79</v>
      </c>
      <c r="H334" t="s">
        <v>81</v>
      </c>
      <c r="I334">
        <v>0</v>
      </c>
      <c r="J334">
        <v>0</v>
      </c>
      <c r="K334" s="5">
        <v>46197.049002268519</v>
      </c>
      <c r="L334" s="5">
        <v>46197.049002268519</v>
      </c>
      <c r="M334" s="2" t="s">
        <v>2324</v>
      </c>
      <c r="N334" s="2" t="s">
        <v>2325</v>
      </c>
      <c r="O334" s="5">
        <v>46197.04913915509</v>
      </c>
      <c r="P334" t="str">
        <f>IF($Q334="DELETE",IF($S334="CONFIRMED: NO MODS &gt; 1YR","CONFIRMED: NO MODS &gt; 1YR","DO NOT DELETE — not defensibly confirmed"),IF($Q334="HOLD","DO NOT DELETE — HOLD (Charlie review)",IF($Q334="KEEP","DO NOT DELETE — KEEP",IF(ISNUMBER(SEARCH("REVIEW",$Q334)),"DO NOT DELETE — REVIEW pending",$S334))))</f>
        <v>CONFIRMED: NO MODS &gt; 1YR</v>
      </c>
      <c r="Q334" t="str" cm="1">
        <f t="array" ref="Q334">_xlfn.IFS(AND($A334="thg-beauty",ISNUMBER(SEARCH("liveramp",$C334))),"DELETE",$A334="agile-bonbon-662",_xlfn.IFS(LEFT($G334,9)="Tranche 1","DELETE",$C334="Sessions_Level_1_All_Sites","KEEP",ISNUMBER(--$C334),"REVIEW — UA raw logs",$C334="Emag_Reporting","KEEP",$C334="Nutrition_Data_Archived_Tables","KEEP",$C334="EU_Data","KEEP",TRUE,"REVIEW"),OR($A334="thg-influencer",$A334="thg-ingenuity",$A334="thg-central-marketing",$A334="thg-seoclarity"),"HOLD",TRUE,"")</f>
        <v/>
      </c>
      <c r="R334" t="str" cm="1">
        <f t="array" ref="R334">_xlfn.IFS(AND($A334="thg-beauty",ISNUMBER(SEARCH("liveramp",$C334))),"thg-beauty Liveramp dataset — confirmed safe to delete",$A334="agile-bonbon-662",_xlfn.IFS(LEFT($G334,9)="Tranche 1","Tranche 1: cleared",$C334="Sessions_Level_1_All_Sites","Downstream aggregation of UA raw logs — keep if raw tables go",ISNUMBER(--$C334),"UA raw site logs (account ID) — keep pending audit-retention check",$C334="Emag_Reporting","Legacy but likely needed",$C334="Nutrition_Data_Archived_Tables","Worth keeping",$C334="EU_Data","Static lookup tables — scripts still reference (smoke-test risk)",TRUE,"Review"),OR($A334="thg-influencer",$A334="thg-ingenuity",$A334="thg-central-marketing",$A334="thg-seoclarity"),"HOLD — Charlie Stringer to review before deletion",TRUE,"")</f>
        <v/>
      </c>
      <c r="S334" t="s">
        <v>1624</v>
      </c>
    </row>
    <row r="335" spans="1:19" ht="76.5" hidden="1">
      <c r="A335" t="s">
        <v>1471</v>
      </c>
      <c r="B335" t="s">
        <v>1619</v>
      </c>
      <c r="C335" t="s">
        <v>2326</v>
      </c>
      <c r="D335" s="2" t="s">
        <v>1621</v>
      </c>
      <c r="E335">
        <v>2106.1999999999998</v>
      </c>
      <c r="F335">
        <v>42.12</v>
      </c>
      <c r="G335" t="s">
        <v>79</v>
      </c>
      <c r="H335" t="s">
        <v>81</v>
      </c>
      <c r="I335">
        <v>0</v>
      </c>
      <c r="J335">
        <v>0</v>
      </c>
      <c r="K335" s="5">
        <v>46197.394353738433</v>
      </c>
      <c r="L335" s="5">
        <v>46197.22973392361</v>
      </c>
      <c r="M335" s="2" t="s">
        <v>2327</v>
      </c>
      <c r="N335" s="2" t="s">
        <v>2328</v>
      </c>
      <c r="O335" s="5">
        <v>46197.229857465281</v>
      </c>
      <c r="P335" t="str">
        <f>IF($Q335="DELETE",IF($S335="CONFIRMED: NO MODS &gt; 1YR","CONFIRMED: NO MODS &gt; 1YR","DO NOT DELETE — not defensibly confirmed"),IF($Q335="HOLD","DO NOT DELETE — HOLD (Charlie review)",IF($Q335="KEEP","DO NOT DELETE — KEEP",IF(ISNUMBER(SEARCH("REVIEW",$Q335)),"DO NOT DELETE — REVIEW pending",$S335))))</f>
        <v>CONFIRMED: NO MODS &gt; 1YR</v>
      </c>
      <c r="Q335" t="str" cm="1">
        <f t="array" ref="Q335">_xlfn.IFS(AND($A335="thg-beauty",ISNUMBER(SEARCH("liveramp",$C335))),"DELETE",$A335="agile-bonbon-662",_xlfn.IFS(LEFT($G335,9)="Tranche 1","DELETE",$C335="Sessions_Level_1_All_Sites","KEEP",ISNUMBER(--$C335),"REVIEW — UA raw logs",$C335="Emag_Reporting","KEEP",$C335="Nutrition_Data_Archived_Tables","KEEP",$C335="EU_Data","KEEP",TRUE,"REVIEW"),OR($A335="thg-influencer",$A335="thg-ingenuity",$A335="thg-central-marketing",$A335="thg-seoclarity"),"HOLD",TRUE,"")</f>
        <v/>
      </c>
      <c r="R335" t="str" cm="1">
        <f t="array" ref="R335">_xlfn.IFS(AND($A335="thg-beauty",ISNUMBER(SEARCH("liveramp",$C335))),"thg-beauty Liveramp dataset — confirmed safe to delete",$A335="agile-bonbon-662",_xlfn.IFS(LEFT($G335,9)="Tranche 1","Tranche 1: cleared",$C335="Sessions_Level_1_All_Sites","Downstream aggregation of UA raw logs — keep if raw tables go",ISNUMBER(--$C335),"UA raw site logs (account ID) — keep pending audit-retention check",$C335="Emag_Reporting","Legacy but likely needed",$C335="Nutrition_Data_Archived_Tables","Worth keeping",$C335="EU_Data","Static lookup tables — scripts still reference (smoke-test risk)",TRUE,"Review"),OR($A335="thg-influencer",$A335="thg-ingenuity",$A335="thg-central-marketing",$A335="thg-seoclarity"),"HOLD — Charlie Stringer to review before deletion",TRUE,"")</f>
        <v/>
      </c>
      <c r="S335" t="s">
        <v>1624</v>
      </c>
    </row>
    <row r="336" spans="1:19" ht="76.5" hidden="1">
      <c r="A336" t="s">
        <v>92</v>
      </c>
      <c r="B336" t="s">
        <v>1619</v>
      </c>
      <c r="C336" t="s">
        <v>2329</v>
      </c>
      <c r="D336" s="2" t="s">
        <v>1621</v>
      </c>
      <c r="E336">
        <v>24.37</v>
      </c>
      <c r="F336">
        <v>0.49</v>
      </c>
      <c r="G336" t="s">
        <v>79</v>
      </c>
      <c r="H336" t="s">
        <v>81</v>
      </c>
      <c r="I336">
        <v>0</v>
      </c>
      <c r="J336">
        <v>0</v>
      </c>
      <c r="K336" s="5">
        <v>46197.187807939823</v>
      </c>
      <c r="L336" s="5">
        <v>46197.187598460638</v>
      </c>
      <c r="M336" s="2" t="s">
        <v>2330</v>
      </c>
      <c r="N336" s="2" t="s">
        <v>2331</v>
      </c>
      <c r="O336" s="5">
        <v>46197.187679016213</v>
      </c>
      <c r="P336" t="str">
        <f>IF($Q336="DELETE",IF($S336="CONFIRMED: NO MODS &gt; 1YR","CONFIRMED: NO MODS &gt; 1YR","DO NOT DELETE — not defensibly confirmed"),IF($Q336="HOLD","DO NOT DELETE — HOLD (Charlie review)",IF($Q336="KEEP","DO NOT DELETE — KEEP",IF(ISNUMBER(SEARCH("REVIEW",$Q336)),"DO NOT DELETE — REVIEW pending",$S336))))</f>
        <v>CONFIRMED: NO MODS &gt; 1YR</v>
      </c>
      <c r="Q336" t="str" cm="1">
        <f t="array" ref="Q336">_xlfn.IFS(AND($A336="thg-beauty",ISNUMBER(SEARCH("liveramp",$C336))),"DELETE",$A336="agile-bonbon-662",_xlfn.IFS(LEFT($G336,9)="Tranche 1","DELETE",$C336="Sessions_Level_1_All_Sites","KEEP",ISNUMBER(--$C336),"REVIEW — UA raw logs",$C336="Emag_Reporting","KEEP",$C336="Nutrition_Data_Archived_Tables","KEEP",$C336="EU_Data","KEEP",TRUE,"REVIEW"),OR($A336="thg-influencer",$A336="thg-ingenuity",$A336="thg-central-marketing",$A336="thg-seoclarity"),"HOLD",TRUE,"")</f>
        <v>DELETE</v>
      </c>
      <c r="R336" t="str" cm="1">
        <f t="array" ref="R336">_xlfn.IFS(AND($A336="thg-beauty",ISNUMBER(SEARCH("liveramp",$C336))),"thg-beauty Liveramp dataset — confirmed safe to delete",$A336="agile-bonbon-662",_xlfn.IFS(LEFT($G336,9)="Tranche 1","Tranche 1: cleared",$C336="Sessions_Level_1_All_Sites","Downstream aggregation of UA raw logs — keep if raw tables go",ISNUMBER(--$C336),"UA raw site logs (account ID) — keep pending audit-retention check",$C336="Emag_Reporting","Legacy but likely needed",$C336="Nutrition_Data_Archived_Tables","Worth keeping",$C336="EU_Data","Static lookup tables — scripts still reference (smoke-test risk)",TRUE,"Review"),OR($A336="thg-influencer",$A336="thg-ingenuity",$A336="thg-central-marketing",$A336="thg-seoclarity"),"HOLD — Charlie Stringer to review before deletion",TRUE,"")</f>
        <v>thg-beauty Liveramp dataset — confirmed safe to delete</v>
      </c>
      <c r="S336" t="s">
        <v>1624</v>
      </c>
    </row>
    <row r="337" spans="1:19" ht="76.5" hidden="1">
      <c r="A337" t="s">
        <v>1768</v>
      </c>
      <c r="B337" t="s">
        <v>1619</v>
      </c>
      <c r="C337" t="s">
        <v>2196</v>
      </c>
      <c r="D337" s="2" t="s">
        <v>1621</v>
      </c>
      <c r="E337">
        <v>1792.33</v>
      </c>
      <c r="F337">
        <v>35.85</v>
      </c>
      <c r="G337" t="s">
        <v>79</v>
      </c>
      <c r="H337" t="s">
        <v>81</v>
      </c>
      <c r="I337">
        <v>0</v>
      </c>
      <c r="J337">
        <v>0</v>
      </c>
      <c r="K337" s="5">
        <v>46197.044150937501</v>
      </c>
      <c r="L337" s="5">
        <v>46197.044150937501</v>
      </c>
      <c r="M337" s="2" t="s">
        <v>2332</v>
      </c>
      <c r="N337" s="2" t="s">
        <v>2333</v>
      </c>
      <c r="O337" s="5">
        <v>46197.044663611108</v>
      </c>
      <c r="P337" t="str">
        <f>IF($Q337="DELETE",IF($S337="CONFIRMED: NO MODS &gt; 1YR","CONFIRMED: NO MODS &gt; 1YR","DO NOT DELETE — not defensibly confirmed"),IF($Q337="HOLD","DO NOT DELETE — HOLD (Charlie review)",IF($Q337="KEEP","DO NOT DELETE — KEEP",IF(ISNUMBER(SEARCH("REVIEW",$Q337)),"DO NOT DELETE — REVIEW pending",$S337))))</f>
        <v>CONFIRMED: NO MODS &gt; 1YR</v>
      </c>
      <c r="Q337" t="str" cm="1">
        <f t="array" ref="Q337">_xlfn.IFS(AND($A337="thg-beauty",ISNUMBER(SEARCH("liveramp",$C337))),"DELETE",$A337="agile-bonbon-662",_xlfn.IFS(LEFT($G337,9)="Tranche 1","DELETE",$C337="Sessions_Level_1_All_Sites","KEEP",ISNUMBER(--$C337),"REVIEW — UA raw logs",$C337="Emag_Reporting","KEEP",$C337="Nutrition_Data_Archived_Tables","KEEP",$C337="EU_Data","KEEP",TRUE,"REVIEW"),OR($A337="thg-influencer",$A337="thg-ingenuity",$A337="thg-central-marketing",$A337="thg-seoclarity"),"HOLD",TRUE,"")</f>
        <v/>
      </c>
      <c r="R337" t="str" cm="1">
        <f t="array" ref="R337">_xlfn.IFS(AND($A337="thg-beauty",ISNUMBER(SEARCH("liveramp",$C337))),"thg-beauty Liveramp dataset — confirmed safe to delete",$A337="agile-bonbon-662",_xlfn.IFS(LEFT($G337,9)="Tranche 1","Tranche 1: cleared",$C337="Sessions_Level_1_All_Sites","Downstream aggregation of UA raw logs — keep if raw tables go",ISNUMBER(--$C337),"UA raw site logs (account ID) — keep pending audit-retention check",$C337="Emag_Reporting","Legacy but likely needed",$C337="Nutrition_Data_Archived_Tables","Worth keeping",$C337="EU_Data","Static lookup tables — scripts still reference (smoke-test risk)",TRUE,"Review"),OR($A337="thg-influencer",$A337="thg-ingenuity",$A337="thg-central-marketing",$A337="thg-seoclarity"),"HOLD — Charlie Stringer to review before deletion",TRUE,"")</f>
        <v/>
      </c>
      <c r="S337" t="s">
        <v>1624</v>
      </c>
    </row>
    <row r="338" spans="1:19" ht="76.5" hidden="1">
      <c r="A338" t="s">
        <v>92</v>
      </c>
      <c r="B338" t="s">
        <v>1619</v>
      </c>
      <c r="C338" t="s">
        <v>2334</v>
      </c>
      <c r="D338" s="2" t="s">
        <v>1621</v>
      </c>
      <c r="E338">
        <v>18.25</v>
      </c>
      <c r="F338">
        <v>0.37</v>
      </c>
      <c r="G338" t="s">
        <v>79</v>
      </c>
      <c r="H338" t="s">
        <v>81</v>
      </c>
      <c r="I338">
        <v>23</v>
      </c>
      <c r="J338">
        <v>23</v>
      </c>
      <c r="K338" s="5">
        <v>46174.359558923607</v>
      </c>
      <c r="L338" s="5">
        <v>46174.324512303239</v>
      </c>
      <c r="M338" s="2" t="s">
        <v>2335</v>
      </c>
      <c r="N338" s="2" t="s">
        <v>2336</v>
      </c>
      <c r="O338" s="5">
        <v>46174.324847638891</v>
      </c>
      <c r="P338" t="str">
        <f>IF($Q338="DELETE",IF($S338="CONFIRMED: NO MODS &gt; 1YR","CONFIRMED: NO MODS &gt; 1YR","DO NOT DELETE — not defensibly confirmed"),IF($Q338="HOLD","DO NOT DELETE — HOLD (Charlie review)",IF($Q338="KEEP","DO NOT DELETE — KEEP",IF(ISNUMBER(SEARCH("REVIEW",$Q338)),"DO NOT DELETE — REVIEW pending",$S338))))</f>
        <v>CONFIRMED: NO MODS &gt; 1YR</v>
      </c>
      <c r="Q338" t="str" cm="1">
        <f t="array" ref="Q338">_xlfn.IFS(AND($A338="thg-beauty",ISNUMBER(SEARCH("liveramp",$C338))),"DELETE",$A338="agile-bonbon-662",_xlfn.IFS(LEFT($G338,9)="Tranche 1","DELETE",$C338="Sessions_Level_1_All_Sites","KEEP",ISNUMBER(--$C338),"REVIEW — UA raw logs",$C338="Emag_Reporting","KEEP",$C338="Nutrition_Data_Archived_Tables","KEEP",$C338="EU_Data","KEEP",TRUE,"REVIEW"),OR($A338="thg-influencer",$A338="thg-ingenuity",$A338="thg-central-marketing",$A338="thg-seoclarity"),"HOLD",TRUE,"")</f>
        <v/>
      </c>
      <c r="R338" t="str" cm="1">
        <f t="array" ref="R338">_xlfn.IFS(AND($A338="thg-beauty",ISNUMBER(SEARCH("liveramp",$C338))),"thg-beauty Liveramp dataset — confirmed safe to delete",$A338="agile-bonbon-662",_xlfn.IFS(LEFT($G338,9)="Tranche 1","Tranche 1: cleared",$C338="Sessions_Level_1_All_Sites","Downstream aggregation of UA raw logs — keep if raw tables go",ISNUMBER(--$C338),"UA raw site logs (account ID) — keep pending audit-retention check",$C338="Emag_Reporting","Legacy but likely needed",$C338="Nutrition_Data_Archived_Tables","Worth keeping",$C338="EU_Data","Static lookup tables — scripts still reference (smoke-test risk)",TRUE,"Review"),OR($A338="thg-influencer",$A338="thg-ingenuity",$A338="thg-central-marketing",$A338="thg-seoclarity"),"HOLD — Charlie Stringer to review before deletion",TRUE,"")</f>
        <v/>
      </c>
      <c r="S338" t="s">
        <v>1624</v>
      </c>
    </row>
    <row r="339" spans="1:19" ht="76.5" hidden="1">
      <c r="A339" t="s">
        <v>89</v>
      </c>
      <c r="B339" t="s">
        <v>1619</v>
      </c>
      <c r="C339" t="s">
        <v>2337</v>
      </c>
      <c r="D339" s="2" t="s">
        <v>1621</v>
      </c>
      <c r="E339">
        <v>1333.79</v>
      </c>
      <c r="F339">
        <v>26.68</v>
      </c>
      <c r="G339" t="s">
        <v>79</v>
      </c>
      <c r="H339" t="s">
        <v>81</v>
      </c>
      <c r="I339">
        <v>0</v>
      </c>
      <c r="J339">
        <v>0</v>
      </c>
      <c r="K339" s="5">
        <v>46194.125200995368</v>
      </c>
      <c r="L339" s="5">
        <v>46197.370052048609</v>
      </c>
      <c r="M339" s="2" t="s">
        <v>2260</v>
      </c>
      <c r="N339" s="2" t="s">
        <v>2338</v>
      </c>
      <c r="O339" s="5">
        <v>46197.408803368053</v>
      </c>
      <c r="P339" t="str">
        <f>IF($Q339="DELETE",IF($S339="CONFIRMED: NO MODS &gt; 1YR","CONFIRMED: NO MODS &gt; 1YR","DO NOT DELETE — not defensibly confirmed"),IF($Q339="HOLD","DO NOT DELETE — HOLD (Charlie review)",IF($Q339="KEEP","DO NOT DELETE — KEEP",IF(ISNUMBER(SEARCH("REVIEW",$Q339)),"DO NOT DELETE — REVIEW pending",$S339))))</f>
        <v>DO NOT DELETE — REVIEW pending</v>
      </c>
      <c r="Q339" t="str" cm="1">
        <f t="array" ref="Q339">_xlfn.IFS(AND($A339="thg-beauty",ISNUMBER(SEARCH("liveramp",$C339))),"DELETE",$A339="agile-bonbon-662",_xlfn.IFS(LEFT($G339,9)="Tranche 1","DELETE",$C339="Sessions_Level_1_All_Sites","KEEP",ISNUMBER(--$C339),"REVIEW — UA raw logs",$C339="Emag_Reporting","KEEP",$C339="Nutrition_Data_Archived_Tables","KEEP",$C339="EU_Data","KEEP",TRUE,"REVIEW"),OR($A339="thg-influencer",$A339="thg-ingenuity",$A339="thg-central-marketing",$A339="thg-seoclarity"),"HOLD",TRUE,"")</f>
        <v>REVIEW</v>
      </c>
      <c r="R339" t="str" cm="1">
        <f t="array" ref="R339">_xlfn.IFS(AND($A339="thg-beauty",ISNUMBER(SEARCH("liveramp",$C339))),"thg-beauty Liveramp dataset — confirmed safe to delete",$A339="agile-bonbon-662",_xlfn.IFS(LEFT($G339,9)="Tranche 1","Tranche 1: cleared",$C339="Sessions_Level_1_All_Sites","Downstream aggregation of UA raw logs — keep if raw tables go",ISNUMBER(--$C339),"UA raw site logs (account ID) — keep pending audit-retention check",$C339="Emag_Reporting","Legacy but likely needed",$C339="Nutrition_Data_Archived_Tables","Worth keeping",$C339="EU_Data","Static lookup tables — scripts still reference (smoke-test risk)",TRUE,"Review"),OR($A339="thg-influencer",$A339="thg-ingenuity",$A339="thg-central-marketing",$A339="thg-seoclarity"),"HOLD — Charlie Stringer to review before deletion",TRUE,"")</f>
        <v>Review</v>
      </c>
      <c r="S339" t="s">
        <v>1624</v>
      </c>
    </row>
    <row r="340" spans="1:19" ht="76.5" hidden="1">
      <c r="A340" t="s">
        <v>92</v>
      </c>
      <c r="B340" t="s">
        <v>1619</v>
      </c>
      <c r="C340" t="s">
        <v>2339</v>
      </c>
      <c r="D340" s="2" t="s">
        <v>1621</v>
      </c>
      <c r="E340">
        <v>18.38</v>
      </c>
      <c r="F340">
        <v>0.37</v>
      </c>
      <c r="G340" t="s">
        <v>79</v>
      </c>
      <c r="H340" t="s">
        <v>81</v>
      </c>
      <c r="I340">
        <v>0</v>
      </c>
      <c r="J340">
        <v>0</v>
      </c>
      <c r="K340" s="5">
        <v>46197.262936886567</v>
      </c>
      <c r="L340" s="5">
        <v>46197.188586249998</v>
      </c>
      <c r="M340" s="2" t="s">
        <v>2340</v>
      </c>
      <c r="N340" s="2" t="s">
        <v>2341</v>
      </c>
      <c r="O340" s="5">
        <v>46197.188600844907</v>
      </c>
      <c r="P340" t="str">
        <f>IF($Q340="DELETE",IF($S340="CONFIRMED: NO MODS &gt; 1YR","CONFIRMED: NO MODS &gt; 1YR","DO NOT DELETE — not defensibly confirmed"),IF($Q340="HOLD","DO NOT DELETE — HOLD (Charlie review)",IF($Q340="KEEP","DO NOT DELETE — KEEP",IF(ISNUMBER(SEARCH("REVIEW",$Q340)),"DO NOT DELETE — REVIEW pending",$S340))))</f>
        <v>CONFIRMED: NO MODS &gt; 1YR</v>
      </c>
      <c r="Q340" t="str" cm="1">
        <f t="array" ref="Q340">_xlfn.IFS(AND($A340="thg-beauty",ISNUMBER(SEARCH("liveramp",$C340))),"DELETE",$A340="agile-bonbon-662",_xlfn.IFS(LEFT($G340,9)="Tranche 1","DELETE",$C340="Sessions_Level_1_All_Sites","KEEP",ISNUMBER(--$C340),"REVIEW — UA raw logs",$C340="Emag_Reporting","KEEP",$C340="Nutrition_Data_Archived_Tables","KEEP",$C340="EU_Data","KEEP",TRUE,"REVIEW"),OR($A340="thg-influencer",$A340="thg-ingenuity",$A340="thg-central-marketing",$A340="thg-seoclarity"),"HOLD",TRUE,"")</f>
        <v/>
      </c>
      <c r="R340" t="str" cm="1">
        <f t="array" ref="R340">_xlfn.IFS(AND($A340="thg-beauty",ISNUMBER(SEARCH("liveramp",$C340))),"thg-beauty Liveramp dataset — confirmed safe to delete",$A340="agile-bonbon-662",_xlfn.IFS(LEFT($G340,9)="Tranche 1","Tranche 1: cleared",$C340="Sessions_Level_1_All_Sites","Downstream aggregation of UA raw logs — keep if raw tables go",ISNUMBER(--$C340),"UA raw site logs (account ID) — keep pending audit-retention check",$C340="Emag_Reporting","Legacy but likely needed",$C340="Nutrition_Data_Archived_Tables","Worth keeping",$C340="EU_Data","Static lookup tables — scripts still reference (smoke-test risk)",TRUE,"Review"),OR($A340="thg-influencer",$A340="thg-ingenuity",$A340="thg-central-marketing",$A340="thg-seoclarity"),"HOLD — Charlie Stringer to review before deletion",TRUE,"")</f>
        <v/>
      </c>
      <c r="S340" t="s">
        <v>1624</v>
      </c>
    </row>
    <row r="341" spans="1:19" hidden="1">
      <c r="A341" t="s">
        <v>2342</v>
      </c>
      <c r="B341" t="s">
        <v>1724</v>
      </c>
      <c r="C341" t="s">
        <v>2343</v>
      </c>
      <c r="D341" s="2" t="s">
        <v>1726</v>
      </c>
      <c r="E341">
        <v>1267.54</v>
      </c>
      <c r="F341">
        <v>25.35</v>
      </c>
      <c r="G341" t="s">
        <v>79</v>
      </c>
      <c r="H341" t="s">
        <v>81</v>
      </c>
      <c r="I341">
        <v>0</v>
      </c>
      <c r="J341">
        <v>0</v>
      </c>
      <c r="M341" s="2" t="s">
        <v>1715</v>
      </c>
      <c r="N341" s="2" t="s">
        <v>1701</v>
      </c>
      <c r="O341" s="5">
        <v>46197.402513483787</v>
      </c>
      <c r="P341" t="str">
        <f>IF($Q341="DELETE",IF($S341="CONFIRMED: NO MODS &gt; 1YR","CONFIRMED: NO MODS &gt; 1YR","DO NOT DELETE — not defensibly confirmed"),IF($Q341="HOLD","DO NOT DELETE — HOLD (Charlie review)",IF($Q341="KEEP","DO NOT DELETE — KEEP",IF(ISNUMBER(SEARCH("REVIEW",$Q341)),"DO NOT DELETE — REVIEW pending",$S341))))</f>
        <v>CONFIRMED: NO MODS &gt; 1YR</v>
      </c>
      <c r="Q341" t="str" cm="1">
        <f t="array" ref="Q341">_xlfn.IFS(AND($A341="thg-beauty",ISNUMBER(SEARCH("liveramp",$C341))),"DELETE",$A341="agile-bonbon-662",_xlfn.IFS(LEFT($G341,9)="Tranche 1","DELETE",$C341="Sessions_Level_1_All_Sites","KEEP",ISNUMBER(--$C341),"REVIEW — UA raw logs",$C341="Emag_Reporting","KEEP",$C341="Nutrition_Data_Archived_Tables","KEEP",$C341="EU_Data","KEEP",TRUE,"REVIEW"),OR($A341="thg-influencer",$A341="thg-ingenuity",$A341="thg-central-marketing",$A341="thg-seoclarity"),"HOLD",TRUE,"")</f>
        <v/>
      </c>
      <c r="R341" t="str" cm="1">
        <f t="array" ref="R341">_xlfn.IFS(AND($A341="thg-beauty",ISNUMBER(SEARCH("liveramp",$C341))),"thg-beauty Liveramp dataset — confirmed safe to delete",$A341="agile-bonbon-662",_xlfn.IFS(LEFT($G341,9)="Tranche 1","Tranche 1: cleared",$C341="Sessions_Level_1_All_Sites","Downstream aggregation of UA raw logs — keep if raw tables go",ISNUMBER(--$C341),"UA raw site logs (account ID) — keep pending audit-retention check",$C341="Emag_Reporting","Legacy but likely needed",$C341="Nutrition_Data_Archived_Tables","Worth keeping",$C341="EU_Data","Static lookup tables — scripts still reference (smoke-test risk)",TRUE,"Review"),OR($A341="thg-influencer",$A341="thg-ingenuity",$A341="thg-central-marketing",$A341="thg-seoclarity"),"HOLD — Charlie Stringer to review before deletion",TRUE,"")</f>
        <v/>
      </c>
      <c r="S341" t="s">
        <v>1624</v>
      </c>
    </row>
    <row r="342" spans="1:19" ht="76.5" hidden="1">
      <c r="A342" t="s">
        <v>2344</v>
      </c>
      <c r="B342" t="s">
        <v>1619</v>
      </c>
      <c r="C342" t="s">
        <v>2345</v>
      </c>
      <c r="D342" s="2" t="s">
        <v>1621</v>
      </c>
      <c r="E342">
        <v>1100.79</v>
      </c>
      <c r="F342">
        <v>22.02</v>
      </c>
      <c r="G342" t="s">
        <v>79</v>
      </c>
      <c r="H342" t="s">
        <v>81</v>
      </c>
      <c r="I342">
        <v>0</v>
      </c>
      <c r="J342">
        <v>0</v>
      </c>
      <c r="L342" s="5">
        <v>46196.575172164346</v>
      </c>
      <c r="M342" s="2" t="s">
        <v>1715</v>
      </c>
      <c r="N342" s="2" t="s">
        <v>2346</v>
      </c>
      <c r="O342" s="5">
        <v>46196.57567337963</v>
      </c>
      <c r="P342" t="str">
        <f>IF($Q342="DELETE",IF($S342="CONFIRMED: NO MODS &gt; 1YR","CONFIRMED: NO MODS &gt; 1YR","DO NOT DELETE — not defensibly confirmed"),IF($Q342="HOLD","DO NOT DELETE — HOLD (Charlie review)",IF($Q342="KEEP","DO NOT DELETE — KEEP",IF(ISNUMBER(SEARCH("REVIEW",$Q342)),"DO NOT DELETE — REVIEW pending",$S342))))</f>
        <v>CONFIRMED: NO MODS &gt; 1YR</v>
      </c>
      <c r="Q342" t="str" cm="1">
        <f t="array" ref="Q342">_xlfn.IFS(AND($A342="thg-beauty",ISNUMBER(SEARCH("liveramp",$C342))),"DELETE",$A342="agile-bonbon-662",_xlfn.IFS(LEFT($G342,9)="Tranche 1","DELETE",$C342="Sessions_Level_1_All_Sites","KEEP",ISNUMBER(--$C342),"REVIEW — UA raw logs",$C342="Emag_Reporting","KEEP",$C342="Nutrition_Data_Archived_Tables","KEEP",$C342="EU_Data","KEEP",TRUE,"REVIEW"),OR($A342="thg-influencer",$A342="thg-ingenuity",$A342="thg-central-marketing",$A342="thg-seoclarity"),"HOLD",TRUE,"")</f>
        <v/>
      </c>
      <c r="R342" t="str" cm="1">
        <f t="array" ref="R342">_xlfn.IFS(AND($A342="thg-beauty",ISNUMBER(SEARCH("liveramp",$C342))),"thg-beauty Liveramp dataset — confirmed safe to delete",$A342="agile-bonbon-662",_xlfn.IFS(LEFT($G342,9)="Tranche 1","Tranche 1: cleared",$C342="Sessions_Level_1_All_Sites","Downstream aggregation of UA raw logs — keep if raw tables go",ISNUMBER(--$C342),"UA raw site logs (account ID) — keep pending audit-retention check",$C342="Emag_Reporting","Legacy but likely needed",$C342="Nutrition_Data_Archived_Tables","Worth keeping",$C342="EU_Data","Static lookup tables — scripts still reference (smoke-test risk)",TRUE,"Review"),OR($A342="thg-influencer",$A342="thg-ingenuity",$A342="thg-central-marketing",$A342="thg-seoclarity"),"HOLD — Charlie Stringer to review before deletion",TRUE,"")</f>
        <v/>
      </c>
      <c r="S342" t="s">
        <v>1624</v>
      </c>
    </row>
    <row r="343" spans="1:19" ht="76.5" hidden="1">
      <c r="A343" t="s">
        <v>89</v>
      </c>
      <c r="B343" t="s">
        <v>1619</v>
      </c>
      <c r="C343" t="s">
        <v>2081</v>
      </c>
      <c r="D343" s="2" t="s">
        <v>1621</v>
      </c>
      <c r="E343">
        <v>1087.49</v>
      </c>
      <c r="F343">
        <v>21.75</v>
      </c>
      <c r="G343" t="s">
        <v>79</v>
      </c>
      <c r="H343" t="s">
        <v>81</v>
      </c>
      <c r="I343">
        <v>0</v>
      </c>
      <c r="J343">
        <v>0</v>
      </c>
      <c r="K343" s="5">
        <v>46171.609857233787</v>
      </c>
      <c r="M343" s="2" t="s">
        <v>2347</v>
      </c>
      <c r="N343" s="2" t="s">
        <v>1701</v>
      </c>
      <c r="O343" s="5">
        <v>46197.422284421293</v>
      </c>
      <c r="P343" t="str">
        <f>IF($Q343="DELETE",IF($S343="CONFIRMED: NO MODS &gt; 1YR","CONFIRMED: NO MODS &gt; 1YR","DO NOT DELETE — not defensibly confirmed"),IF($Q343="HOLD","DO NOT DELETE — HOLD (Charlie review)",IF($Q343="KEEP","DO NOT DELETE — KEEP",IF(ISNUMBER(SEARCH("REVIEW",$Q343)),"DO NOT DELETE — REVIEW pending",$S343))))</f>
        <v>DO NOT DELETE — REVIEW pending</v>
      </c>
      <c r="Q343" t="str" cm="1">
        <f t="array" ref="Q343">_xlfn.IFS(AND($A343="thg-beauty",ISNUMBER(SEARCH("liveramp",$C343))),"DELETE",$A343="agile-bonbon-662",_xlfn.IFS(LEFT($G343,9)="Tranche 1","DELETE",$C343="Sessions_Level_1_All_Sites","KEEP",ISNUMBER(--$C343),"REVIEW — UA raw logs",$C343="Emag_Reporting","KEEP",$C343="Nutrition_Data_Archived_Tables","KEEP",$C343="EU_Data","KEEP",TRUE,"REVIEW"),OR($A343="thg-influencer",$A343="thg-ingenuity",$A343="thg-central-marketing",$A343="thg-seoclarity"),"HOLD",TRUE,"")</f>
        <v>REVIEW</v>
      </c>
      <c r="R343" t="str" cm="1">
        <f t="array" ref="R343">_xlfn.IFS(AND($A343="thg-beauty",ISNUMBER(SEARCH("liveramp",$C343))),"thg-beauty Liveramp dataset — confirmed safe to delete",$A343="agile-bonbon-662",_xlfn.IFS(LEFT($G343,9)="Tranche 1","Tranche 1: cleared",$C343="Sessions_Level_1_All_Sites","Downstream aggregation of UA raw logs — keep if raw tables go",ISNUMBER(--$C343),"UA raw site logs (account ID) — keep pending audit-retention check",$C343="Emag_Reporting","Legacy but likely needed",$C343="Nutrition_Data_Archived_Tables","Worth keeping",$C343="EU_Data","Static lookup tables — scripts still reference (smoke-test risk)",TRUE,"Review"),OR($A343="thg-influencer",$A343="thg-ingenuity",$A343="thg-central-marketing",$A343="thg-seoclarity"),"HOLD — Charlie Stringer to review before deletion",TRUE,"")</f>
        <v>Review</v>
      </c>
      <c r="S343" t="s">
        <v>1624</v>
      </c>
    </row>
    <row r="344" spans="1:19" ht="76.5" hidden="1">
      <c r="A344" t="s">
        <v>89</v>
      </c>
      <c r="B344" t="s">
        <v>1619</v>
      </c>
      <c r="C344" t="s">
        <v>2348</v>
      </c>
      <c r="D344" s="2" t="s">
        <v>1621</v>
      </c>
      <c r="E344">
        <v>1045.76</v>
      </c>
      <c r="F344">
        <v>20.92</v>
      </c>
      <c r="G344" t="s">
        <v>79</v>
      </c>
      <c r="H344" t="s">
        <v>81</v>
      </c>
      <c r="I344">
        <v>0</v>
      </c>
      <c r="J344">
        <v>0</v>
      </c>
      <c r="K344" s="5">
        <v>46197.422358113428</v>
      </c>
      <c r="L344" s="5">
        <v>46197.34322451389</v>
      </c>
      <c r="M344" s="2" t="s">
        <v>2349</v>
      </c>
      <c r="N344" s="2" t="s">
        <v>2350</v>
      </c>
      <c r="O344" s="5">
        <v>46197.41748290509</v>
      </c>
      <c r="P344" t="str">
        <f>IF($Q344="DELETE",IF($S344="CONFIRMED: NO MODS &gt; 1YR","CONFIRMED: NO MODS &gt; 1YR","DO NOT DELETE — not defensibly confirmed"),IF($Q344="HOLD","DO NOT DELETE — HOLD (Charlie review)",IF($Q344="KEEP","DO NOT DELETE — KEEP",IF(ISNUMBER(SEARCH("REVIEW",$Q344)),"DO NOT DELETE — REVIEW pending",$S344))))</f>
        <v>DO NOT DELETE — REVIEW pending</v>
      </c>
      <c r="Q344" t="str" cm="1">
        <f t="array" ref="Q344">_xlfn.IFS(AND($A344="thg-beauty",ISNUMBER(SEARCH("liveramp",$C344))),"DELETE",$A344="agile-bonbon-662",_xlfn.IFS(LEFT($G344,9)="Tranche 1","DELETE",$C344="Sessions_Level_1_All_Sites","KEEP",ISNUMBER(--$C344),"REVIEW — UA raw logs",$C344="Emag_Reporting","KEEP",$C344="Nutrition_Data_Archived_Tables","KEEP",$C344="EU_Data","KEEP",TRUE,"REVIEW"),OR($A344="thg-influencer",$A344="thg-ingenuity",$A344="thg-central-marketing",$A344="thg-seoclarity"),"HOLD",TRUE,"")</f>
        <v>REVIEW</v>
      </c>
      <c r="R344" t="str" cm="1">
        <f t="array" ref="R344">_xlfn.IFS(AND($A344="thg-beauty",ISNUMBER(SEARCH("liveramp",$C344))),"thg-beauty Liveramp dataset — confirmed safe to delete",$A344="agile-bonbon-662",_xlfn.IFS(LEFT($G344,9)="Tranche 1","Tranche 1: cleared",$C344="Sessions_Level_1_All_Sites","Downstream aggregation of UA raw logs — keep if raw tables go",ISNUMBER(--$C344),"UA raw site logs (account ID) — keep pending audit-retention check",$C344="Emag_Reporting","Legacy but likely needed",$C344="Nutrition_Data_Archived_Tables","Worth keeping",$C344="EU_Data","Static lookup tables — scripts still reference (smoke-test risk)",TRUE,"Review"),OR($A344="thg-influencer",$A344="thg-ingenuity",$A344="thg-central-marketing",$A344="thg-seoclarity"),"HOLD — Charlie Stringer to review before deletion",TRUE,"")</f>
        <v>Review</v>
      </c>
      <c r="S344" t="s">
        <v>1624</v>
      </c>
    </row>
    <row r="345" spans="1:19" ht="76.5" hidden="1">
      <c r="A345" t="s">
        <v>1471</v>
      </c>
      <c r="B345" t="s">
        <v>1619</v>
      </c>
      <c r="C345" t="s">
        <v>2351</v>
      </c>
      <c r="D345" s="2" t="s">
        <v>1621</v>
      </c>
      <c r="E345">
        <v>1018.5</v>
      </c>
      <c r="F345">
        <v>20.37</v>
      </c>
      <c r="G345" t="s">
        <v>79</v>
      </c>
      <c r="H345" t="s">
        <v>81</v>
      </c>
      <c r="I345">
        <v>0</v>
      </c>
      <c r="J345">
        <v>0</v>
      </c>
      <c r="K345" s="5">
        <v>46197.436332488433</v>
      </c>
      <c r="L345" s="5">
        <v>46197.43505644676</v>
      </c>
      <c r="M345" s="2" t="s">
        <v>2352</v>
      </c>
      <c r="N345" s="2" t="s">
        <v>2353</v>
      </c>
      <c r="O345" s="5">
        <v>46197.435226018519</v>
      </c>
      <c r="P345" t="str">
        <f>IF($Q345="DELETE",IF($S345="CONFIRMED: NO MODS &gt; 1YR","CONFIRMED: NO MODS &gt; 1YR","DO NOT DELETE — not defensibly confirmed"),IF($Q345="HOLD","DO NOT DELETE — HOLD (Charlie review)",IF($Q345="KEEP","DO NOT DELETE — KEEP",IF(ISNUMBER(SEARCH("REVIEW",$Q345)),"DO NOT DELETE — REVIEW pending",$S345))))</f>
        <v>CONFIRMED: NO MODS &gt; 1YR</v>
      </c>
      <c r="Q345" t="str" cm="1">
        <f t="array" ref="Q345">_xlfn.IFS(AND($A345="thg-beauty",ISNUMBER(SEARCH("liveramp",$C345))),"DELETE",$A345="agile-bonbon-662",_xlfn.IFS(LEFT($G345,9)="Tranche 1","DELETE",$C345="Sessions_Level_1_All_Sites","KEEP",ISNUMBER(--$C345),"REVIEW — UA raw logs",$C345="Emag_Reporting","KEEP",$C345="Nutrition_Data_Archived_Tables","KEEP",$C345="EU_Data","KEEP",TRUE,"REVIEW"),OR($A345="thg-influencer",$A345="thg-ingenuity",$A345="thg-central-marketing",$A345="thg-seoclarity"),"HOLD",TRUE,"")</f>
        <v/>
      </c>
      <c r="R345" t="str" cm="1">
        <f t="array" ref="R345">_xlfn.IFS(AND($A345="thg-beauty",ISNUMBER(SEARCH("liveramp",$C345))),"thg-beauty Liveramp dataset — confirmed safe to delete",$A345="agile-bonbon-662",_xlfn.IFS(LEFT($G345,9)="Tranche 1","Tranche 1: cleared",$C345="Sessions_Level_1_All_Sites","Downstream aggregation of UA raw logs — keep if raw tables go",ISNUMBER(--$C345),"UA raw site logs (account ID) — keep pending audit-retention check",$C345="Emag_Reporting","Legacy but likely needed",$C345="Nutrition_Data_Archived_Tables","Worth keeping",$C345="EU_Data","Static lookup tables — scripts still reference (smoke-test risk)",TRUE,"Review"),OR($A345="thg-influencer",$A345="thg-ingenuity",$A345="thg-central-marketing",$A345="thg-seoclarity"),"HOLD — Charlie Stringer to review before deletion",TRUE,"")</f>
        <v/>
      </c>
      <c r="S345" t="s">
        <v>1624</v>
      </c>
    </row>
    <row r="346" spans="1:19" ht="76.5" hidden="1">
      <c r="A346" t="s">
        <v>89</v>
      </c>
      <c r="B346" t="s">
        <v>1619</v>
      </c>
      <c r="C346" t="s">
        <v>2354</v>
      </c>
      <c r="D346" s="2" t="s">
        <v>1621</v>
      </c>
      <c r="E346">
        <v>904.15</v>
      </c>
      <c r="F346">
        <v>18.079999999999998</v>
      </c>
      <c r="G346" t="s">
        <v>79</v>
      </c>
      <c r="H346" t="s">
        <v>81</v>
      </c>
      <c r="I346">
        <v>0</v>
      </c>
      <c r="J346">
        <v>0</v>
      </c>
      <c r="K346" s="5">
        <v>46196.750444907397</v>
      </c>
      <c r="L346" s="5">
        <v>46197.440112349534</v>
      </c>
      <c r="M346" s="2" t="s">
        <v>2355</v>
      </c>
      <c r="N346" s="2" t="s">
        <v>2356</v>
      </c>
      <c r="O346" s="5">
        <v>46197.440163900457</v>
      </c>
      <c r="P346" t="str">
        <f>IF($Q346="DELETE",IF($S346="CONFIRMED: NO MODS &gt; 1YR","CONFIRMED: NO MODS &gt; 1YR","DO NOT DELETE — not defensibly confirmed"),IF($Q346="HOLD","DO NOT DELETE — HOLD (Charlie review)",IF($Q346="KEEP","DO NOT DELETE — KEEP",IF(ISNUMBER(SEARCH("REVIEW",$Q346)),"DO NOT DELETE — REVIEW pending",$S346))))</f>
        <v>DO NOT DELETE — REVIEW pending</v>
      </c>
      <c r="Q346" t="str" cm="1">
        <f t="array" ref="Q346">_xlfn.IFS(AND($A346="thg-beauty",ISNUMBER(SEARCH("liveramp",$C346))),"DELETE",$A346="agile-bonbon-662",_xlfn.IFS(LEFT($G346,9)="Tranche 1","DELETE",$C346="Sessions_Level_1_All_Sites","KEEP",ISNUMBER(--$C346),"REVIEW — UA raw logs",$C346="Emag_Reporting","KEEP",$C346="Nutrition_Data_Archived_Tables","KEEP",$C346="EU_Data","KEEP",TRUE,"REVIEW"),OR($A346="thg-influencer",$A346="thg-ingenuity",$A346="thg-central-marketing",$A346="thg-seoclarity"),"HOLD",TRUE,"")</f>
        <v>REVIEW</v>
      </c>
      <c r="R346" t="str" cm="1">
        <f t="array" ref="R346">_xlfn.IFS(AND($A346="thg-beauty",ISNUMBER(SEARCH("liveramp",$C346))),"thg-beauty Liveramp dataset — confirmed safe to delete",$A346="agile-bonbon-662",_xlfn.IFS(LEFT($G346,9)="Tranche 1","Tranche 1: cleared",$C346="Sessions_Level_1_All_Sites","Downstream aggregation of UA raw logs — keep if raw tables go",ISNUMBER(--$C346),"UA raw site logs (account ID) — keep pending audit-retention check",$C346="Emag_Reporting","Legacy but likely needed",$C346="Nutrition_Data_Archived_Tables","Worth keeping",$C346="EU_Data","Static lookup tables — scripts still reference (smoke-test risk)",TRUE,"Review"),OR($A346="thg-influencer",$A346="thg-ingenuity",$A346="thg-central-marketing",$A346="thg-seoclarity"),"HOLD — Charlie Stringer to review before deletion",TRUE,"")</f>
        <v>Review</v>
      </c>
      <c r="S346" t="s">
        <v>1624</v>
      </c>
    </row>
    <row r="347" spans="1:19" ht="76.5" hidden="1">
      <c r="A347" t="s">
        <v>2357</v>
      </c>
      <c r="B347" t="s">
        <v>1619</v>
      </c>
      <c r="C347" t="s">
        <v>2358</v>
      </c>
      <c r="D347" s="2" t="s">
        <v>1621</v>
      </c>
      <c r="E347">
        <v>831.52</v>
      </c>
      <c r="F347">
        <v>16.63</v>
      </c>
      <c r="G347" t="s">
        <v>79</v>
      </c>
      <c r="H347" t="s">
        <v>81</v>
      </c>
      <c r="I347">
        <v>0</v>
      </c>
      <c r="J347">
        <v>0</v>
      </c>
      <c r="K347" s="5">
        <v>46177.323881574077</v>
      </c>
      <c r="M347" s="2" t="s">
        <v>2359</v>
      </c>
      <c r="N347" s="2" t="s">
        <v>1701</v>
      </c>
      <c r="O347" s="5">
        <v>46197.452779479157</v>
      </c>
      <c r="P347" t="str">
        <f>IF($Q347="DELETE",IF($S347="CONFIRMED: NO MODS &gt; 1YR","CONFIRMED: NO MODS &gt; 1YR","DO NOT DELETE — not defensibly confirmed"),IF($Q347="HOLD","DO NOT DELETE — HOLD (Charlie review)",IF($Q347="KEEP","DO NOT DELETE — KEEP",IF(ISNUMBER(SEARCH("REVIEW",$Q347)),"DO NOT DELETE — REVIEW pending",$S347))))</f>
        <v>CONFIRMED: NO MODS &gt; 1YR</v>
      </c>
      <c r="Q347" t="str" cm="1">
        <f t="array" ref="Q347">_xlfn.IFS(AND($A347="thg-beauty",ISNUMBER(SEARCH("liveramp",$C347))),"DELETE",$A347="agile-bonbon-662",_xlfn.IFS(LEFT($G347,9)="Tranche 1","DELETE",$C347="Sessions_Level_1_All_Sites","KEEP",ISNUMBER(--$C347),"REVIEW — UA raw logs",$C347="Emag_Reporting","KEEP",$C347="Nutrition_Data_Archived_Tables","KEEP",$C347="EU_Data","KEEP",TRUE,"REVIEW"),OR($A347="thg-influencer",$A347="thg-ingenuity",$A347="thg-central-marketing",$A347="thg-seoclarity"),"HOLD",TRUE,"")</f>
        <v/>
      </c>
      <c r="R347" t="str" cm="1">
        <f t="array" ref="R347">_xlfn.IFS(AND($A347="thg-beauty",ISNUMBER(SEARCH("liveramp",$C347))),"thg-beauty Liveramp dataset — confirmed safe to delete",$A347="agile-bonbon-662",_xlfn.IFS(LEFT($G347,9)="Tranche 1","Tranche 1: cleared",$C347="Sessions_Level_1_All_Sites","Downstream aggregation of UA raw logs — keep if raw tables go",ISNUMBER(--$C347),"UA raw site logs (account ID) — keep pending audit-retention check",$C347="Emag_Reporting","Legacy but likely needed",$C347="Nutrition_Data_Archived_Tables","Worth keeping",$C347="EU_Data","Static lookup tables — scripts still reference (smoke-test risk)",TRUE,"Review"),OR($A347="thg-influencer",$A347="thg-ingenuity",$A347="thg-central-marketing",$A347="thg-seoclarity"),"HOLD — Charlie Stringer to review before deletion",TRUE,"")</f>
        <v/>
      </c>
      <c r="S347" t="s">
        <v>1624</v>
      </c>
    </row>
    <row r="348" spans="1:19" ht="76.5" hidden="1">
      <c r="A348" t="s">
        <v>90</v>
      </c>
      <c r="B348" t="s">
        <v>1619</v>
      </c>
      <c r="C348" t="s">
        <v>2360</v>
      </c>
      <c r="D348" s="2" t="s">
        <v>1621</v>
      </c>
      <c r="E348">
        <v>782.04</v>
      </c>
      <c r="F348">
        <v>15.64</v>
      </c>
      <c r="G348" t="s">
        <v>79</v>
      </c>
      <c r="H348" t="s">
        <v>81</v>
      </c>
      <c r="I348">
        <v>0</v>
      </c>
      <c r="J348">
        <v>0</v>
      </c>
      <c r="K348" s="5">
        <v>46197.20863040509</v>
      </c>
      <c r="L348" s="5">
        <v>46197.20863040509</v>
      </c>
      <c r="M348" s="2" t="s">
        <v>2361</v>
      </c>
      <c r="N348" s="2" t="s">
        <v>2362</v>
      </c>
      <c r="O348" s="5">
        <v>46197.208652754627</v>
      </c>
      <c r="P348" t="str">
        <f>IF($Q348="DELETE",IF($S348="CONFIRMED: NO MODS &gt; 1YR","CONFIRMED: NO MODS &gt; 1YR","DO NOT DELETE — not defensibly confirmed"),IF($Q348="HOLD","DO NOT DELETE — HOLD (Charlie review)",IF($Q348="KEEP","DO NOT DELETE — KEEP",IF(ISNUMBER(SEARCH("REVIEW",$Q348)),"DO NOT DELETE — REVIEW pending",$S348))))</f>
        <v>CONFIRMED: NO MODS &gt; 1YR</v>
      </c>
      <c r="Q348" t="str" cm="1">
        <f t="array" ref="Q348">_xlfn.IFS(AND($A348="thg-beauty",ISNUMBER(SEARCH("liveramp",$C348))),"DELETE",$A348="agile-bonbon-662",_xlfn.IFS(LEFT($G348,9)="Tranche 1","DELETE",$C348="Sessions_Level_1_All_Sites","KEEP",ISNUMBER(--$C348),"REVIEW — UA raw logs",$C348="Emag_Reporting","KEEP",$C348="Nutrition_Data_Archived_Tables","KEEP",$C348="EU_Data","KEEP",TRUE,"REVIEW"),OR($A348="thg-influencer",$A348="thg-ingenuity",$A348="thg-central-marketing",$A348="thg-seoclarity"),"HOLD",TRUE,"")</f>
        <v/>
      </c>
      <c r="R348" t="str" cm="1">
        <f t="array" ref="R348">_xlfn.IFS(AND($A348="thg-beauty",ISNUMBER(SEARCH("liveramp",$C348))),"thg-beauty Liveramp dataset — confirmed safe to delete",$A348="agile-bonbon-662",_xlfn.IFS(LEFT($G348,9)="Tranche 1","Tranche 1: cleared",$C348="Sessions_Level_1_All_Sites","Downstream aggregation of UA raw logs — keep if raw tables go",ISNUMBER(--$C348),"UA raw site logs (account ID) — keep pending audit-retention check",$C348="Emag_Reporting","Legacy but likely needed",$C348="Nutrition_Data_Archived_Tables","Worth keeping",$C348="EU_Data","Static lookup tables — scripts still reference (smoke-test risk)",TRUE,"Review"),OR($A348="thg-influencer",$A348="thg-ingenuity",$A348="thg-central-marketing",$A348="thg-seoclarity"),"HOLD — Charlie Stringer to review before deletion",TRUE,"")</f>
        <v/>
      </c>
      <c r="S348" t="s">
        <v>1624</v>
      </c>
    </row>
    <row r="349" spans="1:19" ht="76.5" hidden="1">
      <c r="A349" t="s">
        <v>92</v>
      </c>
      <c r="B349" t="s">
        <v>1619</v>
      </c>
      <c r="C349" t="s">
        <v>2363</v>
      </c>
      <c r="D349" s="2" t="s">
        <v>1621</v>
      </c>
      <c r="E349">
        <v>15.96</v>
      </c>
      <c r="F349">
        <v>0.32</v>
      </c>
      <c r="G349" t="s">
        <v>79</v>
      </c>
      <c r="H349" t="s">
        <v>81</v>
      </c>
      <c r="I349">
        <v>0</v>
      </c>
      <c r="J349">
        <v>0</v>
      </c>
      <c r="K349" s="5">
        <v>46197.130682256953</v>
      </c>
      <c r="L349" s="5">
        <v>46197.100313587973</v>
      </c>
      <c r="M349" s="2" t="s">
        <v>2364</v>
      </c>
      <c r="N349" s="2" t="s">
        <v>2365</v>
      </c>
      <c r="O349" s="5">
        <v>46197.100452800929</v>
      </c>
      <c r="P349" t="str">
        <f>IF($Q349="DELETE",IF($S349="CONFIRMED: NO MODS &gt; 1YR","CONFIRMED: NO MODS &gt; 1YR","DO NOT DELETE — not defensibly confirmed"),IF($Q349="HOLD","DO NOT DELETE — HOLD (Charlie review)",IF($Q349="KEEP","DO NOT DELETE — KEEP",IF(ISNUMBER(SEARCH("REVIEW",$Q349)),"DO NOT DELETE — REVIEW pending",$S349))))</f>
        <v>CONFIRMED: NO MODS &gt; 1YR</v>
      </c>
      <c r="Q349" t="str" cm="1">
        <f t="array" ref="Q349">_xlfn.IFS(AND($A349="thg-beauty",ISNUMBER(SEARCH("liveramp",$C349))),"DELETE",$A349="agile-bonbon-662",_xlfn.IFS(LEFT($G349,9)="Tranche 1","DELETE",$C349="Sessions_Level_1_All_Sites","KEEP",ISNUMBER(--$C349),"REVIEW — UA raw logs",$C349="Emag_Reporting","KEEP",$C349="Nutrition_Data_Archived_Tables","KEEP",$C349="EU_Data","KEEP",TRUE,"REVIEW"),OR($A349="thg-influencer",$A349="thg-ingenuity",$A349="thg-central-marketing",$A349="thg-seoclarity"),"HOLD",TRUE,"")</f>
        <v/>
      </c>
      <c r="R349" t="str" cm="1">
        <f t="array" ref="R349">_xlfn.IFS(AND($A349="thg-beauty",ISNUMBER(SEARCH("liveramp",$C349))),"thg-beauty Liveramp dataset — confirmed safe to delete",$A349="agile-bonbon-662",_xlfn.IFS(LEFT($G349,9)="Tranche 1","Tranche 1: cleared",$C349="Sessions_Level_1_All_Sites","Downstream aggregation of UA raw logs — keep if raw tables go",ISNUMBER(--$C349),"UA raw site logs (account ID) — keep pending audit-retention check",$C349="Emag_Reporting","Legacy but likely needed",$C349="Nutrition_Data_Archived_Tables","Worth keeping",$C349="EU_Data","Static lookup tables — scripts still reference (smoke-test risk)",TRUE,"Review"),OR($A349="thg-influencer",$A349="thg-ingenuity",$A349="thg-central-marketing",$A349="thg-seoclarity"),"HOLD — Charlie Stringer to review before deletion",TRUE,"")</f>
        <v/>
      </c>
      <c r="S349" t="s">
        <v>1624</v>
      </c>
    </row>
    <row r="350" spans="1:19" ht="76.5" hidden="1">
      <c r="A350" t="s">
        <v>89</v>
      </c>
      <c r="B350" t="s">
        <v>1619</v>
      </c>
      <c r="C350" t="s">
        <v>2366</v>
      </c>
      <c r="D350" s="2" t="s">
        <v>1621</v>
      </c>
      <c r="E350">
        <v>728.26</v>
      </c>
      <c r="F350">
        <v>14.57</v>
      </c>
      <c r="G350" t="s">
        <v>79</v>
      </c>
      <c r="H350" t="s">
        <v>81</v>
      </c>
      <c r="I350">
        <v>0</v>
      </c>
      <c r="J350">
        <v>0</v>
      </c>
      <c r="K350" s="5">
        <v>46194.125200995368</v>
      </c>
      <c r="L350" s="5">
        <v>46197.323725671296</v>
      </c>
      <c r="M350" s="2" t="s">
        <v>2260</v>
      </c>
      <c r="N350" s="2" t="s">
        <v>2367</v>
      </c>
      <c r="O350" s="5">
        <v>46197.422094502312</v>
      </c>
      <c r="P350" t="str">
        <f>IF($Q350="DELETE",IF($S350="CONFIRMED: NO MODS &gt; 1YR","CONFIRMED: NO MODS &gt; 1YR","DO NOT DELETE — not defensibly confirmed"),IF($Q350="HOLD","DO NOT DELETE — HOLD (Charlie review)",IF($Q350="KEEP","DO NOT DELETE — KEEP",IF(ISNUMBER(SEARCH("REVIEW",$Q350)),"DO NOT DELETE — REVIEW pending",$S350))))</f>
        <v>DO NOT DELETE — REVIEW pending</v>
      </c>
      <c r="Q350" t="str" cm="1">
        <f t="array" ref="Q350">_xlfn.IFS(AND($A350="thg-beauty",ISNUMBER(SEARCH("liveramp",$C350))),"DELETE",$A350="agile-bonbon-662",_xlfn.IFS(LEFT($G350,9)="Tranche 1","DELETE",$C350="Sessions_Level_1_All_Sites","KEEP",ISNUMBER(--$C350),"REVIEW — UA raw logs",$C350="Emag_Reporting","KEEP",$C350="Nutrition_Data_Archived_Tables","KEEP",$C350="EU_Data","KEEP",TRUE,"REVIEW"),OR($A350="thg-influencer",$A350="thg-ingenuity",$A350="thg-central-marketing",$A350="thg-seoclarity"),"HOLD",TRUE,"")</f>
        <v>REVIEW</v>
      </c>
      <c r="R350" t="str" cm="1">
        <f t="array" ref="R350">_xlfn.IFS(AND($A350="thg-beauty",ISNUMBER(SEARCH("liveramp",$C350))),"thg-beauty Liveramp dataset — confirmed safe to delete",$A350="agile-bonbon-662",_xlfn.IFS(LEFT($G350,9)="Tranche 1","Tranche 1: cleared",$C350="Sessions_Level_1_All_Sites","Downstream aggregation of UA raw logs — keep if raw tables go",ISNUMBER(--$C350),"UA raw site logs (account ID) — keep pending audit-retention check",$C350="Emag_Reporting","Legacy but likely needed",$C350="Nutrition_Data_Archived_Tables","Worth keeping",$C350="EU_Data","Static lookup tables — scripts still reference (smoke-test risk)",TRUE,"Review"),OR($A350="thg-influencer",$A350="thg-ingenuity",$A350="thg-central-marketing",$A350="thg-seoclarity"),"HOLD — Charlie Stringer to review before deletion",TRUE,"")</f>
        <v>Review</v>
      </c>
      <c r="S350" t="s">
        <v>1624</v>
      </c>
    </row>
    <row r="351" spans="1:19" hidden="1">
      <c r="A351" t="s">
        <v>38</v>
      </c>
      <c r="B351" t="s">
        <v>1619</v>
      </c>
      <c r="C351" t="s">
        <v>2081</v>
      </c>
      <c r="D351" s="2" t="s">
        <v>1621</v>
      </c>
      <c r="E351">
        <v>727.01</v>
      </c>
      <c r="F351">
        <v>14.54</v>
      </c>
      <c r="G351" t="s">
        <v>79</v>
      </c>
      <c r="H351" t="s">
        <v>81</v>
      </c>
      <c r="I351">
        <v>0</v>
      </c>
      <c r="J351">
        <v>0</v>
      </c>
      <c r="M351" s="2" t="s">
        <v>1715</v>
      </c>
      <c r="N351" s="2" t="s">
        <v>1701</v>
      </c>
      <c r="O351" s="5">
        <v>46197.439822592591</v>
      </c>
      <c r="P351" t="str">
        <f>IF($Q351="DELETE",IF($S351="CONFIRMED: NO MODS &gt; 1YR","CONFIRMED: NO MODS &gt; 1YR","DO NOT DELETE — not defensibly confirmed"),IF($Q351="HOLD","DO NOT DELETE — HOLD (Charlie review)",IF($Q351="KEEP","DO NOT DELETE — KEEP",IF(ISNUMBER(SEARCH("REVIEW",$Q351)),"DO NOT DELETE — REVIEW pending",$S351))))</f>
        <v>DO NOT DELETE — HOLD (Charlie review)</v>
      </c>
      <c r="Q351" t="str" cm="1">
        <f t="array" ref="Q351">_xlfn.IFS(AND($A351="thg-beauty",ISNUMBER(SEARCH("liveramp",$C351))),"DELETE",$A351="agile-bonbon-662",_xlfn.IFS(LEFT($G351,9)="Tranche 1","DELETE",$C351="Sessions_Level_1_All_Sites","KEEP",ISNUMBER(--$C351),"REVIEW — UA raw logs",$C351="Emag_Reporting","KEEP",$C351="Nutrition_Data_Archived_Tables","KEEP",$C351="EU_Data","KEEP",TRUE,"REVIEW"),OR($A351="thg-influencer",$A351="thg-ingenuity",$A351="thg-central-marketing",$A351="thg-seoclarity"),"HOLD",TRUE,"")</f>
        <v>HOLD</v>
      </c>
      <c r="R351" t="str" cm="1">
        <f t="array" ref="R351">_xlfn.IFS(AND($A351="thg-beauty",ISNUMBER(SEARCH("liveramp",$C351))),"thg-beauty Liveramp dataset — confirmed safe to delete",$A351="agile-bonbon-662",_xlfn.IFS(LEFT($G351,9)="Tranche 1","Tranche 1: cleared",$C351="Sessions_Level_1_All_Sites","Downstream aggregation of UA raw logs — keep if raw tables go",ISNUMBER(--$C351),"UA raw site logs (account ID) — keep pending audit-retention check",$C351="Emag_Reporting","Legacy but likely needed",$C351="Nutrition_Data_Archived_Tables","Worth keeping",$C351="EU_Data","Static lookup tables — scripts still reference (smoke-test risk)",TRUE,"Review"),OR($A351="thg-influencer",$A351="thg-ingenuity",$A351="thg-central-marketing",$A351="thg-seoclarity"),"HOLD — Charlie Stringer to review before deletion",TRUE,"")</f>
        <v>HOLD — Charlie Stringer to review before deletion</v>
      </c>
      <c r="S351" t="s">
        <v>1624</v>
      </c>
    </row>
    <row r="352" spans="1:19" ht="76.5" hidden="1">
      <c r="A352" t="s">
        <v>92</v>
      </c>
      <c r="B352" t="s">
        <v>1619</v>
      </c>
      <c r="C352" t="s">
        <v>2368</v>
      </c>
      <c r="D352" s="2" t="s">
        <v>1621</v>
      </c>
      <c r="E352">
        <v>15.67</v>
      </c>
      <c r="F352">
        <v>0.31</v>
      </c>
      <c r="G352" t="s">
        <v>79</v>
      </c>
      <c r="H352" t="s">
        <v>81</v>
      </c>
      <c r="I352">
        <v>0</v>
      </c>
      <c r="J352">
        <v>0</v>
      </c>
      <c r="K352" s="5">
        <v>46197.240184699083</v>
      </c>
      <c r="L352" s="5">
        <v>46197.120590659717</v>
      </c>
      <c r="M352" s="2" t="s">
        <v>2369</v>
      </c>
      <c r="N352" s="2" t="s">
        <v>2370</v>
      </c>
      <c r="O352" s="5">
        <v>46197.120973159719</v>
      </c>
      <c r="P352" t="str">
        <f>IF($Q352="DELETE",IF($S352="CONFIRMED: NO MODS &gt; 1YR","CONFIRMED: NO MODS &gt; 1YR","DO NOT DELETE — not defensibly confirmed"),IF($Q352="HOLD","DO NOT DELETE — HOLD (Charlie review)",IF($Q352="KEEP","DO NOT DELETE — KEEP",IF(ISNUMBER(SEARCH("REVIEW",$Q352)),"DO NOT DELETE — REVIEW pending",$S352))))</f>
        <v>CONFIRMED: NO MODS &gt; 1YR</v>
      </c>
      <c r="Q352" t="str" cm="1">
        <f t="array" ref="Q352">_xlfn.IFS(AND($A352="thg-beauty",ISNUMBER(SEARCH("liveramp",$C352))),"DELETE",$A352="agile-bonbon-662",_xlfn.IFS(LEFT($G352,9)="Tranche 1","DELETE",$C352="Sessions_Level_1_All_Sites","KEEP",ISNUMBER(--$C352),"REVIEW — UA raw logs",$C352="Emag_Reporting","KEEP",$C352="Nutrition_Data_Archived_Tables","KEEP",$C352="EU_Data","KEEP",TRUE,"REVIEW"),OR($A352="thg-influencer",$A352="thg-ingenuity",$A352="thg-central-marketing",$A352="thg-seoclarity"),"HOLD",TRUE,"")</f>
        <v/>
      </c>
      <c r="R352" t="str" cm="1">
        <f t="array" ref="R352">_xlfn.IFS(AND($A352="thg-beauty",ISNUMBER(SEARCH("liveramp",$C352))),"thg-beauty Liveramp dataset — confirmed safe to delete",$A352="agile-bonbon-662",_xlfn.IFS(LEFT($G352,9)="Tranche 1","Tranche 1: cleared",$C352="Sessions_Level_1_All_Sites","Downstream aggregation of UA raw logs — keep if raw tables go",ISNUMBER(--$C352),"UA raw site logs (account ID) — keep pending audit-retention check",$C352="Emag_Reporting","Legacy but likely needed",$C352="Nutrition_Data_Archived_Tables","Worth keeping",$C352="EU_Data","Static lookup tables — scripts still reference (smoke-test risk)",TRUE,"Review"),OR($A352="thg-influencer",$A352="thg-ingenuity",$A352="thg-central-marketing",$A352="thg-seoclarity"),"HOLD — Charlie Stringer to review before deletion",TRUE,"")</f>
        <v/>
      </c>
      <c r="S352" t="s">
        <v>1624</v>
      </c>
    </row>
    <row r="353" spans="1:19" hidden="1">
      <c r="A353" t="s">
        <v>39</v>
      </c>
      <c r="B353" t="s">
        <v>1724</v>
      </c>
      <c r="C353" t="s">
        <v>2371</v>
      </c>
      <c r="D353" s="2" t="s">
        <v>1621</v>
      </c>
      <c r="E353">
        <v>715.55</v>
      </c>
      <c r="F353">
        <v>14.31</v>
      </c>
      <c r="G353" t="s">
        <v>79</v>
      </c>
      <c r="H353" t="s">
        <v>81</v>
      </c>
      <c r="I353">
        <v>0</v>
      </c>
      <c r="J353">
        <v>0</v>
      </c>
      <c r="M353" s="2" t="s">
        <v>1715</v>
      </c>
      <c r="N353" s="2" t="s">
        <v>1701</v>
      </c>
      <c r="O353" s="5">
        <v>46197.417386041663</v>
      </c>
      <c r="P353" t="str">
        <f>IF($Q353="DELETE",IF($S353="CONFIRMED: NO MODS &gt; 1YR","CONFIRMED: NO MODS &gt; 1YR","DO NOT DELETE — not defensibly confirmed"),IF($Q353="HOLD","DO NOT DELETE — HOLD (Charlie review)",IF($Q353="KEEP","DO NOT DELETE — KEEP",IF(ISNUMBER(SEARCH("REVIEW",$Q353)),"DO NOT DELETE — REVIEW pending",$S353))))</f>
        <v>DO NOT DELETE — HOLD (Charlie review)</v>
      </c>
      <c r="Q353" t="str" cm="1">
        <f t="array" ref="Q353">_xlfn.IFS(AND($A353="thg-beauty",ISNUMBER(SEARCH("liveramp",$C353))),"DELETE",$A353="agile-bonbon-662",_xlfn.IFS(LEFT($G353,9)="Tranche 1","DELETE",$C353="Sessions_Level_1_All_Sites","KEEP",ISNUMBER(--$C353),"REVIEW — UA raw logs",$C353="Emag_Reporting","KEEP",$C353="Nutrition_Data_Archived_Tables","KEEP",$C353="EU_Data","KEEP",TRUE,"REVIEW"),OR($A353="thg-influencer",$A353="thg-ingenuity",$A353="thg-central-marketing",$A353="thg-seoclarity"),"HOLD",TRUE,"")</f>
        <v>HOLD</v>
      </c>
      <c r="R353" t="str" cm="1">
        <f t="array" ref="R353">_xlfn.IFS(AND($A353="thg-beauty",ISNUMBER(SEARCH("liveramp",$C353))),"thg-beauty Liveramp dataset — confirmed safe to delete",$A353="agile-bonbon-662",_xlfn.IFS(LEFT($G353,9)="Tranche 1","Tranche 1: cleared",$C353="Sessions_Level_1_All_Sites","Downstream aggregation of UA raw logs — keep if raw tables go",ISNUMBER(--$C353),"UA raw site logs (account ID) — keep pending audit-retention check",$C353="Emag_Reporting","Legacy but likely needed",$C353="Nutrition_Data_Archived_Tables","Worth keeping",$C353="EU_Data","Static lookup tables — scripts still reference (smoke-test risk)",TRUE,"Review"),OR($A353="thg-influencer",$A353="thg-ingenuity",$A353="thg-central-marketing",$A353="thg-seoclarity"),"HOLD — Charlie Stringer to review before deletion",TRUE,"")</f>
        <v>HOLD — Charlie Stringer to review before deletion</v>
      </c>
      <c r="S353" t="s">
        <v>1624</v>
      </c>
    </row>
    <row r="354" spans="1:19" ht="76.5" hidden="1">
      <c r="A354" t="s">
        <v>39</v>
      </c>
      <c r="B354" t="s">
        <v>1619</v>
      </c>
      <c r="C354" t="s">
        <v>2371</v>
      </c>
      <c r="D354" s="2" t="s">
        <v>1621</v>
      </c>
      <c r="E354">
        <v>715.55</v>
      </c>
      <c r="F354">
        <v>14.31</v>
      </c>
      <c r="G354" t="s">
        <v>79</v>
      </c>
      <c r="H354" t="s">
        <v>81</v>
      </c>
      <c r="I354">
        <v>0</v>
      </c>
      <c r="J354">
        <v>0</v>
      </c>
      <c r="K354" s="5">
        <v>46197.449615868063</v>
      </c>
      <c r="L354" s="5">
        <v>46197.449698750002</v>
      </c>
      <c r="M354" s="2" t="s">
        <v>2372</v>
      </c>
      <c r="N354" s="2" t="s">
        <v>2373</v>
      </c>
      <c r="O354" s="5">
        <v>46197.44973965278</v>
      </c>
      <c r="P354" t="str">
        <f>IF($Q354="DELETE",IF($S354="CONFIRMED: NO MODS &gt; 1YR","CONFIRMED: NO MODS &gt; 1YR","DO NOT DELETE — not defensibly confirmed"),IF($Q354="HOLD","DO NOT DELETE — HOLD (Charlie review)",IF($Q354="KEEP","DO NOT DELETE — KEEP",IF(ISNUMBER(SEARCH("REVIEW",$Q354)),"DO NOT DELETE — REVIEW pending",$S354))))</f>
        <v>DO NOT DELETE — HOLD (Charlie review)</v>
      </c>
      <c r="Q354" t="str" cm="1">
        <f t="array" ref="Q354">_xlfn.IFS(AND($A354="thg-beauty",ISNUMBER(SEARCH("liveramp",$C354))),"DELETE",$A354="agile-bonbon-662",_xlfn.IFS(LEFT($G354,9)="Tranche 1","DELETE",$C354="Sessions_Level_1_All_Sites","KEEP",ISNUMBER(--$C354),"REVIEW — UA raw logs",$C354="Emag_Reporting","KEEP",$C354="Nutrition_Data_Archived_Tables","KEEP",$C354="EU_Data","KEEP",TRUE,"REVIEW"),OR($A354="thg-influencer",$A354="thg-ingenuity",$A354="thg-central-marketing",$A354="thg-seoclarity"),"HOLD",TRUE,"")</f>
        <v>HOLD</v>
      </c>
      <c r="R354" t="str" cm="1">
        <f t="array" ref="R354">_xlfn.IFS(AND($A354="thg-beauty",ISNUMBER(SEARCH("liveramp",$C354))),"thg-beauty Liveramp dataset — confirmed safe to delete",$A354="agile-bonbon-662",_xlfn.IFS(LEFT($G354,9)="Tranche 1","Tranche 1: cleared",$C354="Sessions_Level_1_All_Sites","Downstream aggregation of UA raw logs — keep if raw tables go",ISNUMBER(--$C354),"UA raw site logs (account ID) — keep pending audit-retention check",$C354="Emag_Reporting","Legacy but likely needed",$C354="Nutrition_Data_Archived_Tables","Worth keeping",$C354="EU_Data","Static lookup tables — scripts still reference (smoke-test risk)",TRUE,"Review"),OR($A354="thg-influencer",$A354="thg-ingenuity",$A354="thg-central-marketing",$A354="thg-seoclarity"),"HOLD — Charlie Stringer to review before deletion",TRUE,"")</f>
        <v>HOLD — Charlie Stringer to review before deletion</v>
      </c>
      <c r="S354" t="s">
        <v>1624</v>
      </c>
    </row>
    <row r="355" spans="1:19" ht="76.5" hidden="1">
      <c r="A355" t="s">
        <v>89</v>
      </c>
      <c r="B355" t="s">
        <v>1619</v>
      </c>
      <c r="C355" t="s">
        <v>2374</v>
      </c>
      <c r="D355" s="2" t="s">
        <v>1621</v>
      </c>
      <c r="E355">
        <v>703.96</v>
      </c>
      <c r="F355">
        <v>14.08</v>
      </c>
      <c r="G355" t="s">
        <v>79</v>
      </c>
      <c r="H355" t="s">
        <v>81</v>
      </c>
      <c r="I355">
        <v>0</v>
      </c>
      <c r="J355">
        <v>0</v>
      </c>
      <c r="K355" s="5">
        <v>46194.125200995368</v>
      </c>
      <c r="L355" s="5">
        <v>46197.311601921298</v>
      </c>
      <c r="M355" s="2" t="s">
        <v>2260</v>
      </c>
      <c r="N355" s="2" t="s">
        <v>2375</v>
      </c>
      <c r="O355" s="5">
        <v>46197.436192384259</v>
      </c>
      <c r="P355" t="str">
        <f>IF($Q355="DELETE",IF($S355="CONFIRMED: NO MODS &gt; 1YR","CONFIRMED: NO MODS &gt; 1YR","DO NOT DELETE — not defensibly confirmed"),IF($Q355="HOLD","DO NOT DELETE — HOLD (Charlie review)",IF($Q355="KEEP","DO NOT DELETE — KEEP",IF(ISNUMBER(SEARCH("REVIEW",$Q355)),"DO NOT DELETE — REVIEW pending",$S355))))</f>
        <v>DO NOT DELETE — REVIEW pending</v>
      </c>
      <c r="Q355" t="str" cm="1">
        <f t="array" ref="Q355">_xlfn.IFS(AND($A355="thg-beauty",ISNUMBER(SEARCH("liveramp",$C355))),"DELETE",$A355="agile-bonbon-662",_xlfn.IFS(LEFT($G355,9)="Tranche 1","DELETE",$C355="Sessions_Level_1_All_Sites","KEEP",ISNUMBER(--$C355),"REVIEW — UA raw logs",$C355="Emag_Reporting","KEEP",$C355="Nutrition_Data_Archived_Tables","KEEP",$C355="EU_Data","KEEP",TRUE,"REVIEW"),OR($A355="thg-influencer",$A355="thg-ingenuity",$A355="thg-central-marketing",$A355="thg-seoclarity"),"HOLD",TRUE,"")</f>
        <v>REVIEW</v>
      </c>
      <c r="R355" t="str" cm="1">
        <f t="array" ref="R355">_xlfn.IFS(AND($A355="thg-beauty",ISNUMBER(SEARCH("liveramp",$C355))),"thg-beauty Liveramp dataset — confirmed safe to delete",$A355="agile-bonbon-662",_xlfn.IFS(LEFT($G355,9)="Tranche 1","Tranche 1: cleared",$C355="Sessions_Level_1_All_Sites","Downstream aggregation of UA raw logs — keep if raw tables go",ISNUMBER(--$C355),"UA raw site logs (account ID) — keep pending audit-retention check",$C355="Emag_Reporting","Legacy but likely needed",$C355="Nutrition_Data_Archived_Tables","Worth keeping",$C355="EU_Data","Static lookup tables — scripts still reference (smoke-test risk)",TRUE,"Review"),OR($A355="thg-influencer",$A355="thg-ingenuity",$A355="thg-central-marketing",$A355="thg-seoclarity"),"HOLD — Charlie Stringer to review before deletion",TRUE,"")</f>
        <v>Review</v>
      </c>
      <c r="S355" t="s">
        <v>1624</v>
      </c>
    </row>
    <row r="356" spans="1:19" ht="76.5" hidden="1">
      <c r="A356" t="s">
        <v>89</v>
      </c>
      <c r="B356" t="s">
        <v>1619</v>
      </c>
      <c r="C356" t="s">
        <v>2376</v>
      </c>
      <c r="D356" s="2" t="s">
        <v>1621</v>
      </c>
      <c r="E356">
        <v>680.35</v>
      </c>
      <c r="F356">
        <v>13.61</v>
      </c>
      <c r="G356" t="s">
        <v>79</v>
      </c>
      <c r="H356" t="s">
        <v>81</v>
      </c>
      <c r="I356">
        <v>0</v>
      </c>
      <c r="J356">
        <v>0</v>
      </c>
      <c r="K356" s="5">
        <v>46197.3417152662</v>
      </c>
      <c r="L356" s="5">
        <v>46197.331684108787</v>
      </c>
      <c r="M356" s="2" t="s">
        <v>2377</v>
      </c>
      <c r="N356" s="2" t="s">
        <v>2378</v>
      </c>
      <c r="O356" s="5">
        <v>46197.331702511583</v>
      </c>
      <c r="P356" t="str">
        <f>IF($Q356="DELETE",IF($S356="CONFIRMED: NO MODS &gt; 1YR","CONFIRMED: NO MODS &gt; 1YR","DO NOT DELETE — not defensibly confirmed"),IF($Q356="HOLD","DO NOT DELETE — HOLD (Charlie review)",IF($Q356="KEEP","DO NOT DELETE — KEEP",IF(ISNUMBER(SEARCH("REVIEW",$Q356)),"DO NOT DELETE — REVIEW pending",$S356))))</f>
        <v>DO NOT DELETE — REVIEW pending</v>
      </c>
      <c r="Q356" t="str" cm="1">
        <f t="array" ref="Q356">_xlfn.IFS(AND($A356="thg-beauty",ISNUMBER(SEARCH("liveramp",$C356))),"DELETE",$A356="agile-bonbon-662",_xlfn.IFS(LEFT($G356,9)="Tranche 1","DELETE",$C356="Sessions_Level_1_All_Sites","KEEP",ISNUMBER(--$C356),"REVIEW — UA raw logs",$C356="Emag_Reporting","KEEP",$C356="Nutrition_Data_Archived_Tables","KEEP",$C356="EU_Data","KEEP",TRUE,"REVIEW"),OR($A356="thg-influencer",$A356="thg-ingenuity",$A356="thg-central-marketing",$A356="thg-seoclarity"),"HOLD",TRUE,"")</f>
        <v>REVIEW</v>
      </c>
      <c r="R356" t="str" cm="1">
        <f t="array" ref="R356">_xlfn.IFS(AND($A356="thg-beauty",ISNUMBER(SEARCH("liveramp",$C356))),"thg-beauty Liveramp dataset — confirmed safe to delete",$A356="agile-bonbon-662",_xlfn.IFS(LEFT($G356,9)="Tranche 1","Tranche 1: cleared",$C356="Sessions_Level_1_All_Sites","Downstream aggregation of UA raw logs — keep if raw tables go",ISNUMBER(--$C356),"UA raw site logs (account ID) — keep pending audit-retention check",$C356="Emag_Reporting","Legacy but likely needed",$C356="Nutrition_Data_Archived_Tables","Worth keeping",$C356="EU_Data","Static lookup tables — scripts still reference (smoke-test risk)",TRUE,"Review"),OR($A356="thg-influencer",$A356="thg-ingenuity",$A356="thg-central-marketing",$A356="thg-seoclarity"),"HOLD — Charlie Stringer to review before deletion",TRUE,"")</f>
        <v>Review</v>
      </c>
      <c r="S356" t="s">
        <v>1624</v>
      </c>
    </row>
    <row r="357" spans="1:19" ht="76.5" hidden="1">
      <c r="A357" t="s">
        <v>89</v>
      </c>
      <c r="B357" t="s">
        <v>1619</v>
      </c>
      <c r="C357" t="s">
        <v>1902</v>
      </c>
      <c r="D357" s="2" t="s">
        <v>1621</v>
      </c>
      <c r="E357">
        <v>640.53</v>
      </c>
      <c r="F357">
        <v>12.81</v>
      </c>
      <c r="G357" t="s">
        <v>79</v>
      </c>
      <c r="H357" t="s">
        <v>81</v>
      </c>
      <c r="I357">
        <v>0</v>
      </c>
      <c r="J357">
        <v>0</v>
      </c>
      <c r="K357" s="5">
        <v>46197.453503993063</v>
      </c>
      <c r="L357" s="5">
        <v>46197.448393171297</v>
      </c>
      <c r="M357" s="2" t="s">
        <v>2256</v>
      </c>
      <c r="N357" s="2" t="s">
        <v>2379</v>
      </c>
      <c r="O357" s="5">
        <v>46197.448593865738</v>
      </c>
      <c r="P357" t="str">
        <f>IF($Q357="DELETE",IF($S357="CONFIRMED: NO MODS &gt; 1YR","CONFIRMED: NO MODS &gt; 1YR","DO NOT DELETE — not defensibly confirmed"),IF($Q357="HOLD","DO NOT DELETE — HOLD (Charlie review)",IF($Q357="KEEP","DO NOT DELETE — KEEP",IF(ISNUMBER(SEARCH("REVIEW",$Q357)),"DO NOT DELETE — REVIEW pending",$S357))))</f>
        <v>DO NOT DELETE — REVIEW pending</v>
      </c>
      <c r="Q357" t="str" cm="1">
        <f t="array" ref="Q357">_xlfn.IFS(AND($A357="thg-beauty",ISNUMBER(SEARCH("liveramp",$C357))),"DELETE",$A357="agile-bonbon-662",_xlfn.IFS(LEFT($G357,9)="Tranche 1","DELETE",$C357="Sessions_Level_1_All_Sites","KEEP",ISNUMBER(--$C357),"REVIEW — UA raw logs",$C357="Emag_Reporting","KEEP",$C357="Nutrition_Data_Archived_Tables","KEEP",$C357="EU_Data","KEEP",TRUE,"REVIEW"),OR($A357="thg-influencer",$A357="thg-ingenuity",$A357="thg-central-marketing",$A357="thg-seoclarity"),"HOLD",TRUE,"")</f>
        <v>REVIEW</v>
      </c>
      <c r="R357" t="str" cm="1">
        <f t="array" ref="R357">_xlfn.IFS(AND($A357="thg-beauty",ISNUMBER(SEARCH("liveramp",$C357))),"thg-beauty Liveramp dataset — confirmed safe to delete",$A357="agile-bonbon-662",_xlfn.IFS(LEFT($G357,9)="Tranche 1","Tranche 1: cleared",$C357="Sessions_Level_1_All_Sites","Downstream aggregation of UA raw logs — keep if raw tables go",ISNUMBER(--$C357),"UA raw site logs (account ID) — keep pending audit-retention check",$C357="Emag_Reporting","Legacy but likely needed",$C357="Nutrition_Data_Archived_Tables","Worth keeping",$C357="EU_Data","Static lookup tables — scripts still reference (smoke-test risk)",TRUE,"Review"),OR($A357="thg-influencer",$A357="thg-ingenuity",$A357="thg-central-marketing",$A357="thg-seoclarity"),"HOLD — Charlie Stringer to review before deletion",TRUE,"")</f>
        <v>Review</v>
      </c>
      <c r="S357" t="s">
        <v>1624</v>
      </c>
    </row>
    <row r="358" spans="1:19" ht="76.5" hidden="1">
      <c r="A358" t="s">
        <v>90</v>
      </c>
      <c r="B358" t="s">
        <v>1619</v>
      </c>
      <c r="C358" t="s">
        <v>2380</v>
      </c>
      <c r="D358" s="2" t="s">
        <v>1621</v>
      </c>
      <c r="E358">
        <v>633.96</v>
      </c>
      <c r="F358">
        <v>12.68</v>
      </c>
      <c r="G358" t="s">
        <v>79</v>
      </c>
      <c r="H358" t="s">
        <v>81</v>
      </c>
      <c r="I358">
        <v>0</v>
      </c>
      <c r="J358">
        <v>0</v>
      </c>
      <c r="K358" s="5">
        <v>46197.45175547454</v>
      </c>
      <c r="L358" s="5">
        <v>46197.448320937503</v>
      </c>
      <c r="M358" s="2" t="s">
        <v>2381</v>
      </c>
      <c r="N358" s="2" t="s">
        <v>2382</v>
      </c>
      <c r="O358" s="5">
        <v>46197.448602048607</v>
      </c>
      <c r="P358" t="str">
        <f>IF($Q358="DELETE",IF($S358="CONFIRMED: NO MODS &gt; 1YR","CONFIRMED: NO MODS &gt; 1YR","DO NOT DELETE — not defensibly confirmed"),IF($Q358="HOLD","DO NOT DELETE — HOLD (Charlie review)",IF($Q358="KEEP","DO NOT DELETE — KEEP",IF(ISNUMBER(SEARCH("REVIEW",$Q358)),"DO NOT DELETE — REVIEW pending",$S358))))</f>
        <v>CONFIRMED: NO MODS &gt; 1YR</v>
      </c>
      <c r="Q358" t="str" cm="1">
        <f t="array" ref="Q358">_xlfn.IFS(AND($A358="thg-beauty",ISNUMBER(SEARCH("liveramp",$C358))),"DELETE",$A358="agile-bonbon-662",_xlfn.IFS(LEFT($G358,9)="Tranche 1","DELETE",$C358="Sessions_Level_1_All_Sites","KEEP",ISNUMBER(--$C358),"REVIEW — UA raw logs",$C358="Emag_Reporting","KEEP",$C358="Nutrition_Data_Archived_Tables","KEEP",$C358="EU_Data","KEEP",TRUE,"REVIEW"),OR($A358="thg-influencer",$A358="thg-ingenuity",$A358="thg-central-marketing",$A358="thg-seoclarity"),"HOLD",TRUE,"")</f>
        <v/>
      </c>
      <c r="R358" t="str" cm="1">
        <f t="array" ref="R358">_xlfn.IFS(AND($A358="thg-beauty",ISNUMBER(SEARCH("liveramp",$C358))),"thg-beauty Liveramp dataset — confirmed safe to delete",$A358="agile-bonbon-662",_xlfn.IFS(LEFT($G358,9)="Tranche 1","Tranche 1: cleared",$C358="Sessions_Level_1_All_Sites","Downstream aggregation of UA raw logs — keep if raw tables go",ISNUMBER(--$C358),"UA raw site logs (account ID) — keep pending audit-retention check",$C358="Emag_Reporting","Legacy but likely needed",$C358="Nutrition_Data_Archived_Tables","Worth keeping",$C358="EU_Data","Static lookup tables — scripts still reference (smoke-test risk)",TRUE,"Review"),OR($A358="thg-influencer",$A358="thg-ingenuity",$A358="thg-central-marketing",$A358="thg-seoclarity"),"HOLD — Charlie Stringer to review before deletion",TRUE,"")</f>
        <v/>
      </c>
      <c r="S358" t="s">
        <v>1624</v>
      </c>
    </row>
    <row r="359" spans="1:19" ht="76.5" hidden="1">
      <c r="A359" t="s">
        <v>89</v>
      </c>
      <c r="B359" t="s">
        <v>1619</v>
      </c>
      <c r="C359" t="s">
        <v>2383</v>
      </c>
      <c r="D359" s="2" t="s">
        <v>1621</v>
      </c>
      <c r="E359">
        <v>580.04</v>
      </c>
      <c r="F359">
        <v>11.6</v>
      </c>
      <c r="G359" t="s">
        <v>79</v>
      </c>
      <c r="H359" t="s">
        <v>81</v>
      </c>
      <c r="I359">
        <v>0</v>
      </c>
      <c r="J359">
        <v>0</v>
      </c>
      <c r="K359" s="5">
        <v>46197.421999791673</v>
      </c>
      <c r="L359" s="5">
        <v>46197.312309583343</v>
      </c>
      <c r="M359" s="2" t="s">
        <v>2384</v>
      </c>
      <c r="N359" s="2" t="s">
        <v>2385</v>
      </c>
      <c r="O359" s="5">
        <v>46197.435154444443</v>
      </c>
      <c r="P359" t="str">
        <f>IF($Q359="DELETE",IF($S359="CONFIRMED: NO MODS &gt; 1YR","CONFIRMED: NO MODS &gt; 1YR","DO NOT DELETE — not defensibly confirmed"),IF($Q359="HOLD","DO NOT DELETE — HOLD (Charlie review)",IF($Q359="KEEP","DO NOT DELETE — KEEP",IF(ISNUMBER(SEARCH("REVIEW",$Q359)),"DO NOT DELETE — REVIEW pending",$S359))))</f>
        <v>DO NOT DELETE — REVIEW pending</v>
      </c>
      <c r="Q359" t="str" cm="1">
        <f t="array" ref="Q359">_xlfn.IFS(AND($A359="thg-beauty",ISNUMBER(SEARCH("liveramp",$C359))),"DELETE",$A359="agile-bonbon-662",_xlfn.IFS(LEFT($G359,9)="Tranche 1","DELETE",$C359="Sessions_Level_1_All_Sites","KEEP",ISNUMBER(--$C359),"REVIEW — UA raw logs",$C359="Emag_Reporting","KEEP",$C359="Nutrition_Data_Archived_Tables","KEEP",$C359="EU_Data","KEEP",TRUE,"REVIEW"),OR($A359="thg-influencer",$A359="thg-ingenuity",$A359="thg-central-marketing",$A359="thg-seoclarity"),"HOLD",TRUE,"")</f>
        <v>REVIEW</v>
      </c>
      <c r="R359" t="str" cm="1">
        <f t="array" ref="R359">_xlfn.IFS(AND($A359="thg-beauty",ISNUMBER(SEARCH("liveramp",$C359))),"thg-beauty Liveramp dataset — confirmed safe to delete",$A359="agile-bonbon-662",_xlfn.IFS(LEFT($G359,9)="Tranche 1","Tranche 1: cleared",$C359="Sessions_Level_1_All_Sites","Downstream aggregation of UA raw logs — keep if raw tables go",ISNUMBER(--$C359),"UA raw site logs (account ID) — keep pending audit-retention check",$C359="Emag_Reporting","Legacy but likely needed",$C359="Nutrition_Data_Archived_Tables","Worth keeping",$C359="EU_Data","Static lookup tables — scripts still reference (smoke-test risk)",TRUE,"Review"),OR($A359="thg-influencer",$A359="thg-ingenuity",$A359="thg-central-marketing",$A359="thg-seoclarity"),"HOLD — Charlie Stringer to review before deletion",TRUE,"")</f>
        <v>Review</v>
      </c>
      <c r="S359" t="s">
        <v>1624</v>
      </c>
    </row>
    <row r="360" spans="1:19" ht="76.5" hidden="1">
      <c r="A360" t="s">
        <v>89</v>
      </c>
      <c r="B360" t="s">
        <v>1619</v>
      </c>
      <c r="C360" t="s">
        <v>2386</v>
      </c>
      <c r="D360" s="2" t="s">
        <v>1621</v>
      </c>
      <c r="E360">
        <v>569.47</v>
      </c>
      <c r="F360">
        <v>11.39</v>
      </c>
      <c r="G360" t="s">
        <v>79</v>
      </c>
      <c r="H360" t="s">
        <v>81</v>
      </c>
      <c r="I360">
        <v>0</v>
      </c>
      <c r="J360">
        <v>0</v>
      </c>
      <c r="K360" s="5">
        <v>46197.422090057873</v>
      </c>
      <c r="L360" s="5">
        <v>46197.413286932868</v>
      </c>
      <c r="M360" s="2" t="s">
        <v>2387</v>
      </c>
      <c r="N360" s="2" t="s">
        <v>2388</v>
      </c>
      <c r="O360" s="5">
        <v>46197.417531967592</v>
      </c>
      <c r="P360" t="str">
        <f>IF($Q360="DELETE",IF($S360="CONFIRMED: NO MODS &gt; 1YR","CONFIRMED: NO MODS &gt; 1YR","DO NOT DELETE — not defensibly confirmed"),IF($Q360="HOLD","DO NOT DELETE — HOLD (Charlie review)",IF($Q360="KEEP","DO NOT DELETE — KEEP",IF(ISNUMBER(SEARCH("REVIEW",$Q360)),"DO NOT DELETE — REVIEW pending",$S360))))</f>
        <v>DO NOT DELETE — REVIEW pending</v>
      </c>
      <c r="Q360" t="str" cm="1">
        <f t="array" ref="Q360">_xlfn.IFS(AND($A360="thg-beauty",ISNUMBER(SEARCH("liveramp",$C360))),"DELETE",$A360="agile-bonbon-662",_xlfn.IFS(LEFT($G360,9)="Tranche 1","DELETE",$C360="Sessions_Level_1_All_Sites","KEEP",ISNUMBER(--$C360),"REVIEW — UA raw logs",$C360="Emag_Reporting","KEEP",$C360="Nutrition_Data_Archived_Tables","KEEP",$C360="EU_Data","KEEP",TRUE,"REVIEW"),OR($A360="thg-influencer",$A360="thg-ingenuity",$A360="thg-central-marketing",$A360="thg-seoclarity"),"HOLD",TRUE,"")</f>
        <v>REVIEW</v>
      </c>
      <c r="R360" t="str" cm="1">
        <f t="array" ref="R360">_xlfn.IFS(AND($A360="thg-beauty",ISNUMBER(SEARCH("liveramp",$C360))),"thg-beauty Liveramp dataset — confirmed safe to delete",$A360="agile-bonbon-662",_xlfn.IFS(LEFT($G360,9)="Tranche 1","Tranche 1: cleared",$C360="Sessions_Level_1_All_Sites","Downstream aggregation of UA raw logs — keep if raw tables go",ISNUMBER(--$C360),"UA raw site logs (account ID) — keep pending audit-retention check",$C360="Emag_Reporting","Legacy but likely needed",$C360="Nutrition_Data_Archived_Tables","Worth keeping",$C360="EU_Data","Static lookup tables — scripts still reference (smoke-test risk)",TRUE,"Review"),OR($A360="thg-influencer",$A360="thg-ingenuity",$A360="thg-central-marketing",$A360="thg-seoclarity"),"HOLD — Charlie Stringer to review before deletion",TRUE,"")</f>
        <v>Review</v>
      </c>
      <c r="S360" t="s">
        <v>1624</v>
      </c>
    </row>
    <row r="361" spans="1:19" ht="76.5" hidden="1">
      <c r="A361" t="s">
        <v>2389</v>
      </c>
      <c r="B361" t="s">
        <v>1619</v>
      </c>
      <c r="C361" t="s">
        <v>2390</v>
      </c>
      <c r="D361" s="2" t="s">
        <v>1621</v>
      </c>
      <c r="E361">
        <v>527.24</v>
      </c>
      <c r="F361">
        <v>10.54</v>
      </c>
      <c r="G361" t="s">
        <v>79</v>
      </c>
      <c r="H361" t="s">
        <v>81</v>
      </c>
      <c r="I361">
        <v>0</v>
      </c>
      <c r="J361">
        <v>215</v>
      </c>
      <c r="K361" s="5">
        <v>46197.186431851849</v>
      </c>
      <c r="M361" s="2" t="s">
        <v>2391</v>
      </c>
      <c r="N361" s="2" t="s">
        <v>1701</v>
      </c>
      <c r="O361" s="5">
        <v>45982.188163993058</v>
      </c>
      <c r="P361" t="str">
        <f>IF($Q361="DELETE",IF($S361="CONFIRMED: NO MODS &gt; 1YR","CONFIRMED: NO MODS &gt; 1YR","DO NOT DELETE — not defensibly confirmed"),IF($Q361="HOLD","DO NOT DELETE — HOLD (Charlie review)",IF($Q361="KEEP","DO NOT DELETE — KEEP",IF(ISNUMBER(SEARCH("REVIEW",$Q361)),"DO NOT DELETE — REVIEW pending",$S361))))</f>
        <v>CONFIRMED: NO MODS &gt; 1YR</v>
      </c>
      <c r="Q361" t="str" cm="1">
        <f t="array" ref="Q361">_xlfn.IFS(AND($A361="thg-beauty",ISNUMBER(SEARCH("liveramp",$C361))),"DELETE",$A361="agile-bonbon-662",_xlfn.IFS(LEFT($G361,9)="Tranche 1","DELETE",$C361="Sessions_Level_1_All_Sites","KEEP",ISNUMBER(--$C361),"REVIEW — UA raw logs",$C361="Emag_Reporting","KEEP",$C361="Nutrition_Data_Archived_Tables","KEEP",$C361="EU_Data","KEEP",TRUE,"REVIEW"),OR($A361="thg-influencer",$A361="thg-ingenuity",$A361="thg-central-marketing",$A361="thg-seoclarity"),"HOLD",TRUE,"")</f>
        <v/>
      </c>
      <c r="R361" t="str" cm="1">
        <f t="array" ref="R361">_xlfn.IFS(AND($A361="thg-beauty",ISNUMBER(SEARCH("liveramp",$C361))),"thg-beauty Liveramp dataset — confirmed safe to delete",$A361="agile-bonbon-662",_xlfn.IFS(LEFT($G361,9)="Tranche 1","Tranche 1: cleared",$C361="Sessions_Level_1_All_Sites","Downstream aggregation of UA raw logs — keep if raw tables go",ISNUMBER(--$C361),"UA raw site logs (account ID) — keep pending audit-retention check",$C361="Emag_Reporting","Legacy but likely needed",$C361="Nutrition_Data_Archived_Tables","Worth keeping",$C361="EU_Data","Static lookup tables — scripts still reference (smoke-test risk)",TRUE,"Review"),OR($A361="thg-influencer",$A361="thg-ingenuity",$A361="thg-central-marketing",$A361="thg-seoclarity"),"HOLD — Charlie Stringer to review before deletion",TRUE,"")</f>
        <v/>
      </c>
      <c r="S361" t="s">
        <v>1624</v>
      </c>
    </row>
    <row r="362" spans="1:19" ht="76.5" hidden="1">
      <c r="A362" t="s">
        <v>89</v>
      </c>
      <c r="B362" t="s">
        <v>1619</v>
      </c>
      <c r="C362" t="s">
        <v>2371</v>
      </c>
      <c r="D362" s="2" t="s">
        <v>1621</v>
      </c>
      <c r="E362">
        <v>523.19000000000005</v>
      </c>
      <c r="F362">
        <v>10.46</v>
      </c>
      <c r="G362" t="s">
        <v>79</v>
      </c>
      <c r="H362" t="s">
        <v>81</v>
      </c>
      <c r="I362">
        <v>0</v>
      </c>
      <c r="J362">
        <v>0</v>
      </c>
      <c r="K362" s="5">
        <v>46197.305660972219</v>
      </c>
      <c r="L362" s="5">
        <v>46197.104247002317</v>
      </c>
      <c r="M362" s="2" t="s">
        <v>2392</v>
      </c>
      <c r="N362" s="2" t="s">
        <v>2393</v>
      </c>
      <c r="O362" s="5">
        <v>46197.105081122689</v>
      </c>
      <c r="P362" t="str">
        <f>IF($Q362="DELETE",IF($S362="CONFIRMED: NO MODS &gt; 1YR","CONFIRMED: NO MODS &gt; 1YR","DO NOT DELETE — not defensibly confirmed"),IF($Q362="HOLD","DO NOT DELETE — HOLD (Charlie review)",IF($Q362="KEEP","DO NOT DELETE — KEEP",IF(ISNUMBER(SEARCH("REVIEW",$Q362)),"DO NOT DELETE — REVIEW pending",$S362))))</f>
        <v>DO NOT DELETE — REVIEW pending</v>
      </c>
      <c r="Q362" t="str" cm="1">
        <f t="array" ref="Q362">_xlfn.IFS(AND($A362="thg-beauty",ISNUMBER(SEARCH("liveramp",$C362))),"DELETE",$A362="agile-bonbon-662",_xlfn.IFS(LEFT($G362,9)="Tranche 1","DELETE",$C362="Sessions_Level_1_All_Sites","KEEP",ISNUMBER(--$C362),"REVIEW — UA raw logs",$C362="Emag_Reporting","KEEP",$C362="Nutrition_Data_Archived_Tables","KEEP",$C362="EU_Data","KEEP",TRUE,"REVIEW"),OR($A362="thg-influencer",$A362="thg-ingenuity",$A362="thg-central-marketing",$A362="thg-seoclarity"),"HOLD",TRUE,"")</f>
        <v>REVIEW</v>
      </c>
      <c r="R362" t="str" cm="1">
        <f t="array" ref="R362">_xlfn.IFS(AND($A362="thg-beauty",ISNUMBER(SEARCH("liveramp",$C362))),"thg-beauty Liveramp dataset — confirmed safe to delete",$A362="agile-bonbon-662",_xlfn.IFS(LEFT($G362,9)="Tranche 1","Tranche 1: cleared",$C362="Sessions_Level_1_All_Sites","Downstream aggregation of UA raw logs — keep if raw tables go",ISNUMBER(--$C362),"UA raw site logs (account ID) — keep pending audit-retention check",$C362="Emag_Reporting","Legacy but likely needed",$C362="Nutrition_Data_Archived_Tables","Worth keeping",$C362="EU_Data","Static lookup tables — scripts still reference (smoke-test risk)",TRUE,"Review"),OR($A362="thg-influencer",$A362="thg-ingenuity",$A362="thg-central-marketing",$A362="thg-seoclarity"),"HOLD — Charlie Stringer to review before deletion",TRUE,"")</f>
        <v>Review</v>
      </c>
      <c r="S362" t="s">
        <v>1624</v>
      </c>
    </row>
    <row r="363" spans="1:19" ht="76.5" hidden="1">
      <c r="A363" t="s">
        <v>39</v>
      </c>
      <c r="B363" t="s">
        <v>1619</v>
      </c>
      <c r="C363" t="s">
        <v>2394</v>
      </c>
      <c r="D363" s="2" t="s">
        <v>1621</v>
      </c>
      <c r="E363">
        <v>520.41999999999996</v>
      </c>
      <c r="F363">
        <v>10.41</v>
      </c>
      <c r="G363" t="s">
        <v>79</v>
      </c>
      <c r="H363" t="s">
        <v>81</v>
      </c>
      <c r="I363">
        <v>0</v>
      </c>
      <c r="J363">
        <v>0</v>
      </c>
      <c r="K363" s="5">
        <v>46197.439285532397</v>
      </c>
      <c r="L363" s="5">
        <v>46197.435493344907</v>
      </c>
      <c r="M363" s="2" t="s">
        <v>2395</v>
      </c>
      <c r="N363" s="2" t="s">
        <v>2396</v>
      </c>
      <c r="O363" s="5">
        <v>46197.435532314812</v>
      </c>
      <c r="P363" t="str">
        <f>IF($Q363="DELETE",IF($S363="CONFIRMED: NO MODS &gt; 1YR","CONFIRMED: NO MODS &gt; 1YR","DO NOT DELETE — not defensibly confirmed"),IF($Q363="HOLD","DO NOT DELETE — HOLD (Charlie review)",IF($Q363="KEEP","DO NOT DELETE — KEEP",IF(ISNUMBER(SEARCH("REVIEW",$Q363)),"DO NOT DELETE — REVIEW pending",$S363))))</f>
        <v>DO NOT DELETE — HOLD (Charlie review)</v>
      </c>
      <c r="Q363" t="str" cm="1">
        <f t="array" ref="Q363">_xlfn.IFS(AND($A363="thg-beauty",ISNUMBER(SEARCH("liveramp",$C363))),"DELETE",$A363="agile-bonbon-662",_xlfn.IFS(LEFT($G363,9)="Tranche 1","DELETE",$C363="Sessions_Level_1_All_Sites","KEEP",ISNUMBER(--$C363),"REVIEW — UA raw logs",$C363="Emag_Reporting","KEEP",$C363="Nutrition_Data_Archived_Tables","KEEP",$C363="EU_Data","KEEP",TRUE,"REVIEW"),OR($A363="thg-influencer",$A363="thg-ingenuity",$A363="thg-central-marketing",$A363="thg-seoclarity"),"HOLD",TRUE,"")</f>
        <v>HOLD</v>
      </c>
      <c r="R363" t="str" cm="1">
        <f t="array" ref="R363">_xlfn.IFS(AND($A363="thg-beauty",ISNUMBER(SEARCH("liveramp",$C363))),"thg-beauty Liveramp dataset — confirmed safe to delete",$A363="agile-bonbon-662",_xlfn.IFS(LEFT($G363,9)="Tranche 1","Tranche 1: cleared",$C363="Sessions_Level_1_All_Sites","Downstream aggregation of UA raw logs — keep if raw tables go",ISNUMBER(--$C363),"UA raw site logs (account ID) — keep pending audit-retention check",$C363="Emag_Reporting","Legacy but likely needed",$C363="Nutrition_Data_Archived_Tables","Worth keeping",$C363="EU_Data","Static lookup tables — scripts still reference (smoke-test risk)",TRUE,"Review"),OR($A363="thg-influencer",$A363="thg-ingenuity",$A363="thg-central-marketing",$A363="thg-seoclarity"),"HOLD — Charlie Stringer to review before deletion",TRUE,"")</f>
        <v>HOLD — Charlie Stringer to review before deletion</v>
      </c>
      <c r="S363" t="s">
        <v>1631</v>
      </c>
    </row>
    <row r="364" spans="1:19" ht="76.5" hidden="1">
      <c r="A364" t="s">
        <v>38</v>
      </c>
      <c r="B364" t="s">
        <v>1619</v>
      </c>
      <c r="C364" t="s">
        <v>2397</v>
      </c>
      <c r="D364" s="2" t="s">
        <v>1621</v>
      </c>
      <c r="E364">
        <v>507.54</v>
      </c>
      <c r="F364">
        <v>10.15</v>
      </c>
      <c r="G364" t="s">
        <v>79</v>
      </c>
      <c r="H364" t="s">
        <v>81</v>
      </c>
      <c r="I364">
        <v>0</v>
      </c>
      <c r="J364">
        <v>0</v>
      </c>
      <c r="K364" s="5">
        <v>46197.41930947917</v>
      </c>
      <c r="L364" s="5">
        <v>46197.342075706023</v>
      </c>
      <c r="M364" s="2" t="s">
        <v>2398</v>
      </c>
      <c r="N364" s="2" t="s">
        <v>2399</v>
      </c>
      <c r="O364" s="5">
        <v>46197.445449548613</v>
      </c>
      <c r="P364" t="str">
        <f>IF($Q364="DELETE",IF($S364="CONFIRMED: NO MODS &gt; 1YR","CONFIRMED: NO MODS &gt; 1YR","DO NOT DELETE — not defensibly confirmed"),IF($Q364="HOLD","DO NOT DELETE — HOLD (Charlie review)",IF($Q364="KEEP","DO NOT DELETE — KEEP",IF(ISNUMBER(SEARCH("REVIEW",$Q364)),"DO NOT DELETE — REVIEW pending",$S364))))</f>
        <v>DO NOT DELETE — HOLD (Charlie review)</v>
      </c>
      <c r="Q364" t="str" cm="1">
        <f t="array" ref="Q364">_xlfn.IFS(AND($A364="thg-beauty",ISNUMBER(SEARCH("liveramp",$C364))),"DELETE",$A364="agile-bonbon-662",_xlfn.IFS(LEFT($G364,9)="Tranche 1","DELETE",$C364="Sessions_Level_1_All_Sites","KEEP",ISNUMBER(--$C364),"REVIEW — UA raw logs",$C364="Emag_Reporting","KEEP",$C364="Nutrition_Data_Archived_Tables","KEEP",$C364="EU_Data","KEEP",TRUE,"REVIEW"),OR($A364="thg-influencer",$A364="thg-ingenuity",$A364="thg-central-marketing",$A364="thg-seoclarity"),"HOLD",TRUE,"")</f>
        <v>HOLD</v>
      </c>
      <c r="R364" t="str" cm="1">
        <f t="array" ref="R364">_xlfn.IFS(AND($A364="thg-beauty",ISNUMBER(SEARCH("liveramp",$C364))),"thg-beauty Liveramp dataset — confirmed safe to delete",$A364="agile-bonbon-662",_xlfn.IFS(LEFT($G364,9)="Tranche 1","Tranche 1: cleared",$C364="Sessions_Level_1_All_Sites","Downstream aggregation of UA raw logs — keep if raw tables go",ISNUMBER(--$C364),"UA raw site logs (account ID) — keep pending audit-retention check",$C364="Emag_Reporting","Legacy but likely needed",$C364="Nutrition_Data_Archived_Tables","Worth keeping",$C364="EU_Data","Static lookup tables — scripts still reference (smoke-test risk)",TRUE,"Review"),OR($A364="thg-influencer",$A364="thg-ingenuity",$A364="thg-central-marketing",$A364="thg-seoclarity"),"HOLD — Charlie Stringer to review before deletion",TRUE,"")</f>
        <v>HOLD — Charlie Stringer to review before deletion</v>
      </c>
      <c r="S364" t="s">
        <v>1624</v>
      </c>
    </row>
    <row r="365" spans="1:19" ht="76.5" hidden="1">
      <c r="A365" t="s">
        <v>89</v>
      </c>
      <c r="B365" t="s">
        <v>1619</v>
      </c>
      <c r="C365" t="s">
        <v>2400</v>
      </c>
      <c r="D365" s="2" t="s">
        <v>1621</v>
      </c>
      <c r="E365">
        <v>488.65</v>
      </c>
      <c r="F365">
        <v>9.77</v>
      </c>
      <c r="G365" t="s">
        <v>79</v>
      </c>
      <c r="H365" t="s">
        <v>81</v>
      </c>
      <c r="I365">
        <v>0</v>
      </c>
      <c r="J365">
        <v>0</v>
      </c>
      <c r="K365" s="5">
        <v>46194.125200995368</v>
      </c>
      <c r="L365" s="5">
        <v>46197.277004675932</v>
      </c>
      <c r="M365" s="2" t="s">
        <v>2260</v>
      </c>
      <c r="N365" s="2" t="s">
        <v>2401</v>
      </c>
      <c r="O365" s="5">
        <v>46197.41688553241</v>
      </c>
      <c r="P365" t="str">
        <f>IF($Q365="DELETE",IF($S365="CONFIRMED: NO MODS &gt; 1YR","CONFIRMED: NO MODS &gt; 1YR","DO NOT DELETE — not defensibly confirmed"),IF($Q365="HOLD","DO NOT DELETE — HOLD (Charlie review)",IF($Q365="KEEP","DO NOT DELETE — KEEP",IF(ISNUMBER(SEARCH("REVIEW",$Q365)),"DO NOT DELETE — REVIEW pending",$S365))))</f>
        <v>DO NOT DELETE — REVIEW pending</v>
      </c>
      <c r="Q365" t="str" cm="1">
        <f t="array" ref="Q365">_xlfn.IFS(AND($A365="thg-beauty",ISNUMBER(SEARCH("liveramp",$C365))),"DELETE",$A365="agile-bonbon-662",_xlfn.IFS(LEFT($G365,9)="Tranche 1","DELETE",$C365="Sessions_Level_1_All_Sites","KEEP",ISNUMBER(--$C365),"REVIEW — UA raw logs",$C365="Emag_Reporting","KEEP",$C365="Nutrition_Data_Archived_Tables","KEEP",$C365="EU_Data","KEEP",TRUE,"REVIEW"),OR($A365="thg-influencer",$A365="thg-ingenuity",$A365="thg-central-marketing",$A365="thg-seoclarity"),"HOLD",TRUE,"")</f>
        <v>REVIEW</v>
      </c>
      <c r="R365" t="str" cm="1">
        <f t="array" ref="R365">_xlfn.IFS(AND($A365="thg-beauty",ISNUMBER(SEARCH("liveramp",$C365))),"thg-beauty Liveramp dataset — confirmed safe to delete",$A365="agile-bonbon-662",_xlfn.IFS(LEFT($G365,9)="Tranche 1","Tranche 1: cleared",$C365="Sessions_Level_1_All_Sites","Downstream aggregation of UA raw logs — keep if raw tables go",ISNUMBER(--$C365),"UA raw site logs (account ID) — keep pending audit-retention check",$C365="Emag_Reporting","Legacy but likely needed",$C365="Nutrition_Data_Archived_Tables","Worth keeping",$C365="EU_Data","Static lookup tables — scripts still reference (smoke-test risk)",TRUE,"Review"),OR($A365="thg-influencer",$A365="thg-ingenuity",$A365="thg-central-marketing",$A365="thg-seoclarity"),"HOLD — Charlie Stringer to review before deletion",TRUE,"")</f>
        <v>Review</v>
      </c>
      <c r="S365" t="s">
        <v>1624</v>
      </c>
    </row>
    <row r="366" spans="1:19" ht="76.5" hidden="1">
      <c r="A366" t="s">
        <v>89</v>
      </c>
      <c r="B366" t="s">
        <v>1619</v>
      </c>
      <c r="C366" t="s">
        <v>2402</v>
      </c>
      <c r="D366" s="2" t="s">
        <v>1621</v>
      </c>
      <c r="E366">
        <v>436.89</v>
      </c>
      <c r="F366">
        <v>8.74</v>
      </c>
      <c r="G366" t="s">
        <v>79</v>
      </c>
      <c r="H366" t="s">
        <v>81</v>
      </c>
      <c r="I366">
        <v>0</v>
      </c>
      <c r="J366">
        <v>0</v>
      </c>
      <c r="K366" s="5">
        <v>46164.514344537027</v>
      </c>
      <c r="L366" s="5">
        <v>46197.320903680557</v>
      </c>
      <c r="M366" s="2" t="s">
        <v>2403</v>
      </c>
      <c r="N366" s="2" t="s">
        <v>2404</v>
      </c>
      <c r="O366" s="5">
        <v>46197.321055335648</v>
      </c>
      <c r="P366" t="str">
        <f>IF($Q366="DELETE",IF($S366="CONFIRMED: NO MODS &gt; 1YR","CONFIRMED: NO MODS &gt; 1YR","DO NOT DELETE — not defensibly confirmed"),IF($Q366="HOLD","DO NOT DELETE — HOLD (Charlie review)",IF($Q366="KEEP","DO NOT DELETE — KEEP",IF(ISNUMBER(SEARCH("REVIEW",$Q366)),"DO NOT DELETE — REVIEW pending",$S366))))</f>
        <v>DO NOT DELETE — REVIEW pending</v>
      </c>
      <c r="Q366" t="str" cm="1">
        <f t="array" ref="Q366">_xlfn.IFS(AND($A366="thg-beauty",ISNUMBER(SEARCH("liveramp",$C366))),"DELETE",$A366="agile-bonbon-662",_xlfn.IFS(LEFT($G366,9)="Tranche 1","DELETE",$C366="Sessions_Level_1_All_Sites","KEEP",ISNUMBER(--$C366),"REVIEW — UA raw logs",$C366="Emag_Reporting","KEEP",$C366="Nutrition_Data_Archived_Tables","KEEP",$C366="EU_Data","KEEP",TRUE,"REVIEW"),OR($A366="thg-influencer",$A366="thg-ingenuity",$A366="thg-central-marketing",$A366="thg-seoclarity"),"HOLD",TRUE,"")</f>
        <v>REVIEW</v>
      </c>
      <c r="R366" t="str" cm="1">
        <f t="array" ref="R366">_xlfn.IFS(AND($A366="thg-beauty",ISNUMBER(SEARCH("liveramp",$C366))),"thg-beauty Liveramp dataset — confirmed safe to delete",$A366="agile-bonbon-662",_xlfn.IFS(LEFT($G366,9)="Tranche 1","Tranche 1: cleared",$C366="Sessions_Level_1_All_Sites","Downstream aggregation of UA raw logs — keep if raw tables go",ISNUMBER(--$C366),"UA raw site logs (account ID) — keep pending audit-retention check",$C366="Emag_Reporting","Legacy but likely needed",$C366="Nutrition_Data_Archived_Tables","Worth keeping",$C366="EU_Data","Static lookup tables — scripts still reference (smoke-test risk)",TRUE,"Review"),OR($A366="thg-influencer",$A366="thg-ingenuity",$A366="thg-central-marketing",$A366="thg-seoclarity"),"HOLD — Charlie Stringer to review before deletion",TRUE,"")</f>
        <v>Review</v>
      </c>
      <c r="S366" t="s">
        <v>1624</v>
      </c>
    </row>
    <row r="367" spans="1:19" ht="76.5" hidden="1">
      <c r="A367" t="s">
        <v>38</v>
      </c>
      <c r="B367" t="s">
        <v>1619</v>
      </c>
      <c r="C367" t="s">
        <v>2405</v>
      </c>
      <c r="D367" s="2" t="s">
        <v>1621</v>
      </c>
      <c r="E367">
        <v>435.71</v>
      </c>
      <c r="F367">
        <v>8.7100000000000009</v>
      </c>
      <c r="G367" t="s">
        <v>79</v>
      </c>
      <c r="H367" t="s">
        <v>81</v>
      </c>
      <c r="I367">
        <v>0</v>
      </c>
      <c r="J367">
        <v>0</v>
      </c>
      <c r="K367" s="5">
        <v>46196.668199618063</v>
      </c>
      <c r="L367" s="5">
        <v>46196.636229965283</v>
      </c>
      <c r="M367" s="2" t="s">
        <v>2406</v>
      </c>
      <c r="N367" s="2" t="s">
        <v>2407</v>
      </c>
      <c r="O367" s="5">
        <v>46196.636646145831</v>
      </c>
      <c r="P367" t="str">
        <f>IF($Q367="DELETE",IF($S367="CONFIRMED: NO MODS &gt; 1YR","CONFIRMED: NO MODS &gt; 1YR","DO NOT DELETE — not defensibly confirmed"),IF($Q367="HOLD","DO NOT DELETE — HOLD (Charlie review)",IF($Q367="KEEP","DO NOT DELETE — KEEP",IF(ISNUMBER(SEARCH("REVIEW",$Q367)),"DO NOT DELETE — REVIEW pending",$S367))))</f>
        <v>DO NOT DELETE — HOLD (Charlie review)</v>
      </c>
      <c r="Q367" t="str" cm="1">
        <f t="array" ref="Q367">_xlfn.IFS(AND($A367="thg-beauty",ISNUMBER(SEARCH("liveramp",$C367))),"DELETE",$A367="agile-bonbon-662",_xlfn.IFS(LEFT($G367,9)="Tranche 1","DELETE",$C367="Sessions_Level_1_All_Sites","KEEP",ISNUMBER(--$C367),"REVIEW — UA raw logs",$C367="Emag_Reporting","KEEP",$C367="Nutrition_Data_Archived_Tables","KEEP",$C367="EU_Data","KEEP",TRUE,"REVIEW"),OR($A367="thg-influencer",$A367="thg-ingenuity",$A367="thg-central-marketing",$A367="thg-seoclarity"),"HOLD",TRUE,"")</f>
        <v>HOLD</v>
      </c>
      <c r="R367" t="str" cm="1">
        <f t="array" ref="R367">_xlfn.IFS(AND($A367="thg-beauty",ISNUMBER(SEARCH("liveramp",$C367))),"thg-beauty Liveramp dataset — confirmed safe to delete",$A367="agile-bonbon-662",_xlfn.IFS(LEFT($G367,9)="Tranche 1","Tranche 1: cleared",$C367="Sessions_Level_1_All_Sites","Downstream aggregation of UA raw logs — keep if raw tables go",ISNUMBER(--$C367),"UA raw site logs (account ID) — keep pending audit-retention check",$C367="Emag_Reporting","Legacy but likely needed",$C367="Nutrition_Data_Archived_Tables","Worth keeping",$C367="EU_Data","Static lookup tables — scripts still reference (smoke-test risk)",TRUE,"Review"),OR($A367="thg-influencer",$A367="thg-ingenuity",$A367="thg-central-marketing",$A367="thg-seoclarity"),"HOLD — Charlie Stringer to review before deletion",TRUE,"")</f>
        <v>HOLD — Charlie Stringer to review before deletion</v>
      </c>
      <c r="S367" t="s">
        <v>1624</v>
      </c>
    </row>
    <row r="368" spans="1:19" ht="76.5" hidden="1">
      <c r="A368" t="s">
        <v>1471</v>
      </c>
      <c r="B368" t="s">
        <v>1619</v>
      </c>
      <c r="C368" t="s">
        <v>2408</v>
      </c>
      <c r="D368" s="2" t="s">
        <v>1621</v>
      </c>
      <c r="E368">
        <v>421.52</v>
      </c>
      <c r="F368">
        <v>8.43</v>
      </c>
      <c r="G368" t="s">
        <v>79</v>
      </c>
      <c r="H368" t="s">
        <v>81</v>
      </c>
      <c r="I368">
        <v>0</v>
      </c>
      <c r="J368">
        <v>0</v>
      </c>
      <c r="K368" s="5">
        <v>46197.438218796298</v>
      </c>
      <c r="L368" s="5">
        <v>46197.438218796298</v>
      </c>
      <c r="M368" s="2" t="s">
        <v>2409</v>
      </c>
      <c r="N368" s="2" t="s">
        <v>2410</v>
      </c>
      <c r="O368" s="5">
        <v>46197.438267384263</v>
      </c>
      <c r="P368" t="str">
        <f>IF($Q368="DELETE",IF($S368="CONFIRMED: NO MODS &gt; 1YR","CONFIRMED: NO MODS &gt; 1YR","DO NOT DELETE — not defensibly confirmed"),IF($Q368="HOLD","DO NOT DELETE — HOLD (Charlie review)",IF($Q368="KEEP","DO NOT DELETE — KEEP",IF(ISNUMBER(SEARCH("REVIEW",$Q368)),"DO NOT DELETE — REVIEW pending",$S368))))</f>
        <v>CONFIRMED: NO MODS &gt; 1YR</v>
      </c>
      <c r="Q368" t="str" cm="1">
        <f t="array" ref="Q368">_xlfn.IFS(AND($A368="thg-beauty",ISNUMBER(SEARCH("liveramp",$C368))),"DELETE",$A368="agile-bonbon-662",_xlfn.IFS(LEFT($G368,9)="Tranche 1","DELETE",$C368="Sessions_Level_1_All_Sites","KEEP",ISNUMBER(--$C368),"REVIEW — UA raw logs",$C368="Emag_Reporting","KEEP",$C368="Nutrition_Data_Archived_Tables","KEEP",$C368="EU_Data","KEEP",TRUE,"REVIEW"),OR($A368="thg-influencer",$A368="thg-ingenuity",$A368="thg-central-marketing",$A368="thg-seoclarity"),"HOLD",TRUE,"")</f>
        <v/>
      </c>
      <c r="R368" t="str" cm="1">
        <f t="array" ref="R368">_xlfn.IFS(AND($A368="thg-beauty",ISNUMBER(SEARCH("liveramp",$C368))),"thg-beauty Liveramp dataset — confirmed safe to delete",$A368="agile-bonbon-662",_xlfn.IFS(LEFT($G368,9)="Tranche 1","Tranche 1: cleared",$C368="Sessions_Level_1_All_Sites","Downstream aggregation of UA raw logs — keep if raw tables go",ISNUMBER(--$C368),"UA raw site logs (account ID) — keep pending audit-retention check",$C368="Emag_Reporting","Legacy but likely needed",$C368="Nutrition_Data_Archived_Tables","Worth keeping",$C368="EU_Data","Static lookup tables — scripts still reference (smoke-test risk)",TRUE,"Review"),OR($A368="thg-influencer",$A368="thg-ingenuity",$A368="thg-central-marketing",$A368="thg-seoclarity"),"HOLD — Charlie Stringer to review before deletion",TRUE,"")</f>
        <v/>
      </c>
      <c r="S368" t="s">
        <v>1624</v>
      </c>
    </row>
    <row r="369" spans="1:19" ht="76.5" hidden="1">
      <c r="A369" t="s">
        <v>89</v>
      </c>
      <c r="B369" t="s">
        <v>1619</v>
      </c>
      <c r="C369" t="s">
        <v>2411</v>
      </c>
      <c r="D369" s="2" t="s">
        <v>1621</v>
      </c>
      <c r="E369">
        <v>398.36</v>
      </c>
      <c r="F369">
        <v>7.97</v>
      </c>
      <c r="G369" t="s">
        <v>79</v>
      </c>
      <c r="H369" t="s">
        <v>81</v>
      </c>
      <c r="I369">
        <v>0</v>
      </c>
      <c r="J369">
        <v>0</v>
      </c>
      <c r="K369" s="5">
        <v>46194.125200995368</v>
      </c>
      <c r="L369" s="5">
        <v>46197.389723969907</v>
      </c>
      <c r="M369" s="2" t="s">
        <v>2260</v>
      </c>
      <c r="N369" s="2" t="s">
        <v>2412</v>
      </c>
      <c r="O369" s="5">
        <v>46197.417737673612</v>
      </c>
      <c r="P369" t="str">
        <f>IF($Q369="DELETE",IF($S369="CONFIRMED: NO MODS &gt; 1YR","CONFIRMED: NO MODS &gt; 1YR","DO NOT DELETE — not defensibly confirmed"),IF($Q369="HOLD","DO NOT DELETE — HOLD (Charlie review)",IF($Q369="KEEP","DO NOT DELETE — KEEP",IF(ISNUMBER(SEARCH("REVIEW",$Q369)),"DO NOT DELETE — REVIEW pending",$S369))))</f>
        <v>DO NOT DELETE — REVIEW pending</v>
      </c>
      <c r="Q369" t="str" cm="1">
        <f t="array" ref="Q369">_xlfn.IFS(AND($A369="thg-beauty",ISNUMBER(SEARCH("liveramp",$C369))),"DELETE",$A369="agile-bonbon-662",_xlfn.IFS(LEFT($G369,9)="Tranche 1","DELETE",$C369="Sessions_Level_1_All_Sites","KEEP",ISNUMBER(--$C369),"REVIEW — UA raw logs",$C369="Emag_Reporting","KEEP",$C369="Nutrition_Data_Archived_Tables","KEEP",$C369="EU_Data","KEEP",TRUE,"REVIEW"),OR($A369="thg-influencer",$A369="thg-ingenuity",$A369="thg-central-marketing",$A369="thg-seoclarity"),"HOLD",TRUE,"")</f>
        <v>REVIEW</v>
      </c>
      <c r="R369" t="str" cm="1">
        <f t="array" ref="R369">_xlfn.IFS(AND($A369="thg-beauty",ISNUMBER(SEARCH("liveramp",$C369))),"thg-beauty Liveramp dataset — confirmed safe to delete",$A369="agile-bonbon-662",_xlfn.IFS(LEFT($G369,9)="Tranche 1","Tranche 1: cleared",$C369="Sessions_Level_1_All_Sites","Downstream aggregation of UA raw logs — keep if raw tables go",ISNUMBER(--$C369),"UA raw site logs (account ID) — keep pending audit-retention check",$C369="Emag_Reporting","Legacy but likely needed",$C369="Nutrition_Data_Archived_Tables","Worth keeping",$C369="EU_Data","Static lookup tables — scripts still reference (smoke-test risk)",TRUE,"Review"),OR($A369="thg-influencer",$A369="thg-ingenuity",$A369="thg-central-marketing",$A369="thg-seoclarity"),"HOLD — Charlie Stringer to review before deletion",TRUE,"")</f>
        <v>Review</v>
      </c>
      <c r="S369" t="s">
        <v>1624</v>
      </c>
    </row>
    <row r="370" spans="1:19" ht="76.5" hidden="1">
      <c r="A370" t="s">
        <v>89</v>
      </c>
      <c r="B370" t="s">
        <v>1619</v>
      </c>
      <c r="C370" t="s">
        <v>2413</v>
      </c>
      <c r="D370" s="2" t="s">
        <v>1621</v>
      </c>
      <c r="E370">
        <v>394.93</v>
      </c>
      <c r="F370">
        <v>7.9</v>
      </c>
      <c r="G370" t="s">
        <v>79</v>
      </c>
      <c r="H370" t="s">
        <v>81</v>
      </c>
      <c r="I370">
        <v>0</v>
      </c>
      <c r="J370">
        <v>0</v>
      </c>
      <c r="K370" s="5">
        <v>46197.425307048608</v>
      </c>
      <c r="L370" s="5">
        <v>46197.425523564823</v>
      </c>
      <c r="M370" s="2" t="s">
        <v>2414</v>
      </c>
      <c r="N370" s="2" t="s">
        <v>2415</v>
      </c>
      <c r="O370" s="5">
        <v>46197.425550277767</v>
      </c>
      <c r="P370" t="str">
        <f>IF($Q370="DELETE",IF($S370="CONFIRMED: NO MODS &gt; 1YR","CONFIRMED: NO MODS &gt; 1YR","DO NOT DELETE — not defensibly confirmed"),IF($Q370="HOLD","DO NOT DELETE — HOLD (Charlie review)",IF($Q370="KEEP","DO NOT DELETE — KEEP",IF(ISNUMBER(SEARCH("REVIEW",$Q370)),"DO NOT DELETE — REVIEW pending",$S370))))</f>
        <v>DO NOT DELETE — REVIEW pending</v>
      </c>
      <c r="Q370" t="str" cm="1">
        <f t="array" ref="Q370">_xlfn.IFS(AND($A370="thg-beauty",ISNUMBER(SEARCH("liveramp",$C370))),"DELETE",$A370="agile-bonbon-662",_xlfn.IFS(LEFT($G370,9)="Tranche 1","DELETE",$C370="Sessions_Level_1_All_Sites","KEEP",ISNUMBER(--$C370),"REVIEW — UA raw logs",$C370="Emag_Reporting","KEEP",$C370="Nutrition_Data_Archived_Tables","KEEP",$C370="EU_Data","KEEP",TRUE,"REVIEW"),OR($A370="thg-influencer",$A370="thg-ingenuity",$A370="thg-central-marketing",$A370="thg-seoclarity"),"HOLD",TRUE,"")</f>
        <v>REVIEW</v>
      </c>
      <c r="R370" t="str" cm="1">
        <f t="array" ref="R370">_xlfn.IFS(AND($A370="thg-beauty",ISNUMBER(SEARCH("liveramp",$C370))),"thg-beauty Liveramp dataset — confirmed safe to delete",$A370="agile-bonbon-662",_xlfn.IFS(LEFT($G370,9)="Tranche 1","Tranche 1: cleared",$C370="Sessions_Level_1_All_Sites","Downstream aggregation of UA raw logs — keep if raw tables go",ISNUMBER(--$C370),"UA raw site logs (account ID) — keep pending audit-retention check",$C370="Emag_Reporting","Legacy but likely needed",$C370="Nutrition_Data_Archived_Tables","Worth keeping",$C370="EU_Data","Static lookup tables — scripts still reference (smoke-test risk)",TRUE,"Review"),OR($A370="thg-influencer",$A370="thg-ingenuity",$A370="thg-central-marketing",$A370="thg-seoclarity"),"HOLD — Charlie Stringer to review before deletion",TRUE,"")</f>
        <v>Review</v>
      </c>
      <c r="S370" t="s">
        <v>1624</v>
      </c>
    </row>
    <row r="371" spans="1:19" ht="76.5" hidden="1">
      <c r="A371" t="s">
        <v>89</v>
      </c>
      <c r="B371" t="s">
        <v>1619</v>
      </c>
      <c r="C371" t="s">
        <v>2416</v>
      </c>
      <c r="D371" s="2" t="s">
        <v>1621</v>
      </c>
      <c r="E371">
        <v>394.8</v>
      </c>
      <c r="F371">
        <v>7.9</v>
      </c>
      <c r="G371" t="s">
        <v>79</v>
      </c>
      <c r="H371" t="s">
        <v>81</v>
      </c>
      <c r="I371">
        <v>0</v>
      </c>
      <c r="J371">
        <v>0</v>
      </c>
      <c r="K371" s="5">
        <v>46194.125200995368</v>
      </c>
      <c r="L371" s="5">
        <v>46197.27415946759</v>
      </c>
      <c r="M371" s="2" t="s">
        <v>2260</v>
      </c>
      <c r="N371" s="2" t="s">
        <v>2417</v>
      </c>
      <c r="O371" s="5">
        <v>46197.440157650461</v>
      </c>
      <c r="P371" t="str">
        <f>IF($Q371="DELETE",IF($S371="CONFIRMED: NO MODS &gt; 1YR","CONFIRMED: NO MODS &gt; 1YR","DO NOT DELETE — not defensibly confirmed"),IF($Q371="HOLD","DO NOT DELETE — HOLD (Charlie review)",IF($Q371="KEEP","DO NOT DELETE — KEEP",IF(ISNUMBER(SEARCH("REVIEW",$Q371)),"DO NOT DELETE — REVIEW pending",$S371))))</f>
        <v>DO NOT DELETE — REVIEW pending</v>
      </c>
      <c r="Q371" t="str" cm="1">
        <f t="array" ref="Q371">_xlfn.IFS(AND($A371="thg-beauty",ISNUMBER(SEARCH("liveramp",$C371))),"DELETE",$A371="agile-bonbon-662",_xlfn.IFS(LEFT($G371,9)="Tranche 1","DELETE",$C371="Sessions_Level_1_All_Sites","KEEP",ISNUMBER(--$C371),"REVIEW — UA raw logs",$C371="Emag_Reporting","KEEP",$C371="Nutrition_Data_Archived_Tables","KEEP",$C371="EU_Data","KEEP",TRUE,"REVIEW"),OR($A371="thg-influencer",$A371="thg-ingenuity",$A371="thg-central-marketing",$A371="thg-seoclarity"),"HOLD",TRUE,"")</f>
        <v>REVIEW</v>
      </c>
      <c r="R371" t="str" cm="1">
        <f t="array" ref="R371">_xlfn.IFS(AND($A371="thg-beauty",ISNUMBER(SEARCH("liveramp",$C371))),"thg-beauty Liveramp dataset — confirmed safe to delete",$A371="agile-bonbon-662",_xlfn.IFS(LEFT($G371,9)="Tranche 1","Tranche 1: cleared",$C371="Sessions_Level_1_All_Sites","Downstream aggregation of UA raw logs — keep if raw tables go",ISNUMBER(--$C371),"UA raw site logs (account ID) — keep pending audit-retention check",$C371="Emag_Reporting","Legacy but likely needed",$C371="Nutrition_Data_Archived_Tables","Worth keeping",$C371="EU_Data","Static lookup tables — scripts still reference (smoke-test risk)",TRUE,"Review"),OR($A371="thg-influencer",$A371="thg-ingenuity",$A371="thg-central-marketing",$A371="thg-seoclarity"),"HOLD — Charlie Stringer to review before deletion",TRUE,"")</f>
        <v>Review</v>
      </c>
      <c r="S371" t="s">
        <v>1624</v>
      </c>
    </row>
    <row r="372" spans="1:19" ht="76.5" hidden="1">
      <c r="A372" t="s">
        <v>92</v>
      </c>
      <c r="B372" t="s">
        <v>1619</v>
      </c>
      <c r="C372" t="s">
        <v>2418</v>
      </c>
      <c r="D372" s="2" t="s">
        <v>1621</v>
      </c>
      <c r="E372">
        <v>14.13</v>
      </c>
      <c r="F372">
        <v>0.28000000000000003</v>
      </c>
      <c r="G372" t="s">
        <v>79</v>
      </c>
      <c r="H372" t="s">
        <v>81</v>
      </c>
      <c r="I372">
        <v>0</v>
      </c>
      <c r="J372">
        <v>0</v>
      </c>
      <c r="K372" s="5">
        <v>46197.240398888891</v>
      </c>
      <c r="L372" s="5">
        <v>46197.240398888891</v>
      </c>
      <c r="M372" s="2" t="s">
        <v>2419</v>
      </c>
      <c r="N372" s="2" t="s">
        <v>2420</v>
      </c>
      <c r="O372" s="5">
        <v>46197.240491006953</v>
      </c>
      <c r="P372" t="str">
        <f>IF($Q372="DELETE",IF($S372="CONFIRMED: NO MODS &gt; 1YR","CONFIRMED: NO MODS &gt; 1YR","DO NOT DELETE — not defensibly confirmed"),IF($Q372="HOLD","DO NOT DELETE — HOLD (Charlie review)",IF($Q372="KEEP","DO NOT DELETE — KEEP",IF(ISNUMBER(SEARCH("REVIEW",$Q372)),"DO NOT DELETE — REVIEW pending",$S372))))</f>
        <v>CONFIRMED: NO MODS &gt; 1YR</v>
      </c>
      <c r="Q372" t="str" cm="1">
        <f t="array" ref="Q372">_xlfn.IFS(AND($A372="thg-beauty",ISNUMBER(SEARCH("liveramp",$C372))),"DELETE",$A372="agile-bonbon-662",_xlfn.IFS(LEFT($G372,9)="Tranche 1","DELETE",$C372="Sessions_Level_1_All_Sites","KEEP",ISNUMBER(--$C372),"REVIEW — UA raw logs",$C372="Emag_Reporting","KEEP",$C372="Nutrition_Data_Archived_Tables","KEEP",$C372="EU_Data","KEEP",TRUE,"REVIEW"),OR($A372="thg-influencer",$A372="thg-ingenuity",$A372="thg-central-marketing",$A372="thg-seoclarity"),"HOLD",TRUE,"")</f>
        <v/>
      </c>
      <c r="R372" t="str" cm="1">
        <f t="array" ref="R372">_xlfn.IFS(AND($A372="thg-beauty",ISNUMBER(SEARCH("liveramp",$C372))),"thg-beauty Liveramp dataset — confirmed safe to delete",$A372="agile-bonbon-662",_xlfn.IFS(LEFT($G372,9)="Tranche 1","Tranche 1: cleared",$C372="Sessions_Level_1_All_Sites","Downstream aggregation of UA raw logs — keep if raw tables go",ISNUMBER(--$C372),"UA raw site logs (account ID) — keep pending audit-retention check",$C372="Emag_Reporting","Legacy but likely needed",$C372="Nutrition_Data_Archived_Tables","Worth keeping",$C372="EU_Data","Static lookup tables — scripts still reference (smoke-test risk)",TRUE,"Review"),OR($A372="thg-influencer",$A372="thg-ingenuity",$A372="thg-central-marketing",$A372="thg-seoclarity"),"HOLD — Charlie Stringer to review before deletion",TRUE,"")</f>
        <v/>
      </c>
      <c r="S372" t="s">
        <v>1624</v>
      </c>
    </row>
    <row r="373" spans="1:19" ht="76.5" hidden="1">
      <c r="A373" t="s">
        <v>39</v>
      </c>
      <c r="B373" t="s">
        <v>1619</v>
      </c>
      <c r="C373" t="s">
        <v>2421</v>
      </c>
      <c r="D373" s="2" t="s">
        <v>1621</v>
      </c>
      <c r="E373">
        <v>377.4</v>
      </c>
      <c r="F373">
        <v>7.55</v>
      </c>
      <c r="G373" t="s">
        <v>79</v>
      </c>
      <c r="H373" t="s">
        <v>81</v>
      </c>
      <c r="I373">
        <v>0</v>
      </c>
      <c r="J373">
        <v>0</v>
      </c>
      <c r="K373" s="5">
        <v>46197.437878761571</v>
      </c>
      <c r="L373" s="5">
        <v>46197.437878761571</v>
      </c>
      <c r="M373" s="2" t="s">
        <v>2422</v>
      </c>
      <c r="N373" s="2" t="s">
        <v>2423</v>
      </c>
      <c r="O373" s="5">
        <v>46197.437925972219</v>
      </c>
      <c r="P373" t="str">
        <f>IF($Q373="DELETE",IF($S373="CONFIRMED: NO MODS &gt; 1YR","CONFIRMED: NO MODS &gt; 1YR","DO NOT DELETE — not defensibly confirmed"),IF($Q373="HOLD","DO NOT DELETE — HOLD (Charlie review)",IF($Q373="KEEP","DO NOT DELETE — KEEP",IF(ISNUMBER(SEARCH("REVIEW",$Q373)),"DO NOT DELETE — REVIEW pending",$S373))))</f>
        <v>DO NOT DELETE — HOLD (Charlie review)</v>
      </c>
      <c r="Q373" t="str" cm="1">
        <f t="array" ref="Q373">_xlfn.IFS(AND($A373="thg-beauty",ISNUMBER(SEARCH("liveramp",$C373))),"DELETE",$A373="agile-bonbon-662",_xlfn.IFS(LEFT($G373,9)="Tranche 1","DELETE",$C373="Sessions_Level_1_All_Sites","KEEP",ISNUMBER(--$C373),"REVIEW — UA raw logs",$C373="Emag_Reporting","KEEP",$C373="Nutrition_Data_Archived_Tables","KEEP",$C373="EU_Data","KEEP",TRUE,"REVIEW"),OR($A373="thg-influencer",$A373="thg-ingenuity",$A373="thg-central-marketing",$A373="thg-seoclarity"),"HOLD",TRUE,"")</f>
        <v>HOLD</v>
      </c>
      <c r="R373" t="str" cm="1">
        <f t="array" ref="R373">_xlfn.IFS(AND($A373="thg-beauty",ISNUMBER(SEARCH("liveramp",$C373))),"thg-beauty Liveramp dataset — confirmed safe to delete",$A373="agile-bonbon-662",_xlfn.IFS(LEFT($G373,9)="Tranche 1","Tranche 1: cleared",$C373="Sessions_Level_1_All_Sites","Downstream aggregation of UA raw logs — keep if raw tables go",ISNUMBER(--$C373),"UA raw site logs (account ID) — keep pending audit-retention check",$C373="Emag_Reporting","Legacy but likely needed",$C373="Nutrition_Data_Archived_Tables","Worth keeping",$C373="EU_Data","Static lookup tables — scripts still reference (smoke-test risk)",TRUE,"Review"),OR($A373="thg-influencer",$A373="thg-ingenuity",$A373="thg-central-marketing",$A373="thg-seoclarity"),"HOLD — Charlie Stringer to review before deletion",TRUE,"")</f>
        <v>HOLD — Charlie Stringer to review before deletion</v>
      </c>
      <c r="S373" t="s">
        <v>1624</v>
      </c>
    </row>
    <row r="374" spans="1:19" ht="76.5" hidden="1">
      <c r="A374" t="s">
        <v>92</v>
      </c>
      <c r="B374" t="s">
        <v>1619</v>
      </c>
      <c r="C374" t="s">
        <v>2424</v>
      </c>
      <c r="D374" s="2" t="s">
        <v>1621</v>
      </c>
      <c r="E374">
        <v>13.93</v>
      </c>
      <c r="F374">
        <v>0.28000000000000003</v>
      </c>
      <c r="G374" t="s">
        <v>79</v>
      </c>
      <c r="H374" t="s">
        <v>81</v>
      </c>
      <c r="I374">
        <v>0</v>
      </c>
      <c r="J374">
        <v>0</v>
      </c>
      <c r="K374" s="5">
        <v>46197.266704907408</v>
      </c>
      <c r="L374" s="5">
        <v>46197.263502592592</v>
      </c>
      <c r="M374" s="2" t="s">
        <v>2425</v>
      </c>
      <c r="N374" s="2" t="s">
        <v>2426</v>
      </c>
      <c r="O374" s="5">
        <v>46197.263540497683</v>
      </c>
      <c r="P374" t="str">
        <f>IF($Q374="DELETE",IF($S374="CONFIRMED: NO MODS &gt; 1YR","CONFIRMED: NO MODS &gt; 1YR","DO NOT DELETE — not defensibly confirmed"),IF($Q374="HOLD","DO NOT DELETE — HOLD (Charlie review)",IF($Q374="KEEP","DO NOT DELETE — KEEP",IF(ISNUMBER(SEARCH("REVIEW",$Q374)),"DO NOT DELETE — REVIEW pending",$S374))))</f>
        <v>CONFIRMED: NO MODS &gt; 1YR</v>
      </c>
      <c r="Q374" t="str" cm="1">
        <f t="array" ref="Q374">_xlfn.IFS(AND($A374="thg-beauty",ISNUMBER(SEARCH("liveramp",$C374))),"DELETE",$A374="agile-bonbon-662",_xlfn.IFS(LEFT($G374,9)="Tranche 1","DELETE",$C374="Sessions_Level_1_All_Sites","KEEP",ISNUMBER(--$C374),"REVIEW — UA raw logs",$C374="Emag_Reporting","KEEP",$C374="Nutrition_Data_Archived_Tables","KEEP",$C374="EU_Data","KEEP",TRUE,"REVIEW"),OR($A374="thg-influencer",$A374="thg-ingenuity",$A374="thg-central-marketing",$A374="thg-seoclarity"),"HOLD",TRUE,"")</f>
        <v/>
      </c>
      <c r="R374" t="str" cm="1">
        <f t="array" ref="R374">_xlfn.IFS(AND($A374="thg-beauty",ISNUMBER(SEARCH("liveramp",$C374))),"thg-beauty Liveramp dataset — confirmed safe to delete",$A374="agile-bonbon-662",_xlfn.IFS(LEFT($G374,9)="Tranche 1","Tranche 1: cleared",$C374="Sessions_Level_1_All_Sites","Downstream aggregation of UA raw logs — keep if raw tables go",ISNUMBER(--$C374),"UA raw site logs (account ID) — keep pending audit-retention check",$C374="Emag_Reporting","Legacy but likely needed",$C374="Nutrition_Data_Archived_Tables","Worth keeping",$C374="EU_Data","Static lookup tables — scripts still reference (smoke-test risk)",TRUE,"Review"),OR($A374="thg-influencer",$A374="thg-ingenuity",$A374="thg-central-marketing",$A374="thg-seoclarity"),"HOLD — Charlie Stringer to review before deletion",TRUE,"")</f>
        <v/>
      </c>
      <c r="S374" t="s">
        <v>1624</v>
      </c>
    </row>
    <row r="375" spans="1:19" ht="76.5" hidden="1">
      <c r="A375" t="s">
        <v>39</v>
      </c>
      <c r="B375" t="s">
        <v>1619</v>
      </c>
      <c r="C375" t="s">
        <v>2427</v>
      </c>
      <c r="D375" s="2" t="s">
        <v>1621</v>
      </c>
      <c r="E375">
        <v>319.36</v>
      </c>
      <c r="F375">
        <v>6.39</v>
      </c>
      <c r="G375" t="s">
        <v>79</v>
      </c>
      <c r="H375" t="s">
        <v>81</v>
      </c>
      <c r="I375">
        <v>0</v>
      </c>
      <c r="J375">
        <v>0</v>
      </c>
      <c r="K375" s="5">
        <v>46197.441017523153</v>
      </c>
      <c r="L375" s="5">
        <v>46197.436040115739</v>
      </c>
      <c r="M375" s="2" t="s">
        <v>2428</v>
      </c>
      <c r="N375" s="2" t="s">
        <v>2429</v>
      </c>
      <c r="O375" s="5">
        <v>46197.436073912038</v>
      </c>
      <c r="P375" t="str">
        <f>IF($Q375="DELETE",IF($S375="CONFIRMED: NO MODS &gt; 1YR","CONFIRMED: NO MODS &gt; 1YR","DO NOT DELETE — not defensibly confirmed"),IF($Q375="HOLD","DO NOT DELETE — HOLD (Charlie review)",IF($Q375="KEEP","DO NOT DELETE — KEEP",IF(ISNUMBER(SEARCH("REVIEW",$Q375)),"DO NOT DELETE — REVIEW pending",$S375))))</f>
        <v>DO NOT DELETE — HOLD (Charlie review)</v>
      </c>
      <c r="Q375" t="str" cm="1">
        <f t="array" ref="Q375">_xlfn.IFS(AND($A375="thg-beauty",ISNUMBER(SEARCH("liveramp",$C375))),"DELETE",$A375="agile-bonbon-662",_xlfn.IFS(LEFT($G375,9)="Tranche 1","DELETE",$C375="Sessions_Level_1_All_Sites","KEEP",ISNUMBER(--$C375),"REVIEW — UA raw logs",$C375="Emag_Reporting","KEEP",$C375="Nutrition_Data_Archived_Tables","KEEP",$C375="EU_Data","KEEP",TRUE,"REVIEW"),OR($A375="thg-influencer",$A375="thg-ingenuity",$A375="thg-central-marketing",$A375="thg-seoclarity"),"HOLD",TRUE,"")</f>
        <v>HOLD</v>
      </c>
      <c r="R375" t="str" cm="1">
        <f t="array" ref="R375">_xlfn.IFS(AND($A375="thg-beauty",ISNUMBER(SEARCH("liveramp",$C375))),"thg-beauty Liveramp dataset — confirmed safe to delete",$A375="agile-bonbon-662",_xlfn.IFS(LEFT($G375,9)="Tranche 1","Tranche 1: cleared",$C375="Sessions_Level_1_All_Sites","Downstream aggregation of UA raw logs — keep if raw tables go",ISNUMBER(--$C375),"UA raw site logs (account ID) — keep pending audit-retention check",$C375="Emag_Reporting","Legacy but likely needed",$C375="Nutrition_Data_Archived_Tables","Worth keeping",$C375="EU_Data","Static lookup tables — scripts still reference (smoke-test risk)",TRUE,"Review"),OR($A375="thg-influencer",$A375="thg-ingenuity",$A375="thg-central-marketing",$A375="thg-seoclarity"),"HOLD — Charlie Stringer to review before deletion",TRUE,"")</f>
        <v>HOLD — Charlie Stringer to review before deletion</v>
      </c>
      <c r="S375" t="s">
        <v>1624</v>
      </c>
    </row>
    <row r="376" spans="1:19" ht="76.5" hidden="1">
      <c r="A376" t="s">
        <v>39</v>
      </c>
      <c r="B376" t="s">
        <v>1619</v>
      </c>
      <c r="C376" t="s">
        <v>2430</v>
      </c>
      <c r="D376" s="2" t="s">
        <v>1621</v>
      </c>
      <c r="E376">
        <v>313.49</v>
      </c>
      <c r="F376">
        <v>6.27</v>
      </c>
      <c r="G376" t="s">
        <v>79</v>
      </c>
      <c r="H376" t="s">
        <v>81</v>
      </c>
      <c r="I376">
        <v>0</v>
      </c>
      <c r="J376">
        <v>0</v>
      </c>
      <c r="K376" s="5">
        <v>46027.531621655093</v>
      </c>
      <c r="M376" s="2" t="s">
        <v>2431</v>
      </c>
      <c r="N376" s="2" t="s">
        <v>1701</v>
      </c>
      <c r="O376" s="5">
        <v>46197.439670405103</v>
      </c>
      <c r="P376" t="str">
        <f>IF($Q376="DELETE",IF($S376="CONFIRMED: NO MODS &gt; 1YR","CONFIRMED: NO MODS &gt; 1YR","DO NOT DELETE — not defensibly confirmed"),IF($Q376="HOLD","DO NOT DELETE — HOLD (Charlie review)",IF($Q376="KEEP","DO NOT DELETE — KEEP",IF(ISNUMBER(SEARCH("REVIEW",$Q376)),"DO NOT DELETE — REVIEW pending",$S376))))</f>
        <v>DO NOT DELETE — HOLD (Charlie review)</v>
      </c>
      <c r="Q376" t="str" cm="1">
        <f t="array" ref="Q376">_xlfn.IFS(AND($A376="thg-beauty",ISNUMBER(SEARCH("liveramp",$C376))),"DELETE",$A376="agile-bonbon-662",_xlfn.IFS(LEFT($G376,9)="Tranche 1","DELETE",$C376="Sessions_Level_1_All_Sites","KEEP",ISNUMBER(--$C376),"REVIEW — UA raw logs",$C376="Emag_Reporting","KEEP",$C376="Nutrition_Data_Archived_Tables","KEEP",$C376="EU_Data","KEEP",TRUE,"REVIEW"),OR($A376="thg-influencer",$A376="thg-ingenuity",$A376="thg-central-marketing",$A376="thg-seoclarity"),"HOLD",TRUE,"")</f>
        <v>HOLD</v>
      </c>
      <c r="R376" t="str" cm="1">
        <f t="array" ref="R376">_xlfn.IFS(AND($A376="thg-beauty",ISNUMBER(SEARCH("liveramp",$C376))),"thg-beauty Liveramp dataset — confirmed safe to delete",$A376="agile-bonbon-662",_xlfn.IFS(LEFT($G376,9)="Tranche 1","Tranche 1: cleared",$C376="Sessions_Level_1_All_Sites","Downstream aggregation of UA raw logs — keep if raw tables go",ISNUMBER(--$C376),"UA raw site logs (account ID) — keep pending audit-retention check",$C376="Emag_Reporting","Legacy but likely needed",$C376="Nutrition_Data_Archived_Tables","Worth keeping",$C376="EU_Data","Static lookup tables — scripts still reference (smoke-test risk)",TRUE,"Review"),OR($A376="thg-influencer",$A376="thg-ingenuity",$A376="thg-central-marketing",$A376="thg-seoclarity"),"HOLD — Charlie Stringer to review before deletion",TRUE,"")</f>
        <v>HOLD — Charlie Stringer to review before deletion</v>
      </c>
      <c r="S376" t="s">
        <v>1624</v>
      </c>
    </row>
    <row r="377" spans="1:19" ht="76.5" hidden="1">
      <c r="A377" t="s">
        <v>89</v>
      </c>
      <c r="B377" t="s">
        <v>1619</v>
      </c>
      <c r="C377" t="s">
        <v>2430</v>
      </c>
      <c r="D377" s="2" t="s">
        <v>1621</v>
      </c>
      <c r="E377">
        <v>313.39</v>
      </c>
      <c r="F377">
        <v>6.27</v>
      </c>
      <c r="G377" t="s">
        <v>79</v>
      </c>
      <c r="H377" t="s">
        <v>81</v>
      </c>
      <c r="I377">
        <v>0</v>
      </c>
      <c r="J377">
        <v>0</v>
      </c>
      <c r="K377" s="5">
        <v>46161.604505949072</v>
      </c>
      <c r="L377" s="5">
        <v>46197.083642986108</v>
      </c>
      <c r="M377" s="2" t="s">
        <v>2432</v>
      </c>
      <c r="N377" s="2" t="s">
        <v>2433</v>
      </c>
      <c r="O377" s="5">
        <v>46197.086231701389</v>
      </c>
      <c r="P377" t="str">
        <f>IF($Q377="DELETE",IF($S377="CONFIRMED: NO MODS &gt; 1YR","CONFIRMED: NO MODS &gt; 1YR","DO NOT DELETE — not defensibly confirmed"),IF($Q377="HOLD","DO NOT DELETE — HOLD (Charlie review)",IF($Q377="KEEP","DO NOT DELETE — KEEP",IF(ISNUMBER(SEARCH("REVIEW",$Q377)),"DO NOT DELETE — REVIEW pending",$S377))))</f>
        <v>DO NOT DELETE — REVIEW pending</v>
      </c>
      <c r="Q377" t="str" cm="1">
        <f t="array" ref="Q377">_xlfn.IFS(AND($A377="thg-beauty",ISNUMBER(SEARCH("liveramp",$C377))),"DELETE",$A377="agile-bonbon-662",_xlfn.IFS(LEFT($G377,9)="Tranche 1","DELETE",$C377="Sessions_Level_1_All_Sites","KEEP",ISNUMBER(--$C377),"REVIEW — UA raw logs",$C377="Emag_Reporting","KEEP",$C377="Nutrition_Data_Archived_Tables","KEEP",$C377="EU_Data","KEEP",TRUE,"REVIEW"),OR($A377="thg-influencer",$A377="thg-ingenuity",$A377="thg-central-marketing",$A377="thg-seoclarity"),"HOLD",TRUE,"")</f>
        <v>REVIEW</v>
      </c>
      <c r="R377" t="str" cm="1">
        <f t="array" ref="R377">_xlfn.IFS(AND($A377="thg-beauty",ISNUMBER(SEARCH("liveramp",$C377))),"thg-beauty Liveramp dataset — confirmed safe to delete",$A377="agile-bonbon-662",_xlfn.IFS(LEFT($G377,9)="Tranche 1","Tranche 1: cleared",$C377="Sessions_Level_1_All_Sites","Downstream aggregation of UA raw logs — keep if raw tables go",ISNUMBER(--$C377),"UA raw site logs (account ID) — keep pending audit-retention check",$C377="Emag_Reporting","Legacy but likely needed",$C377="Nutrition_Data_Archived_Tables","Worth keeping",$C377="EU_Data","Static lookup tables — scripts still reference (smoke-test risk)",TRUE,"Review"),OR($A377="thg-influencer",$A377="thg-ingenuity",$A377="thg-central-marketing",$A377="thg-seoclarity"),"HOLD — Charlie Stringer to review before deletion",TRUE,"")</f>
        <v>Review</v>
      </c>
      <c r="S377" t="s">
        <v>1624</v>
      </c>
    </row>
    <row r="378" spans="1:19" hidden="1">
      <c r="A378" t="s">
        <v>39</v>
      </c>
      <c r="B378" t="s">
        <v>1724</v>
      </c>
      <c r="C378" t="s">
        <v>2434</v>
      </c>
      <c r="D378" s="2" t="s">
        <v>1621</v>
      </c>
      <c r="E378">
        <v>310.98</v>
      </c>
      <c r="F378">
        <v>6.22</v>
      </c>
      <c r="G378" t="s">
        <v>79</v>
      </c>
      <c r="H378" t="s">
        <v>81</v>
      </c>
      <c r="I378">
        <v>0</v>
      </c>
      <c r="J378">
        <v>0</v>
      </c>
      <c r="M378" s="2" t="s">
        <v>1715</v>
      </c>
      <c r="N378" s="2" t="s">
        <v>1701</v>
      </c>
      <c r="O378" s="5">
        <v>46197.442017349538</v>
      </c>
      <c r="P378" t="str">
        <f>IF($Q378="DELETE",IF($S378="CONFIRMED: NO MODS &gt; 1YR","CONFIRMED: NO MODS &gt; 1YR","DO NOT DELETE — not defensibly confirmed"),IF($Q378="HOLD","DO NOT DELETE — HOLD (Charlie review)",IF($Q378="KEEP","DO NOT DELETE — KEEP",IF(ISNUMBER(SEARCH("REVIEW",$Q378)),"DO NOT DELETE — REVIEW pending",$S378))))</f>
        <v>DO NOT DELETE — HOLD (Charlie review)</v>
      </c>
      <c r="Q378" t="str" cm="1">
        <f t="array" ref="Q378">_xlfn.IFS(AND($A378="thg-beauty",ISNUMBER(SEARCH("liveramp",$C378))),"DELETE",$A378="agile-bonbon-662",_xlfn.IFS(LEFT($G378,9)="Tranche 1","DELETE",$C378="Sessions_Level_1_All_Sites","KEEP",ISNUMBER(--$C378),"REVIEW — UA raw logs",$C378="Emag_Reporting","KEEP",$C378="Nutrition_Data_Archived_Tables","KEEP",$C378="EU_Data","KEEP",TRUE,"REVIEW"),OR($A378="thg-influencer",$A378="thg-ingenuity",$A378="thg-central-marketing",$A378="thg-seoclarity"),"HOLD",TRUE,"")</f>
        <v>HOLD</v>
      </c>
      <c r="R378" t="str" cm="1">
        <f t="array" ref="R378">_xlfn.IFS(AND($A378="thg-beauty",ISNUMBER(SEARCH("liveramp",$C378))),"thg-beauty Liveramp dataset — confirmed safe to delete",$A378="agile-bonbon-662",_xlfn.IFS(LEFT($G378,9)="Tranche 1","Tranche 1: cleared",$C378="Sessions_Level_1_All_Sites","Downstream aggregation of UA raw logs — keep if raw tables go",ISNUMBER(--$C378),"UA raw site logs (account ID) — keep pending audit-retention check",$C378="Emag_Reporting","Legacy but likely needed",$C378="Nutrition_Data_Archived_Tables","Worth keeping",$C378="EU_Data","Static lookup tables — scripts still reference (smoke-test risk)",TRUE,"Review"),OR($A378="thg-influencer",$A378="thg-ingenuity",$A378="thg-central-marketing",$A378="thg-seoclarity"),"HOLD — Charlie Stringer to review before deletion",TRUE,"")</f>
        <v>HOLD — Charlie Stringer to review before deletion</v>
      </c>
      <c r="S378" t="s">
        <v>1624</v>
      </c>
    </row>
    <row r="379" spans="1:19" ht="76.5" hidden="1">
      <c r="A379" t="s">
        <v>39</v>
      </c>
      <c r="B379" t="s">
        <v>1619</v>
      </c>
      <c r="C379" t="s">
        <v>2434</v>
      </c>
      <c r="D379" s="2" t="s">
        <v>1621</v>
      </c>
      <c r="E379">
        <v>310.98</v>
      </c>
      <c r="F379">
        <v>6.22</v>
      </c>
      <c r="G379" t="s">
        <v>79</v>
      </c>
      <c r="H379" t="s">
        <v>81</v>
      </c>
      <c r="I379">
        <v>0</v>
      </c>
      <c r="J379">
        <v>0</v>
      </c>
      <c r="K379" s="5">
        <v>46197.441953414353</v>
      </c>
      <c r="L379" s="5">
        <v>46197.44198329861</v>
      </c>
      <c r="M379" s="2" t="s">
        <v>2435</v>
      </c>
      <c r="N379" s="2" t="s">
        <v>2436</v>
      </c>
      <c r="O379" s="5">
        <v>46197.442017349538</v>
      </c>
      <c r="P379" t="str">
        <f>IF($Q379="DELETE",IF($S379="CONFIRMED: NO MODS &gt; 1YR","CONFIRMED: NO MODS &gt; 1YR","DO NOT DELETE — not defensibly confirmed"),IF($Q379="HOLD","DO NOT DELETE — HOLD (Charlie review)",IF($Q379="KEEP","DO NOT DELETE — KEEP",IF(ISNUMBER(SEARCH("REVIEW",$Q379)),"DO NOT DELETE — REVIEW pending",$S379))))</f>
        <v>DO NOT DELETE — HOLD (Charlie review)</v>
      </c>
      <c r="Q379" t="str" cm="1">
        <f t="array" ref="Q379">_xlfn.IFS(AND($A379="thg-beauty",ISNUMBER(SEARCH("liveramp",$C379))),"DELETE",$A379="agile-bonbon-662",_xlfn.IFS(LEFT($G379,9)="Tranche 1","DELETE",$C379="Sessions_Level_1_All_Sites","KEEP",ISNUMBER(--$C379),"REVIEW — UA raw logs",$C379="Emag_Reporting","KEEP",$C379="Nutrition_Data_Archived_Tables","KEEP",$C379="EU_Data","KEEP",TRUE,"REVIEW"),OR($A379="thg-influencer",$A379="thg-ingenuity",$A379="thg-central-marketing",$A379="thg-seoclarity"),"HOLD",TRUE,"")</f>
        <v>HOLD</v>
      </c>
      <c r="R379" t="str" cm="1">
        <f t="array" ref="R379">_xlfn.IFS(AND($A379="thg-beauty",ISNUMBER(SEARCH("liveramp",$C379))),"thg-beauty Liveramp dataset — confirmed safe to delete",$A379="agile-bonbon-662",_xlfn.IFS(LEFT($G379,9)="Tranche 1","Tranche 1: cleared",$C379="Sessions_Level_1_All_Sites","Downstream aggregation of UA raw logs — keep if raw tables go",ISNUMBER(--$C379),"UA raw site logs (account ID) — keep pending audit-retention check",$C379="Emag_Reporting","Legacy but likely needed",$C379="Nutrition_Data_Archived_Tables","Worth keeping",$C379="EU_Data","Static lookup tables — scripts still reference (smoke-test risk)",TRUE,"Review"),OR($A379="thg-influencer",$A379="thg-ingenuity",$A379="thg-central-marketing",$A379="thg-seoclarity"),"HOLD — Charlie Stringer to review before deletion",TRUE,"")</f>
        <v>HOLD — Charlie Stringer to review before deletion</v>
      </c>
      <c r="S379" t="s">
        <v>1624</v>
      </c>
    </row>
    <row r="380" spans="1:19" ht="76.5" hidden="1">
      <c r="A380" t="s">
        <v>89</v>
      </c>
      <c r="B380" t="s">
        <v>1619</v>
      </c>
      <c r="C380" t="s">
        <v>2437</v>
      </c>
      <c r="D380" s="2" t="s">
        <v>1621</v>
      </c>
      <c r="E380">
        <v>301.43</v>
      </c>
      <c r="F380">
        <v>6.03</v>
      </c>
      <c r="G380" t="s">
        <v>79</v>
      </c>
      <c r="H380" t="s">
        <v>81</v>
      </c>
      <c r="I380">
        <v>0</v>
      </c>
      <c r="J380">
        <v>0</v>
      </c>
      <c r="K380" s="5">
        <v>46197.422040497688</v>
      </c>
      <c r="L380" s="5">
        <v>46197.392202719908</v>
      </c>
      <c r="M380" s="2" t="s">
        <v>2438</v>
      </c>
      <c r="N380" s="2" t="s">
        <v>2439</v>
      </c>
      <c r="O380" s="5">
        <v>46197.441448692131</v>
      </c>
      <c r="P380" t="str">
        <f>IF($Q380="DELETE",IF($S380="CONFIRMED: NO MODS &gt; 1YR","CONFIRMED: NO MODS &gt; 1YR","DO NOT DELETE — not defensibly confirmed"),IF($Q380="HOLD","DO NOT DELETE — HOLD (Charlie review)",IF($Q380="KEEP","DO NOT DELETE — KEEP",IF(ISNUMBER(SEARCH("REVIEW",$Q380)),"DO NOT DELETE — REVIEW pending",$S380))))</f>
        <v>DO NOT DELETE — REVIEW pending</v>
      </c>
      <c r="Q380" t="str" cm="1">
        <f t="array" ref="Q380">_xlfn.IFS(AND($A380="thg-beauty",ISNUMBER(SEARCH("liveramp",$C380))),"DELETE",$A380="agile-bonbon-662",_xlfn.IFS(LEFT($G380,9)="Tranche 1","DELETE",$C380="Sessions_Level_1_All_Sites","KEEP",ISNUMBER(--$C380),"REVIEW — UA raw logs",$C380="Emag_Reporting","KEEP",$C380="Nutrition_Data_Archived_Tables","KEEP",$C380="EU_Data","KEEP",TRUE,"REVIEW"),OR($A380="thg-influencer",$A380="thg-ingenuity",$A380="thg-central-marketing",$A380="thg-seoclarity"),"HOLD",TRUE,"")</f>
        <v>REVIEW</v>
      </c>
      <c r="R380" t="str" cm="1">
        <f t="array" ref="R380">_xlfn.IFS(AND($A380="thg-beauty",ISNUMBER(SEARCH("liveramp",$C380))),"thg-beauty Liveramp dataset — confirmed safe to delete",$A380="agile-bonbon-662",_xlfn.IFS(LEFT($G380,9)="Tranche 1","Tranche 1: cleared",$C380="Sessions_Level_1_All_Sites","Downstream aggregation of UA raw logs — keep if raw tables go",ISNUMBER(--$C380),"UA raw site logs (account ID) — keep pending audit-retention check",$C380="Emag_Reporting","Legacy but likely needed",$C380="Nutrition_Data_Archived_Tables","Worth keeping",$C380="EU_Data","Static lookup tables — scripts still reference (smoke-test risk)",TRUE,"Review"),OR($A380="thg-influencer",$A380="thg-ingenuity",$A380="thg-central-marketing",$A380="thg-seoclarity"),"HOLD — Charlie Stringer to review before deletion",TRUE,"")</f>
        <v>Review</v>
      </c>
      <c r="S380" t="s">
        <v>1624</v>
      </c>
    </row>
    <row r="381" spans="1:19" ht="76.5" hidden="1">
      <c r="A381" t="s">
        <v>89</v>
      </c>
      <c r="B381" t="s">
        <v>1619</v>
      </c>
      <c r="C381" t="s">
        <v>2440</v>
      </c>
      <c r="D381" s="2" t="s">
        <v>1621</v>
      </c>
      <c r="E381">
        <v>291.02</v>
      </c>
      <c r="F381">
        <v>5.82</v>
      </c>
      <c r="G381" t="s">
        <v>79</v>
      </c>
      <c r="H381" t="s">
        <v>81</v>
      </c>
      <c r="I381">
        <v>0</v>
      </c>
      <c r="J381">
        <v>0</v>
      </c>
      <c r="K381" s="5">
        <v>46194.125200995368</v>
      </c>
      <c r="L381" s="5">
        <v>46197.315243506942</v>
      </c>
      <c r="M381" s="2" t="s">
        <v>2260</v>
      </c>
      <c r="N381" s="2" t="s">
        <v>2441</v>
      </c>
      <c r="O381" s="5">
        <v>46197.432198564813</v>
      </c>
      <c r="P381" t="str">
        <f>IF($Q381="DELETE",IF($S381="CONFIRMED: NO MODS &gt; 1YR","CONFIRMED: NO MODS &gt; 1YR","DO NOT DELETE — not defensibly confirmed"),IF($Q381="HOLD","DO NOT DELETE — HOLD (Charlie review)",IF($Q381="KEEP","DO NOT DELETE — KEEP",IF(ISNUMBER(SEARCH("REVIEW",$Q381)),"DO NOT DELETE — REVIEW pending",$S381))))</f>
        <v>DO NOT DELETE — REVIEW pending</v>
      </c>
      <c r="Q381" t="str" cm="1">
        <f t="array" ref="Q381">_xlfn.IFS(AND($A381="thg-beauty",ISNUMBER(SEARCH("liveramp",$C381))),"DELETE",$A381="agile-bonbon-662",_xlfn.IFS(LEFT($G381,9)="Tranche 1","DELETE",$C381="Sessions_Level_1_All_Sites","KEEP",ISNUMBER(--$C381),"REVIEW — UA raw logs",$C381="Emag_Reporting","KEEP",$C381="Nutrition_Data_Archived_Tables","KEEP",$C381="EU_Data","KEEP",TRUE,"REVIEW"),OR($A381="thg-influencer",$A381="thg-ingenuity",$A381="thg-central-marketing",$A381="thg-seoclarity"),"HOLD",TRUE,"")</f>
        <v>REVIEW</v>
      </c>
      <c r="R381" t="str" cm="1">
        <f t="array" ref="R381">_xlfn.IFS(AND($A381="thg-beauty",ISNUMBER(SEARCH("liveramp",$C381))),"thg-beauty Liveramp dataset — confirmed safe to delete",$A381="agile-bonbon-662",_xlfn.IFS(LEFT($G381,9)="Tranche 1","Tranche 1: cleared",$C381="Sessions_Level_1_All_Sites","Downstream aggregation of UA raw logs — keep if raw tables go",ISNUMBER(--$C381),"UA raw site logs (account ID) — keep pending audit-retention check",$C381="Emag_Reporting","Legacy but likely needed",$C381="Nutrition_Data_Archived_Tables","Worth keeping",$C381="EU_Data","Static lookup tables — scripts still reference (smoke-test risk)",TRUE,"Review"),OR($A381="thg-influencer",$A381="thg-ingenuity",$A381="thg-central-marketing",$A381="thg-seoclarity"),"HOLD — Charlie Stringer to review before deletion",TRUE,"")</f>
        <v>Review</v>
      </c>
      <c r="S381" t="s">
        <v>1631</v>
      </c>
    </row>
    <row r="382" spans="1:19" ht="76.5" hidden="1">
      <c r="A382" t="s">
        <v>89</v>
      </c>
      <c r="B382" t="s">
        <v>1619</v>
      </c>
      <c r="C382" t="s">
        <v>2442</v>
      </c>
      <c r="D382" s="2" t="s">
        <v>1621</v>
      </c>
      <c r="E382">
        <v>288.64</v>
      </c>
      <c r="F382">
        <v>5.77</v>
      </c>
      <c r="G382" t="s">
        <v>79</v>
      </c>
      <c r="H382" t="s">
        <v>81</v>
      </c>
      <c r="I382">
        <v>0</v>
      </c>
      <c r="J382">
        <v>0</v>
      </c>
      <c r="K382" s="5">
        <v>46164.514324224539</v>
      </c>
      <c r="L382" s="5">
        <v>46197.305234340267</v>
      </c>
      <c r="M382" s="2" t="s">
        <v>2403</v>
      </c>
      <c r="N382" s="2" t="s">
        <v>2443</v>
      </c>
      <c r="O382" s="5">
        <v>46197.420584363434</v>
      </c>
      <c r="P382" t="str">
        <f>IF($Q382="DELETE",IF($S382="CONFIRMED: NO MODS &gt; 1YR","CONFIRMED: NO MODS &gt; 1YR","DO NOT DELETE — not defensibly confirmed"),IF($Q382="HOLD","DO NOT DELETE — HOLD (Charlie review)",IF($Q382="KEEP","DO NOT DELETE — KEEP",IF(ISNUMBER(SEARCH("REVIEW",$Q382)),"DO NOT DELETE — REVIEW pending",$S382))))</f>
        <v>DO NOT DELETE — REVIEW pending</v>
      </c>
      <c r="Q382" t="str" cm="1">
        <f t="array" ref="Q382">_xlfn.IFS(AND($A382="thg-beauty",ISNUMBER(SEARCH("liveramp",$C382))),"DELETE",$A382="agile-bonbon-662",_xlfn.IFS(LEFT($G382,9)="Tranche 1","DELETE",$C382="Sessions_Level_1_All_Sites","KEEP",ISNUMBER(--$C382),"REVIEW — UA raw logs",$C382="Emag_Reporting","KEEP",$C382="Nutrition_Data_Archived_Tables","KEEP",$C382="EU_Data","KEEP",TRUE,"REVIEW"),OR($A382="thg-influencer",$A382="thg-ingenuity",$A382="thg-central-marketing",$A382="thg-seoclarity"),"HOLD",TRUE,"")</f>
        <v>REVIEW</v>
      </c>
      <c r="R382" t="str" cm="1">
        <f t="array" ref="R382">_xlfn.IFS(AND($A382="thg-beauty",ISNUMBER(SEARCH("liveramp",$C382))),"thg-beauty Liveramp dataset — confirmed safe to delete",$A382="agile-bonbon-662",_xlfn.IFS(LEFT($G382,9)="Tranche 1","Tranche 1: cleared",$C382="Sessions_Level_1_All_Sites","Downstream aggregation of UA raw logs — keep if raw tables go",ISNUMBER(--$C382),"UA raw site logs (account ID) — keep pending audit-retention check",$C382="Emag_Reporting","Legacy but likely needed",$C382="Nutrition_Data_Archived_Tables","Worth keeping",$C382="EU_Data","Static lookup tables — scripts still reference (smoke-test risk)",TRUE,"Review"),OR($A382="thg-influencer",$A382="thg-ingenuity",$A382="thg-central-marketing",$A382="thg-seoclarity"),"HOLD — Charlie Stringer to review before deletion",TRUE,"")</f>
        <v>Review</v>
      </c>
      <c r="S382" t="s">
        <v>1624</v>
      </c>
    </row>
    <row r="383" spans="1:19" ht="76.5" hidden="1">
      <c r="A383" t="s">
        <v>91</v>
      </c>
      <c r="B383" t="s">
        <v>1724</v>
      </c>
      <c r="C383" t="s">
        <v>2444</v>
      </c>
      <c r="E383">
        <v>274.98</v>
      </c>
      <c r="F383">
        <v>5.5</v>
      </c>
      <c r="G383" t="s">
        <v>79</v>
      </c>
      <c r="H383" t="s">
        <v>81</v>
      </c>
      <c r="I383">
        <v>0</v>
      </c>
      <c r="J383">
        <v>0</v>
      </c>
      <c r="K383" s="5">
        <v>46141.41442277778</v>
      </c>
      <c r="L383" s="5">
        <v>46135.407605231478</v>
      </c>
      <c r="M383" s="2" t="s">
        <v>2445</v>
      </c>
      <c r="N383" s="2" t="s">
        <v>2446</v>
      </c>
      <c r="O383" s="5">
        <v>46197.453442245373</v>
      </c>
      <c r="P383" t="str">
        <f>IF($Q383="DELETE",IF($S383="CONFIRMED: NO MODS &gt; 1YR","CONFIRMED: NO MODS &gt; 1YR","DO NOT DELETE — not defensibly confirmed"),IF($Q383="HOLD","DO NOT DELETE — HOLD (Charlie review)",IF($Q383="KEEP","DO NOT DELETE — KEEP",IF(ISNUMBER(SEARCH("REVIEW",$Q383)),"DO NOT DELETE — REVIEW pending",$S383))))</f>
        <v>CONFIRMED: NO MODS &gt; 1YR</v>
      </c>
      <c r="Q383" t="str" cm="1">
        <f t="array" ref="Q383">_xlfn.IFS(AND($A383="thg-beauty",ISNUMBER(SEARCH("liveramp",$C383))),"DELETE",$A383="agile-bonbon-662",_xlfn.IFS(LEFT($G383,9)="Tranche 1","DELETE",$C383="Sessions_Level_1_All_Sites","KEEP",ISNUMBER(--$C383),"REVIEW — UA raw logs",$C383="Emag_Reporting","KEEP",$C383="Nutrition_Data_Archived_Tables","KEEP",$C383="EU_Data","KEEP",TRUE,"REVIEW"),OR($A383="thg-influencer",$A383="thg-ingenuity",$A383="thg-central-marketing",$A383="thg-seoclarity"),"HOLD",TRUE,"")</f>
        <v/>
      </c>
      <c r="R383" t="str" cm="1">
        <f t="array" ref="R383">_xlfn.IFS(AND($A383="thg-beauty",ISNUMBER(SEARCH("liveramp",$C383))),"thg-beauty Liveramp dataset — confirmed safe to delete",$A383="agile-bonbon-662",_xlfn.IFS(LEFT($G383,9)="Tranche 1","Tranche 1: cleared",$C383="Sessions_Level_1_All_Sites","Downstream aggregation of UA raw logs — keep if raw tables go",ISNUMBER(--$C383),"UA raw site logs (account ID) — keep pending audit-retention check",$C383="Emag_Reporting","Legacy but likely needed",$C383="Nutrition_Data_Archived_Tables","Worth keeping",$C383="EU_Data","Static lookup tables — scripts still reference (smoke-test risk)",TRUE,"Review"),OR($A383="thg-influencer",$A383="thg-ingenuity",$A383="thg-central-marketing",$A383="thg-seoclarity"),"HOLD — Charlie Stringer to review before deletion",TRUE,"")</f>
        <v/>
      </c>
      <c r="S383" t="s">
        <v>1624</v>
      </c>
    </row>
    <row r="384" spans="1:19" ht="76.5" hidden="1">
      <c r="A384" t="s">
        <v>92</v>
      </c>
      <c r="B384" t="s">
        <v>1619</v>
      </c>
      <c r="C384" t="s">
        <v>2447</v>
      </c>
      <c r="D384" s="2" t="s">
        <v>1621</v>
      </c>
      <c r="E384">
        <v>13.75</v>
      </c>
      <c r="F384">
        <v>0.28000000000000003</v>
      </c>
      <c r="G384" t="s">
        <v>79</v>
      </c>
      <c r="H384" t="s">
        <v>81</v>
      </c>
      <c r="I384">
        <v>0</v>
      </c>
      <c r="J384">
        <v>0</v>
      </c>
      <c r="K384" s="5">
        <v>46197.293704432872</v>
      </c>
      <c r="L384" s="5">
        <v>46197.181348171303</v>
      </c>
      <c r="M384" s="2" t="s">
        <v>2448</v>
      </c>
      <c r="N384" s="2" t="s">
        <v>2449</v>
      </c>
      <c r="O384" s="5">
        <v>46197.181427916657</v>
      </c>
      <c r="P384" t="str">
        <f>IF($Q384="DELETE",IF($S384="CONFIRMED: NO MODS &gt; 1YR","CONFIRMED: NO MODS &gt; 1YR","DO NOT DELETE — not defensibly confirmed"),IF($Q384="HOLD","DO NOT DELETE — HOLD (Charlie review)",IF($Q384="KEEP","DO NOT DELETE — KEEP",IF(ISNUMBER(SEARCH("REVIEW",$Q384)),"DO NOT DELETE — REVIEW pending",$S384))))</f>
        <v>CONFIRMED: NO MODS &gt; 1YR</v>
      </c>
      <c r="Q384" t="str" cm="1">
        <f t="array" ref="Q384">_xlfn.IFS(AND($A384="thg-beauty",ISNUMBER(SEARCH("liveramp",$C384))),"DELETE",$A384="agile-bonbon-662",_xlfn.IFS(LEFT($G384,9)="Tranche 1","DELETE",$C384="Sessions_Level_1_All_Sites","KEEP",ISNUMBER(--$C384),"REVIEW — UA raw logs",$C384="Emag_Reporting","KEEP",$C384="Nutrition_Data_Archived_Tables","KEEP",$C384="EU_Data","KEEP",TRUE,"REVIEW"),OR($A384="thg-influencer",$A384="thg-ingenuity",$A384="thg-central-marketing",$A384="thg-seoclarity"),"HOLD",TRUE,"")</f>
        <v/>
      </c>
      <c r="R384" t="str" cm="1">
        <f t="array" ref="R384">_xlfn.IFS(AND($A384="thg-beauty",ISNUMBER(SEARCH("liveramp",$C384))),"thg-beauty Liveramp dataset — confirmed safe to delete",$A384="agile-bonbon-662",_xlfn.IFS(LEFT($G384,9)="Tranche 1","Tranche 1: cleared",$C384="Sessions_Level_1_All_Sites","Downstream aggregation of UA raw logs — keep if raw tables go",ISNUMBER(--$C384),"UA raw site logs (account ID) — keep pending audit-retention check",$C384="Emag_Reporting","Legacy but likely needed",$C384="Nutrition_Data_Archived_Tables","Worth keeping",$C384="EU_Data","Static lookup tables — scripts still reference (smoke-test risk)",TRUE,"Review"),OR($A384="thg-influencer",$A384="thg-ingenuity",$A384="thg-central-marketing",$A384="thg-seoclarity"),"HOLD — Charlie Stringer to review before deletion",TRUE,"")</f>
        <v/>
      </c>
      <c r="S384" t="s">
        <v>1624</v>
      </c>
    </row>
    <row r="385" spans="1:19" ht="76.5" hidden="1">
      <c r="A385" t="s">
        <v>35</v>
      </c>
      <c r="B385" t="s">
        <v>1619</v>
      </c>
      <c r="C385" t="s">
        <v>2450</v>
      </c>
      <c r="D385" s="2" t="s">
        <v>1621</v>
      </c>
      <c r="E385">
        <v>244.54</v>
      </c>
      <c r="F385">
        <v>4.8899999999999997</v>
      </c>
      <c r="G385" t="s">
        <v>79</v>
      </c>
      <c r="H385" t="s">
        <v>81</v>
      </c>
      <c r="I385">
        <v>0</v>
      </c>
      <c r="J385">
        <v>0</v>
      </c>
      <c r="K385" s="5">
        <v>46197.438091608798</v>
      </c>
      <c r="L385" s="5">
        <v>46197.429725173613</v>
      </c>
      <c r="M385" s="2" t="s">
        <v>2451</v>
      </c>
      <c r="N385" s="2" t="s">
        <v>2452</v>
      </c>
      <c r="O385" s="5">
        <v>46197.429742696761</v>
      </c>
      <c r="P385" t="str">
        <f>IF($Q385="DELETE",IF($S385="CONFIRMED: NO MODS &gt; 1YR","CONFIRMED: NO MODS &gt; 1YR","DO NOT DELETE — not defensibly confirmed"),IF($Q385="HOLD","DO NOT DELETE — HOLD (Charlie review)",IF($Q385="KEEP","DO NOT DELETE — KEEP",IF(ISNUMBER(SEARCH("REVIEW",$Q385)),"DO NOT DELETE — REVIEW pending",$S385))))</f>
        <v>DO NOT DELETE — HOLD (Charlie review)</v>
      </c>
      <c r="Q385" t="str" cm="1">
        <f t="array" ref="Q385">_xlfn.IFS(AND($A385="thg-beauty",ISNUMBER(SEARCH("liveramp",$C385))),"DELETE",$A385="agile-bonbon-662",_xlfn.IFS(LEFT($G385,9)="Tranche 1","DELETE",$C385="Sessions_Level_1_All_Sites","KEEP",ISNUMBER(--$C385),"REVIEW — UA raw logs",$C385="Emag_Reporting","KEEP",$C385="Nutrition_Data_Archived_Tables","KEEP",$C385="EU_Data","KEEP",TRUE,"REVIEW"),OR($A385="thg-influencer",$A385="thg-ingenuity",$A385="thg-central-marketing",$A385="thg-seoclarity"),"HOLD",TRUE,"")</f>
        <v>HOLD</v>
      </c>
      <c r="R385" t="str" cm="1">
        <f t="array" ref="R385">_xlfn.IFS(AND($A385="thg-beauty",ISNUMBER(SEARCH("liveramp",$C385))),"thg-beauty Liveramp dataset — confirmed safe to delete",$A385="agile-bonbon-662",_xlfn.IFS(LEFT($G385,9)="Tranche 1","Tranche 1: cleared",$C385="Sessions_Level_1_All_Sites","Downstream aggregation of UA raw logs — keep if raw tables go",ISNUMBER(--$C385),"UA raw site logs (account ID) — keep pending audit-retention check",$C385="Emag_Reporting","Legacy but likely needed",$C385="Nutrition_Data_Archived_Tables","Worth keeping",$C385="EU_Data","Static lookup tables — scripts still reference (smoke-test risk)",TRUE,"Review"),OR($A385="thg-influencer",$A385="thg-ingenuity",$A385="thg-central-marketing",$A385="thg-seoclarity"),"HOLD — Charlie Stringer to review before deletion",TRUE,"")</f>
        <v>HOLD — Charlie Stringer to review before deletion</v>
      </c>
      <c r="S385" t="s">
        <v>1624</v>
      </c>
    </row>
    <row r="386" spans="1:19" ht="76.5" hidden="1">
      <c r="A386" t="s">
        <v>35</v>
      </c>
      <c r="B386" t="s">
        <v>1619</v>
      </c>
      <c r="C386" t="s">
        <v>2453</v>
      </c>
      <c r="D386" s="2" t="s">
        <v>1621</v>
      </c>
      <c r="E386">
        <v>241.61</v>
      </c>
      <c r="F386">
        <v>4.83</v>
      </c>
      <c r="G386" t="s">
        <v>79</v>
      </c>
      <c r="H386" t="s">
        <v>81</v>
      </c>
      <c r="I386">
        <v>0</v>
      </c>
      <c r="J386">
        <v>63</v>
      </c>
      <c r="K386" s="5">
        <v>46197.444854687499</v>
      </c>
      <c r="L386" s="5">
        <v>46133.552470428243</v>
      </c>
      <c r="M386" s="2" t="s">
        <v>2454</v>
      </c>
      <c r="N386" s="2" t="s">
        <v>2455</v>
      </c>
      <c r="O386" s="5">
        <v>46133.552497638892</v>
      </c>
      <c r="P386" t="str">
        <f>IF($Q386="DELETE",IF($S386="CONFIRMED: NO MODS &gt; 1YR","CONFIRMED: NO MODS &gt; 1YR","DO NOT DELETE — not defensibly confirmed"),IF($Q386="HOLD","DO NOT DELETE — HOLD (Charlie review)",IF($Q386="KEEP","DO NOT DELETE — KEEP",IF(ISNUMBER(SEARCH("REVIEW",$Q386)),"DO NOT DELETE — REVIEW pending",$S386))))</f>
        <v>DO NOT DELETE — HOLD (Charlie review)</v>
      </c>
      <c r="Q386" t="str" cm="1">
        <f t="array" ref="Q386">_xlfn.IFS(AND($A386="thg-beauty",ISNUMBER(SEARCH("liveramp",$C386))),"DELETE",$A386="agile-bonbon-662",_xlfn.IFS(LEFT($G386,9)="Tranche 1","DELETE",$C386="Sessions_Level_1_All_Sites","KEEP",ISNUMBER(--$C386),"REVIEW — UA raw logs",$C386="Emag_Reporting","KEEP",$C386="Nutrition_Data_Archived_Tables","KEEP",$C386="EU_Data","KEEP",TRUE,"REVIEW"),OR($A386="thg-influencer",$A386="thg-ingenuity",$A386="thg-central-marketing",$A386="thg-seoclarity"),"HOLD",TRUE,"")</f>
        <v>HOLD</v>
      </c>
      <c r="R386" t="str" cm="1">
        <f t="array" ref="R386">_xlfn.IFS(AND($A386="thg-beauty",ISNUMBER(SEARCH("liveramp",$C386))),"thg-beauty Liveramp dataset — confirmed safe to delete",$A386="agile-bonbon-662",_xlfn.IFS(LEFT($G386,9)="Tranche 1","Tranche 1: cleared",$C386="Sessions_Level_1_All_Sites","Downstream aggregation of UA raw logs — keep if raw tables go",ISNUMBER(--$C386),"UA raw site logs (account ID) — keep pending audit-retention check",$C386="Emag_Reporting","Legacy but likely needed",$C386="Nutrition_Data_Archived_Tables","Worth keeping",$C386="EU_Data","Static lookup tables — scripts still reference (smoke-test risk)",TRUE,"Review"),OR($A386="thg-influencer",$A386="thg-ingenuity",$A386="thg-central-marketing",$A386="thg-seoclarity"),"HOLD — Charlie Stringer to review before deletion",TRUE,"")</f>
        <v>HOLD — Charlie Stringer to review before deletion</v>
      </c>
      <c r="S386" t="s">
        <v>1624</v>
      </c>
    </row>
    <row r="387" spans="1:19" ht="76.5" hidden="1">
      <c r="A387" t="s">
        <v>91</v>
      </c>
      <c r="B387" t="s">
        <v>1619</v>
      </c>
      <c r="C387" t="s">
        <v>2456</v>
      </c>
      <c r="D387" s="2" t="s">
        <v>1621</v>
      </c>
      <c r="E387">
        <v>239.07</v>
      </c>
      <c r="F387">
        <v>4.78</v>
      </c>
      <c r="G387" t="s">
        <v>79</v>
      </c>
      <c r="H387" t="s">
        <v>81</v>
      </c>
      <c r="I387">
        <v>0</v>
      </c>
      <c r="J387">
        <v>53</v>
      </c>
      <c r="K387" s="5">
        <v>46197.44932659722</v>
      </c>
      <c r="M387" s="2" t="s">
        <v>2457</v>
      </c>
      <c r="N387" s="2" t="s">
        <v>1701</v>
      </c>
      <c r="O387" s="5">
        <v>46143.573111793979</v>
      </c>
      <c r="P387" t="str">
        <f>IF($Q387="DELETE",IF($S387="CONFIRMED: NO MODS &gt; 1YR","CONFIRMED: NO MODS &gt; 1YR","DO NOT DELETE — not defensibly confirmed"),IF($Q387="HOLD","DO NOT DELETE — HOLD (Charlie review)",IF($Q387="KEEP","DO NOT DELETE — KEEP",IF(ISNUMBER(SEARCH("REVIEW",$Q387)),"DO NOT DELETE — REVIEW pending",$S387))))</f>
        <v>CONFIRMED: NO MODS &gt; 1YR</v>
      </c>
      <c r="Q387" t="str" cm="1">
        <f t="array" ref="Q387">_xlfn.IFS(AND($A387="thg-beauty",ISNUMBER(SEARCH("liveramp",$C387))),"DELETE",$A387="agile-bonbon-662",_xlfn.IFS(LEFT($G387,9)="Tranche 1","DELETE",$C387="Sessions_Level_1_All_Sites","KEEP",ISNUMBER(--$C387),"REVIEW — UA raw logs",$C387="Emag_Reporting","KEEP",$C387="Nutrition_Data_Archived_Tables","KEEP",$C387="EU_Data","KEEP",TRUE,"REVIEW"),OR($A387="thg-influencer",$A387="thg-ingenuity",$A387="thg-central-marketing",$A387="thg-seoclarity"),"HOLD",TRUE,"")</f>
        <v/>
      </c>
      <c r="R387" t="str" cm="1">
        <f t="array" ref="R387">_xlfn.IFS(AND($A387="thg-beauty",ISNUMBER(SEARCH("liveramp",$C387))),"thg-beauty Liveramp dataset — confirmed safe to delete",$A387="agile-bonbon-662",_xlfn.IFS(LEFT($G387,9)="Tranche 1","Tranche 1: cleared",$C387="Sessions_Level_1_All_Sites","Downstream aggregation of UA raw logs — keep if raw tables go",ISNUMBER(--$C387),"UA raw site logs (account ID) — keep pending audit-retention check",$C387="Emag_Reporting","Legacy but likely needed",$C387="Nutrition_Data_Archived_Tables","Worth keeping",$C387="EU_Data","Static lookup tables — scripts still reference (smoke-test risk)",TRUE,"Review"),OR($A387="thg-influencer",$A387="thg-ingenuity",$A387="thg-central-marketing",$A387="thg-seoclarity"),"HOLD — Charlie Stringer to review before deletion",TRUE,"")</f>
        <v/>
      </c>
      <c r="S387" t="s">
        <v>1624</v>
      </c>
    </row>
    <row r="388" spans="1:19" hidden="1">
      <c r="A388" t="s">
        <v>39</v>
      </c>
      <c r="B388" t="s">
        <v>1724</v>
      </c>
      <c r="C388" t="s">
        <v>2458</v>
      </c>
      <c r="D388" s="2" t="s">
        <v>1621</v>
      </c>
      <c r="E388">
        <v>237.73</v>
      </c>
      <c r="F388">
        <v>4.75</v>
      </c>
      <c r="G388" t="s">
        <v>79</v>
      </c>
      <c r="H388" t="s">
        <v>81</v>
      </c>
      <c r="I388">
        <v>0</v>
      </c>
      <c r="J388">
        <v>0</v>
      </c>
      <c r="M388" s="2" t="s">
        <v>1715</v>
      </c>
      <c r="N388" s="2" t="s">
        <v>1701</v>
      </c>
      <c r="O388" s="5">
        <v>46197.421621712972</v>
      </c>
      <c r="P388" t="str">
        <f>IF($Q388="DELETE",IF($S388="CONFIRMED: NO MODS &gt; 1YR","CONFIRMED: NO MODS &gt; 1YR","DO NOT DELETE — not defensibly confirmed"),IF($Q388="HOLD","DO NOT DELETE — HOLD (Charlie review)",IF($Q388="KEEP","DO NOT DELETE — KEEP",IF(ISNUMBER(SEARCH("REVIEW",$Q388)),"DO NOT DELETE — REVIEW pending",$S388))))</f>
        <v>DO NOT DELETE — HOLD (Charlie review)</v>
      </c>
      <c r="Q388" t="str" cm="1">
        <f t="array" ref="Q388">_xlfn.IFS(AND($A388="thg-beauty",ISNUMBER(SEARCH("liveramp",$C388))),"DELETE",$A388="agile-bonbon-662",_xlfn.IFS(LEFT($G388,9)="Tranche 1","DELETE",$C388="Sessions_Level_1_All_Sites","KEEP",ISNUMBER(--$C388),"REVIEW — UA raw logs",$C388="Emag_Reporting","KEEP",$C388="Nutrition_Data_Archived_Tables","KEEP",$C388="EU_Data","KEEP",TRUE,"REVIEW"),OR($A388="thg-influencer",$A388="thg-ingenuity",$A388="thg-central-marketing",$A388="thg-seoclarity"),"HOLD",TRUE,"")</f>
        <v>HOLD</v>
      </c>
      <c r="R388" t="str" cm="1">
        <f t="array" ref="R388">_xlfn.IFS(AND($A388="thg-beauty",ISNUMBER(SEARCH("liveramp",$C388))),"thg-beauty Liveramp dataset — confirmed safe to delete",$A388="agile-bonbon-662",_xlfn.IFS(LEFT($G388,9)="Tranche 1","Tranche 1: cleared",$C388="Sessions_Level_1_All_Sites","Downstream aggregation of UA raw logs — keep if raw tables go",ISNUMBER(--$C388),"UA raw site logs (account ID) — keep pending audit-retention check",$C388="Emag_Reporting","Legacy but likely needed",$C388="Nutrition_Data_Archived_Tables","Worth keeping",$C388="EU_Data","Static lookup tables — scripts still reference (smoke-test risk)",TRUE,"Review"),OR($A388="thg-influencer",$A388="thg-ingenuity",$A388="thg-central-marketing",$A388="thg-seoclarity"),"HOLD — Charlie Stringer to review before deletion",TRUE,"")</f>
        <v>HOLD — Charlie Stringer to review before deletion</v>
      </c>
      <c r="S388" t="s">
        <v>1624</v>
      </c>
    </row>
    <row r="389" spans="1:19" ht="76.5" hidden="1">
      <c r="A389" t="s">
        <v>39</v>
      </c>
      <c r="B389" t="s">
        <v>1619</v>
      </c>
      <c r="C389" t="s">
        <v>2458</v>
      </c>
      <c r="D389" s="2" t="s">
        <v>1621</v>
      </c>
      <c r="E389">
        <v>237.73</v>
      </c>
      <c r="F389">
        <v>4.75</v>
      </c>
      <c r="G389" t="s">
        <v>79</v>
      </c>
      <c r="H389" t="s">
        <v>81</v>
      </c>
      <c r="I389">
        <v>0</v>
      </c>
      <c r="J389">
        <v>0</v>
      </c>
      <c r="K389" s="5">
        <v>46197.453762060177</v>
      </c>
      <c r="L389" s="5">
        <v>46197.453842175928</v>
      </c>
      <c r="M389" s="2" t="s">
        <v>2459</v>
      </c>
      <c r="N389" s="2" t="s">
        <v>2460</v>
      </c>
      <c r="O389" s="5">
        <v>46197.421621712972</v>
      </c>
      <c r="P389" t="str">
        <f>IF($Q389="DELETE",IF($S389="CONFIRMED: NO MODS &gt; 1YR","CONFIRMED: NO MODS &gt; 1YR","DO NOT DELETE — not defensibly confirmed"),IF($Q389="HOLD","DO NOT DELETE — HOLD (Charlie review)",IF($Q389="KEEP","DO NOT DELETE — KEEP",IF(ISNUMBER(SEARCH("REVIEW",$Q389)),"DO NOT DELETE — REVIEW pending",$S389))))</f>
        <v>DO NOT DELETE — HOLD (Charlie review)</v>
      </c>
      <c r="Q389" t="str" cm="1">
        <f t="array" ref="Q389">_xlfn.IFS(AND($A389="thg-beauty",ISNUMBER(SEARCH("liveramp",$C389))),"DELETE",$A389="agile-bonbon-662",_xlfn.IFS(LEFT($G389,9)="Tranche 1","DELETE",$C389="Sessions_Level_1_All_Sites","KEEP",ISNUMBER(--$C389),"REVIEW — UA raw logs",$C389="Emag_Reporting","KEEP",$C389="Nutrition_Data_Archived_Tables","KEEP",$C389="EU_Data","KEEP",TRUE,"REVIEW"),OR($A389="thg-influencer",$A389="thg-ingenuity",$A389="thg-central-marketing",$A389="thg-seoclarity"),"HOLD",TRUE,"")</f>
        <v>HOLD</v>
      </c>
      <c r="R389" t="str" cm="1">
        <f t="array" ref="R389">_xlfn.IFS(AND($A389="thg-beauty",ISNUMBER(SEARCH("liveramp",$C389))),"thg-beauty Liveramp dataset — confirmed safe to delete",$A389="agile-bonbon-662",_xlfn.IFS(LEFT($G389,9)="Tranche 1","Tranche 1: cleared",$C389="Sessions_Level_1_All_Sites","Downstream aggregation of UA raw logs — keep if raw tables go",ISNUMBER(--$C389),"UA raw site logs (account ID) — keep pending audit-retention check",$C389="Emag_Reporting","Legacy but likely needed",$C389="Nutrition_Data_Archived_Tables","Worth keeping",$C389="EU_Data","Static lookup tables — scripts still reference (smoke-test risk)",TRUE,"Review"),OR($A389="thg-influencer",$A389="thg-ingenuity",$A389="thg-central-marketing",$A389="thg-seoclarity"),"HOLD — Charlie Stringer to review before deletion",TRUE,"")</f>
        <v>HOLD — Charlie Stringer to review before deletion</v>
      </c>
      <c r="S389" t="s">
        <v>1624</v>
      </c>
    </row>
    <row r="390" spans="1:19" ht="76.5" hidden="1">
      <c r="A390" t="s">
        <v>89</v>
      </c>
      <c r="B390" t="s">
        <v>1619</v>
      </c>
      <c r="C390" t="s">
        <v>2461</v>
      </c>
      <c r="D390" s="2" t="s">
        <v>1621</v>
      </c>
      <c r="E390">
        <v>235.77</v>
      </c>
      <c r="F390">
        <v>4.72</v>
      </c>
      <c r="G390" t="s">
        <v>79</v>
      </c>
      <c r="H390" t="s">
        <v>81</v>
      </c>
      <c r="I390">
        <v>0</v>
      </c>
      <c r="J390">
        <v>0</v>
      </c>
      <c r="K390" s="5">
        <v>46194.125200995368</v>
      </c>
      <c r="L390" s="5">
        <v>46197.296964907408</v>
      </c>
      <c r="M390" s="2" t="s">
        <v>2260</v>
      </c>
      <c r="N390" s="2" t="s">
        <v>2462</v>
      </c>
      <c r="O390" s="5">
        <v>46197.443603310188</v>
      </c>
      <c r="P390" t="str">
        <f>IF($Q390="DELETE",IF($S390="CONFIRMED: NO MODS &gt; 1YR","CONFIRMED: NO MODS &gt; 1YR","DO NOT DELETE — not defensibly confirmed"),IF($Q390="HOLD","DO NOT DELETE — HOLD (Charlie review)",IF($Q390="KEEP","DO NOT DELETE — KEEP",IF(ISNUMBER(SEARCH("REVIEW",$Q390)),"DO NOT DELETE — REVIEW pending",$S390))))</f>
        <v>DO NOT DELETE — REVIEW pending</v>
      </c>
      <c r="Q390" t="str" cm="1">
        <f t="array" ref="Q390">_xlfn.IFS(AND($A390="thg-beauty",ISNUMBER(SEARCH("liveramp",$C390))),"DELETE",$A390="agile-bonbon-662",_xlfn.IFS(LEFT($G390,9)="Tranche 1","DELETE",$C390="Sessions_Level_1_All_Sites","KEEP",ISNUMBER(--$C390),"REVIEW — UA raw logs",$C390="Emag_Reporting","KEEP",$C390="Nutrition_Data_Archived_Tables","KEEP",$C390="EU_Data","KEEP",TRUE,"REVIEW"),OR($A390="thg-influencer",$A390="thg-ingenuity",$A390="thg-central-marketing",$A390="thg-seoclarity"),"HOLD",TRUE,"")</f>
        <v>REVIEW</v>
      </c>
      <c r="R390" t="str" cm="1">
        <f t="array" ref="R390">_xlfn.IFS(AND($A390="thg-beauty",ISNUMBER(SEARCH("liveramp",$C390))),"thg-beauty Liveramp dataset — confirmed safe to delete",$A390="agile-bonbon-662",_xlfn.IFS(LEFT($G390,9)="Tranche 1","Tranche 1: cleared",$C390="Sessions_Level_1_All_Sites","Downstream aggregation of UA raw logs — keep if raw tables go",ISNUMBER(--$C390),"UA raw site logs (account ID) — keep pending audit-retention check",$C390="Emag_Reporting","Legacy but likely needed",$C390="Nutrition_Data_Archived_Tables","Worth keeping",$C390="EU_Data","Static lookup tables — scripts still reference (smoke-test risk)",TRUE,"Review"),OR($A390="thg-influencer",$A390="thg-ingenuity",$A390="thg-central-marketing",$A390="thg-seoclarity"),"HOLD — Charlie Stringer to review before deletion",TRUE,"")</f>
        <v>Review</v>
      </c>
      <c r="S390" t="s">
        <v>1624</v>
      </c>
    </row>
    <row r="391" spans="1:19" ht="76.5" hidden="1">
      <c r="A391" t="s">
        <v>38</v>
      </c>
      <c r="B391" t="s">
        <v>1619</v>
      </c>
      <c r="C391" t="s">
        <v>2463</v>
      </c>
      <c r="D391" s="2" t="s">
        <v>1621</v>
      </c>
      <c r="E391">
        <v>228.8</v>
      </c>
      <c r="F391">
        <v>4.58</v>
      </c>
      <c r="G391" t="s">
        <v>79</v>
      </c>
      <c r="H391" t="s">
        <v>81</v>
      </c>
      <c r="I391">
        <v>0</v>
      </c>
      <c r="J391">
        <v>0</v>
      </c>
      <c r="K391" s="5">
        <v>46197.419433726849</v>
      </c>
      <c r="L391" s="5">
        <v>46196.559814849526</v>
      </c>
      <c r="M391" s="2" t="s">
        <v>2464</v>
      </c>
      <c r="N391" s="2" t="s">
        <v>2465</v>
      </c>
      <c r="O391" s="5">
        <v>46197.417424467603</v>
      </c>
      <c r="P391" t="str">
        <f>IF($Q391="DELETE",IF($S391="CONFIRMED: NO MODS &gt; 1YR","CONFIRMED: NO MODS &gt; 1YR","DO NOT DELETE — not defensibly confirmed"),IF($Q391="HOLD","DO NOT DELETE — HOLD (Charlie review)",IF($Q391="KEEP","DO NOT DELETE — KEEP",IF(ISNUMBER(SEARCH("REVIEW",$Q391)),"DO NOT DELETE — REVIEW pending",$S391))))</f>
        <v>DO NOT DELETE — HOLD (Charlie review)</v>
      </c>
      <c r="Q391" t="str" cm="1">
        <f t="array" ref="Q391">_xlfn.IFS(AND($A391="thg-beauty",ISNUMBER(SEARCH("liveramp",$C391))),"DELETE",$A391="agile-bonbon-662",_xlfn.IFS(LEFT($G391,9)="Tranche 1","DELETE",$C391="Sessions_Level_1_All_Sites","KEEP",ISNUMBER(--$C391),"REVIEW — UA raw logs",$C391="Emag_Reporting","KEEP",$C391="Nutrition_Data_Archived_Tables","KEEP",$C391="EU_Data","KEEP",TRUE,"REVIEW"),OR($A391="thg-influencer",$A391="thg-ingenuity",$A391="thg-central-marketing",$A391="thg-seoclarity"),"HOLD",TRUE,"")</f>
        <v>HOLD</v>
      </c>
      <c r="R391" t="str" cm="1">
        <f t="array" ref="R391">_xlfn.IFS(AND($A391="thg-beauty",ISNUMBER(SEARCH("liveramp",$C391))),"thg-beauty Liveramp dataset — confirmed safe to delete",$A391="agile-bonbon-662",_xlfn.IFS(LEFT($G391,9)="Tranche 1","Tranche 1: cleared",$C391="Sessions_Level_1_All_Sites","Downstream aggregation of UA raw logs — keep if raw tables go",ISNUMBER(--$C391),"UA raw site logs (account ID) — keep pending audit-retention check",$C391="Emag_Reporting","Legacy but likely needed",$C391="Nutrition_Data_Archived_Tables","Worth keeping",$C391="EU_Data","Static lookup tables — scripts still reference (smoke-test risk)",TRUE,"Review"),OR($A391="thg-influencer",$A391="thg-ingenuity",$A391="thg-central-marketing",$A391="thg-seoclarity"),"HOLD — Charlie Stringer to review before deletion",TRUE,"")</f>
        <v>HOLD — Charlie Stringer to review before deletion</v>
      </c>
      <c r="S391" t="s">
        <v>1624</v>
      </c>
    </row>
    <row r="392" spans="1:19" ht="76.5" hidden="1">
      <c r="A392" t="s">
        <v>90</v>
      </c>
      <c r="B392" t="s">
        <v>1619</v>
      </c>
      <c r="C392" t="s">
        <v>1049</v>
      </c>
      <c r="D392" s="2" t="s">
        <v>1621</v>
      </c>
      <c r="E392">
        <v>228.42</v>
      </c>
      <c r="F392">
        <v>4.57</v>
      </c>
      <c r="G392" t="s">
        <v>79</v>
      </c>
      <c r="H392" t="s">
        <v>81</v>
      </c>
      <c r="I392">
        <v>0</v>
      </c>
      <c r="J392">
        <v>0</v>
      </c>
      <c r="K392" s="5">
        <v>46197.451485370373</v>
      </c>
      <c r="M392" s="2" t="s">
        <v>2466</v>
      </c>
      <c r="N392" s="2" t="s">
        <v>1701</v>
      </c>
      <c r="O392" s="5">
        <v>46197.43678300926</v>
      </c>
      <c r="P392" t="str">
        <f>IF($Q392="DELETE",IF($S392="CONFIRMED: NO MODS &gt; 1YR","CONFIRMED: NO MODS &gt; 1YR","DO NOT DELETE — not defensibly confirmed"),IF($Q392="HOLD","DO NOT DELETE — HOLD (Charlie review)",IF($Q392="KEEP","DO NOT DELETE — KEEP",IF(ISNUMBER(SEARCH("REVIEW",$Q392)),"DO NOT DELETE — REVIEW pending",$S392))))</f>
        <v>REVIEW</v>
      </c>
      <c r="Q392" t="str" cm="1">
        <f t="array" ref="Q392">_xlfn.IFS(AND($A392="thg-beauty",ISNUMBER(SEARCH("liveramp",$C392))),"DELETE",$A392="agile-bonbon-662",_xlfn.IFS(LEFT($G392,9)="Tranche 1","DELETE",$C392="Sessions_Level_1_All_Sites","KEEP",ISNUMBER(--$C392),"REVIEW — UA raw logs",$C392="Emag_Reporting","KEEP",$C392="Nutrition_Data_Archived_Tables","KEEP",$C392="EU_Data","KEEP",TRUE,"REVIEW"),OR($A392="thg-influencer",$A392="thg-ingenuity",$A392="thg-central-marketing",$A392="thg-seoclarity"),"HOLD",TRUE,"")</f>
        <v/>
      </c>
      <c r="R392" t="str" cm="1">
        <f t="array" ref="R392">_xlfn.IFS(AND($A392="thg-beauty",ISNUMBER(SEARCH("liveramp",$C392))),"thg-beauty Liveramp dataset — confirmed safe to delete",$A392="agile-bonbon-662",_xlfn.IFS(LEFT($G392,9)="Tranche 1","Tranche 1: cleared",$C392="Sessions_Level_1_All_Sites","Downstream aggregation of UA raw logs — keep if raw tables go",ISNUMBER(--$C392),"UA raw site logs (account ID) — keep pending audit-retention check",$C392="Emag_Reporting","Legacy but likely needed",$C392="Nutrition_Data_Archived_Tables","Worth keeping",$C392="EU_Data","Static lookup tables — scripts still reference (smoke-test risk)",TRUE,"Review"),OR($A392="thg-influencer",$A392="thg-ingenuity",$A392="thg-central-marketing",$A392="thg-seoclarity"),"HOLD — Charlie Stringer to review before deletion",TRUE,"")</f>
        <v/>
      </c>
      <c r="S392" t="s">
        <v>1631</v>
      </c>
    </row>
    <row r="393" spans="1:19" ht="76.5" hidden="1">
      <c r="A393" t="s">
        <v>2467</v>
      </c>
      <c r="B393" t="s">
        <v>1619</v>
      </c>
      <c r="C393" t="s">
        <v>2329</v>
      </c>
      <c r="D393" s="2" t="s">
        <v>1621</v>
      </c>
      <c r="E393">
        <v>224.72</v>
      </c>
      <c r="F393">
        <v>4.49</v>
      </c>
      <c r="G393" t="s">
        <v>79</v>
      </c>
      <c r="H393" t="s">
        <v>81</v>
      </c>
      <c r="I393">
        <v>0</v>
      </c>
      <c r="J393">
        <v>0</v>
      </c>
      <c r="K393" s="5">
        <v>46181.394085405103</v>
      </c>
      <c r="M393" s="2" t="s">
        <v>2468</v>
      </c>
      <c r="N393" s="2" t="s">
        <v>1701</v>
      </c>
      <c r="O393" s="5">
        <v>46197.229456724534</v>
      </c>
      <c r="P393" t="str">
        <f>IF($Q393="DELETE",IF($S393="CONFIRMED: NO MODS &gt; 1YR","CONFIRMED: NO MODS &gt; 1YR","DO NOT DELETE — not defensibly confirmed"),IF($Q393="HOLD","DO NOT DELETE — HOLD (Charlie review)",IF($Q393="KEEP","DO NOT DELETE — KEEP",IF(ISNUMBER(SEARCH("REVIEW",$Q393)),"DO NOT DELETE — REVIEW pending",$S393))))</f>
        <v>CONFIRMED: NO MODS &gt; 1YR</v>
      </c>
      <c r="Q393" t="str" cm="1">
        <f t="array" ref="Q393">_xlfn.IFS(AND($A393="thg-beauty",ISNUMBER(SEARCH("liveramp",$C393))),"DELETE",$A393="agile-bonbon-662",_xlfn.IFS(LEFT($G393,9)="Tranche 1","DELETE",$C393="Sessions_Level_1_All_Sites","KEEP",ISNUMBER(--$C393),"REVIEW — UA raw logs",$C393="Emag_Reporting","KEEP",$C393="Nutrition_Data_Archived_Tables","KEEP",$C393="EU_Data","KEEP",TRUE,"REVIEW"),OR($A393="thg-influencer",$A393="thg-ingenuity",$A393="thg-central-marketing",$A393="thg-seoclarity"),"HOLD",TRUE,"")</f>
        <v/>
      </c>
      <c r="R393" t="str" cm="1">
        <f t="array" ref="R393">_xlfn.IFS(AND($A393="thg-beauty",ISNUMBER(SEARCH("liveramp",$C393))),"thg-beauty Liveramp dataset — confirmed safe to delete",$A393="agile-bonbon-662",_xlfn.IFS(LEFT($G393,9)="Tranche 1","Tranche 1: cleared",$C393="Sessions_Level_1_All_Sites","Downstream aggregation of UA raw logs — keep if raw tables go",ISNUMBER(--$C393),"UA raw site logs (account ID) — keep pending audit-retention check",$C393="Emag_Reporting","Legacy but likely needed",$C393="Nutrition_Data_Archived_Tables","Worth keeping",$C393="EU_Data","Static lookup tables — scripts still reference (smoke-test risk)",TRUE,"Review"),OR($A393="thg-influencer",$A393="thg-ingenuity",$A393="thg-central-marketing",$A393="thg-seoclarity"),"HOLD — Charlie Stringer to review before deletion",TRUE,"")</f>
        <v/>
      </c>
      <c r="S393" t="s">
        <v>1624</v>
      </c>
    </row>
    <row r="394" spans="1:19" ht="76.5" hidden="1">
      <c r="A394" t="s">
        <v>90</v>
      </c>
      <c r="B394" t="s">
        <v>1619</v>
      </c>
      <c r="C394" t="s">
        <v>2469</v>
      </c>
      <c r="D394" s="2" t="s">
        <v>1621</v>
      </c>
      <c r="E394">
        <v>218.79</v>
      </c>
      <c r="F394">
        <v>4.38</v>
      </c>
      <c r="G394" t="s">
        <v>79</v>
      </c>
      <c r="H394" t="s">
        <v>81</v>
      </c>
      <c r="I394">
        <v>0</v>
      </c>
      <c r="J394">
        <v>0</v>
      </c>
      <c r="K394" s="5">
        <v>46190.360838506953</v>
      </c>
      <c r="L394" s="5">
        <v>46197.250260787026</v>
      </c>
      <c r="M394" s="2" t="s">
        <v>2470</v>
      </c>
      <c r="N394" s="2" t="s">
        <v>2471</v>
      </c>
      <c r="O394" s="5">
        <v>46197.250323414351</v>
      </c>
      <c r="P394" t="str">
        <f>IF($Q394="DELETE",IF($S394="CONFIRMED: NO MODS &gt; 1YR","CONFIRMED: NO MODS &gt; 1YR","DO NOT DELETE — not defensibly confirmed"),IF($Q394="HOLD","DO NOT DELETE — HOLD (Charlie review)",IF($Q394="KEEP","DO NOT DELETE — KEEP",IF(ISNUMBER(SEARCH("REVIEW",$Q394)),"DO NOT DELETE — REVIEW pending",$S394))))</f>
        <v>CONFIRMED: NO MODS &gt; 1YR</v>
      </c>
      <c r="Q394" t="str" cm="1">
        <f t="array" ref="Q394">_xlfn.IFS(AND($A394="thg-beauty",ISNUMBER(SEARCH("liveramp",$C394))),"DELETE",$A394="agile-bonbon-662",_xlfn.IFS(LEFT($G394,9)="Tranche 1","DELETE",$C394="Sessions_Level_1_All_Sites","KEEP",ISNUMBER(--$C394),"REVIEW — UA raw logs",$C394="Emag_Reporting","KEEP",$C394="Nutrition_Data_Archived_Tables","KEEP",$C394="EU_Data","KEEP",TRUE,"REVIEW"),OR($A394="thg-influencer",$A394="thg-ingenuity",$A394="thg-central-marketing",$A394="thg-seoclarity"),"HOLD",TRUE,"")</f>
        <v/>
      </c>
      <c r="R394" t="str" cm="1">
        <f t="array" ref="R394">_xlfn.IFS(AND($A394="thg-beauty",ISNUMBER(SEARCH("liveramp",$C394))),"thg-beauty Liveramp dataset — confirmed safe to delete",$A394="agile-bonbon-662",_xlfn.IFS(LEFT($G394,9)="Tranche 1","Tranche 1: cleared",$C394="Sessions_Level_1_All_Sites","Downstream aggregation of UA raw logs — keep if raw tables go",ISNUMBER(--$C394),"UA raw site logs (account ID) — keep pending audit-retention check",$C394="Emag_Reporting","Legacy but likely needed",$C394="Nutrition_Data_Archived_Tables","Worth keeping",$C394="EU_Data","Static lookup tables — scripts still reference (smoke-test risk)",TRUE,"Review"),OR($A394="thg-influencer",$A394="thg-ingenuity",$A394="thg-central-marketing",$A394="thg-seoclarity"),"HOLD — Charlie Stringer to review before deletion",TRUE,"")</f>
        <v/>
      </c>
      <c r="S394" t="s">
        <v>1624</v>
      </c>
    </row>
    <row r="395" spans="1:19" ht="76.5" hidden="1">
      <c r="A395" t="s">
        <v>38</v>
      </c>
      <c r="B395" t="s">
        <v>1724</v>
      </c>
      <c r="C395" t="s">
        <v>2472</v>
      </c>
      <c r="D395" s="2" t="s">
        <v>1621</v>
      </c>
      <c r="E395">
        <v>218.7</v>
      </c>
      <c r="F395">
        <v>4.37</v>
      </c>
      <c r="G395" t="s">
        <v>79</v>
      </c>
      <c r="H395" t="s">
        <v>81</v>
      </c>
      <c r="I395">
        <v>0</v>
      </c>
      <c r="J395">
        <v>0</v>
      </c>
      <c r="K395" s="5">
        <v>46106.553943900457</v>
      </c>
      <c r="M395" s="2" t="s">
        <v>2473</v>
      </c>
      <c r="N395" s="2" t="s">
        <v>1701</v>
      </c>
      <c r="O395" s="5">
        <v>46197.250213611107</v>
      </c>
      <c r="P395" t="str">
        <f>IF($Q395="DELETE",IF($S395="CONFIRMED: NO MODS &gt; 1YR","CONFIRMED: NO MODS &gt; 1YR","DO NOT DELETE — not defensibly confirmed"),IF($Q395="HOLD","DO NOT DELETE — HOLD (Charlie review)",IF($Q395="KEEP","DO NOT DELETE — KEEP",IF(ISNUMBER(SEARCH("REVIEW",$Q395)),"DO NOT DELETE — REVIEW pending",$S395))))</f>
        <v>DO NOT DELETE — HOLD (Charlie review)</v>
      </c>
      <c r="Q395" t="str" cm="1">
        <f t="array" ref="Q395">_xlfn.IFS(AND($A395="thg-beauty",ISNUMBER(SEARCH("liveramp",$C395))),"DELETE",$A395="agile-bonbon-662",_xlfn.IFS(LEFT($G395,9)="Tranche 1","DELETE",$C395="Sessions_Level_1_All_Sites","KEEP",ISNUMBER(--$C395),"REVIEW — UA raw logs",$C395="Emag_Reporting","KEEP",$C395="Nutrition_Data_Archived_Tables","KEEP",$C395="EU_Data","KEEP",TRUE,"REVIEW"),OR($A395="thg-influencer",$A395="thg-ingenuity",$A395="thg-central-marketing",$A395="thg-seoclarity"),"HOLD",TRUE,"")</f>
        <v>HOLD</v>
      </c>
      <c r="R395" t="str" cm="1">
        <f t="array" ref="R395">_xlfn.IFS(AND($A395="thg-beauty",ISNUMBER(SEARCH("liveramp",$C395))),"thg-beauty Liveramp dataset — confirmed safe to delete",$A395="agile-bonbon-662",_xlfn.IFS(LEFT($G395,9)="Tranche 1","Tranche 1: cleared",$C395="Sessions_Level_1_All_Sites","Downstream aggregation of UA raw logs — keep if raw tables go",ISNUMBER(--$C395),"UA raw site logs (account ID) — keep pending audit-retention check",$C395="Emag_Reporting","Legacy but likely needed",$C395="Nutrition_Data_Archived_Tables","Worth keeping",$C395="EU_Data","Static lookup tables — scripts still reference (smoke-test risk)",TRUE,"Review"),OR($A395="thg-influencer",$A395="thg-ingenuity",$A395="thg-central-marketing",$A395="thg-seoclarity"),"HOLD — Charlie Stringer to review before deletion",TRUE,"")</f>
        <v>HOLD — Charlie Stringer to review before deletion</v>
      </c>
      <c r="S395" t="s">
        <v>1624</v>
      </c>
    </row>
    <row r="396" spans="1:19" ht="76.5" hidden="1">
      <c r="A396" t="s">
        <v>38</v>
      </c>
      <c r="B396" t="s">
        <v>1619</v>
      </c>
      <c r="C396" t="s">
        <v>2472</v>
      </c>
      <c r="D396" s="2" t="s">
        <v>1621</v>
      </c>
      <c r="E396">
        <v>218.7</v>
      </c>
      <c r="F396">
        <v>4.37</v>
      </c>
      <c r="G396" t="s">
        <v>79</v>
      </c>
      <c r="H396" t="s">
        <v>81</v>
      </c>
      <c r="I396">
        <v>0</v>
      </c>
      <c r="J396">
        <v>0</v>
      </c>
      <c r="K396" s="5">
        <v>46197.436290254627</v>
      </c>
      <c r="L396" s="5">
        <v>46197.250189548613</v>
      </c>
      <c r="M396" s="2" t="s">
        <v>2474</v>
      </c>
      <c r="N396" s="2" t="s">
        <v>2475</v>
      </c>
      <c r="O396" s="5">
        <v>46197.250213611107</v>
      </c>
      <c r="P396" t="str">
        <f>IF($Q396="DELETE",IF($S396="CONFIRMED: NO MODS &gt; 1YR","CONFIRMED: NO MODS &gt; 1YR","DO NOT DELETE — not defensibly confirmed"),IF($Q396="HOLD","DO NOT DELETE — HOLD (Charlie review)",IF($Q396="KEEP","DO NOT DELETE — KEEP",IF(ISNUMBER(SEARCH("REVIEW",$Q396)),"DO NOT DELETE — REVIEW pending",$S396))))</f>
        <v>DO NOT DELETE — HOLD (Charlie review)</v>
      </c>
      <c r="Q396" t="str" cm="1">
        <f t="array" ref="Q396">_xlfn.IFS(AND($A396="thg-beauty",ISNUMBER(SEARCH("liveramp",$C396))),"DELETE",$A396="agile-bonbon-662",_xlfn.IFS(LEFT($G396,9)="Tranche 1","DELETE",$C396="Sessions_Level_1_All_Sites","KEEP",ISNUMBER(--$C396),"REVIEW — UA raw logs",$C396="Emag_Reporting","KEEP",$C396="Nutrition_Data_Archived_Tables","KEEP",$C396="EU_Data","KEEP",TRUE,"REVIEW"),OR($A396="thg-influencer",$A396="thg-ingenuity",$A396="thg-central-marketing",$A396="thg-seoclarity"),"HOLD",TRUE,"")</f>
        <v>HOLD</v>
      </c>
      <c r="R396" t="str" cm="1">
        <f t="array" ref="R396">_xlfn.IFS(AND($A396="thg-beauty",ISNUMBER(SEARCH("liveramp",$C396))),"thg-beauty Liveramp dataset — confirmed safe to delete",$A396="agile-bonbon-662",_xlfn.IFS(LEFT($G396,9)="Tranche 1","Tranche 1: cleared",$C396="Sessions_Level_1_All_Sites","Downstream aggregation of UA raw logs — keep if raw tables go",ISNUMBER(--$C396),"UA raw site logs (account ID) — keep pending audit-retention check",$C396="Emag_Reporting","Legacy but likely needed",$C396="Nutrition_Data_Archived_Tables","Worth keeping",$C396="EU_Data","Static lookup tables — scripts still reference (smoke-test risk)",TRUE,"Review"),OR($A396="thg-influencer",$A396="thg-ingenuity",$A396="thg-central-marketing",$A396="thg-seoclarity"),"HOLD — Charlie Stringer to review before deletion",TRUE,"")</f>
        <v>HOLD — Charlie Stringer to review before deletion</v>
      </c>
      <c r="S396" t="s">
        <v>1624</v>
      </c>
    </row>
    <row r="397" spans="1:19" ht="76.5" hidden="1">
      <c r="A397" t="s">
        <v>35</v>
      </c>
      <c r="B397" t="s">
        <v>1619</v>
      </c>
      <c r="C397" t="s">
        <v>2476</v>
      </c>
      <c r="D397" s="2" t="s">
        <v>1621</v>
      </c>
      <c r="E397">
        <v>214.02</v>
      </c>
      <c r="F397">
        <v>4.28</v>
      </c>
      <c r="G397" t="s">
        <v>79</v>
      </c>
      <c r="H397" t="s">
        <v>81</v>
      </c>
      <c r="I397">
        <v>0</v>
      </c>
      <c r="J397">
        <v>0</v>
      </c>
      <c r="K397" s="5">
        <v>46197.445512349543</v>
      </c>
      <c r="L397" s="5">
        <v>46197.035565983802</v>
      </c>
      <c r="M397" s="2" t="s">
        <v>2477</v>
      </c>
      <c r="N397" s="2" t="s">
        <v>2478</v>
      </c>
      <c r="O397" s="5">
        <v>46197.036893657409</v>
      </c>
      <c r="P397" t="str">
        <f>IF($Q397="DELETE",IF($S397="CONFIRMED: NO MODS &gt; 1YR","CONFIRMED: NO MODS &gt; 1YR","DO NOT DELETE — not defensibly confirmed"),IF($Q397="HOLD","DO NOT DELETE — HOLD (Charlie review)",IF($Q397="KEEP","DO NOT DELETE — KEEP",IF(ISNUMBER(SEARCH("REVIEW",$Q397)),"DO NOT DELETE — REVIEW pending",$S397))))</f>
        <v>DO NOT DELETE — HOLD (Charlie review)</v>
      </c>
      <c r="Q397" t="str" cm="1">
        <f t="array" ref="Q397">_xlfn.IFS(AND($A397="thg-beauty",ISNUMBER(SEARCH("liveramp",$C397))),"DELETE",$A397="agile-bonbon-662",_xlfn.IFS(LEFT($G397,9)="Tranche 1","DELETE",$C397="Sessions_Level_1_All_Sites","KEEP",ISNUMBER(--$C397),"REVIEW — UA raw logs",$C397="Emag_Reporting","KEEP",$C397="Nutrition_Data_Archived_Tables","KEEP",$C397="EU_Data","KEEP",TRUE,"REVIEW"),OR($A397="thg-influencer",$A397="thg-ingenuity",$A397="thg-central-marketing",$A397="thg-seoclarity"),"HOLD",TRUE,"")</f>
        <v>HOLD</v>
      </c>
      <c r="R397" t="str" cm="1">
        <f t="array" ref="R397">_xlfn.IFS(AND($A397="thg-beauty",ISNUMBER(SEARCH("liveramp",$C397))),"thg-beauty Liveramp dataset — confirmed safe to delete",$A397="agile-bonbon-662",_xlfn.IFS(LEFT($G397,9)="Tranche 1","Tranche 1: cleared",$C397="Sessions_Level_1_All_Sites","Downstream aggregation of UA raw logs — keep if raw tables go",ISNUMBER(--$C397),"UA raw site logs (account ID) — keep pending audit-retention check",$C397="Emag_Reporting","Legacy but likely needed",$C397="Nutrition_Data_Archived_Tables","Worth keeping",$C397="EU_Data","Static lookup tables — scripts still reference (smoke-test risk)",TRUE,"Review"),OR($A397="thg-influencer",$A397="thg-ingenuity",$A397="thg-central-marketing",$A397="thg-seoclarity"),"HOLD — Charlie Stringer to review before deletion",TRUE,"")</f>
        <v>HOLD — Charlie Stringer to review before deletion</v>
      </c>
      <c r="S397" t="s">
        <v>1624</v>
      </c>
    </row>
    <row r="398" spans="1:19" ht="76.5" hidden="1">
      <c r="A398" t="s">
        <v>38</v>
      </c>
      <c r="B398" t="s">
        <v>1619</v>
      </c>
      <c r="C398" t="s">
        <v>2479</v>
      </c>
      <c r="D398" s="2" t="s">
        <v>1621</v>
      </c>
      <c r="E398">
        <v>208.25</v>
      </c>
      <c r="F398">
        <v>4.17</v>
      </c>
      <c r="G398" t="s">
        <v>79</v>
      </c>
      <c r="H398" t="s">
        <v>81</v>
      </c>
      <c r="I398">
        <v>0</v>
      </c>
      <c r="J398">
        <v>0</v>
      </c>
      <c r="K398" s="5">
        <v>46197.418722939823</v>
      </c>
      <c r="L398" s="5">
        <v>46197.374410416669</v>
      </c>
      <c r="M398" s="2" t="s">
        <v>2480</v>
      </c>
      <c r="N398" s="2" t="s">
        <v>2481</v>
      </c>
      <c r="O398" s="5">
        <v>46197.374640787028</v>
      </c>
      <c r="P398" t="str">
        <f>IF($Q398="DELETE",IF($S398="CONFIRMED: NO MODS &gt; 1YR","CONFIRMED: NO MODS &gt; 1YR","DO NOT DELETE — not defensibly confirmed"),IF($Q398="HOLD","DO NOT DELETE — HOLD (Charlie review)",IF($Q398="KEEP","DO NOT DELETE — KEEP",IF(ISNUMBER(SEARCH("REVIEW",$Q398)),"DO NOT DELETE — REVIEW pending",$S398))))</f>
        <v>DO NOT DELETE — HOLD (Charlie review)</v>
      </c>
      <c r="Q398" t="str" cm="1">
        <f t="array" ref="Q398">_xlfn.IFS(AND($A398="thg-beauty",ISNUMBER(SEARCH("liveramp",$C398))),"DELETE",$A398="agile-bonbon-662",_xlfn.IFS(LEFT($G398,9)="Tranche 1","DELETE",$C398="Sessions_Level_1_All_Sites","KEEP",ISNUMBER(--$C398),"REVIEW — UA raw logs",$C398="Emag_Reporting","KEEP",$C398="Nutrition_Data_Archived_Tables","KEEP",$C398="EU_Data","KEEP",TRUE,"REVIEW"),OR($A398="thg-influencer",$A398="thg-ingenuity",$A398="thg-central-marketing",$A398="thg-seoclarity"),"HOLD",TRUE,"")</f>
        <v>HOLD</v>
      </c>
      <c r="R398" t="str" cm="1">
        <f t="array" ref="R398">_xlfn.IFS(AND($A398="thg-beauty",ISNUMBER(SEARCH("liveramp",$C398))),"thg-beauty Liveramp dataset — confirmed safe to delete",$A398="agile-bonbon-662",_xlfn.IFS(LEFT($G398,9)="Tranche 1","Tranche 1: cleared",$C398="Sessions_Level_1_All_Sites","Downstream aggregation of UA raw logs — keep if raw tables go",ISNUMBER(--$C398),"UA raw site logs (account ID) — keep pending audit-retention check",$C398="Emag_Reporting","Legacy but likely needed",$C398="Nutrition_Data_Archived_Tables","Worth keeping",$C398="EU_Data","Static lookup tables — scripts still reference (smoke-test risk)",TRUE,"Review"),OR($A398="thg-influencer",$A398="thg-ingenuity",$A398="thg-central-marketing",$A398="thg-seoclarity"),"HOLD — Charlie Stringer to review before deletion",TRUE,"")</f>
        <v>HOLD — Charlie Stringer to review before deletion</v>
      </c>
      <c r="S398" t="s">
        <v>1624</v>
      </c>
    </row>
    <row r="399" spans="1:19" ht="76.5" hidden="1">
      <c r="A399" t="s">
        <v>89</v>
      </c>
      <c r="B399" t="s">
        <v>1619</v>
      </c>
      <c r="C399" t="s">
        <v>2458</v>
      </c>
      <c r="D399" s="2" t="s">
        <v>1621</v>
      </c>
      <c r="E399">
        <v>206.98</v>
      </c>
      <c r="F399">
        <v>4.1399999999999997</v>
      </c>
      <c r="G399" t="s">
        <v>79</v>
      </c>
      <c r="H399" t="s">
        <v>81</v>
      </c>
      <c r="I399">
        <v>0</v>
      </c>
      <c r="J399">
        <v>0</v>
      </c>
      <c r="K399" s="5">
        <v>46197.305660972219</v>
      </c>
      <c r="L399" s="5">
        <v>46197.420921342593</v>
      </c>
      <c r="M399" s="2" t="s">
        <v>2482</v>
      </c>
      <c r="N399" s="2" t="s">
        <v>2483</v>
      </c>
      <c r="O399" s="5">
        <v>46197.421082569454</v>
      </c>
      <c r="P399" t="str">
        <f>IF($Q399="DELETE",IF($S399="CONFIRMED: NO MODS &gt; 1YR","CONFIRMED: NO MODS &gt; 1YR","DO NOT DELETE — not defensibly confirmed"),IF($Q399="HOLD","DO NOT DELETE — HOLD (Charlie review)",IF($Q399="KEEP","DO NOT DELETE — KEEP",IF(ISNUMBER(SEARCH("REVIEW",$Q399)),"DO NOT DELETE — REVIEW pending",$S399))))</f>
        <v>DO NOT DELETE — REVIEW pending</v>
      </c>
      <c r="Q399" t="str" cm="1">
        <f t="array" ref="Q399">_xlfn.IFS(AND($A399="thg-beauty",ISNUMBER(SEARCH("liveramp",$C399))),"DELETE",$A399="agile-bonbon-662",_xlfn.IFS(LEFT($G399,9)="Tranche 1","DELETE",$C399="Sessions_Level_1_All_Sites","KEEP",ISNUMBER(--$C399),"REVIEW — UA raw logs",$C399="Emag_Reporting","KEEP",$C399="Nutrition_Data_Archived_Tables","KEEP",$C399="EU_Data","KEEP",TRUE,"REVIEW"),OR($A399="thg-influencer",$A399="thg-ingenuity",$A399="thg-central-marketing",$A399="thg-seoclarity"),"HOLD",TRUE,"")</f>
        <v>REVIEW</v>
      </c>
      <c r="R399" t="str" cm="1">
        <f t="array" ref="R399">_xlfn.IFS(AND($A399="thg-beauty",ISNUMBER(SEARCH("liveramp",$C399))),"thg-beauty Liveramp dataset — confirmed safe to delete",$A399="agile-bonbon-662",_xlfn.IFS(LEFT($G399,9)="Tranche 1","Tranche 1: cleared",$C399="Sessions_Level_1_All_Sites","Downstream aggregation of UA raw logs — keep if raw tables go",ISNUMBER(--$C399),"UA raw site logs (account ID) — keep pending audit-retention check",$C399="Emag_Reporting","Legacy but likely needed",$C399="Nutrition_Data_Archived_Tables","Worth keeping",$C399="EU_Data","Static lookup tables — scripts still reference (smoke-test risk)",TRUE,"Review"),OR($A399="thg-influencer",$A399="thg-ingenuity",$A399="thg-central-marketing",$A399="thg-seoclarity"),"HOLD — Charlie Stringer to review before deletion",TRUE,"")</f>
        <v>Review</v>
      </c>
      <c r="S399" t="s">
        <v>1624</v>
      </c>
    </row>
    <row r="400" spans="1:19" ht="76.5" hidden="1">
      <c r="A400" t="s">
        <v>39</v>
      </c>
      <c r="B400" t="s">
        <v>1619</v>
      </c>
      <c r="C400" t="s">
        <v>2484</v>
      </c>
      <c r="D400" s="2" t="s">
        <v>1621</v>
      </c>
      <c r="E400">
        <v>205.47</v>
      </c>
      <c r="F400">
        <v>4.1100000000000003</v>
      </c>
      <c r="G400" t="s">
        <v>79</v>
      </c>
      <c r="H400" t="s">
        <v>81</v>
      </c>
      <c r="I400">
        <v>0</v>
      </c>
      <c r="J400">
        <v>0</v>
      </c>
      <c r="K400" s="5">
        <v>46197.436336145831</v>
      </c>
      <c r="L400" s="5">
        <v>46197.096909733787</v>
      </c>
      <c r="M400" s="2" t="s">
        <v>2485</v>
      </c>
      <c r="N400" s="2" t="s">
        <v>2486</v>
      </c>
      <c r="O400" s="5">
        <v>46197.097020752313</v>
      </c>
      <c r="P400" t="str">
        <f>IF($Q400="DELETE",IF($S400="CONFIRMED: NO MODS &gt; 1YR","CONFIRMED: NO MODS &gt; 1YR","DO NOT DELETE — not defensibly confirmed"),IF($Q400="HOLD","DO NOT DELETE — HOLD (Charlie review)",IF($Q400="KEEP","DO NOT DELETE — KEEP",IF(ISNUMBER(SEARCH("REVIEW",$Q400)),"DO NOT DELETE — REVIEW pending",$S400))))</f>
        <v>DO NOT DELETE — HOLD (Charlie review)</v>
      </c>
      <c r="Q400" t="str" cm="1">
        <f t="array" ref="Q400">_xlfn.IFS(AND($A400="thg-beauty",ISNUMBER(SEARCH("liveramp",$C400))),"DELETE",$A400="agile-bonbon-662",_xlfn.IFS(LEFT($G400,9)="Tranche 1","DELETE",$C400="Sessions_Level_1_All_Sites","KEEP",ISNUMBER(--$C400),"REVIEW — UA raw logs",$C400="Emag_Reporting","KEEP",$C400="Nutrition_Data_Archived_Tables","KEEP",$C400="EU_Data","KEEP",TRUE,"REVIEW"),OR($A400="thg-influencer",$A400="thg-ingenuity",$A400="thg-central-marketing",$A400="thg-seoclarity"),"HOLD",TRUE,"")</f>
        <v>HOLD</v>
      </c>
      <c r="R400" t="str" cm="1">
        <f t="array" ref="R400">_xlfn.IFS(AND($A400="thg-beauty",ISNUMBER(SEARCH("liveramp",$C400))),"thg-beauty Liveramp dataset — confirmed safe to delete",$A400="agile-bonbon-662",_xlfn.IFS(LEFT($G400,9)="Tranche 1","Tranche 1: cleared",$C400="Sessions_Level_1_All_Sites","Downstream aggregation of UA raw logs — keep if raw tables go",ISNUMBER(--$C400),"UA raw site logs (account ID) — keep pending audit-retention check",$C400="Emag_Reporting","Legacy but likely needed",$C400="Nutrition_Data_Archived_Tables","Worth keeping",$C400="EU_Data","Static lookup tables — scripts still reference (smoke-test risk)",TRUE,"Review"),OR($A400="thg-influencer",$A400="thg-ingenuity",$A400="thg-central-marketing",$A400="thg-seoclarity"),"HOLD — Charlie Stringer to review before deletion",TRUE,"")</f>
        <v>HOLD — Charlie Stringer to review before deletion</v>
      </c>
      <c r="S400" t="s">
        <v>1624</v>
      </c>
    </row>
    <row r="401" spans="1:19" ht="76.5" hidden="1">
      <c r="A401" t="s">
        <v>38</v>
      </c>
      <c r="B401" t="s">
        <v>1619</v>
      </c>
      <c r="C401" t="s">
        <v>1902</v>
      </c>
      <c r="D401" s="2" t="s">
        <v>1621</v>
      </c>
      <c r="E401">
        <v>199.79</v>
      </c>
      <c r="F401">
        <v>4</v>
      </c>
      <c r="G401" t="s">
        <v>79</v>
      </c>
      <c r="H401" t="s">
        <v>81</v>
      </c>
      <c r="I401">
        <v>0</v>
      </c>
      <c r="J401">
        <v>0</v>
      </c>
      <c r="K401" s="5">
        <v>46197.451690000002</v>
      </c>
      <c r="L401" s="5">
        <v>46197.448329143517</v>
      </c>
      <c r="M401" s="2" t="s">
        <v>2487</v>
      </c>
      <c r="N401" s="2" t="s">
        <v>2488</v>
      </c>
      <c r="O401" s="5">
        <v>46197.448509803238</v>
      </c>
      <c r="P401" t="str">
        <f>IF($Q401="DELETE",IF($S401="CONFIRMED: NO MODS &gt; 1YR","CONFIRMED: NO MODS &gt; 1YR","DO NOT DELETE — not defensibly confirmed"),IF($Q401="HOLD","DO NOT DELETE — HOLD (Charlie review)",IF($Q401="KEEP","DO NOT DELETE — KEEP",IF(ISNUMBER(SEARCH("REVIEW",$Q401)),"DO NOT DELETE — REVIEW pending",$S401))))</f>
        <v>DO NOT DELETE — HOLD (Charlie review)</v>
      </c>
      <c r="Q401" t="str" cm="1">
        <f t="array" ref="Q401">_xlfn.IFS(AND($A401="thg-beauty",ISNUMBER(SEARCH("liveramp",$C401))),"DELETE",$A401="agile-bonbon-662",_xlfn.IFS(LEFT($G401,9)="Tranche 1","DELETE",$C401="Sessions_Level_1_All_Sites","KEEP",ISNUMBER(--$C401),"REVIEW — UA raw logs",$C401="Emag_Reporting","KEEP",$C401="Nutrition_Data_Archived_Tables","KEEP",$C401="EU_Data","KEEP",TRUE,"REVIEW"),OR($A401="thg-influencer",$A401="thg-ingenuity",$A401="thg-central-marketing",$A401="thg-seoclarity"),"HOLD",TRUE,"")</f>
        <v>HOLD</v>
      </c>
      <c r="R401" t="str" cm="1">
        <f t="array" ref="R401">_xlfn.IFS(AND($A401="thg-beauty",ISNUMBER(SEARCH("liveramp",$C401))),"thg-beauty Liveramp dataset — confirmed safe to delete",$A401="agile-bonbon-662",_xlfn.IFS(LEFT($G401,9)="Tranche 1","Tranche 1: cleared",$C401="Sessions_Level_1_All_Sites","Downstream aggregation of UA raw logs — keep if raw tables go",ISNUMBER(--$C401),"UA raw site logs (account ID) — keep pending audit-retention check",$C401="Emag_Reporting","Legacy but likely needed",$C401="Nutrition_Data_Archived_Tables","Worth keeping",$C401="EU_Data","Static lookup tables — scripts still reference (smoke-test risk)",TRUE,"Review"),OR($A401="thg-influencer",$A401="thg-ingenuity",$A401="thg-central-marketing",$A401="thg-seoclarity"),"HOLD — Charlie Stringer to review before deletion",TRUE,"")</f>
        <v>HOLD — Charlie Stringer to review before deletion</v>
      </c>
      <c r="S401" t="s">
        <v>1631</v>
      </c>
    </row>
    <row r="402" spans="1:19" ht="76.5" hidden="1">
      <c r="A402" t="s">
        <v>89</v>
      </c>
      <c r="B402" t="s">
        <v>1619</v>
      </c>
      <c r="C402" t="s">
        <v>2434</v>
      </c>
      <c r="D402" s="2" t="s">
        <v>1621</v>
      </c>
      <c r="E402">
        <v>189.73</v>
      </c>
      <c r="F402">
        <v>3.79</v>
      </c>
      <c r="G402" t="s">
        <v>79</v>
      </c>
      <c r="H402" t="s">
        <v>81</v>
      </c>
      <c r="I402">
        <v>0</v>
      </c>
      <c r="J402">
        <v>0</v>
      </c>
      <c r="K402" s="5">
        <v>46197.222201064818</v>
      </c>
      <c r="L402" s="5">
        <v>46197.12726966435</v>
      </c>
      <c r="M402" s="2" t="s">
        <v>2489</v>
      </c>
      <c r="N402" s="2" t="s">
        <v>2490</v>
      </c>
      <c r="O402" s="5">
        <v>46197.127295474536</v>
      </c>
      <c r="P402" t="str">
        <f>IF($Q402="DELETE",IF($S402="CONFIRMED: NO MODS &gt; 1YR","CONFIRMED: NO MODS &gt; 1YR","DO NOT DELETE — not defensibly confirmed"),IF($Q402="HOLD","DO NOT DELETE — HOLD (Charlie review)",IF($Q402="KEEP","DO NOT DELETE — KEEP",IF(ISNUMBER(SEARCH("REVIEW",$Q402)),"DO NOT DELETE — REVIEW pending",$S402))))</f>
        <v>DO NOT DELETE — REVIEW pending</v>
      </c>
      <c r="Q402" t="str" cm="1">
        <f t="array" ref="Q402">_xlfn.IFS(AND($A402="thg-beauty",ISNUMBER(SEARCH("liveramp",$C402))),"DELETE",$A402="agile-bonbon-662",_xlfn.IFS(LEFT($G402,9)="Tranche 1","DELETE",$C402="Sessions_Level_1_All_Sites","KEEP",ISNUMBER(--$C402),"REVIEW — UA raw logs",$C402="Emag_Reporting","KEEP",$C402="Nutrition_Data_Archived_Tables","KEEP",$C402="EU_Data","KEEP",TRUE,"REVIEW"),OR($A402="thg-influencer",$A402="thg-ingenuity",$A402="thg-central-marketing",$A402="thg-seoclarity"),"HOLD",TRUE,"")</f>
        <v>REVIEW</v>
      </c>
      <c r="R402" t="str" cm="1">
        <f t="array" ref="R402">_xlfn.IFS(AND($A402="thg-beauty",ISNUMBER(SEARCH("liveramp",$C402))),"thg-beauty Liveramp dataset — confirmed safe to delete",$A402="agile-bonbon-662",_xlfn.IFS(LEFT($G402,9)="Tranche 1","Tranche 1: cleared",$C402="Sessions_Level_1_All_Sites","Downstream aggregation of UA raw logs — keep if raw tables go",ISNUMBER(--$C402),"UA raw site logs (account ID) — keep pending audit-retention check",$C402="Emag_Reporting","Legacy but likely needed",$C402="Nutrition_Data_Archived_Tables","Worth keeping",$C402="EU_Data","Static lookup tables — scripts still reference (smoke-test risk)",TRUE,"Review"),OR($A402="thg-influencer",$A402="thg-ingenuity",$A402="thg-central-marketing",$A402="thg-seoclarity"),"HOLD — Charlie Stringer to review before deletion",TRUE,"")</f>
        <v>Review</v>
      </c>
      <c r="S402" t="s">
        <v>1624</v>
      </c>
    </row>
    <row r="403" spans="1:19" ht="76.5" hidden="1">
      <c r="A403" t="s">
        <v>95</v>
      </c>
      <c r="B403" t="s">
        <v>1619</v>
      </c>
      <c r="C403" t="s">
        <v>2491</v>
      </c>
      <c r="D403" s="2" t="s">
        <v>1621</v>
      </c>
      <c r="E403">
        <v>189.07</v>
      </c>
      <c r="F403">
        <v>3.78</v>
      </c>
      <c r="G403" t="s">
        <v>79</v>
      </c>
      <c r="H403" t="s">
        <v>81</v>
      </c>
      <c r="I403">
        <v>0</v>
      </c>
      <c r="J403">
        <v>0</v>
      </c>
      <c r="K403" s="5">
        <v>46197.048911759259</v>
      </c>
      <c r="L403" s="5">
        <v>46197.048911759259</v>
      </c>
      <c r="M403" s="2" t="s">
        <v>2324</v>
      </c>
      <c r="N403" s="2" t="s">
        <v>2492</v>
      </c>
      <c r="O403" s="5">
        <v>46197.048990243064</v>
      </c>
      <c r="P403" t="str">
        <f>IF($Q403="DELETE",IF($S403="CONFIRMED: NO MODS &gt; 1YR","CONFIRMED: NO MODS &gt; 1YR","DO NOT DELETE — not defensibly confirmed"),IF($Q403="HOLD","DO NOT DELETE — HOLD (Charlie review)",IF($Q403="KEEP","DO NOT DELETE — KEEP",IF(ISNUMBER(SEARCH("REVIEW",$Q403)),"DO NOT DELETE — REVIEW pending",$S403))))</f>
        <v>CONFIRMED: NO MODS &gt; 1YR</v>
      </c>
      <c r="Q403" t="str" cm="1">
        <f t="array" ref="Q403">_xlfn.IFS(AND($A403="thg-beauty",ISNUMBER(SEARCH("liveramp",$C403))),"DELETE",$A403="agile-bonbon-662",_xlfn.IFS(LEFT($G403,9)="Tranche 1","DELETE",$C403="Sessions_Level_1_All_Sites","KEEP",ISNUMBER(--$C403),"REVIEW — UA raw logs",$C403="Emag_Reporting","KEEP",$C403="Nutrition_Data_Archived_Tables","KEEP",$C403="EU_Data","KEEP",TRUE,"REVIEW"),OR($A403="thg-influencer",$A403="thg-ingenuity",$A403="thg-central-marketing",$A403="thg-seoclarity"),"HOLD",TRUE,"")</f>
        <v/>
      </c>
      <c r="R403" t="str" cm="1">
        <f t="array" ref="R403">_xlfn.IFS(AND($A403="thg-beauty",ISNUMBER(SEARCH("liveramp",$C403))),"thg-beauty Liveramp dataset — confirmed safe to delete",$A403="agile-bonbon-662",_xlfn.IFS(LEFT($G403,9)="Tranche 1","Tranche 1: cleared",$C403="Sessions_Level_1_All_Sites","Downstream aggregation of UA raw logs — keep if raw tables go",ISNUMBER(--$C403),"UA raw site logs (account ID) — keep pending audit-retention check",$C403="Emag_Reporting","Legacy but likely needed",$C403="Nutrition_Data_Archived_Tables","Worth keeping",$C403="EU_Data","Static lookup tables — scripts still reference (smoke-test risk)",TRUE,"Review"),OR($A403="thg-influencer",$A403="thg-ingenuity",$A403="thg-central-marketing",$A403="thg-seoclarity"),"HOLD — Charlie Stringer to review before deletion",TRUE,"")</f>
        <v/>
      </c>
      <c r="S403" t="s">
        <v>1624</v>
      </c>
    </row>
    <row r="404" spans="1:19" ht="76.5" hidden="1">
      <c r="A404" t="s">
        <v>92</v>
      </c>
      <c r="B404" t="s">
        <v>1619</v>
      </c>
      <c r="C404" t="s">
        <v>2493</v>
      </c>
      <c r="D404" s="2" t="s">
        <v>1621</v>
      </c>
      <c r="E404">
        <v>11.29</v>
      </c>
      <c r="F404">
        <v>0.23</v>
      </c>
      <c r="G404" t="s">
        <v>79</v>
      </c>
      <c r="H404" t="s">
        <v>81</v>
      </c>
      <c r="I404">
        <v>0</v>
      </c>
      <c r="J404">
        <v>0</v>
      </c>
      <c r="K404" s="5">
        <v>46197.233868657408</v>
      </c>
      <c r="L404" s="5">
        <v>46197.233757268521</v>
      </c>
      <c r="M404" s="2" t="s">
        <v>2494</v>
      </c>
      <c r="N404" s="2" t="s">
        <v>2494</v>
      </c>
      <c r="O404" s="5">
        <v>46197.233804317133</v>
      </c>
      <c r="P404" t="str">
        <f>IF($Q404="DELETE",IF($S404="CONFIRMED: NO MODS &gt; 1YR","CONFIRMED: NO MODS &gt; 1YR","DO NOT DELETE — not defensibly confirmed"),IF($Q404="HOLD","DO NOT DELETE — HOLD (Charlie review)",IF($Q404="KEEP","DO NOT DELETE — KEEP",IF(ISNUMBER(SEARCH("REVIEW",$Q404)),"DO NOT DELETE — REVIEW pending",$S404))))</f>
        <v>CONFIRMED: NO MODS &gt; 1YR</v>
      </c>
      <c r="Q404" t="str" cm="1">
        <f t="array" ref="Q404">_xlfn.IFS(AND($A404="thg-beauty",ISNUMBER(SEARCH("liveramp",$C404))),"DELETE",$A404="agile-bonbon-662",_xlfn.IFS(LEFT($G404,9)="Tranche 1","DELETE",$C404="Sessions_Level_1_All_Sites","KEEP",ISNUMBER(--$C404),"REVIEW — UA raw logs",$C404="Emag_Reporting","KEEP",$C404="Nutrition_Data_Archived_Tables","KEEP",$C404="EU_Data","KEEP",TRUE,"REVIEW"),OR($A404="thg-influencer",$A404="thg-ingenuity",$A404="thg-central-marketing",$A404="thg-seoclarity"),"HOLD",TRUE,"")</f>
        <v>DELETE</v>
      </c>
      <c r="R404" t="str" cm="1">
        <f t="array" ref="R404">_xlfn.IFS(AND($A404="thg-beauty",ISNUMBER(SEARCH("liveramp",$C404))),"thg-beauty Liveramp dataset — confirmed safe to delete",$A404="agile-bonbon-662",_xlfn.IFS(LEFT($G404,9)="Tranche 1","Tranche 1: cleared",$C404="Sessions_Level_1_All_Sites","Downstream aggregation of UA raw logs — keep if raw tables go",ISNUMBER(--$C404),"UA raw site logs (account ID) — keep pending audit-retention check",$C404="Emag_Reporting","Legacy but likely needed",$C404="Nutrition_Data_Archived_Tables","Worth keeping",$C404="EU_Data","Static lookup tables — scripts still reference (smoke-test risk)",TRUE,"Review"),OR($A404="thg-influencer",$A404="thg-ingenuity",$A404="thg-central-marketing",$A404="thg-seoclarity"),"HOLD — Charlie Stringer to review before deletion",TRUE,"")</f>
        <v>thg-beauty Liveramp dataset — confirmed safe to delete</v>
      </c>
      <c r="S404" t="s">
        <v>1624</v>
      </c>
    </row>
    <row r="405" spans="1:19" ht="76.5" hidden="1">
      <c r="A405" t="s">
        <v>89</v>
      </c>
      <c r="B405" t="s">
        <v>1619</v>
      </c>
      <c r="C405" t="s">
        <v>2495</v>
      </c>
      <c r="D405" s="2" t="s">
        <v>1621</v>
      </c>
      <c r="E405">
        <v>176.56</v>
      </c>
      <c r="F405">
        <v>3.53</v>
      </c>
      <c r="G405" t="s">
        <v>79</v>
      </c>
      <c r="H405" t="s">
        <v>81</v>
      </c>
      <c r="I405">
        <v>0</v>
      </c>
      <c r="J405">
        <v>0</v>
      </c>
      <c r="K405" s="5">
        <v>46197.421960243053</v>
      </c>
      <c r="L405" s="5">
        <v>46197.291293993047</v>
      </c>
      <c r="M405" s="2" t="s">
        <v>2496</v>
      </c>
      <c r="N405" s="2" t="s">
        <v>2497</v>
      </c>
      <c r="O405" s="5">
        <v>46197.413126643522</v>
      </c>
      <c r="P405" t="str">
        <f>IF($Q405="DELETE",IF($S405="CONFIRMED: NO MODS &gt; 1YR","CONFIRMED: NO MODS &gt; 1YR","DO NOT DELETE — not defensibly confirmed"),IF($Q405="HOLD","DO NOT DELETE — HOLD (Charlie review)",IF($Q405="KEEP","DO NOT DELETE — KEEP",IF(ISNUMBER(SEARCH("REVIEW",$Q405)),"DO NOT DELETE — REVIEW pending",$S405))))</f>
        <v>DO NOT DELETE — REVIEW pending</v>
      </c>
      <c r="Q405" t="str" cm="1">
        <f t="array" ref="Q405">_xlfn.IFS(AND($A405="thg-beauty",ISNUMBER(SEARCH("liveramp",$C405))),"DELETE",$A405="agile-bonbon-662",_xlfn.IFS(LEFT($G405,9)="Tranche 1","DELETE",$C405="Sessions_Level_1_All_Sites","KEEP",ISNUMBER(--$C405),"REVIEW — UA raw logs",$C405="Emag_Reporting","KEEP",$C405="Nutrition_Data_Archived_Tables","KEEP",$C405="EU_Data","KEEP",TRUE,"REVIEW"),OR($A405="thg-influencer",$A405="thg-ingenuity",$A405="thg-central-marketing",$A405="thg-seoclarity"),"HOLD",TRUE,"")</f>
        <v>REVIEW</v>
      </c>
      <c r="R405" t="str" cm="1">
        <f t="array" ref="R405">_xlfn.IFS(AND($A405="thg-beauty",ISNUMBER(SEARCH("liveramp",$C405))),"thg-beauty Liveramp dataset — confirmed safe to delete",$A405="agile-bonbon-662",_xlfn.IFS(LEFT($G405,9)="Tranche 1","Tranche 1: cleared",$C405="Sessions_Level_1_All_Sites","Downstream aggregation of UA raw logs — keep if raw tables go",ISNUMBER(--$C405),"UA raw site logs (account ID) — keep pending audit-retention check",$C405="Emag_Reporting","Legacy but likely needed",$C405="Nutrition_Data_Archived_Tables","Worth keeping",$C405="EU_Data","Static lookup tables — scripts still reference (smoke-test risk)",TRUE,"Review"),OR($A405="thg-influencer",$A405="thg-ingenuity",$A405="thg-central-marketing",$A405="thg-seoclarity"),"HOLD — Charlie Stringer to review before deletion",TRUE,"")</f>
        <v>Review</v>
      </c>
      <c r="S405" t="s">
        <v>1624</v>
      </c>
    </row>
    <row r="406" spans="1:19" ht="76.5" hidden="1">
      <c r="A406" t="s">
        <v>92</v>
      </c>
      <c r="B406" t="s">
        <v>1619</v>
      </c>
      <c r="C406" t="s">
        <v>2498</v>
      </c>
      <c r="D406" s="2" t="s">
        <v>1621</v>
      </c>
      <c r="E406">
        <v>10.57</v>
      </c>
      <c r="F406">
        <v>0.21</v>
      </c>
      <c r="G406" t="s">
        <v>79</v>
      </c>
      <c r="H406" t="s">
        <v>81</v>
      </c>
      <c r="I406">
        <v>0</v>
      </c>
      <c r="J406">
        <v>0</v>
      </c>
      <c r="K406" s="5">
        <v>46197.283299432871</v>
      </c>
      <c r="L406" s="5">
        <v>46197.10714886574</v>
      </c>
      <c r="M406" s="2" t="s">
        <v>2499</v>
      </c>
      <c r="N406" s="2" t="s">
        <v>2500</v>
      </c>
      <c r="O406" s="5">
        <v>46197.107649803242</v>
      </c>
      <c r="P406" t="str">
        <f>IF($Q406="DELETE",IF($S406="CONFIRMED: NO MODS &gt; 1YR","CONFIRMED: NO MODS &gt; 1YR","DO NOT DELETE — not defensibly confirmed"),IF($Q406="HOLD","DO NOT DELETE — HOLD (Charlie review)",IF($Q406="KEEP","DO NOT DELETE — KEEP",IF(ISNUMBER(SEARCH("REVIEW",$Q406)),"DO NOT DELETE — REVIEW pending",$S406))))</f>
        <v>REVIEW</v>
      </c>
      <c r="Q406" t="str" cm="1">
        <f t="array" ref="Q406">_xlfn.IFS(AND($A406="thg-beauty",ISNUMBER(SEARCH("liveramp",$C406))),"DELETE",$A406="agile-bonbon-662",_xlfn.IFS(LEFT($G406,9)="Tranche 1","DELETE",$C406="Sessions_Level_1_All_Sites","KEEP",ISNUMBER(--$C406),"REVIEW — UA raw logs",$C406="Emag_Reporting","KEEP",$C406="Nutrition_Data_Archived_Tables","KEEP",$C406="EU_Data","KEEP",TRUE,"REVIEW"),OR($A406="thg-influencer",$A406="thg-ingenuity",$A406="thg-central-marketing",$A406="thg-seoclarity"),"HOLD",TRUE,"")</f>
        <v/>
      </c>
      <c r="R406" t="str" cm="1">
        <f t="array" ref="R406">_xlfn.IFS(AND($A406="thg-beauty",ISNUMBER(SEARCH("liveramp",$C406))),"thg-beauty Liveramp dataset — confirmed safe to delete",$A406="agile-bonbon-662",_xlfn.IFS(LEFT($G406,9)="Tranche 1","Tranche 1: cleared",$C406="Sessions_Level_1_All_Sites","Downstream aggregation of UA raw logs — keep if raw tables go",ISNUMBER(--$C406),"UA raw site logs (account ID) — keep pending audit-retention check",$C406="Emag_Reporting","Legacy but likely needed",$C406="Nutrition_Data_Archived_Tables","Worth keeping",$C406="EU_Data","Static lookup tables — scripts still reference (smoke-test risk)",TRUE,"Review"),OR($A406="thg-influencer",$A406="thg-ingenuity",$A406="thg-central-marketing",$A406="thg-seoclarity"),"HOLD — Charlie Stringer to review before deletion",TRUE,"")</f>
        <v/>
      </c>
      <c r="S406" t="s">
        <v>1631</v>
      </c>
    </row>
    <row r="407" spans="1:19" ht="76.5" hidden="1">
      <c r="A407" t="s">
        <v>92</v>
      </c>
      <c r="B407" t="s">
        <v>1619</v>
      </c>
      <c r="C407" t="s">
        <v>2501</v>
      </c>
      <c r="D407" s="2" t="s">
        <v>1621</v>
      </c>
      <c r="E407">
        <v>10.52</v>
      </c>
      <c r="F407">
        <v>0.21</v>
      </c>
      <c r="G407" t="s">
        <v>79</v>
      </c>
      <c r="H407" t="s">
        <v>81</v>
      </c>
      <c r="I407">
        <v>0</v>
      </c>
      <c r="J407">
        <v>8</v>
      </c>
      <c r="K407" s="5">
        <v>46197.104084525461</v>
      </c>
      <c r="L407" s="5">
        <v>46189.454086736107</v>
      </c>
      <c r="M407" s="2" t="s">
        <v>2502</v>
      </c>
      <c r="N407" s="2" t="s">
        <v>2503</v>
      </c>
      <c r="O407" s="5">
        <v>46189.454233506942</v>
      </c>
      <c r="P407" t="str">
        <f>IF($Q407="DELETE",IF($S407="CONFIRMED: NO MODS &gt; 1YR","CONFIRMED: NO MODS &gt; 1YR","DO NOT DELETE — not defensibly confirmed"),IF($Q407="HOLD","DO NOT DELETE — HOLD (Charlie review)",IF($Q407="KEEP","DO NOT DELETE — KEEP",IF(ISNUMBER(SEARCH("REVIEW",$Q407)),"DO NOT DELETE — REVIEW pending",$S407))))</f>
        <v>CONFIRMED: NO MODS &gt; 1YR</v>
      </c>
      <c r="Q407" t="str" cm="1">
        <f t="array" ref="Q407">_xlfn.IFS(AND($A407="thg-beauty",ISNUMBER(SEARCH("liveramp",$C407))),"DELETE",$A407="agile-bonbon-662",_xlfn.IFS(LEFT($G407,9)="Tranche 1","DELETE",$C407="Sessions_Level_1_All_Sites","KEEP",ISNUMBER(--$C407),"REVIEW — UA raw logs",$C407="Emag_Reporting","KEEP",$C407="Nutrition_Data_Archived_Tables","KEEP",$C407="EU_Data","KEEP",TRUE,"REVIEW"),OR($A407="thg-influencer",$A407="thg-ingenuity",$A407="thg-central-marketing",$A407="thg-seoclarity"),"HOLD",TRUE,"")</f>
        <v/>
      </c>
      <c r="R407" t="str" cm="1">
        <f t="array" ref="R407">_xlfn.IFS(AND($A407="thg-beauty",ISNUMBER(SEARCH("liveramp",$C407))),"thg-beauty Liveramp dataset — confirmed safe to delete",$A407="agile-bonbon-662",_xlfn.IFS(LEFT($G407,9)="Tranche 1","Tranche 1: cleared",$C407="Sessions_Level_1_All_Sites","Downstream aggregation of UA raw logs — keep if raw tables go",ISNUMBER(--$C407),"UA raw site logs (account ID) — keep pending audit-retention check",$C407="Emag_Reporting","Legacy but likely needed",$C407="Nutrition_Data_Archived_Tables","Worth keeping",$C407="EU_Data","Static lookup tables — scripts still reference (smoke-test risk)",TRUE,"Review"),OR($A407="thg-influencer",$A407="thg-ingenuity",$A407="thg-central-marketing",$A407="thg-seoclarity"),"HOLD — Charlie Stringer to review before deletion",TRUE,"")</f>
        <v/>
      </c>
      <c r="S407" t="s">
        <v>1624</v>
      </c>
    </row>
    <row r="408" spans="1:19" ht="76.5" hidden="1">
      <c r="A408" t="s">
        <v>89</v>
      </c>
      <c r="B408" t="s">
        <v>1619</v>
      </c>
      <c r="C408" t="s">
        <v>2504</v>
      </c>
      <c r="D408" s="2" t="s">
        <v>1621</v>
      </c>
      <c r="E408">
        <v>173.47</v>
      </c>
      <c r="F408">
        <v>3.47</v>
      </c>
      <c r="G408" t="s">
        <v>79</v>
      </c>
      <c r="H408" t="s">
        <v>81</v>
      </c>
      <c r="I408">
        <v>0</v>
      </c>
      <c r="J408">
        <v>0</v>
      </c>
      <c r="K408" s="5">
        <v>46197.4390025463</v>
      </c>
      <c r="L408" s="5">
        <v>46197.430011342592</v>
      </c>
      <c r="M408" s="2" t="s">
        <v>2505</v>
      </c>
      <c r="N408" s="2" t="s">
        <v>2506</v>
      </c>
      <c r="O408" s="5">
        <v>46197.43013591435</v>
      </c>
      <c r="P408" t="str">
        <f>IF($Q408="DELETE",IF($S408="CONFIRMED: NO MODS &gt; 1YR","CONFIRMED: NO MODS &gt; 1YR","DO NOT DELETE — not defensibly confirmed"),IF($Q408="HOLD","DO NOT DELETE — HOLD (Charlie review)",IF($Q408="KEEP","DO NOT DELETE — KEEP",IF(ISNUMBER(SEARCH("REVIEW",$Q408)),"DO NOT DELETE — REVIEW pending",$S408))))</f>
        <v>DO NOT DELETE — REVIEW pending</v>
      </c>
      <c r="Q408" t="str" cm="1">
        <f t="array" ref="Q408">_xlfn.IFS(AND($A408="thg-beauty",ISNUMBER(SEARCH("liveramp",$C408))),"DELETE",$A408="agile-bonbon-662",_xlfn.IFS(LEFT($G408,9)="Tranche 1","DELETE",$C408="Sessions_Level_1_All_Sites","KEEP",ISNUMBER(--$C408),"REVIEW — UA raw logs",$C408="Emag_Reporting","KEEP",$C408="Nutrition_Data_Archived_Tables","KEEP",$C408="EU_Data","KEEP",TRUE,"REVIEW"),OR($A408="thg-influencer",$A408="thg-ingenuity",$A408="thg-central-marketing",$A408="thg-seoclarity"),"HOLD",TRUE,"")</f>
        <v>REVIEW</v>
      </c>
      <c r="R408" t="str" cm="1">
        <f t="array" ref="R408">_xlfn.IFS(AND($A408="thg-beauty",ISNUMBER(SEARCH("liveramp",$C408))),"thg-beauty Liveramp dataset — confirmed safe to delete",$A408="agile-bonbon-662",_xlfn.IFS(LEFT($G408,9)="Tranche 1","Tranche 1: cleared",$C408="Sessions_Level_1_All_Sites","Downstream aggregation of UA raw logs — keep if raw tables go",ISNUMBER(--$C408),"UA raw site logs (account ID) — keep pending audit-retention check",$C408="Emag_Reporting","Legacy but likely needed",$C408="Nutrition_Data_Archived_Tables","Worth keeping",$C408="EU_Data","Static lookup tables — scripts still reference (smoke-test risk)",TRUE,"Review"),OR($A408="thg-influencer",$A408="thg-ingenuity",$A408="thg-central-marketing",$A408="thg-seoclarity"),"HOLD — Charlie Stringer to review before deletion",TRUE,"")</f>
        <v>Review</v>
      </c>
      <c r="S408" t="s">
        <v>1631</v>
      </c>
    </row>
    <row r="409" spans="1:19" hidden="1">
      <c r="A409" t="s">
        <v>2507</v>
      </c>
      <c r="B409" t="s">
        <v>1724</v>
      </c>
      <c r="C409" t="s">
        <v>2508</v>
      </c>
      <c r="D409" s="2" t="s">
        <v>2509</v>
      </c>
      <c r="E409">
        <v>169.69</v>
      </c>
      <c r="F409">
        <v>3.39</v>
      </c>
      <c r="G409" t="s">
        <v>79</v>
      </c>
      <c r="H409" t="s">
        <v>81</v>
      </c>
      <c r="I409">
        <v>0</v>
      </c>
      <c r="J409">
        <v>0</v>
      </c>
      <c r="M409" s="2" t="s">
        <v>1715</v>
      </c>
      <c r="N409" s="2" t="s">
        <v>1701</v>
      </c>
      <c r="O409" s="5">
        <v>46197.451200717587</v>
      </c>
      <c r="P409" t="str">
        <f>IF($Q409="DELETE",IF($S409="CONFIRMED: NO MODS &gt; 1YR","CONFIRMED: NO MODS &gt; 1YR","DO NOT DELETE — not defensibly confirmed"),IF($Q409="HOLD","DO NOT DELETE — HOLD (Charlie review)",IF($Q409="KEEP","DO NOT DELETE — KEEP",IF(ISNUMBER(SEARCH("REVIEW",$Q409)),"DO NOT DELETE — REVIEW pending",$S409))))</f>
        <v>REVIEW</v>
      </c>
      <c r="Q409" t="str" cm="1">
        <f t="array" ref="Q409">_xlfn.IFS(AND($A409="thg-beauty",ISNUMBER(SEARCH("liveramp",$C409))),"DELETE",$A409="agile-bonbon-662",_xlfn.IFS(LEFT($G409,9)="Tranche 1","DELETE",$C409="Sessions_Level_1_All_Sites","KEEP",ISNUMBER(--$C409),"REVIEW — UA raw logs",$C409="Emag_Reporting","KEEP",$C409="Nutrition_Data_Archived_Tables","KEEP",$C409="EU_Data","KEEP",TRUE,"REVIEW"),OR($A409="thg-influencer",$A409="thg-ingenuity",$A409="thg-central-marketing",$A409="thg-seoclarity"),"HOLD",TRUE,"")</f>
        <v/>
      </c>
      <c r="R409" t="str" cm="1">
        <f t="array" ref="R409">_xlfn.IFS(AND($A409="thg-beauty",ISNUMBER(SEARCH("liveramp",$C409))),"thg-beauty Liveramp dataset — confirmed safe to delete",$A409="agile-bonbon-662",_xlfn.IFS(LEFT($G409,9)="Tranche 1","Tranche 1: cleared",$C409="Sessions_Level_1_All_Sites","Downstream aggregation of UA raw logs — keep if raw tables go",ISNUMBER(--$C409),"UA raw site logs (account ID) — keep pending audit-retention check",$C409="Emag_Reporting","Legacy but likely needed",$C409="Nutrition_Data_Archived_Tables","Worth keeping",$C409="EU_Data","Static lookup tables — scripts still reference (smoke-test risk)",TRUE,"Review"),OR($A409="thg-influencer",$A409="thg-ingenuity",$A409="thg-central-marketing",$A409="thg-seoclarity"),"HOLD — Charlie Stringer to review before deletion",TRUE,"")</f>
        <v/>
      </c>
      <c r="S409" t="s">
        <v>1631</v>
      </c>
    </row>
    <row r="410" spans="1:19" ht="76.5" hidden="1">
      <c r="A410" t="s">
        <v>92</v>
      </c>
      <c r="B410" t="s">
        <v>1619</v>
      </c>
      <c r="C410" t="s">
        <v>2510</v>
      </c>
      <c r="D410" s="2" t="s">
        <v>1621</v>
      </c>
      <c r="E410">
        <v>9.84</v>
      </c>
      <c r="F410">
        <v>0.2</v>
      </c>
      <c r="G410" t="s">
        <v>79</v>
      </c>
      <c r="H410" t="s">
        <v>81</v>
      </c>
      <c r="I410">
        <v>0</v>
      </c>
      <c r="J410">
        <v>0</v>
      </c>
      <c r="K410" s="5">
        <v>46197.336596828703</v>
      </c>
      <c r="L410" s="5">
        <v>46197.119474340281</v>
      </c>
      <c r="M410" s="2" t="s">
        <v>2511</v>
      </c>
      <c r="N410" s="2" t="s">
        <v>2512</v>
      </c>
      <c r="O410" s="5">
        <v>46197.119760289352</v>
      </c>
      <c r="P410" t="str">
        <f>IF($Q410="DELETE",IF($S410="CONFIRMED: NO MODS &gt; 1YR","CONFIRMED: NO MODS &gt; 1YR","DO NOT DELETE — not defensibly confirmed"),IF($Q410="HOLD","DO NOT DELETE — HOLD (Charlie review)",IF($Q410="KEEP","DO NOT DELETE — KEEP",IF(ISNUMBER(SEARCH("REVIEW",$Q410)),"DO NOT DELETE — REVIEW pending",$S410))))</f>
        <v>CONFIRMED: NO MODS &gt; 1YR</v>
      </c>
      <c r="Q410" t="str" cm="1">
        <f t="array" ref="Q410">_xlfn.IFS(AND($A410="thg-beauty",ISNUMBER(SEARCH("liveramp",$C410))),"DELETE",$A410="agile-bonbon-662",_xlfn.IFS(LEFT($G410,9)="Tranche 1","DELETE",$C410="Sessions_Level_1_All_Sites","KEEP",ISNUMBER(--$C410),"REVIEW — UA raw logs",$C410="Emag_Reporting","KEEP",$C410="Nutrition_Data_Archived_Tables","KEEP",$C410="EU_Data","KEEP",TRUE,"REVIEW"),OR($A410="thg-influencer",$A410="thg-ingenuity",$A410="thg-central-marketing",$A410="thg-seoclarity"),"HOLD",TRUE,"")</f>
        <v/>
      </c>
      <c r="R410" t="str" cm="1">
        <f t="array" ref="R410">_xlfn.IFS(AND($A410="thg-beauty",ISNUMBER(SEARCH("liveramp",$C410))),"thg-beauty Liveramp dataset — confirmed safe to delete",$A410="agile-bonbon-662",_xlfn.IFS(LEFT($G410,9)="Tranche 1","Tranche 1: cleared",$C410="Sessions_Level_1_All_Sites","Downstream aggregation of UA raw logs — keep if raw tables go",ISNUMBER(--$C410),"UA raw site logs (account ID) — keep pending audit-retention check",$C410="Emag_Reporting","Legacy but likely needed",$C410="Nutrition_Data_Archived_Tables","Worth keeping",$C410="EU_Data","Static lookup tables — scripts still reference (smoke-test risk)",TRUE,"Review"),OR($A410="thg-influencer",$A410="thg-ingenuity",$A410="thg-central-marketing",$A410="thg-seoclarity"),"HOLD — Charlie Stringer to review before deletion",TRUE,"")</f>
        <v/>
      </c>
      <c r="S410" t="s">
        <v>1624</v>
      </c>
    </row>
    <row r="411" spans="1:19" ht="76.5" hidden="1">
      <c r="A411" t="s">
        <v>2513</v>
      </c>
      <c r="B411" t="s">
        <v>1619</v>
      </c>
      <c r="C411" t="s">
        <v>2514</v>
      </c>
      <c r="D411" s="2" t="s">
        <v>1621</v>
      </c>
      <c r="E411">
        <v>161.77000000000001</v>
      </c>
      <c r="F411">
        <v>3.24</v>
      </c>
      <c r="G411" t="s">
        <v>79</v>
      </c>
      <c r="H411" t="s">
        <v>81</v>
      </c>
      <c r="I411">
        <v>0</v>
      </c>
      <c r="J411">
        <v>0</v>
      </c>
      <c r="K411" s="5">
        <v>46197.416057997689</v>
      </c>
      <c r="L411" s="5">
        <v>46197.399539861108</v>
      </c>
      <c r="M411" s="2" t="s">
        <v>2515</v>
      </c>
      <c r="N411" s="2" t="s">
        <v>2516</v>
      </c>
      <c r="O411" s="5">
        <v>46197.399559594909</v>
      </c>
      <c r="P411" t="str">
        <f>IF($Q411="DELETE",IF($S411="CONFIRMED: NO MODS &gt; 1YR","CONFIRMED: NO MODS &gt; 1YR","DO NOT DELETE — not defensibly confirmed"),IF($Q411="HOLD","DO NOT DELETE — HOLD (Charlie review)",IF($Q411="KEEP","DO NOT DELETE — KEEP",IF(ISNUMBER(SEARCH("REVIEW",$Q411)),"DO NOT DELETE — REVIEW pending",$S411))))</f>
        <v>CONFIRMED: NO MODS &gt; 1YR</v>
      </c>
      <c r="Q411" t="str" cm="1">
        <f t="array" ref="Q411">_xlfn.IFS(AND($A411="thg-beauty",ISNUMBER(SEARCH("liveramp",$C411))),"DELETE",$A411="agile-bonbon-662",_xlfn.IFS(LEFT($G411,9)="Tranche 1","DELETE",$C411="Sessions_Level_1_All_Sites","KEEP",ISNUMBER(--$C411),"REVIEW — UA raw logs",$C411="Emag_Reporting","KEEP",$C411="Nutrition_Data_Archived_Tables","KEEP",$C411="EU_Data","KEEP",TRUE,"REVIEW"),OR($A411="thg-influencer",$A411="thg-ingenuity",$A411="thg-central-marketing",$A411="thg-seoclarity"),"HOLD",TRUE,"")</f>
        <v/>
      </c>
      <c r="R411" t="str" cm="1">
        <f t="array" ref="R411">_xlfn.IFS(AND($A411="thg-beauty",ISNUMBER(SEARCH("liveramp",$C411))),"thg-beauty Liveramp dataset — confirmed safe to delete",$A411="agile-bonbon-662",_xlfn.IFS(LEFT($G411,9)="Tranche 1","Tranche 1: cleared",$C411="Sessions_Level_1_All_Sites","Downstream aggregation of UA raw logs — keep if raw tables go",ISNUMBER(--$C411),"UA raw site logs (account ID) — keep pending audit-retention check",$C411="Emag_Reporting","Legacy but likely needed",$C411="Nutrition_Data_Archived_Tables","Worth keeping",$C411="EU_Data","Static lookup tables — scripts still reference (smoke-test risk)",TRUE,"Review"),OR($A411="thg-influencer",$A411="thg-ingenuity",$A411="thg-central-marketing",$A411="thg-seoclarity"),"HOLD — Charlie Stringer to review before deletion",TRUE,"")</f>
        <v/>
      </c>
      <c r="S411" t="s">
        <v>1624</v>
      </c>
    </row>
    <row r="412" spans="1:19" ht="76.5" hidden="1">
      <c r="A412" t="s">
        <v>90</v>
      </c>
      <c r="B412" t="s">
        <v>1619</v>
      </c>
      <c r="C412" t="s">
        <v>2517</v>
      </c>
      <c r="D412" s="2" t="s">
        <v>1621</v>
      </c>
      <c r="E412">
        <v>149.07</v>
      </c>
      <c r="F412">
        <v>2.98</v>
      </c>
      <c r="G412" t="s">
        <v>79</v>
      </c>
      <c r="H412" t="s">
        <v>81</v>
      </c>
      <c r="I412">
        <v>0</v>
      </c>
      <c r="J412">
        <v>0</v>
      </c>
      <c r="K412" s="5">
        <v>46183.464690300927</v>
      </c>
      <c r="L412" s="5">
        <v>46197.250360312501</v>
      </c>
      <c r="M412" s="2" t="s">
        <v>2518</v>
      </c>
      <c r="N412" s="2" t="s">
        <v>2471</v>
      </c>
      <c r="O412" s="5">
        <v>46197.250392916663</v>
      </c>
      <c r="P412" t="str">
        <f>IF($Q412="DELETE",IF($S412="CONFIRMED: NO MODS &gt; 1YR","CONFIRMED: NO MODS &gt; 1YR","DO NOT DELETE — not defensibly confirmed"),IF($Q412="HOLD","DO NOT DELETE — HOLD (Charlie review)",IF($Q412="KEEP","DO NOT DELETE — KEEP",IF(ISNUMBER(SEARCH("REVIEW",$Q412)),"DO NOT DELETE — REVIEW pending",$S412))))</f>
        <v>CONFIRMED: NO MODS &gt; 1YR</v>
      </c>
      <c r="Q412" t="str" cm="1">
        <f t="array" ref="Q412">_xlfn.IFS(AND($A412="thg-beauty",ISNUMBER(SEARCH("liveramp",$C412))),"DELETE",$A412="agile-bonbon-662",_xlfn.IFS(LEFT($G412,9)="Tranche 1","DELETE",$C412="Sessions_Level_1_All_Sites","KEEP",ISNUMBER(--$C412),"REVIEW — UA raw logs",$C412="Emag_Reporting","KEEP",$C412="Nutrition_Data_Archived_Tables","KEEP",$C412="EU_Data","KEEP",TRUE,"REVIEW"),OR($A412="thg-influencer",$A412="thg-ingenuity",$A412="thg-central-marketing",$A412="thg-seoclarity"),"HOLD",TRUE,"")</f>
        <v/>
      </c>
      <c r="R412" t="str" cm="1">
        <f t="array" ref="R412">_xlfn.IFS(AND($A412="thg-beauty",ISNUMBER(SEARCH("liveramp",$C412))),"thg-beauty Liveramp dataset — confirmed safe to delete",$A412="agile-bonbon-662",_xlfn.IFS(LEFT($G412,9)="Tranche 1","Tranche 1: cleared",$C412="Sessions_Level_1_All_Sites","Downstream aggregation of UA raw logs — keep if raw tables go",ISNUMBER(--$C412),"UA raw site logs (account ID) — keep pending audit-retention check",$C412="Emag_Reporting","Legacy but likely needed",$C412="Nutrition_Data_Archived_Tables","Worth keeping",$C412="EU_Data","Static lookup tables — scripts still reference (smoke-test risk)",TRUE,"Review"),OR($A412="thg-influencer",$A412="thg-ingenuity",$A412="thg-central-marketing",$A412="thg-seoclarity"),"HOLD — Charlie Stringer to review before deletion",TRUE,"")</f>
        <v/>
      </c>
      <c r="S412" t="s">
        <v>1624</v>
      </c>
    </row>
    <row r="413" spans="1:19" ht="76.5" hidden="1">
      <c r="A413" t="s">
        <v>89</v>
      </c>
      <c r="B413" t="s">
        <v>1619</v>
      </c>
      <c r="C413" t="s">
        <v>2519</v>
      </c>
      <c r="D413" s="2" t="s">
        <v>1621</v>
      </c>
      <c r="E413">
        <v>149</v>
      </c>
      <c r="F413">
        <v>2.98</v>
      </c>
      <c r="G413" t="s">
        <v>79</v>
      </c>
      <c r="H413" t="s">
        <v>81</v>
      </c>
      <c r="I413">
        <v>0</v>
      </c>
      <c r="J413">
        <v>0</v>
      </c>
      <c r="K413" s="5">
        <v>46197.421314571759</v>
      </c>
      <c r="L413" s="5">
        <v>46197.386716597219</v>
      </c>
      <c r="M413" s="2" t="s">
        <v>2520</v>
      </c>
      <c r="N413" s="2" t="s">
        <v>2521</v>
      </c>
      <c r="O413" s="5">
        <v>46197.386805439812</v>
      </c>
      <c r="P413" t="str">
        <f>IF($Q413="DELETE",IF($S413="CONFIRMED: NO MODS &gt; 1YR","CONFIRMED: NO MODS &gt; 1YR","DO NOT DELETE — not defensibly confirmed"),IF($Q413="HOLD","DO NOT DELETE — HOLD (Charlie review)",IF($Q413="KEEP","DO NOT DELETE — KEEP",IF(ISNUMBER(SEARCH("REVIEW",$Q413)),"DO NOT DELETE — REVIEW pending",$S413))))</f>
        <v>DO NOT DELETE — REVIEW pending</v>
      </c>
      <c r="Q413" t="str" cm="1">
        <f t="array" ref="Q413">_xlfn.IFS(AND($A413="thg-beauty",ISNUMBER(SEARCH("liveramp",$C413))),"DELETE",$A413="agile-bonbon-662",_xlfn.IFS(LEFT($G413,9)="Tranche 1","DELETE",$C413="Sessions_Level_1_All_Sites","KEEP",ISNUMBER(--$C413),"REVIEW — UA raw logs",$C413="Emag_Reporting","KEEP",$C413="Nutrition_Data_Archived_Tables","KEEP",$C413="EU_Data","KEEP",TRUE,"REVIEW"),OR($A413="thg-influencer",$A413="thg-ingenuity",$A413="thg-central-marketing",$A413="thg-seoclarity"),"HOLD",TRUE,"")</f>
        <v>REVIEW</v>
      </c>
      <c r="R413" t="str" cm="1">
        <f t="array" ref="R413">_xlfn.IFS(AND($A413="thg-beauty",ISNUMBER(SEARCH("liveramp",$C413))),"thg-beauty Liveramp dataset — confirmed safe to delete",$A413="agile-bonbon-662",_xlfn.IFS(LEFT($G413,9)="Tranche 1","Tranche 1: cleared",$C413="Sessions_Level_1_All_Sites","Downstream aggregation of UA raw logs — keep if raw tables go",ISNUMBER(--$C413),"UA raw site logs (account ID) — keep pending audit-retention check",$C413="Emag_Reporting","Legacy but likely needed",$C413="Nutrition_Data_Archived_Tables","Worth keeping",$C413="EU_Data","Static lookup tables — scripts still reference (smoke-test risk)",TRUE,"Review"),OR($A413="thg-influencer",$A413="thg-ingenuity",$A413="thg-central-marketing",$A413="thg-seoclarity"),"HOLD — Charlie Stringer to review before deletion",TRUE,"")</f>
        <v>Review</v>
      </c>
      <c r="S413" t="s">
        <v>1624</v>
      </c>
    </row>
    <row r="414" spans="1:19" ht="76.5" hidden="1">
      <c r="A414" t="s">
        <v>92</v>
      </c>
      <c r="B414" t="s">
        <v>1619</v>
      </c>
      <c r="C414" t="s">
        <v>2522</v>
      </c>
      <c r="D414" s="2" t="s">
        <v>1621</v>
      </c>
      <c r="E414">
        <v>9.3699999999999992</v>
      </c>
      <c r="F414">
        <v>0.19</v>
      </c>
      <c r="G414" t="s">
        <v>79</v>
      </c>
      <c r="H414" t="s">
        <v>81</v>
      </c>
      <c r="I414">
        <v>92</v>
      </c>
      <c r="J414">
        <v>92</v>
      </c>
      <c r="K414" s="5">
        <v>46105.375896851852</v>
      </c>
      <c r="L414" s="5">
        <v>46105.375896851852</v>
      </c>
      <c r="M414" s="2" t="s">
        <v>2523</v>
      </c>
      <c r="N414" s="2" t="s">
        <v>2523</v>
      </c>
      <c r="O414" s="5">
        <v>46105.37592233796</v>
      </c>
      <c r="P414" t="str">
        <f>IF($Q414="DELETE",IF($S414="CONFIRMED: NO MODS &gt; 1YR","CONFIRMED: NO MODS &gt; 1YR","DO NOT DELETE — not defensibly confirmed"),IF($Q414="HOLD","DO NOT DELETE — HOLD (Charlie review)",IF($Q414="KEEP","DO NOT DELETE — KEEP",IF(ISNUMBER(SEARCH("REVIEW",$Q414)),"DO NOT DELETE — REVIEW pending",$S414))))</f>
        <v>CONFIRMED: NO MODS &gt; 1YR</v>
      </c>
      <c r="Q414" t="str" cm="1">
        <f t="array" ref="Q414">_xlfn.IFS(AND($A414="thg-beauty",ISNUMBER(SEARCH("liveramp",$C414))),"DELETE",$A414="agile-bonbon-662",_xlfn.IFS(LEFT($G414,9)="Tranche 1","DELETE",$C414="Sessions_Level_1_All_Sites","KEEP",ISNUMBER(--$C414),"REVIEW — UA raw logs",$C414="Emag_Reporting","KEEP",$C414="Nutrition_Data_Archived_Tables","KEEP",$C414="EU_Data","KEEP",TRUE,"REVIEW"),OR($A414="thg-influencer",$A414="thg-ingenuity",$A414="thg-central-marketing",$A414="thg-seoclarity"),"HOLD",TRUE,"")</f>
        <v/>
      </c>
      <c r="R414" t="str" cm="1">
        <f t="array" ref="R414">_xlfn.IFS(AND($A414="thg-beauty",ISNUMBER(SEARCH("liveramp",$C414))),"thg-beauty Liveramp dataset — confirmed safe to delete",$A414="agile-bonbon-662",_xlfn.IFS(LEFT($G414,9)="Tranche 1","Tranche 1: cleared",$C414="Sessions_Level_1_All_Sites","Downstream aggregation of UA raw logs — keep if raw tables go",ISNUMBER(--$C414),"UA raw site logs (account ID) — keep pending audit-retention check",$C414="Emag_Reporting","Legacy but likely needed",$C414="Nutrition_Data_Archived_Tables","Worth keeping",$C414="EU_Data","Static lookup tables — scripts still reference (smoke-test risk)",TRUE,"Review"),OR($A414="thg-influencer",$A414="thg-ingenuity",$A414="thg-central-marketing",$A414="thg-seoclarity"),"HOLD — Charlie Stringer to review before deletion",TRUE,"")</f>
        <v/>
      </c>
      <c r="S414" t="s">
        <v>1624</v>
      </c>
    </row>
    <row r="415" spans="1:19" ht="76.5" hidden="1">
      <c r="A415" t="s">
        <v>89</v>
      </c>
      <c r="B415" t="s">
        <v>1619</v>
      </c>
      <c r="C415" t="s">
        <v>2524</v>
      </c>
      <c r="D415" s="2" t="s">
        <v>1621</v>
      </c>
      <c r="E415">
        <v>138.5</v>
      </c>
      <c r="F415">
        <v>2.77</v>
      </c>
      <c r="G415" t="s">
        <v>79</v>
      </c>
      <c r="H415" t="s">
        <v>81</v>
      </c>
      <c r="I415">
        <v>0</v>
      </c>
      <c r="J415">
        <v>0</v>
      </c>
      <c r="K415" s="5">
        <v>46197.23251623843</v>
      </c>
      <c r="L415" s="5">
        <v>46197.014244942133</v>
      </c>
      <c r="M415" s="2" t="s">
        <v>2525</v>
      </c>
      <c r="N415" s="2" t="s">
        <v>2526</v>
      </c>
      <c r="O415" s="5">
        <v>46197.014856643516</v>
      </c>
      <c r="P415" t="str">
        <f>IF($Q415="DELETE",IF($S415="CONFIRMED: NO MODS &gt; 1YR","CONFIRMED: NO MODS &gt; 1YR","DO NOT DELETE — not defensibly confirmed"),IF($Q415="HOLD","DO NOT DELETE — HOLD (Charlie review)",IF($Q415="KEEP","DO NOT DELETE — KEEP",IF(ISNUMBER(SEARCH("REVIEW",$Q415)),"DO NOT DELETE — REVIEW pending",$S415))))</f>
        <v>DO NOT DELETE — REVIEW pending</v>
      </c>
      <c r="Q415" t="str" cm="1">
        <f t="array" ref="Q415">_xlfn.IFS(AND($A415="thg-beauty",ISNUMBER(SEARCH("liveramp",$C415))),"DELETE",$A415="agile-bonbon-662",_xlfn.IFS(LEFT($G415,9)="Tranche 1","DELETE",$C415="Sessions_Level_1_All_Sites","KEEP",ISNUMBER(--$C415),"REVIEW — UA raw logs",$C415="Emag_Reporting","KEEP",$C415="Nutrition_Data_Archived_Tables","KEEP",$C415="EU_Data","KEEP",TRUE,"REVIEW"),OR($A415="thg-influencer",$A415="thg-ingenuity",$A415="thg-central-marketing",$A415="thg-seoclarity"),"HOLD",TRUE,"")</f>
        <v>REVIEW</v>
      </c>
      <c r="R415" t="str" cm="1">
        <f t="array" ref="R415">_xlfn.IFS(AND($A415="thg-beauty",ISNUMBER(SEARCH("liveramp",$C415))),"thg-beauty Liveramp dataset — confirmed safe to delete",$A415="agile-bonbon-662",_xlfn.IFS(LEFT($G415,9)="Tranche 1","Tranche 1: cleared",$C415="Sessions_Level_1_All_Sites","Downstream aggregation of UA raw logs — keep if raw tables go",ISNUMBER(--$C415),"UA raw site logs (account ID) — keep pending audit-retention check",$C415="Emag_Reporting","Legacy but likely needed",$C415="Nutrition_Data_Archived_Tables","Worth keeping",$C415="EU_Data","Static lookup tables — scripts still reference (smoke-test risk)",TRUE,"Review"),OR($A415="thg-influencer",$A415="thg-ingenuity",$A415="thg-central-marketing",$A415="thg-seoclarity"),"HOLD — Charlie Stringer to review before deletion",TRUE,"")</f>
        <v>Review</v>
      </c>
      <c r="S415" t="s">
        <v>1624</v>
      </c>
    </row>
    <row r="416" spans="1:19" ht="76.5" hidden="1">
      <c r="A416" t="s">
        <v>89</v>
      </c>
      <c r="B416" t="s">
        <v>1619</v>
      </c>
      <c r="C416" t="s">
        <v>2527</v>
      </c>
      <c r="D416" s="2" t="s">
        <v>1621</v>
      </c>
      <c r="E416">
        <v>135.57</v>
      </c>
      <c r="F416">
        <v>2.71</v>
      </c>
      <c r="G416" t="s">
        <v>79</v>
      </c>
      <c r="H416" t="s">
        <v>81</v>
      </c>
      <c r="I416">
        <v>0</v>
      </c>
      <c r="J416">
        <v>0</v>
      </c>
      <c r="K416" s="5">
        <v>46197.420997187503</v>
      </c>
      <c r="L416" s="5">
        <v>46197.350104074067</v>
      </c>
      <c r="M416" s="2" t="s">
        <v>2528</v>
      </c>
      <c r="N416" s="2" t="s">
        <v>2529</v>
      </c>
      <c r="O416" s="5">
        <v>46197.430364409724</v>
      </c>
      <c r="P416" t="str">
        <f>IF($Q416="DELETE",IF($S416="CONFIRMED: NO MODS &gt; 1YR","CONFIRMED: NO MODS &gt; 1YR","DO NOT DELETE — not defensibly confirmed"),IF($Q416="HOLD","DO NOT DELETE — HOLD (Charlie review)",IF($Q416="KEEP","DO NOT DELETE — KEEP",IF(ISNUMBER(SEARCH("REVIEW",$Q416)),"DO NOT DELETE — REVIEW pending",$S416))))</f>
        <v>DO NOT DELETE — REVIEW pending</v>
      </c>
      <c r="Q416" t="str" cm="1">
        <f t="array" ref="Q416">_xlfn.IFS(AND($A416="thg-beauty",ISNUMBER(SEARCH("liveramp",$C416))),"DELETE",$A416="agile-bonbon-662",_xlfn.IFS(LEFT($G416,9)="Tranche 1","DELETE",$C416="Sessions_Level_1_All_Sites","KEEP",ISNUMBER(--$C416),"REVIEW — UA raw logs",$C416="Emag_Reporting","KEEP",$C416="Nutrition_Data_Archived_Tables","KEEP",$C416="EU_Data","KEEP",TRUE,"REVIEW"),OR($A416="thg-influencer",$A416="thg-ingenuity",$A416="thg-central-marketing",$A416="thg-seoclarity"),"HOLD",TRUE,"")</f>
        <v>REVIEW</v>
      </c>
      <c r="R416" t="str" cm="1">
        <f t="array" ref="R416">_xlfn.IFS(AND($A416="thg-beauty",ISNUMBER(SEARCH("liveramp",$C416))),"thg-beauty Liveramp dataset — confirmed safe to delete",$A416="agile-bonbon-662",_xlfn.IFS(LEFT($G416,9)="Tranche 1","Tranche 1: cleared",$C416="Sessions_Level_1_All_Sites","Downstream aggregation of UA raw logs — keep if raw tables go",ISNUMBER(--$C416),"UA raw site logs (account ID) — keep pending audit-retention check",$C416="Emag_Reporting","Legacy but likely needed",$C416="Nutrition_Data_Archived_Tables","Worth keeping",$C416="EU_Data","Static lookup tables — scripts still reference (smoke-test risk)",TRUE,"Review"),OR($A416="thg-influencer",$A416="thg-ingenuity",$A416="thg-central-marketing",$A416="thg-seoclarity"),"HOLD — Charlie Stringer to review before deletion",TRUE,"")</f>
        <v>Review</v>
      </c>
      <c r="S416" t="s">
        <v>1624</v>
      </c>
    </row>
    <row r="417" spans="1:19" ht="76.5" hidden="1">
      <c r="A417" t="s">
        <v>92</v>
      </c>
      <c r="B417" t="s">
        <v>1619</v>
      </c>
      <c r="C417" t="s">
        <v>2530</v>
      </c>
      <c r="D417" s="2" t="s">
        <v>1621</v>
      </c>
      <c r="E417">
        <v>9.24</v>
      </c>
      <c r="F417">
        <v>0.18</v>
      </c>
      <c r="G417" t="s">
        <v>79</v>
      </c>
      <c r="H417" t="s">
        <v>81</v>
      </c>
      <c r="I417">
        <v>0</v>
      </c>
      <c r="J417">
        <v>0</v>
      </c>
      <c r="K417" s="5">
        <v>46197.281726527777</v>
      </c>
      <c r="L417" s="5">
        <v>46197.28166335648</v>
      </c>
      <c r="M417" s="2" t="s">
        <v>2531</v>
      </c>
      <c r="N417" s="2" t="s">
        <v>2531</v>
      </c>
      <c r="O417" s="5">
        <v>46197.281721863423</v>
      </c>
      <c r="P417" t="str">
        <f>IF($Q417="DELETE",IF($S417="CONFIRMED: NO MODS &gt; 1YR","CONFIRMED: NO MODS &gt; 1YR","DO NOT DELETE — not defensibly confirmed"),IF($Q417="HOLD","DO NOT DELETE — HOLD (Charlie review)",IF($Q417="KEEP","DO NOT DELETE — KEEP",IF(ISNUMBER(SEARCH("REVIEW",$Q417)),"DO NOT DELETE — REVIEW pending",$S417))))</f>
        <v>CONFIRMED: NO MODS &gt; 1YR</v>
      </c>
      <c r="Q417" t="str" cm="1">
        <f t="array" ref="Q417">_xlfn.IFS(AND($A417="thg-beauty",ISNUMBER(SEARCH("liveramp",$C417))),"DELETE",$A417="agile-bonbon-662",_xlfn.IFS(LEFT($G417,9)="Tranche 1","DELETE",$C417="Sessions_Level_1_All_Sites","KEEP",ISNUMBER(--$C417),"REVIEW — UA raw logs",$C417="Emag_Reporting","KEEP",$C417="Nutrition_Data_Archived_Tables","KEEP",$C417="EU_Data","KEEP",TRUE,"REVIEW"),OR($A417="thg-influencer",$A417="thg-ingenuity",$A417="thg-central-marketing",$A417="thg-seoclarity"),"HOLD",TRUE,"")</f>
        <v/>
      </c>
      <c r="R417" t="str" cm="1">
        <f t="array" ref="R417">_xlfn.IFS(AND($A417="thg-beauty",ISNUMBER(SEARCH("liveramp",$C417))),"thg-beauty Liveramp dataset — confirmed safe to delete",$A417="agile-bonbon-662",_xlfn.IFS(LEFT($G417,9)="Tranche 1","Tranche 1: cleared",$C417="Sessions_Level_1_All_Sites","Downstream aggregation of UA raw logs — keep if raw tables go",ISNUMBER(--$C417),"UA raw site logs (account ID) — keep pending audit-retention check",$C417="Emag_Reporting","Legacy but likely needed",$C417="Nutrition_Data_Archived_Tables","Worth keeping",$C417="EU_Data","Static lookup tables — scripts still reference (smoke-test risk)",TRUE,"Review"),OR($A417="thg-influencer",$A417="thg-ingenuity",$A417="thg-central-marketing",$A417="thg-seoclarity"),"HOLD — Charlie Stringer to review before deletion",TRUE,"")</f>
        <v/>
      </c>
      <c r="S417" t="s">
        <v>1624</v>
      </c>
    </row>
    <row r="418" spans="1:19" ht="76.5" hidden="1">
      <c r="A418" t="s">
        <v>89</v>
      </c>
      <c r="B418" t="s">
        <v>1619</v>
      </c>
      <c r="C418" t="s">
        <v>2532</v>
      </c>
      <c r="D418" s="2" t="s">
        <v>2533</v>
      </c>
      <c r="E418">
        <v>121.02</v>
      </c>
      <c r="F418">
        <v>2.42</v>
      </c>
      <c r="G418" t="s">
        <v>79</v>
      </c>
      <c r="H418" t="s">
        <v>81</v>
      </c>
      <c r="I418">
        <v>0</v>
      </c>
      <c r="J418">
        <v>362</v>
      </c>
      <c r="K418" s="5">
        <v>46197.211498750003</v>
      </c>
      <c r="M418" s="2" t="s">
        <v>2534</v>
      </c>
      <c r="N418" s="2" t="s">
        <v>1701</v>
      </c>
      <c r="O418" s="5">
        <v>45834.541746724542</v>
      </c>
      <c r="P418" t="str">
        <f>IF($Q418="DELETE",IF($S418="CONFIRMED: NO MODS &gt; 1YR","CONFIRMED: NO MODS &gt; 1YR","DO NOT DELETE — not defensibly confirmed"),IF($Q418="HOLD","DO NOT DELETE — HOLD (Charlie review)",IF($Q418="KEEP","DO NOT DELETE — KEEP",IF(ISNUMBER(SEARCH("REVIEW",$Q418)),"DO NOT DELETE — REVIEW pending",$S418))))</f>
        <v>DO NOT DELETE — REVIEW pending</v>
      </c>
      <c r="Q418" t="str" cm="1">
        <f t="array" ref="Q418">_xlfn.IFS(AND($A418="thg-beauty",ISNUMBER(SEARCH("liveramp",$C418))),"DELETE",$A418="agile-bonbon-662",_xlfn.IFS(LEFT($G418,9)="Tranche 1","DELETE",$C418="Sessions_Level_1_All_Sites","KEEP",ISNUMBER(--$C418),"REVIEW — UA raw logs",$C418="Emag_Reporting","KEEP",$C418="Nutrition_Data_Archived_Tables","KEEP",$C418="EU_Data","KEEP",TRUE,"REVIEW"),OR($A418="thg-influencer",$A418="thg-ingenuity",$A418="thg-central-marketing",$A418="thg-seoclarity"),"HOLD",TRUE,"")</f>
        <v>REVIEW</v>
      </c>
      <c r="R418" t="str" cm="1">
        <f t="array" ref="R418">_xlfn.IFS(AND($A418="thg-beauty",ISNUMBER(SEARCH("liveramp",$C418))),"thg-beauty Liveramp dataset — confirmed safe to delete",$A418="agile-bonbon-662",_xlfn.IFS(LEFT($G418,9)="Tranche 1","Tranche 1: cleared",$C418="Sessions_Level_1_All_Sites","Downstream aggregation of UA raw logs — keep if raw tables go",ISNUMBER(--$C418),"UA raw site logs (account ID) — keep pending audit-retention check",$C418="Emag_Reporting","Legacy but likely needed",$C418="Nutrition_Data_Archived_Tables","Worth keeping",$C418="EU_Data","Static lookup tables — scripts still reference (smoke-test risk)",TRUE,"Review"),OR($A418="thg-influencer",$A418="thg-ingenuity",$A418="thg-central-marketing",$A418="thg-seoclarity"),"HOLD — Charlie Stringer to review before deletion",TRUE,"")</f>
        <v>Review</v>
      </c>
      <c r="S418" t="s">
        <v>1624</v>
      </c>
    </row>
    <row r="419" spans="1:19" ht="76.5" hidden="1">
      <c r="A419" t="s">
        <v>89</v>
      </c>
      <c r="B419" t="s">
        <v>1619</v>
      </c>
      <c r="C419" t="s">
        <v>2535</v>
      </c>
      <c r="D419" s="2" t="s">
        <v>1621</v>
      </c>
      <c r="E419">
        <v>118.45</v>
      </c>
      <c r="F419">
        <v>2.37</v>
      </c>
      <c r="G419" t="s">
        <v>79</v>
      </c>
      <c r="H419" t="s">
        <v>81</v>
      </c>
      <c r="I419">
        <v>0</v>
      </c>
      <c r="J419">
        <v>0</v>
      </c>
      <c r="K419" s="5">
        <v>46197.453503993063</v>
      </c>
      <c r="L419" s="5">
        <v>46197.453503993063</v>
      </c>
      <c r="M419" s="2" t="s">
        <v>2536</v>
      </c>
      <c r="N419" s="2" t="s">
        <v>2537</v>
      </c>
      <c r="O419" s="5">
        <v>46197.453559120368</v>
      </c>
      <c r="P419" t="str">
        <f>IF($Q419="DELETE",IF($S419="CONFIRMED: NO MODS &gt; 1YR","CONFIRMED: NO MODS &gt; 1YR","DO NOT DELETE — not defensibly confirmed"),IF($Q419="HOLD","DO NOT DELETE — HOLD (Charlie review)",IF($Q419="KEEP","DO NOT DELETE — KEEP",IF(ISNUMBER(SEARCH("REVIEW",$Q419)),"DO NOT DELETE — REVIEW pending",$S419))))</f>
        <v>DO NOT DELETE — REVIEW pending</v>
      </c>
      <c r="Q419" t="str" cm="1">
        <f t="array" ref="Q419">_xlfn.IFS(AND($A419="thg-beauty",ISNUMBER(SEARCH("liveramp",$C419))),"DELETE",$A419="agile-bonbon-662",_xlfn.IFS(LEFT($G419,9)="Tranche 1","DELETE",$C419="Sessions_Level_1_All_Sites","KEEP",ISNUMBER(--$C419),"REVIEW — UA raw logs",$C419="Emag_Reporting","KEEP",$C419="Nutrition_Data_Archived_Tables","KEEP",$C419="EU_Data","KEEP",TRUE,"REVIEW"),OR($A419="thg-influencer",$A419="thg-ingenuity",$A419="thg-central-marketing",$A419="thg-seoclarity"),"HOLD",TRUE,"")</f>
        <v>REVIEW</v>
      </c>
      <c r="R419" t="str" cm="1">
        <f t="array" ref="R419">_xlfn.IFS(AND($A419="thg-beauty",ISNUMBER(SEARCH("liveramp",$C419))),"thg-beauty Liveramp dataset — confirmed safe to delete",$A419="agile-bonbon-662",_xlfn.IFS(LEFT($G419,9)="Tranche 1","Tranche 1: cleared",$C419="Sessions_Level_1_All_Sites","Downstream aggregation of UA raw logs — keep if raw tables go",ISNUMBER(--$C419),"UA raw site logs (account ID) — keep pending audit-retention check",$C419="Emag_Reporting","Legacy but likely needed",$C419="Nutrition_Data_Archived_Tables","Worth keeping",$C419="EU_Data","Static lookup tables — scripts still reference (smoke-test risk)",TRUE,"Review"),OR($A419="thg-influencer",$A419="thg-ingenuity",$A419="thg-central-marketing",$A419="thg-seoclarity"),"HOLD — Charlie Stringer to review before deletion",TRUE,"")</f>
        <v>Review</v>
      </c>
      <c r="S419" t="s">
        <v>1624</v>
      </c>
    </row>
    <row r="420" spans="1:19" ht="76.5" hidden="1">
      <c r="A420" t="s">
        <v>35</v>
      </c>
      <c r="B420" t="s">
        <v>1619</v>
      </c>
      <c r="C420" t="s">
        <v>2538</v>
      </c>
      <c r="D420" s="2" t="s">
        <v>1621</v>
      </c>
      <c r="E420">
        <v>118.25</v>
      </c>
      <c r="F420">
        <v>2.37</v>
      </c>
      <c r="G420" t="s">
        <v>79</v>
      </c>
      <c r="H420" t="s">
        <v>81</v>
      </c>
      <c r="I420">
        <v>0</v>
      </c>
      <c r="J420">
        <v>0</v>
      </c>
      <c r="K420" s="5">
        <v>46197.446039328701</v>
      </c>
      <c r="L420" s="5">
        <v>46197.418155347223</v>
      </c>
      <c r="M420" s="2" t="s">
        <v>2539</v>
      </c>
      <c r="N420" s="2" t="s">
        <v>2540</v>
      </c>
      <c r="O420" s="5">
        <v>46197.418180810193</v>
      </c>
      <c r="P420" t="str">
        <f>IF($Q420="DELETE",IF($S420="CONFIRMED: NO MODS &gt; 1YR","CONFIRMED: NO MODS &gt; 1YR","DO NOT DELETE — not defensibly confirmed"),IF($Q420="HOLD","DO NOT DELETE — HOLD (Charlie review)",IF($Q420="KEEP","DO NOT DELETE — KEEP",IF(ISNUMBER(SEARCH("REVIEW",$Q420)),"DO NOT DELETE — REVIEW pending",$S420))))</f>
        <v>DO NOT DELETE — HOLD (Charlie review)</v>
      </c>
      <c r="Q420" t="str" cm="1">
        <f t="array" ref="Q420">_xlfn.IFS(AND($A420="thg-beauty",ISNUMBER(SEARCH("liveramp",$C420))),"DELETE",$A420="agile-bonbon-662",_xlfn.IFS(LEFT($G420,9)="Tranche 1","DELETE",$C420="Sessions_Level_1_All_Sites","KEEP",ISNUMBER(--$C420),"REVIEW — UA raw logs",$C420="Emag_Reporting","KEEP",$C420="Nutrition_Data_Archived_Tables","KEEP",$C420="EU_Data","KEEP",TRUE,"REVIEW"),OR($A420="thg-influencer",$A420="thg-ingenuity",$A420="thg-central-marketing",$A420="thg-seoclarity"),"HOLD",TRUE,"")</f>
        <v>HOLD</v>
      </c>
      <c r="R420" t="str" cm="1">
        <f t="array" ref="R420">_xlfn.IFS(AND($A420="thg-beauty",ISNUMBER(SEARCH("liveramp",$C420))),"thg-beauty Liveramp dataset — confirmed safe to delete",$A420="agile-bonbon-662",_xlfn.IFS(LEFT($G420,9)="Tranche 1","Tranche 1: cleared",$C420="Sessions_Level_1_All_Sites","Downstream aggregation of UA raw logs — keep if raw tables go",ISNUMBER(--$C420),"UA raw site logs (account ID) — keep pending audit-retention check",$C420="Emag_Reporting","Legacy but likely needed",$C420="Nutrition_Data_Archived_Tables","Worth keeping",$C420="EU_Data","Static lookup tables — scripts still reference (smoke-test risk)",TRUE,"Review"),OR($A420="thg-influencer",$A420="thg-ingenuity",$A420="thg-central-marketing",$A420="thg-seoclarity"),"HOLD — Charlie Stringer to review before deletion",TRUE,"")</f>
        <v>HOLD — Charlie Stringer to review before deletion</v>
      </c>
      <c r="S420" t="s">
        <v>1624</v>
      </c>
    </row>
    <row r="421" spans="1:19" ht="76.5" hidden="1">
      <c r="A421" t="s">
        <v>38</v>
      </c>
      <c r="B421" t="s">
        <v>1619</v>
      </c>
      <c r="C421" t="s">
        <v>2541</v>
      </c>
      <c r="D421" s="2" t="s">
        <v>1621</v>
      </c>
      <c r="E421">
        <v>113.92</v>
      </c>
      <c r="F421">
        <v>2.2799999999999998</v>
      </c>
      <c r="G421" t="s">
        <v>79</v>
      </c>
      <c r="H421" t="s">
        <v>81</v>
      </c>
      <c r="I421">
        <v>0</v>
      </c>
      <c r="J421">
        <v>0</v>
      </c>
      <c r="K421" s="5">
        <v>46197.271330474527</v>
      </c>
      <c r="L421" s="5">
        <v>46197.185796134261</v>
      </c>
      <c r="M421" s="2" t="s">
        <v>2542</v>
      </c>
      <c r="N421" s="2" t="s">
        <v>2543</v>
      </c>
      <c r="O421" s="5">
        <v>46197.185973263891</v>
      </c>
      <c r="P421" t="str">
        <f>IF($Q421="DELETE",IF($S421="CONFIRMED: NO MODS &gt; 1YR","CONFIRMED: NO MODS &gt; 1YR","DO NOT DELETE — not defensibly confirmed"),IF($Q421="HOLD","DO NOT DELETE — HOLD (Charlie review)",IF($Q421="KEEP","DO NOT DELETE — KEEP",IF(ISNUMBER(SEARCH("REVIEW",$Q421)),"DO NOT DELETE — REVIEW pending",$S421))))</f>
        <v>DO NOT DELETE — HOLD (Charlie review)</v>
      </c>
      <c r="Q421" t="str" cm="1">
        <f t="array" ref="Q421">_xlfn.IFS(AND($A421="thg-beauty",ISNUMBER(SEARCH("liveramp",$C421))),"DELETE",$A421="agile-bonbon-662",_xlfn.IFS(LEFT($G421,9)="Tranche 1","DELETE",$C421="Sessions_Level_1_All_Sites","KEEP",ISNUMBER(--$C421),"REVIEW — UA raw logs",$C421="Emag_Reporting","KEEP",$C421="Nutrition_Data_Archived_Tables","KEEP",$C421="EU_Data","KEEP",TRUE,"REVIEW"),OR($A421="thg-influencer",$A421="thg-ingenuity",$A421="thg-central-marketing",$A421="thg-seoclarity"),"HOLD",TRUE,"")</f>
        <v>HOLD</v>
      </c>
      <c r="R421" t="str" cm="1">
        <f t="array" ref="R421">_xlfn.IFS(AND($A421="thg-beauty",ISNUMBER(SEARCH("liveramp",$C421))),"thg-beauty Liveramp dataset — confirmed safe to delete",$A421="agile-bonbon-662",_xlfn.IFS(LEFT($G421,9)="Tranche 1","Tranche 1: cleared",$C421="Sessions_Level_1_All_Sites","Downstream aggregation of UA raw logs — keep if raw tables go",ISNUMBER(--$C421),"UA raw site logs (account ID) — keep pending audit-retention check",$C421="Emag_Reporting","Legacy but likely needed",$C421="Nutrition_Data_Archived_Tables","Worth keeping",$C421="EU_Data","Static lookup tables — scripts still reference (smoke-test risk)",TRUE,"Review"),OR($A421="thg-influencer",$A421="thg-ingenuity",$A421="thg-central-marketing",$A421="thg-seoclarity"),"HOLD — Charlie Stringer to review before deletion",TRUE,"")</f>
        <v>HOLD — Charlie Stringer to review before deletion</v>
      </c>
      <c r="S421" t="s">
        <v>1624</v>
      </c>
    </row>
    <row r="422" spans="1:19" ht="76.5" hidden="1">
      <c r="A422" t="s">
        <v>35</v>
      </c>
      <c r="B422" t="s">
        <v>1619</v>
      </c>
      <c r="C422" t="s">
        <v>2544</v>
      </c>
      <c r="D422" s="2" t="s">
        <v>1621</v>
      </c>
      <c r="E422">
        <v>102.68</v>
      </c>
      <c r="F422">
        <v>2.0499999999999998</v>
      </c>
      <c r="G422" t="s">
        <v>79</v>
      </c>
      <c r="H422" t="s">
        <v>81</v>
      </c>
      <c r="I422">
        <v>0</v>
      </c>
      <c r="J422">
        <v>0</v>
      </c>
      <c r="K422" s="5">
        <v>46197.445732037027</v>
      </c>
      <c r="L422" s="5">
        <v>46197.444785798609</v>
      </c>
      <c r="M422" s="2" t="s">
        <v>2545</v>
      </c>
      <c r="N422" s="2" t="s">
        <v>2546</v>
      </c>
      <c r="O422" s="5">
        <v>46197.445103877311</v>
      </c>
      <c r="P422" t="str">
        <f>IF($Q422="DELETE",IF($S422="CONFIRMED: NO MODS &gt; 1YR","CONFIRMED: NO MODS &gt; 1YR","DO NOT DELETE — not defensibly confirmed"),IF($Q422="HOLD","DO NOT DELETE — HOLD (Charlie review)",IF($Q422="KEEP","DO NOT DELETE — KEEP",IF(ISNUMBER(SEARCH("REVIEW",$Q422)),"DO NOT DELETE — REVIEW pending",$S422))))</f>
        <v>DO NOT DELETE — HOLD (Charlie review)</v>
      </c>
      <c r="Q422" t="str" cm="1">
        <f t="array" ref="Q422">_xlfn.IFS(AND($A422="thg-beauty",ISNUMBER(SEARCH("liveramp",$C422))),"DELETE",$A422="agile-bonbon-662",_xlfn.IFS(LEFT($G422,9)="Tranche 1","DELETE",$C422="Sessions_Level_1_All_Sites","KEEP",ISNUMBER(--$C422),"REVIEW — UA raw logs",$C422="Emag_Reporting","KEEP",$C422="Nutrition_Data_Archived_Tables","KEEP",$C422="EU_Data","KEEP",TRUE,"REVIEW"),OR($A422="thg-influencer",$A422="thg-ingenuity",$A422="thg-central-marketing",$A422="thg-seoclarity"),"HOLD",TRUE,"")</f>
        <v>HOLD</v>
      </c>
      <c r="R422" t="str" cm="1">
        <f t="array" ref="R422">_xlfn.IFS(AND($A422="thg-beauty",ISNUMBER(SEARCH("liveramp",$C422))),"thg-beauty Liveramp dataset — confirmed safe to delete",$A422="agile-bonbon-662",_xlfn.IFS(LEFT($G422,9)="Tranche 1","Tranche 1: cleared",$C422="Sessions_Level_1_All_Sites","Downstream aggregation of UA raw logs — keep if raw tables go",ISNUMBER(--$C422),"UA raw site logs (account ID) — keep pending audit-retention check",$C422="Emag_Reporting","Legacy but likely needed",$C422="Nutrition_Data_Archived_Tables","Worth keeping",$C422="EU_Data","Static lookup tables — scripts still reference (smoke-test risk)",TRUE,"Review"),OR($A422="thg-influencer",$A422="thg-ingenuity",$A422="thg-central-marketing",$A422="thg-seoclarity"),"HOLD — Charlie Stringer to review before deletion",TRUE,"")</f>
        <v>HOLD — Charlie Stringer to review before deletion</v>
      </c>
      <c r="S422" t="s">
        <v>1624</v>
      </c>
    </row>
    <row r="423" spans="1:19" ht="76.5" hidden="1">
      <c r="A423" t="s">
        <v>38</v>
      </c>
      <c r="B423" t="s">
        <v>1619</v>
      </c>
      <c r="C423" t="s">
        <v>2547</v>
      </c>
      <c r="D423" s="2" t="s">
        <v>1621</v>
      </c>
      <c r="E423">
        <v>99.65</v>
      </c>
      <c r="F423">
        <v>1.99</v>
      </c>
      <c r="G423" t="s">
        <v>79</v>
      </c>
      <c r="H423" t="s">
        <v>81</v>
      </c>
      <c r="I423">
        <v>0</v>
      </c>
      <c r="J423">
        <v>0</v>
      </c>
      <c r="L423" s="5">
        <v>46197.281040844908</v>
      </c>
      <c r="M423" s="2" t="s">
        <v>1715</v>
      </c>
      <c r="N423" s="2" t="s">
        <v>2548</v>
      </c>
      <c r="O423" s="5">
        <v>46197.41751511574</v>
      </c>
      <c r="P423" t="str">
        <f>IF($Q423="DELETE",IF($S423="CONFIRMED: NO MODS &gt; 1YR","CONFIRMED: NO MODS &gt; 1YR","DO NOT DELETE — not defensibly confirmed"),IF($Q423="HOLD","DO NOT DELETE — HOLD (Charlie review)",IF($Q423="KEEP","DO NOT DELETE — KEEP",IF(ISNUMBER(SEARCH("REVIEW",$Q423)),"DO NOT DELETE — REVIEW pending",$S423))))</f>
        <v>DO NOT DELETE — HOLD (Charlie review)</v>
      </c>
      <c r="Q423" t="str" cm="1">
        <f t="array" ref="Q423">_xlfn.IFS(AND($A423="thg-beauty",ISNUMBER(SEARCH("liveramp",$C423))),"DELETE",$A423="agile-bonbon-662",_xlfn.IFS(LEFT($G423,9)="Tranche 1","DELETE",$C423="Sessions_Level_1_All_Sites","KEEP",ISNUMBER(--$C423),"REVIEW — UA raw logs",$C423="Emag_Reporting","KEEP",$C423="Nutrition_Data_Archived_Tables","KEEP",$C423="EU_Data","KEEP",TRUE,"REVIEW"),OR($A423="thg-influencer",$A423="thg-ingenuity",$A423="thg-central-marketing",$A423="thg-seoclarity"),"HOLD",TRUE,"")</f>
        <v>HOLD</v>
      </c>
      <c r="R423" t="str" cm="1">
        <f t="array" ref="R423">_xlfn.IFS(AND($A423="thg-beauty",ISNUMBER(SEARCH("liveramp",$C423))),"thg-beauty Liveramp dataset — confirmed safe to delete",$A423="agile-bonbon-662",_xlfn.IFS(LEFT($G423,9)="Tranche 1","Tranche 1: cleared",$C423="Sessions_Level_1_All_Sites","Downstream aggregation of UA raw logs — keep if raw tables go",ISNUMBER(--$C423),"UA raw site logs (account ID) — keep pending audit-retention check",$C423="Emag_Reporting","Legacy but likely needed",$C423="Nutrition_Data_Archived_Tables","Worth keeping",$C423="EU_Data","Static lookup tables — scripts still reference (smoke-test risk)",TRUE,"Review"),OR($A423="thg-influencer",$A423="thg-ingenuity",$A423="thg-central-marketing",$A423="thg-seoclarity"),"HOLD — Charlie Stringer to review before deletion",TRUE,"")</f>
        <v>HOLD — Charlie Stringer to review before deletion</v>
      </c>
      <c r="S423" t="s">
        <v>1624</v>
      </c>
    </row>
    <row r="424" spans="1:19" ht="76.5" hidden="1">
      <c r="A424" t="s">
        <v>92</v>
      </c>
      <c r="B424" t="s">
        <v>1619</v>
      </c>
      <c r="C424" t="s">
        <v>2549</v>
      </c>
      <c r="D424" s="2" t="s">
        <v>1621</v>
      </c>
      <c r="E424">
        <v>8.34</v>
      </c>
      <c r="F424">
        <v>0.17</v>
      </c>
      <c r="G424" t="s">
        <v>79</v>
      </c>
      <c r="H424" t="s">
        <v>81</v>
      </c>
      <c r="I424">
        <v>12</v>
      </c>
      <c r="J424">
        <v>12</v>
      </c>
      <c r="K424" s="5">
        <v>46184.517624525462</v>
      </c>
      <c r="L424" s="5">
        <v>46184.517624525462</v>
      </c>
      <c r="M424" s="2" t="s">
        <v>2550</v>
      </c>
      <c r="N424" s="2" t="s">
        <v>2550</v>
      </c>
      <c r="O424" s="5">
        <v>46184.525544606477</v>
      </c>
      <c r="P424" t="str">
        <f>IF($Q424="DELETE",IF($S424="CONFIRMED: NO MODS &gt; 1YR","CONFIRMED: NO MODS &gt; 1YR","DO NOT DELETE — not defensibly confirmed"),IF($Q424="HOLD","DO NOT DELETE — HOLD (Charlie review)",IF($Q424="KEEP","DO NOT DELETE — KEEP",IF(ISNUMBER(SEARCH("REVIEW",$Q424)),"DO NOT DELETE — REVIEW pending",$S424))))</f>
        <v>CONFIRMED: NO MODS &gt; 1YR</v>
      </c>
      <c r="Q424" t="str" cm="1">
        <f t="array" ref="Q424">_xlfn.IFS(AND($A424="thg-beauty",ISNUMBER(SEARCH("liveramp",$C424))),"DELETE",$A424="agile-bonbon-662",_xlfn.IFS(LEFT($G424,9)="Tranche 1","DELETE",$C424="Sessions_Level_1_All_Sites","KEEP",ISNUMBER(--$C424),"REVIEW — UA raw logs",$C424="Emag_Reporting","KEEP",$C424="Nutrition_Data_Archived_Tables","KEEP",$C424="EU_Data","KEEP",TRUE,"REVIEW"),OR($A424="thg-influencer",$A424="thg-ingenuity",$A424="thg-central-marketing",$A424="thg-seoclarity"),"HOLD",TRUE,"")</f>
        <v/>
      </c>
      <c r="R424" t="str" cm="1">
        <f t="array" ref="R424">_xlfn.IFS(AND($A424="thg-beauty",ISNUMBER(SEARCH("liveramp",$C424))),"thg-beauty Liveramp dataset — confirmed safe to delete",$A424="agile-bonbon-662",_xlfn.IFS(LEFT($G424,9)="Tranche 1","Tranche 1: cleared",$C424="Sessions_Level_1_All_Sites","Downstream aggregation of UA raw logs — keep if raw tables go",ISNUMBER(--$C424),"UA raw site logs (account ID) — keep pending audit-retention check",$C424="Emag_Reporting","Legacy but likely needed",$C424="Nutrition_Data_Archived_Tables","Worth keeping",$C424="EU_Data","Static lookup tables — scripts still reference (smoke-test risk)",TRUE,"Review"),OR($A424="thg-influencer",$A424="thg-ingenuity",$A424="thg-central-marketing",$A424="thg-seoclarity"),"HOLD — Charlie Stringer to review before deletion",TRUE,"")</f>
        <v/>
      </c>
      <c r="S424" t="s">
        <v>1624</v>
      </c>
    </row>
    <row r="425" spans="1:19" ht="76.5" hidden="1">
      <c r="A425" t="s">
        <v>89</v>
      </c>
      <c r="B425" t="s">
        <v>1619</v>
      </c>
      <c r="C425" t="s">
        <v>2551</v>
      </c>
      <c r="D425" s="2" t="s">
        <v>1621</v>
      </c>
      <c r="E425">
        <v>98.17</v>
      </c>
      <c r="F425">
        <v>1.96</v>
      </c>
      <c r="G425" t="s">
        <v>79</v>
      </c>
      <c r="H425" t="s">
        <v>81</v>
      </c>
      <c r="I425">
        <v>0</v>
      </c>
      <c r="J425">
        <v>0</v>
      </c>
      <c r="K425" s="5">
        <v>46197.449440300923</v>
      </c>
      <c r="L425" s="5">
        <v>46197.444490879629</v>
      </c>
      <c r="M425" s="2" t="s">
        <v>2552</v>
      </c>
      <c r="N425" s="2" t="s">
        <v>2553</v>
      </c>
      <c r="O425" s="5">
        <v>46197.44452391204</v>
      </c>
      <c r="P425" t="str">
        <f>IF($Q425="DELETE",IF($S425="CONFIRMED: NO MODS &gt; 1YR","CONFIRMED: NO MODS &gt; 1YR","DO NOT DELETE — not defensibly confirmed"),IF($Q425="HOLD","DO NOT DELETE — HOLD (Charlie review)",IF($Q425="KEEP","DO NOT DELETE — KEEP",IF(ISNUMBER(SEARCH("REVIEW",$Q425)),"DO NOT DELETE — REVIEW pending",$S425))))</f>
        <v>DO NOT DELETE — REVIEW pending</v>
      </c>
      <c r="Q425" t="str" cm="1">
        <f t="array" ref="Q425">_xlfn.IFS(AND($A425="thg-beauty",ISNUMBER(SEARCH("liveramp",$C425))),"DELETE",$A425="agile-bonbon-662",_xlfn.IFS(LEFT($G425,9)="Tranche 1","DELETE",$C425="Sessions_Level_1_All_Sites","KEEP",ISNUMBER(--$C425),"REVIEW — UA raw logs",$C425="Emag_Reporting","KEEP",$C425="Nutrition_Data_Archived_Tables","KEEP",$C425="EU_Data","KEEP",TRUE,"REVIEW"),OR($A425="thg-influencer",$A425="thg-ingenuity",$A425="thg-central-marketing",$A425="thg-seoclarity"),"HOLD",TRUE,"")</f>
        <v>REVIEW</v>
      </c>
      <c r="R425" t="str" cm="1">
        <f t="array" ref="R425">_xlfn.IFS(AND($A425="thg-beauty",ISNUMBER(SEARCH("liveramp",$C425))),"thg-beauty Liveramp dataset — confirmed safe to delete",$A425="agile-bonbon-662",_xlfn.IFS(LEFT($G425,9)="Tranche 1","Tranche 1: cleared",$C425="Sessions_Level_1_All_Sites","Downstream aggregation of UA raw logs — keep if raw tables go",ISNUMBER(--$C425),"UA raw site logs (account ID) — keep pending audit-retention check",$C425="Emag_Reporting","Legacy but likely needed",$C425="Nutrition_Data_Archived_Tables","Worth keeping",$C425="EU_Data","Static lookup tables — scripts still reference (smoke-test risk)",TRUE,"Review"),OR($A425="thg-influencer",$A425="thg-ingenuity",$A425="thg-central-marketing",$A425="thg-seoclarity"),"HOLD — Charlie Stringer to review before deletion",TRUE,"")</f>
        <v>Review</v>
      </c>
      <c r="S425" t="s">
        <v>1624</v>
      </c>
    </row>
    <row r="426" spans="1:19" ht="76.5" hidden="1">
      <c r="A426" t="s">
        <v>89</v>
      </c>
      <c r="B426" t="s">
        <v>1619</v>
      </c>
      <c r="C426" t="s">
        <v>2554</v>
      </c>
      <c r="D426" s="2" t="s">
        <v>1621</v>
      </c>
      <c r="E426">
        <v>97.93</v>
      </c>
      <c r="F426">
        <v>1.96</v>
      </c>
      <c r="G426" t="s">
        <v>79</v>
      </c>
      <c r="H426" t="s">
        <v>81</v>
      </c>
      <c r="I426">
        <v>0</v>
      </c>
      <c r="J426">
        <v>0</v>
      </c>
      <c r="K426" s="5">
        <v>46197.208621689817</v>
      </c>
      <c r="L426" s="5">
        <v>46197.208621689817</v>
      </c>
      <c r="M426" s="2" t="s">
        <v>2555</v>
      </c>
      <c r="N426" s="2" t="s">
        <v>2556</v>
      </c>
      <c r="O426" s="5">
        <v>46197.208666979168</v>
      </c>
      <c r="P426" t="str">
        <f>IF($Q426="DELETE",IF($S426="CONFIRMED: NO MODS &gt; 1YR","CONFIRMED: NO MODS &gt; 1YR","DO NOT DELETE — not defensibly confirmed"),IF($Q426="HOLD","DO NOT DELETE — HOLD (Charlie review)",IF($Q426="KEEP","DO NOT DELETE — KEEP",IF(ISNUMBER(SEARCH("REVIEW",$Q426)),"DO NOT DELETE — REVIEW pending",$S426))))</f>
        <v>DO NOT DELETE — REVIEW pending</v>
      </c>
      <c r="Q426" t="str" cm="1">
        <f t="array" ref="Q426">_xlfn.IFS(AND($A426="thg-beauty",ISNUMBER(SEARCH("liveramp",$C426))),"DELETE",$A426="agile-bonbon-662",_xlfn.IFS(LEFT($G426,9)="Tranche 1","DELETE",$C426="Sessions_Level_1_All_Sites","KEEP",ISNUMBER(--$C426),"REVIEW — UA raw logs",$C426="Emag_Reporting","KEEP",$C426="Nutrition_Data_Archived_Tables","KEEP",$C426="EU_Data","KEEP",TRUE,"REVIEW"),OR($A426="thg-influencer",$A426="thg-ingenuity",$A426="thg-central-marketing",$A426="thg-seoclarity"),"HOLD",TRUE,"")</f>
        <v>REVIEW</v>
      </c>
      <c r="R426" t="str" cm="1">
        <f t="array" ref="R426">_xlfn.IFS(AND($A426="thg-beauty",ISNUMBER(SEARCH("liveramp",$C426))),"thg-beauty Liveramp dataset — confirmed safe to delete",$A426="agile-bonbon-662",_xlfn.IFS(LEFT($G426,9)="Tranche 1","Tranche 1: cleared",$C426="Sessions_Level_1_All_Sites","Downstream aggregation of UA raw logs — keep if raw tables go",ISNUMBER(--$C426),"UA raw site logs (account ID) — keep pending audit-retention check",$C426="Emag_Reporting","Legacy but likely needed",$C426="Nutrition_Data_Archived_Tables","Worth keeping",$C426="EU_Data","Static lookup tables — scripts still reference (smoke-test risk)",TRUE,"Review"),OR($A426="thg-influencer",$A426="thg-ingenuity",$A426="thg-central-marketing",$A426="thg-seoclarity"),"HOLD — Charlie Stringer to review before deletion",TRUE,"")</f>
        <v>Review</v>
      </c>
      <c r="S426" t="s">
        <v>1624</v>
      </c>
    </row>
    <row r="427" spans="1:19" ht="76.5" hidden="1">
      <c r="A427" t="s">
        <v>89</v>
      </c>
      <c r="B427" t="s">
        <v>1619</v>
      </c>
      <c r="C427" t="s">
        <v>2557</v>
      </c>
      <c r="D427" s="2" t="s">
        <v>1621</v>
      </c>
      <c r="E427">
        <v>96.77</v>
      </c>
      <c r="F427">
        <v>1.94</v>
      </c>
      <c r="G427" t="s">
        <v>79</v>
      </c>
      <c r="H427" t="s">
        <v>81</v>
      </c>
      <c r="I427">
        <v>0</v>
      </c>
      <c r="J427">
        <v>0</v>
      </c>
      <c r="K427" s="5">
        <v>46197.422214120372</v>
      </c>
      <c r="L427" s="5">
        <v>46197.331705787037</v>
      </c>
      <c r="M427" s="2" t="s">
        <v>2558</v>
      </c>
      <c r="N427" s="2" t="s">
        <v>2559</v>
      </c>
      <c r="O427" s="5">
        <v>46197.443550798613</v>
      </c>
      <c r="P427" t="str">
        <f>IF($Q427="DELETE",IF($S427="CONFIRMED: NO MODS &gt; 1YR","CONFIRMED: NO MODS &gt; 1YR","DO NOT DELETE — not defensibly confirmed"),IF($Q427="HOLD","DO NOT DELETE — HOLD (Charlie review)",IF($Q427="KEEP","DO NOT DELETE — KEEP",IF(ISNUMBER(SEARCH("REVIEW",$Q427)),"DO NOT DELETE — REVIEW pending",$S427))))</f>
        <v>DO NOT DELETE — REVIEW pending</v>
      </c>
      <c r="Q427" t="str" cm="1">
        <f t="array" ref="Q427">_xlfn.IFS(AND($A427="thg-beauty",ISNUMBER(SEARCH("liveramp",$C427))),"DELETE",$A427="agile-bonbon-662",_xlfn.IFS(LEFT($G427,9)="Tranche 1","DELETE",$C427="Sessions_Level_1_All_Sites","KEEP",ISNUMBER(--$C427),"REVIEW — UA raw logs",$C427="Emag_Reporting","KEEP",$C427="Nutrition_Data_Archived_Tables","KEEP",$C427="EU_Data","KEEP",TRUE,"REVIEW"),OR($A427="thg-influencer",$A427="thg-ingenuity",$A427="thg-central-marketing",$A427="thg-seoclarity"),"HOLD",TRUE,"")</f>
        <v>REVIEW</v>
      </c>
      <c r="R427" t="str" cm="1">
        <f t="array" ref="R427">_xlfn.IFS(AND($A427="thg-beauty",ISNUMBER(SEARCH("liveramp",$C427))),"thg-beauty Liveramp dataset — confirmed safe to delete",$A427="agile-bonbon-662",_xlfn.IFS(LEFT($G427,9)="Tranche 1","Tranche 1: cleared",$C427="Sessions_Level_1_All_Sites","Downstream aggregation of UA raw logs — keep if raw tables go",ISNUMBER(--$C427),"UA raw site logs (account ID) — keep pending audit-retention check",$C427="Emag_Reporting","Legacy but likely needed",$C427="Nutrition_Data_Archived_Tables","Worth keeping",$C427="EU_Data","Static lookup tables — scripts still reference (smoke-test risk)",TRUE,"Review"),OR($A427="thg-influencer",$A427="thg-ingenuity",$A427="thg-central-marketing",$A427="thg-seoclarity"),"HOLD — Charlie Stringer to review before deletion",TRUE,"")</f>
        <v>Review</v>
      </c>
      <c r="S427" t="s">
        <v>1624</v>
      </c>
    </row>
    <row r="428" spans="1:19" ht="76.5" hidden="1">
      <c r="A428" t="s">
        <v>38</v>
      </c>
      <c r="B428" t="s">
        <v>1619</v>
      </c>
      <c r="C428" t="s">
        <v>2371</v>
      </c>
      <c r="D428" s="2" t="s">
        <v>1621</v>
      </c>
      <c r="E428">
        <v>93.08</v>
      </c>
      <c r="F428">
        <v>1.86</v>
      </c>
      <c r="G428" t="s">
        <v>79</v>
      </c>
      <c r="H428" t="s">
        <v>81</v>
      </c>
      <c r="I428">
        <v>0</v>
      </c>
      <c r="J428">
        <v>0</v>
      </c>
      <c r="L428" s="5">
        <v>46197.086754317133</v>
      </c>
      <c r="M428" s="2" t="s">
        <v>1715</v>
      </c>
      <c r="N428" s="2" t="s">
        <v>2560</v>
      </c>
      <c r="O428" s="5">
        <v>46197.08702806713</v>
      </c>
      <c r="P428" t="str">
        <f>IF($Q428="DELETE",IF($S428="CONFIRMED: NO MODS &gt; 1YR","CONFIRMED: NO MODS &gt; 1YR","DO NOT DELETE — not defensibly confirmed"),IF($Q428="HOLD","DO NOT DELETE — HOLD (Charlie review)",IF($Q428="KEEP","DO NOT DELETE — KEEP",IF(ISNUMBER(SEARCH("REVIEW",$Q428)),"DO NOT DELETE — REVIEW pending",$S428))))</f>
        <v>DO NOT DELETE — HOLD (Charlie review)</v>
      </c>
      <c r="Q428" t="str" cm="1">
        <f t="array" ref="Q428">_xlfn.IFS(AND($A428="thg-beauty",ISNUMBER(SEARCH("liveramp",$C428))),"DELETE",$A428="agile-bonbon-662",_xlfn.IFS(LEFT($G428,9)="Tranche 1","DELETE",$C428="Sessions_Level_1_All_Sites","KEEP",ISNUMBER(--$C428),"REVIEW — UA raw logs",$C428="Emag_Reporting","KEEP",$C428="Nutrition_Data_Archived_Tables","KEEP",$C428="EU_Data","KEEP",TRUE,"REVIEW"),OR($A428="thg-influencer",$A428="thg-ingenuity",$A428="thg-central-marketing",$A428="thg-seoclarity"),"HOLD",TRUE,"")</f>
        <v>HOLD</v>
      </c>
      <c r="R428" t="str" cm="1">
        <f t="array" ref="R428">_xlfn.IFS(AND($A428="thg-beauty",ISNUMBER(SEARCH("liveramp",$C428))),"thg-beauty Liveramp dataset — confirmed safe to delete",$A428="agile-bonbon-662",_xlfn.IFS(LEFT($G428,9)="Tranche 1","Tranche 1: cleared",$C428="Sessions_Level_1_All_Sites","Downstream aggregation of UA raw logs — keep if raw tables go",ISNUMBER(--$C428),"UA raw site logs (account ID) — keep pending audit-retention check",$C428="Emag_Reporting","Legacy but likely needed",$C428="Nutrition_Data_Archived_Tables","Worth keeping",$C428="EU_Data","Static lookup tables — scripts still reference (smoke-test risk)",TRUE,"Review"),OR($A428="thg-influencer",$A428="thg-ingenuity",$A428="thg-central-marketing",$A428="thg-seoclarity"),"HOLD — Charlie Stringer to review before deletion",TRUE,"")</f>
        <v>HOLD — Charlie Stringer to review before deletion</v>
      </c>
      <c r="S428" t="s">
        <v>1624</v>
      </c>
    </row>
    <row r="429" spans="1:19" ht="76.5" hidden="1">
      <c r="A429" t="s">
        <v>38</v>
      </c>
      <c r="B429" t="s">
        <v>1619</v>
      </c>
      <c r="C429" t="s">
        <v>2311</v>
      </c>
      <c r="D429" s="2" t="s">
        <v>1621</v>
      </c>
      <c r="E429">
        <v>89.9</v>
      </c>
      <c r="F429">
        <v>1.8</v>
      </c>
      <c r="G429" t="s">
        <v>79</v>
      </c>
      <c r="H429" t="s">
        <v>81</v>
      </c>
      <c r="I429">
        <v>0</v>
      </c>
      <c r="J429">
        <v>0</v>
      </c>
      <c r="L429" s="5">
        <v>46197.419998194448</v>
      </c>
      <c r="M429" s="2" t="s">
        <v>1715</v>
      </c>
      <c r="N429" s="2" t="s">
        <v>2561</v>
      </c>
      <c r="O429" s="5">
        <v>46197.420022916667</v>
      </c>
      <c r="P429" t="str">
        <f>IF($Q429="DELETE",IF($S429="CONFIRMED: NO MODS &gt; 1YR","CONFIRMED: NO MODS &gt; 1YR","DO NOT DELETE — not defensibly confirmed"),IF($Q429="HOLD","DO NOT DELETE — HOLD (Charlie review)",IF($Q429="KEEP","DO NOT DELETE — KEEP",IF(ISNUMBER(SEARCH("REVIEW",$Q429)),"DO NOT DELETE — REVIEW pending",$S429))))</f>
        <v>DO NOT DELETE — HOLD (Charlie review)</v>
      </c>
      <c r="Q429" t="str" cm="1">
        <f t="array" ref="Q429">_xlfn.IFS(AND($A429="thg-beauty",ISNUMBER(SEARCH("liveramp",$C429))),"DELETE",$A429="agile-bonbon-662",_xlfn.IFS(LEFT($G429,9)="Tranche 1","DELETE",$C429="Sessions_Level_1_All_Sites","KEEP",ISNUMBER(--$C429),"REVIEW — UA raw logs",$C429="Emag_Reporting","KEEP",$C429="Nutrition_Data_Archived_Tables","KEEP",$C429="EU_Data","KEEP",TRUE,"REVIEW"),OR($A429="thg-influencer",$A429="thg-ingenuity",$A429="thg-central-marketing",$A429="thg-seoclarity"),"HOLD",TRUE,"")</f>
        <v>HOLD</v>
      </c>
      <c r="R429" t="str" cm="1">
        <f t="array" ref="R429">_xlfn.IFS(AND($A429="thg-beauty",ISNUMBER(SEARCH("liveramp",$C429))),"thg-beauty Liveramp dataset — confirmed safe to delete",$A429="agile-bonbon-662",_xlfn.IFS(LEFT($G429,9)="Tranche 1","Tranche 1: cleared",$C429="Sessions_Level_1_All_Sites","Downstream aggregation of UA raw logs — keep if raw tables go",ISNUMBER(--$C429),"UA raw site logs (account ID) — keep pending audit-retention check",$C429="Emag_Reporting","Legacy but likely needed",$C429="Nutrition_Data_Archived_Tables","Worth keeping",$C429="EU_Data","Static lookup tables — scripts still reference (smoke-test risk)",TRUE,"Review"),OR($A429="thg-influencer",$A429="thg-ingenuity",$A429="thg-central-marketing",$A429="thg-seoclarity"),"HOLD — Charlie Stringer to review before deletion",TRUE,"")</f>
        <v>HOLD — Charlie Stringer to review before deletion</v>
      </c>
      <c r="S429" t="s">
        <v>1624</v>
      </c>
    </row>
    <row r="430" spans="1:19" ht="76.5" hidden="1">
      <c r="A430" t="s">
        <v>89</v>
      </c>
      <c r="B430" t="s">
        <v>1619</v>
      </c>
      <c r="C430" t="s">
        <v>2562</v>
      </c>
      <c r="D430" s="2" t="s">
        <v>1621</v>
      </c>
      <c r="E430">
        <v>89.83</v>
      </c>
      <c r="F430">
        <v>1.8</v>
      </c>
      <c r="G430" t="s">
        <v>79</v>
      </c>
      <c r="H430" t="s">
        <v>81</v>
      </c>
      <c r="I430">
        <v>0</v>
      </c>
      <c r="J430">
        <v>0</v>
      </c>
      <c r="K430" s="5">
        <v>46197.438882962961</v>
      </c>
      <c r="L430" s="5">
        <v>46197.431346435187</v>
      </c>
      <c r="M430" s="2" t="s">
        <v>2563</v>
      </c>
      <c r="N430" s="2" t="s">
        <v>2564</v>
      </c>
      <c r="O430" s="5">
        <v>46197.431385972217</v>
      </c>
      <c r="P430" t="str">
        <f>IF($Q430="DELETE",IF($S430="CONFIRMED: NO MODS &gt; 1YR","CONFIRMED: NO MODS &gt; 1YR","DO NOT DELETE — not defensibly confirmed"),IF($Q430="HOLD","DO NOT DELETE — HOLD (Charlie review)",IF($Q430="KEEP","DO NOT DELETE — KEEP",IF(ISNUMBER(SEARCH("REVIEW",$Q430)),"DO NOT DELETE — REVIEW pending",$S430))))</f>
        <v>DO NOT DELETE — REVIEW pending</v>
      </c>
      <c r="Q430" t="str" cm="1">
        <f t="array" ref="Q430">_xlfn.IFS(AND($A430="thg-beauty",ISNUMBER(SEARCH("liveramp",$C430))),"DELETE",$A430="agile-bonbon-662",_xlfn.IFS(LEFT($G430,9)="Tranche 1","DELETE",$C430="Sessions_Level_1_All_Sites","KEEP",ISNUMBER(--$C430),"REVIEW — UA raw logs",$C430="Emag_Reporting","KEEP",$C430="Nutrition_Data_Archived_Tables","KEEP",$C430="EU_Data","KEEP",TRUE,"REVIEW"),OR($A430="thg-influencer",$A430="thg-ingenuity",$A430="thg-central-marketing",$A430="thg-seoclarity"),"HOLD",TRUE,"")</f>
        <v>REVIEW</v>
      </c>
      <c r="R430" t="str" cm="1">
        <f t="array" ref="R430">_xlfn.IFS(AND($A430="thg-beauty",ISNUMBER(SEARCH("liveramp",$C430))),"thg-beauty Liveramp dataset — confirmed safe to delete",$A430="agile-bonbon-662",_xlfn.IFS(LEFT($G430,9)="Tranche 1","Tranche 1: cleared",$C430="Sessions_Level_1_All_Sites","Downstream aggregation of UA raw logs — keep if raw tables go",ISNUMBER(--$C430),"UA raw site logs (account ID) — keep pending audit-retention check",$C430="Emag_Reporting","Legacy but likely needed",$C430="Nutrition_Data_Archived_Tables","Worth keeping",$C430="EU_Data","Static lookup tables — scripts still reference (smoke-test risk)",TRUE,"Review"),OR($A430="thg-influencer",$A430="thg-ingenuity",$A430="thg-central-marketing",$A430="thg-seoclarity"),"HOLD — Charlie Stringer to review before deletion",TRUE,"")</f>
        <v>Review</v>
      </c>
      <c r="S430" t="s">
        <v>1624</v>
      </c>
    </row>
    <row r="431" spans="1:19" ht="76.5" hidden="1">
      <c r="A431" t="s">
        <v>89</v>
      </c>
      <c r="B431" t="s">
        <v>1619</v>
      </c>
      <c r="C431" t="s">
        <v>2565</v>
      </c>
      <c r="D431" s="2" t="s">
        <v>1621</v>
      </c>
      <c r="E431">
        <v>88.41</v>
      </c>
      <c r="F431">
        <v>1.77</v>
      </c>
      <c r="G431" t="s">
        <v>79</v>
      </c>
      <c r="H431" t="s">
        <v>81</v>
      </c>
      <c r="I431">
        <v>0</v>
      </c>
      <c r="J431">
        <v>0</v>
      </c>
      <c r="K431" s="5">
        <v>46197.420845069442</v>
      </c>
      <c r="L431" s="5">
        <v>46197.324383402767</v>
      </c>
      <c r="M431" s="2" t="s">
        <v>2566</v>
      </c>
      <c r="N431" s="2" t="s">
        <v>2567</v>
      </c>
      <c r="O431" s="5">
        <v>46197.324413310183</v>
      </c>
      <c r="P431" t="str">
        <f>IF($Q431="DELETE",IF($S431="CONFIRMED: NO MODS &gt; 1YR","CONFIRMED: NO MODS &gt; 1YR","DO NOT DELETE — not defensibly confirmed"),IF($Q431="HOLD","DO NOT DELETE — HOLD (Charlie review)",IF($Q431="KEEP","DO NOT DELETE — KEEP",IF(ISNUMBER(SEARCH("REVIEW",$Q431)),"DO NOT DELETE — REVIEW pending",$S431))))</f>
        <v>DO NOT DELETE — REVIEW pending</v>
      </c>
      <c r="Q431" t="str" cm="1">
        <f t="array" ref="Q431">_xlfn.IFS(AND($A431="thg-beauty",ISNUMBER(SEARCH("liveramp",$C431))),"DELETE",$A431="agile-bonbon-662",_xlfn.IFS(LEFT($G431,9)="Tranche 1","DELETE",$C431="Sessions_Level_1_All_Sites","KEEP",ISNUMBER(--$C431),"REVIEW — UA raw logs",$C431="Emag_Reporting","KEEP",$C431="Nutrition_Data_Archived_Tables","KEEP",$C431="EU_Data","KEEP",TRUE,"REVIEW"),OR($A431="thg-influencer",$A431="thg-ingenuity",$A431="thg-central-marketing",$A431="thg-seoclarity"),"HOLD",TRUE,"")</f>
        <v>REVIEW</v>
      </c>
      <c r="R431" t="str" cm="1">
        <f t="array" ref="R431">_xlfn.IFS(AND($A431="thg-beauty",ISNUMBER(SEARCH("liveramp",$C431))),"thg-beauty Liveramp dataset — confirmed safe to delete",$A431="agile-bonbon-662",_xlfn.IFS(LEFT($G431,9)="Tranche 1","Tranche 1: cleared",$C431="Sessions_Level_1_All_Sites","Downstream aggregation of UA raw logs — keep if raw tables go",ISNUMBER(--$C431),"UA raw site logs (account ID) — keep pending audit-retention check",$C431="Emag_Reporting","Legacy but likely needed",$C431="Nutrition_Data_Archived_Tables","Worth keeping",$C431="EU_Data","Static lookup tables — scripts still reference (smoke-test risk)",TRUE,"Review"),OR($A431="thg-influencer",$A431="thg-ingenuity",$A431="thg-central-marketing",$A431="thg-seoclarity"),"HOLD — Charlie Stringer to review before deletion",TRUE,"")</f>
        <v>Review</v>
      </c>
      <c r="S431" t="s">
        <v>1624</v>
      </c>
    </row>
    <row r="432" spans="1:19" ht="76.5" hidden="1">
      <c r="A432" t="s">
        <v>89</v>
      </c>
      <c r="B432" t="s">
        <v>1619</v>
      </c>
      <c r="C432" t="s">
        <v>2568</v>
      </c>
      <c r="D432" s="2" t="s">
        <v>1621</v>
      </c>
      <c r="E432">
        <v>88.2</v>
      </c>
      <c r="F432">
        <v>1.76</v>
      </c>
      <c r="G432" t="s">
        <v>79</v>
      </c>
      <c r="H432" t="s">
        <v>81</v>
      </c>
      <c r="I432">
        <v>0</v>
      </c>
      <c r="J432">
        <v>0</v>
      </c>
      <c r="K432" s="5">
        <v>46197.421414803241</v>
      </c>
      <c r="L432" s="5">
        <v>46197.409896168982</v>
      </c>
      <c r="M432" s="2" t="s">
        <v>2569</v>
      </c>
      <c r="N432" s="2" t="s">
        <v>2570</v>
      </c>
      <c r="O432" s="5">
        <v>46197.40995695602</v>
      </c>
      <c r="P432" t="str">
        <f>IF($Q432="DELETE",IF($S432="CONFIRMED: NO MODS &gt; 1YR","CONFIRMED: NO MODS &gt; 1YR","DO NOT DELETE — not defensibly confirmed"),IF($Q432="HOLD","DO NOT DELETE — HOLD (Charlie review)",IF($Q432="KEEP","DO NOT DELETE — KEEP",IF(ISNUMBER(SEARCH("REVIEW",$Q432)),"DO NOT DELETE — REVIEW pending",$S432))))</f>
        <v>DO NOT DELETE — REVIEW pending</v>
      </c>
      <c r="Q432" t="str" cm="1">
        <f t="array" ref="Q432">_xlfn.IFS(AND($A432="thg-beauty",ISNUMBER(SEARCH("liveramp",$C432))),"DELETE",$A432="agile-bonbon-662",_xlfn.IFS(LEFT($G432,9)="Tranche 1","DELETE",$C432="Sessions_Level_1_All_Sites","KEEP",ISNUMBER(--$C432),"REVIEW — UA raw logs",$C432="Emag_Reporting","KEEP",$C432="Nutrition_Data_Archived_Tables","KEEP",$C432="EU_Data","KEEP",TRUE,"REVIEW"),OR($A432="thg-influencer",$A432="thg-ingenuity",$A432="thg-central-marketing",$A432="thg-seoclarity"),"HOLD",TRUE,"")</f>
        <v>REVIEW</v>
      </c>
      <c r="R432" t="str" cm="1">
        <f t="array" ref="R432">_xlfn.IFS(AND($A432="thg-beauty",ISNUMBER(SEARCH("liveramp",$C432))),"thg-beauty Liveramp dataset — confirmed safe to delete",$A432="agile-bonbon-662",_xlfn.IFS(LEFT($G432,9)="Tranche 1","Tranche 1: cleared",$C432="Sessions_Level_1_All_Sites","Downstream aggregation of UA raw logs — keep if raw tables go",ISNUMBER(--$C432),"UA raw site logs (account ID) — keep pending audit-retention check",$C432="Emag_Reporting","Legacy but likely needed",$C432="Nutrition_Data_Archived_Tables","Worth keeping",$C432="EU_Data","Static lookup tables — scripts still reference (smoke-test risk)",TRUE,"Review"),OR($A432="thg-influencer",$A432="thg-ingenuity",$A432="thg-central-marketing",$A432="thg-seoclarity"),"HOLD — Charlie Stringer to review before deletion",TRUE,"")</f>
        <v>Review</v>
      </c>
      <c r="S432" t="s">
        <v>1624</v>
      </c>
    </row>
    <row r="433" spans="1:19" ht="76.5" hidden="1">
      <c r="A433" t="s">
        <v>35</v>
      </c>
      <c r="B433" t="s">
        <v>1619</v>
      </c>
      <c r="C433" t="s">
        <v>2571</v>
      </c>
      <c r="D433" s="2" t="s">
        <v>1621</v>
      </c>
      <c r="E433">
        <v>86.42</v>
      </c>
      <c r="F433">
        <v>1.73</v>
      </c>
      <c r="G433" t="s">
        <v>79</v>
      </c>
      <c r="H433" t="s">
        <v>81</v>
      </c>
      <c r="I433">
        <v>0</v>
      </c>
      <c r="J433">
        <v>0</v>
      </c>
      <c r="K433" s="5">
        <v>46197.421880300928</v>
      </c>
      <c r="L433" s="5">
        <v>46197.119132719898</v>
      </c>
      <c r="M433" s="2" t="s">
        <v>2572</v>
      </c>
      <c r="N433" s="2" t="s">
        <v>2573</v>
      </c>
      <c r="O433" s="5">
        <v>46197.119557060178</v>
      </c>
      <c r="P433" t="str">
        <f>IF($Q433="DELETE",IF($S433="CONFIRMED: NO MODS &gt; 1YR","CONFIRMED: NO MODS &gt; 1YR","DO NOT DELETE — not defensibly confirmed"),IF($Q433="HOLD","DO NOT DELETE — HOLD (Charlie review)",IF($Q433="KEEP","DO NOT DELETE — KEEP",IF(ISNUMBER(SEARCH("REVIEW",$Q433)),"DO NOT DELETE — REVIEW pending",$S433))))</f>
        <v>DO NOT DELETE — HOLD (Charlie review)</v>
      </c>
      <c r="Q433" t="str" cm="1">
        <f t="array" ref="Q433">_xlfn.IFS(AND($A433="thg-beauty",ISNUMBER(SEARCH("liveramp",$C433))),"DELETE",$A433="agile-bonbon-662",_xlfn.IFS(LEFT($G433,9)="Tranche 1","DELETE",$C433="Sessions_Level_1_All_Sites","KEEP",ISNUMBER(--$C433),"REVIEW — UA raw logs",$C433="Emag_Reporting","KEEP",$C433="Nutrition_Data_Archived_Tables","KEEP",$C433="EU_Data","KEEP",TRUE,"REVIEW"),OR($A433="thg-influencer",$A433="thg-ingenuity",$A433="thg-central-marketing",$A433="thg-seoclarity"),"HOLD",TRUE,"")</f>
        <v>HOLD</v>
      </c>
      <c r="R433" t="str" cm="1">
        <f t="array" ref="R433">_xlfn.IFS(AND($A433="thg-beauty",ISNUMBER(SEARCH("liveramp",$C433))),"thg-beauty Liveramp dataset — confirmed safe to delete",$A433="agile-bonbon-662",_xlfn.IFS(LEFT($G433,9)="Tranche 1","Tranche 1: cleared",$C433="Sessions_Level_1_All_Sites","Downstream aggregation of UA raw logs — keep if raw tables go",ISNUMBER(--$C433),"UA raw site logs (account ID) — keep pending audit-retention check",$C433="Emag_Reporting","Legacy but likely needed",$C433="Nutrition_Data_Archived_Tables","Worth keeping",$C433="EU_Data","Static lookup tables — scripts still reference (smoke-test risk)",TRUE,"Review"),OR($A433="thg-influencer",$A433="thg-ingenuity",$A433="thg-central-marketing",$A433="thg-seoclarity"),"HOLD — Charlie Stringer to review before deletion",TRUE,"")</f>
        <v>HOLD — Charlie Stringer to review before deletion</v>
      </c>
      <c r="S433" t="s">
        <v>1624</v>
      </c>
    </row>
    <row r="434" spans="1:19" ht="76.5" hidden="1">
      <c r="A434" t="s">
        <v>2513</v>
      </c>
      <c r="B434" t="s">
        <v>1619</v>
      </c>
      <c r="C434" t="s">
        <v>2574</v>
      </c>
      <c r="D434" s="2" t="s">
        <v>1621</v>
      </c>
      <c r="E434">
        <v>81.88</v>
      </c>
      <c r="F434">
        <v>1.64</v>
      </c>
      <c r="G434" t="s">
        <v>79</v>
      </c>
      <c r="H434" t="s">
        <v>81</v>
      </c>
      <c r="I434">
        <v>0</v>
      </c>
      <c r="J434">
        <v>0</v>
      </c>
      <c r="K434" s="5">
        <v>46197.295718125002</v>
      </c>
      <c r="L434" s="5">
        <v>46197.431256458331</v>
      </c>
      <c r="M434" s="2" t="s">
        <v>2575</v>
      </c>
      <c r="N434" s="2" t="s">
        <v>2576</v>
      </c>
      <c r="O434" s="5">
        <v>46197.431278587967</v>
      </c>
      <c r="P434" t="str">
        <f>IF($Q434="DELETE",IF($S434="CONFIRMED: NO MODS &gt; 1YR","CONFIRMED: NO MODS &gt; 1YR","DO NOT DELETE — not defensibly confirmed"),IF($Q434="HOLD","DO NOT DELETE — HOLD (Charlie review)",IF($Q434="KEEP","DO NOT DELETE — KEEP",IF(ISNUMBER(SEARCH("REVIEW",$Q434)),"DO NOT DELETE — REVIEW pending",$S434))))</f>
        <v>CONFIRMED: NO MODS &gt; 1YR</v>
      </c>
      <c r="Q434" t="str" cm="1">
        <f t="array" ref="Q434">_xlfn.IFS(AND($A434="thg-beauty",ISNUMBER(SEARCH("liveramp",$C434))),"DELETE",$A434="agile-bonbon-662",_xlfn.IFS(LEFT($G434,9)="Tranche 1","DELETE",$C434="Sessions_Level_1_All_Sites","KEEP",ISNUMBER(--$C434),"REVIEW — UA raw logs",$C434="Emag_Reporting","KEEP",$C434="Nutrition_Data_Archived_Tables","KEEP",$C434="EU_Data","KEEP",TRUE,"REVIEW"),OR($A434="thg-influencer",$A434="thg-ingenuity",$A434="thg-central-marketing",$A434="thg-seoclarity"),"HOLD",TRUE,"")</f>
        <v/>
      </c>
      <c r="R434" t="str" cm="1">
        <f t="array" ref="R434">_xlfn.IFS(AND($A434="thg-beauty",ISNUMBER(SEARCH("liveramp",$C434))),"thg-beauty Liveramp dataset — confirmed safe to delete",$A434="agile-bonbon-662",_xlfn.IFS(LEFT($G434,9)="Tranche 1","Tranche 1: cleared",$C434="Sessions_Level_1_All_Sites","Downstream aggregation of UA raw logs — keep if raw tables go",ISNUMBER(--$C434),"UA raw site logs (account ID) — keep pending audit-retention check",$C434="Emag_Reporting","Legacy but likely needed",$C434="Nutrition_Data_Archived_Tables","Worth keeping",$C434="EU_Data","Static lookup tables — scripts still reference (smoke-test risk)",TRUE,"Review"),OR($A434="thg-influencer",$A434="thg-ingenuity",$A434="thg-central-marketing",$A434="thg-seoclarity"),"HOLD — Charlie Stringer to review before deletion",TRUE,"")</f>
        <v/>
      </c>
      <c r="S434" t="s">
        <v>1624</v>
      </c>
    </row>
    <row r="435" spans="1:19" ht="76.5" hidden="1">
      <c r="A435" t="s">
        <v>92</v>
      </c>
      <c r="B435" t="s">
        <v>1619</v>
      </c>
      <c r="C435" t="s">
        <v>2577</v>
      </c>
      <c r="D435" s="2" t="s">
        <v>1621</v>
      </c>
      <c r="E435">
        <v>7.88</v>
      </c>
      <c r="F435">
        <v>0.16</v>
      </c>
      <c r="G435" t="s">
        <v>79</v>
      </c>
      <c r="H435" t="s">
        <v>81</v>
      </c>
      <c r="I435">
        <v>0</v>
      </c>
      <c r="J435">
        <v>0</v>
      </c>
      <c r="K435" s="5">
        <v>46197.271823356481</v>
      </c>
      <c r="L435" s="5">
        <v>46197.108028495371</v>
      </c>
      <c r="M435" s="2" t="s">
        <v>2578</v>
      </c>
      <c r="N435" s="2" t="s">
        <v>2579</v>
      </c>
      <c r="O435" s="5">
        <v>46197.108071689807</v>
      </c>
      <c r="P435" t="str">
        <f>IF($Q435="DELETE",IF($S435="CONFIRMED: NO MODS &gt; 1YR","CONFIRMED: NO MODS &gt; 1YR","DO NOT DELETE — not defensibly confirmed"),IF($Q435="HOLD","DO NOT DELETE — HOLD (Charlie review)",IF($Q435="KEEP","DO NOT DELETE — KEEP",IF(ISNUMBER(SEARCH("REVIEW",$Q435)),"DO NOT DELETE — REVIEW pending",$S435))))</f>
        <v>CONFIRMED: NO MODS &gt; 1YR</v>
      </c>
      <c r="Q435" t="str" cm="1">
        <f t="array" ref="Q435">_xlfn.IFS(AND($A435="thg-beauty",ISNUMBER(SEARCH("liveramp",$C435))),"DELETE",$A435="agile-bonbon-662",_xlfn.IFS(LEFT($G435,9)="Tranche 1","DELETE",$C435="Sessions_Level_1_All_Sites","KEEP",ISNUMBER(--$C435),"REVIEW — UA raw logs",$C435="Emag_Reporting","KEEP",$C435="Nutrition_Data_Archived_Tables","KEEP",$C435="EU_Data","KEEP",TRUE,"REVIEW"),OR($A435="thg-influencer",$A435="thg-ingenuity",$A435="thg-central-marketing",$A435="thg-seoclarity"),"HOLD",TRUE,"")</f>
        <v/>
      </c>
      <c r="R435" t="str" cm="1">
        <f t="array" ref="R435">_xlfn.IFS(AND($A435="thg-beauty",ISNUMBER(SEARCH("liveramp",$C435))),"thg-beauty Liveramp dataset — confirmed safe to delete",$A435="agile-bonbon-662",_xlfn.IFS(LEFT($G435,9)="Tranche 1","Tranche 1: cleared",$C435="Sessions_Level_1_All_Sites","Downstream aggregation of UA raw logs — keep if raw tables go",ISNUMBER(--$C435),"UA raw site logs (account ID) — keep pending audit-retention check",$C435="Emag_Reporting","Legacy but likely needed",$C435="Nutrition_Data_Archived_Tables","Worth keeping",$C435="EU_Data","Static lookup tables — scripts still reference (smoke-test risk)",TRUE,"Review"),OR($A435="thg-influencer",$A435="thg-ingenuity",$A435="thg-central-marketing",$A435="thg-seoclarity"),"HOLD — Charlie Stringer to review before deletion",TRUE,"")</f>
        <v/>
      </c>
      <c r="S435" t="s">
        <v>1624</v>
      </c>
    </row>
    <row r="436" spans="1:19" ht="76.5" hidden="1">
      <c r="A436" t="s">
        <v>1471</v>
      </c>
      <c r="B436" t="s">
        <v>1619</v>
      </c>
      <c r="C436" t="s">
        <v>2580</v>
      </c>
      <c r="E436">
        <v>80.55</v>
      </c>
      <c r="F436">
        <v>1.61</v>
      </c>
      <c r="G436" t="s">
        <v>79</v>
      </c>
      <c r="H436" t="s">
        <v>81</v>
      </c>
      <c r="I436">
        <v>0</v>
      </c>
      <c r="J436">
        <v>0</v>
      </c>
      <c r="K436" s="5">
        <v>46197.453805775462</v>
      </c>
      <c r="L436" s="5">
        <v>46197.453805775462</v>
      </c>
      <c r="M436" s="2" t="s">
        <v>2581</v>
      </c>
      <c r="N436" s="2" t="s">
        <v>2581</v>
      </c>
      <c r="O436" s="5">
        <v>46197.453909178243</v>
      </c>
      <c r="P436" t="str">
        <f>IF($Q436="DELETE",IF($S436="CONFIRMED: NO MODS &gt; 1YR","CONFIRMED: NO MODS &gt; 1YR","DO NOT DELETE — not defensibly confirmed"),IF($Q436="HOLD","DO NOT DELETE — HOLD (Charlie review)",IF($Q436="KEEP","DO NOT DELETE — KEEP",IF(ISNUMBER(SEARCH("REVIEW",$Q436)),"DO NOT DELETE — REVIEW pending",$S436))))</f>
        <v>REVIEW</v>
      </c>
      <c r="Q436" t="str" cm="1">
        <f t="array" ref="Q436">_xlfn.IFS(AND($A436="thg-beauty",ISNUMBER(SEARCH("liveramp",$C436))),"DELETE",$A436="agile-bonbon-662",_xlfn.IFS(LEFT($G436,9)="Tranche 1","DELETE",$C436="Sessions_Level_1_All_Sites","KEEP",ISNUMBER(--$C436),"REVIEW — UA raw logs",$C436="Emag_Reporting","KEEP",$C436="Nutrition_Data_Archived_Tables","KEEP",$C436="EU_Data","KEEP",TRUE,"REVIEW"),OR($A436="thg-influencer",$A436="thg-ingenuity",$A436="thg-central-marketing",$A436="thg-seoclarity"),"HOLD",TRUE,"")</f>
        <v/>
      </c>
      <c r="R436" t="str" cm="1">
        <f t="array" ref="R436">_xlfn.IFS(AND($A436="thg-beauty",ISNUMBER(SEARCH("liveramp",$C436))),"thg-beauty Liveramp dataset — confirmed safe to delete",$A436="agile-bonbon-662",_xlfn.IFS(LEFT($G436,9)="Tranche 1","Tranche 1: cleared",$C436="Sessions_Level_1_All_Sites","Downstream aggregation of UA raw logs — keep if raw tables go",ISNUMBER(--$C436),"UA raw site logs (account ID) — keep pending audit-retention check",$C436="Emag_Reporting","Legacy but likely needed",$C436="Nutrition_Data_Archived_Tables","Worth keeping",$C436="EU_Data","Static lookup tables — scripts still reference (smoke-test risk)",TRUE,"Review"),OR($A436="thg-influencer",$A436="thg-ingenuity",$A436="thg-central-marketing",$A436="thg-seoclarity"),"HOLD — Charlie Stringer to review before deletion",TRUE,"")</f>
        <v/>
      </c>
      <c r="S436" t="s">
        <v>1631</v>
      </c>
    </row>
    <row r="437" spans="1:19" ht="76.5" hidden="1">
      <c r="A437" t="s">
        <v>39</v>
      </c>
      <c r="B437" t="s">
        <v>1619</v>
      </c>
      <c r="C437" t="s">
        <v>2582</v>
      </c>
      <c r="D437" s="2" t="s">
        <v>1621</v>
      </c>
      <c r="E437">
        <v>79.36</v>
      </c>
      <c r="F437">
        <v>1.59</v>
      </c>
      <c r="G437" t="s">
        <v>79</v>
      </c>
      <c r="H437" t="s">
        <v>81</v>
      </c>
      <c r="I437">
        <v>0</v>
      </c>
      <c r="J437">
        <v>0</v>
      </c>
      <c r="K437" s="5">
        <v>46197.441602893523</v>
      </c>
      <c r="L437" s="5">
        <v>46197.435996851847</v>
      </c>
      <c r="M437" s="2" t="s">
        <v>2583</v>
      </c>
      <c r="N437" s="2" t="s">
        <v>2584</v>
      </c>
      <c r="O437" s="5">
        <v>46197.436029571763</v>
      </c>
      <c r="P437" t="str">
        <f>IF($Q437="DELETE",IF($S437="CONFIRMED: NO MODS &gt; 1YR","CONFIRMED: NO MODS &gt; 1YR","DO NOT DELETE — not defensibly confirmed"),IF($Q437="HOLD","DO NOT DELETE — HOLD (Charlie review)",IF($Q437="KEEP","DO NOT DELETE — KEEP",IF(ISNUMBER(SEARCH("REVIEW",$Q437)),"DO NOT DELETE — REVIEW pending",$S437))))</f>
        <v>DO NOT DELETE — HOLD (Charlie review)</v>
      </c>
      <c r="Q437" t="str" cm="1">
        <f t="array" ref="Q437">_xlfn.IFS(AND($A437="thg-beauty",ISNUMBER(SEARCH("liveramp",$C437))),"DELETE",$A437="agile-bonbon-662",_xlfn.IFS(LEFT($G437,9)="Tranche 1","DELETE",$C437="Sessions_Level_1_All_Sites","KEEP",ISNUMBER(--$C437),"REVIEW — UA raw logs",$C437="Emag_Reporting","KEEP",$C437="Nutrition_Data_Archived_Tables","KEEP",$C437="EU_Data","KEEP",TRUE,"REVIEW"),OR($A437="thg-influencer",$A437="thg-ingenuity",$A437="thg-central-marketing",$A437="thg-seoclarity"),"HOLD",TRUE,"")</f>
        <v>HOLD</v>
      </c>
      <c r="R437" t="str" cm="1">
        <f t="array" ref="R437">_xlfn.IFS(AND($A437="thg-beauty",ISNUMBER(SEARCH("liveramp",$C437))),"thg-beauty Liveramp dataset — confirmed safe to delete",$A437="agile-bonbon-662",_xlfn.IFS(LEFT($G437,9)="Tranche 1","Tranche 1: cleared",$C437="Sessions_Level_1_All_Sites","Downstream aggregation of UA raw logs — keep if raw tables go",ISNUMBER(--$C437),"UA raw site logs (account ID) — keep pending audit-retention check",$C437="Emag_Reporting","Legacy but likely needed",$C437="Nutrition_Data_Archived_Tables","Worth keeping",$C437="EU_Data","Static lookup tables — scripts still reference (smoke-test risk)",TRUE,"Review"),OR($A437="thg-influencer",$A437="thg-ingenuity",$A437="thg-central-marketing",$A437="thg-seoclarity"),"HOLD — Charlie Stringer to review before deletion",TRUE,"")</f>
        <v>HOLD — Charlie Stringer to review before deletion</v>
      </c>
      <c r="S437" t="s">
        <v>1624</v>
      </c>
    </row>
    <row r="438" spans="1:19" ht="76.5" hidden="1">
      <c r="A438" t="s">
        <v>38</v>
      </c>
      <c r="B438" t="s">
        <v>1619</v>
      </c>
      <c r="C438" t="s">
        <v>2585</v>
      </c>
      <c r="D438" s="2" t="s">
        <v>1621</v>
      </c>
      <c r="E438">
        <v>78.13</v>
      </c>
      <c r="F438">
        <v>1.56</v>
      </c>
      <c r="G438" t="s">
        <v>79</v>
      </c>
      <c r="H438" t="s">
        <v>81</v>
      </c>
      <c r="I438">
        <v>0</v>
      </c>
      <c r="J438">
        <v>0</v>
      </c>
      <c r="K438" s="5">
        <v>46196.835124722224</v>
      </c>
      <c r="L438" s="5">
        <v>46196.776400150462</v>
      </c>
      <c r="M438" s="2" t="s">
        <v>2586</v>
      </c>
      <c r="N438" s="2" t="s">
        <v>2587</v>
      </c>
      <c r="O438" s="5">
        <v>46196.776496550927</v>
      </c>
      <c r="P438" t="str">
        <f>IF($Q438="DELETE",IF($S438="CONFIRMED: NO MODS &gt; 1YR","CONFIRMED: NO MODS &gt; 1YR","DO NOT DELETE — not defensibly confirmed"),IF($Q438="HOLD","DO NOT DELETE — HOLD (Charlie review)",IF($Q438="KEEP","DO NOT DELETE — KEEP",IF(ISNUMBER(SEARCH("REVIEW",$Q438)),"DO NOT DELETE — REVIEW pending",$S438))))</f>
        <v>DO NOT DELETE — HOLD (Charlie review)</v>
      </c>
      <c r="Q438" t="str" cm="1">
        <f t="array" ref="Q438">_xlfn.IFS(AND($A438="thg-beauty",ISNUMBER(SEARCH("liveramp",$C438))),"DELETE",$A438="agile-bonbon-662",_xlfn.IFS(LEFT($G438,9)="Tranche 1","DELETE",$C438="Sessions_Level_1_All_Sites","KEEP",ISNUMBER(--$C438),"REVIEW — UA raw logs",$C438="Emag_Reporting","KEEP",$C438="Nutrition_Data_Archived_Tables","KEEP",$C438="EU_Data","KEEP",TRUE,"REVIEW"),OR($A438="thg-influencer",$A438="thg-ingenuity",$A438="thg-central-marketing",$A438="thg-seoclarity"),"HOLD",TRUE,"")</f>
        <v>HOLD</v>
      </c>
      <c r="R438" t="str" cm="1">
        <f t="array" ref="R438">_xlfn.IFS(AND($A438="thg-beauty",ISNUMBER(SEARCH("liveramp",$C438))),"thg-beauty Liveramp dataset — confirmed safe to delete",$A438="agile-bonbon-662",_xlfn.IFS(LEFT($G438,9)="Tranche 1","Tranche 1: cleared",$C438="Sessions_Level_1_All_Sites","Downstream aggregation of UA raw logs — keep if raw tables go",ISNUMBER(--$C438),"UA raw site logs (account ID) — keep pending audit-retention check",$C438="Emag_Reporting","Legacy but likely needed",$C438="Nutrition_Data_Archived_Tables","Worth keeping",$C438="EU_Data","Static lookup tables — scripts still reference (smoke-test risk)",TRUE,"Review"),OR($A438="thg-influencer",$A438="thg-ingenuity",$A438="thg-central-marketing",$A438="thg-seoclarity"),"HOLD — Charlie Stringer to review before deletion",TRUE,"")</f>
        <v>HOLD — Charlie Stringer to review before deletion</v>
      </c>
      <c r="S438" t="s">
        <v>1624</v>
      </c>
    </row>
    <row r="439" spans="1:19" ht="76.5" hidden="1">
      <c r="A439" t="s">
        <v>89</v>
      </c>
      <c r="B439" t="s">
        <v>1619</v>
      </c>
      <c r="C439" t="s">
        <v>2588</v>
      </c>
      <c r="D439" s="2" t="s">
        <v>1621</v>
      </c>
      <c r="E439">
        <v>76.88</v>
      </c>
      <c r="F439">
        <v>1.54</v>
      </c>
      <c r="G439" t="s">
        <v>79</v>
      </c>
      <c r="H439" t="s">
        <v>81</v>
      </c>
      <c r="I439">
        <v>0</v>
      </c>
      <c r="J439">
        <v>0</v>
      </c>
      <c r="K439" s="5">
        <v>46197.342542465267</v>
      </c>
      <c r="L439" s="5">
        <v>46197.420682824071</v>
      </c>
      <c r="M439" s="2" t="s">
        <v>2589</v>
      </c>
      <c r="N439" s="2" t="s">
        <v>2590</v>
      </c>
      <c r="O439" s="5">
        <v>46197.420850601848</v>
      </c>
      <c r="P439" t="str">
        <f>IF($Q439="DELETE",IF($S439="CONFIRMED: NO MODS &gt; 1YR","CONFIRMED: NO MODS &gt; 1YR","DO NOT DELETE — not defensibly confirmed"),IF($Q439="HOLD","DO NOT DELETE — HOLD (Charlie review)",IF($Q439="KEEP","DO NOT DELETE — KEEP",IF(ISNUMBER(SEARCH("REVIEW",$Q439)),"DO NOT DELETE — REVIEW pending",$S439))))</f>
        <v>DO NOT DELETE — REVIEW pending</v>
      </c>
      <c r="Q439" t="str" cm="1">
        <f t="array" ref="Q439">_xlfn.IFS(AND($A439="thg-beauty",ISNUMBER(SEARCH("liveramp",$C439))),"DELETE",$A439="agile-bonbon-662",_xlfn.IFS(LEFT($G439,9)="Tranche 1","DELETE",$C439="Sessions_Level_1_All_Sites","KEEP",ISNUMBER(--$C439),"REVIEW — UA raw logs",$C439="Emag_Reporting","KEEP",$C439="Nutrition_Data_Archived_Tables","KEEP",$C439="EU_Data","KEEP",TRUE,"REVIEW"),OR($A439="thg-influencer",$A439="thg-ingenuity",$A439="thg-central-marketing",$A439="thg-seoclarity"),"HOLD",TRUE,"")</f>
        <v>REVIEW</v>
      </c>
      <c r="R439" t="str" cm="1">
        <f t="array" ref="R439">_xlfn.IFS(AND($A439="thg-beauty",ISNUMBER(SEARCH("liveramp",$C439))),"thg-beauty Liveramp dataset — confirmed safe to delete",$A439="agile-bonbon-662",_xlfn.IFS(LEFT($G439,9)="Tranche 1","Tranche 1: cleared",$C439="Sessions_Level_1_All_Sites","Downstream aggregation of UA raw logs — keep if raw tables go",ISNUMBER(--$C439),"UA raw site logs (account ID) — keep pending audit-retention check",$C439="Emag_Reporting","Legacy but likely needed",$C439="Nutrition_Data_Archived_Tables","Worth keeping",$C439="EU_Data","Static lookup tables — scripts still reference (smoke-test risk)",TRUE,"Review"),OR($A439="thg-influencer",$A439="thg-ingenuity",$A439="thg-central-marketing",$A439="thg-seoclarity"),"HOLD — Charlie Stringer to review before deletion",TRUE,"")</f>
        <v>Review</v>
      </c>
      <c r="S439" t="s">
        <v>1624</v>
      </c>
    </row>
    <row r="440" spans="1:19" hidden="1">
      <c r="A440" t="s">
        <v>39</v>
      </c>
      <c r="B440" t="s">
        <v>1724</v>
      </c>
      <c r="C440" t="s">
        <v>2591</v>
      </c>
      <c r="D440" s="2" t="s">
        <v>1621</v>
      </c>
      <c r="E440">
        <v>74.56</v>
      </c>
      <c r="F440">
        <v>1.49</v>
      </c>
      <c r="G440" t="s">
        <v>79</v>
      </c>
      <c r="H440" t="s">
        <v>81</v>
      </c>
      <c r="I440">
        <v>0</v>
      </c>
      <c r="J440">
        <v>0</v>
      </c>
      <c r="M440" s="2" t="s">
        <v>1715</v>
      </c>
      <c r="N440" s="2" t="s">
        <v>1701</v>
      </c>
      <c r="O440" s="5">
        <v>46197.446652002312</v>
      </c>
      <c r="P440" t="str">
        <f>IF($Q440="DELETE",IF($S440="CONFIRMED: NO MODS &gt; 1YR","CONFIRMED: NO MODS &gt; 1YR","DO NOT DELETE — not defensibly confirmed"),IF($Q440="HOLD","DO NOT DELETE — HOLD (Charlie review)",IF($Q440="KEEP","DO NOT DELETE — KEEP",IF(ISNUMBER(SEARCH("REVIEW",$Q440)),"DO NOT DELETE — REVIEW pending",$S440))))</f>
        <v>DO NOT DELETE — HOLD (Charlie review)</v>
      </c>
      <c r="Q440" t="str" cm="1">
        <f t="array" ref="Q440">_xlfn.IFS(AND($A440="thg-beauty",ISNUMBER(SEARCH("liveramp",$C440))),"DELETE",$A440="agile-bonbon-662",_xlfn.IFS(LEFT($G440,9)="Tranche 1","DELETE",$C440="Sessions_Level_1_All_Sites","KEEP",ISNUMBER(--$C440),"REVIEW — UA raw logs",$C440="Emag_Reporting","KEEP",$C440="Nutrition_Data_Archived_Tables","KEEP",$C440="EU_Data","KEEP",TRUE,"REVIEW"),OR($A440="thg-influencer",$A440="thg-ingenuity",$A440="thg-central-marketing",$A440="thg-seoclarity"),"HOLD",TRUE,"")</f>
        <v>HOLD</v>
      </c>
      <c r="R440" t="str" cm="1">
        <f t="array" ref="R440">_xlfn.IFS(AND($A440="thg-beauty",ISNUMBER(SEARCH("liveramp",$C440))),"thg-beauty Liveramp dataset — confirmed safe to delete",$A440="agile-bonbon-662",_xlfn.IFS(LEFT($G440,9)="Tranche 1","Tranche 1: cleared",$C440="Sessions_Level_1_All_Sites","Downstream aggregation of UA raw logs — keep if raw tables go",ISNUMBER(--$C440),"UA raw site logs (account ID) — keep pending audit-retention check",$C440="Emag_Reporting","Legacy but likely needed",$C440="Nutrition_Data_Archived_Tables","Worth keeping",$C440="EU_Data","Static lookup tables — scripts still reference (smoke-test risk)",TRUE,"Review"),OR($A440="thg-influencer",$A440="thg-ingenuity",$A440="thg-central-marketing",$A440="thg-seoclarity"),"HOLD — Charlie Stringer to review before deletion",TRUE,"")</f>
        <v>HOLD — Charlie Stringer to review before deletion</v>
      </c>
      <c r="S440" t="s">
        <v>1624</v>
      </c>
    </row>
    <row r="441" spans="1:19" ht="76.5" hidden="1">
      <c r="A441" t="s">
        <v>39</v>
      </c>
      <c r="B441" t="s">
        <v>1619</v>
      </c>
      <c r="C441" t="s">
        <v>2591</v>
      </c>
      <c r="D441" s="2" t="s">
        <v>1621</v>
      </c>
      <c r="E441">
        <v>74.56</v>
      </c>
      <c r="F441">
        <v>1.49</v>
      </c>
      <c r="G441" t="s">
        <v>79</v>
      </c>
      <c r="H441" t="s">
        <v>81</v>
      </c>
      <c r="I441">
        <v>0</v>
      </c>
      <c r="J441">
        <v>0</v>
      </c>
      <c r="K441" s="5">
        <v>46197.446599212963</v>
      </c>
      <c r="L441" s="5">
        <v>46197.44662516204</v>
      </c>
      <c r="M441" s="2" t="s">
        <v>2592</v>
      </c>
      <c r="N441" s="2" t="s">
        <v>2593</v>
      </c>
      <c r="O441" s="5">
        <v>46197.446652002312</v>
      </c>
      <c r="P441" t="str">
        <f>IF($Q441="DELETE",IF($S441="CONFIRMED: NO MODS &gt; 1YR","CONFIRMED: NO MODS &gt; 1YR","DO NOT DELETE — not defensibly confirmed"),IF($Q441="HOLD","DO NOT DELETE — HOLD (Charlie review)",IF($Q441="KEEP","DO NOT DELETE — KEEP",IF(ISNUMBER(SEARCH("REVIEW",$Q441)),"DO NOT DELETE — REVIEW pending",$S441))))</f>
        <v>DO NOT DELETE — HOLD (Charlie review)</v>
      </c>
      <c r="Q441" t="str" cm="1">
        <f t="array" ref="Q441">_xlfn.IFS(AND($A441="thg-beauty",ISNUMBER(SEARCH("liveramp",$C441))),"DELETE",$A441="agile-bonbon-662",_xlfn.IFS(LEFT($G441,9)="Tranche 1","DELETE",$C441="Sessions_Level_1_All_Sites","KEEP",ISNUMBER(--$C441),"REVIEW — UA raw logs",$C441="Emag_Reporting","KEEP",$C441="Nutrition_Data_Archived_Tables","KEEP",$C441="EU_Data","KEEP",TRUE,"REVIEW"),OR($A441="thg-influencer",$A441="thg-ingenuity",$A441="thg-central-marketing",$A441="thg-seoclarity"),"HOLD",TRUE,"")</f>
        <v>HOLD</v>
      </c>
      <c r="R441" t="str" cm="1">
        <f t="array" ref="R441">_xlfn.IFS(AND($A441="thg-beauty",ISNUMBER(SEARCH("liveramp",$C441))),"thg-beauty Liveramp dataset — confirmed safe to delete",$A441="agile-bonbon-662",_xlfn.IFS(LEFT($G441,9)="Tranche 1","Tranche 1: cleared",$C441="Sessions_Level_1_All_Sites","Downstream aggregation of UA raw logs — keep if raw tables go",ISNUMBER(--$C441),"UA raw site logs (account ID) — keep pending audit-retention check",$C441="Emag_Reporting","Legacy but likely needed",$C441="Nutrition_Data_Archived_Tables","Worth keeping",$C441="EU_Data","Static lookup tables — scripts still reference (smoke-test risk)",TRUE,"Review"),OR($A441="thg-influencer",$A441="thg-ingenuity",$A441="thg-central-marketing",$A441="thg-seoclarity"),"HOLD — Charlie Stringer to review before deletion",TRUE,"")</f>
        <v>HOLD — Charlie Stringer to review before deletion</v>
      </c>
      <c r="S441" t="s">
        <v>1624</v>
      </c>
    </row>
    <row r="442" spans="1:19" ht="76.5" hidden="1">
      <c r="A442" t="s">
        <v>38</v>
      </c>
      <c r="B442" t="s">
        <v>1619</v>
      </c>
      <c r="C442" t="s">
        <v>2594</v>
      </c>
      <c r="D442" s="2" t="s">
        <v>1621</v>
      </c>
      <c r="E442">
        <v>72.709999999999994</v>
      </c>
      <c r="F442">
        <v>1.45</v>
      </c>
      <c r="G442" t="s">
        <v>79</v>
      </c>
      <c r="H442" t="s">
        <v>81</v>
      </c>
      <c r="I442">
        <v>0</v>
      </c>
      <c r="J442">
        <v>0</v>
      </c>
      <c r="L442" s="5">
        <v>46197.452312569447</v>
      </c>
      <c r="M442" s="2" t="s">
        <v>1715</v>
      </c>
      <c r="N442" s="2" t="s">
        <v>2595</v>
      </c>
      <c r="O442" s="5">
        <v>46197.446370879632</v>
      </c>
      <c r="P442" t="str">
        <f>IF($Q442="DELETE",IF($S442="CONFIRMED: NO MODS &gt; 1YR","CONFIRMED: NO MODS &gt; 1YR","DO NOT DELETE — not defensibly confirmed"),IF($Q442="HOLD","DO NOT DELETE — HOLD (Charlie review)",IF($Q442="KEEP","DO NOT DELETE — KEEP",IF(ISNUMBER(SEARCH("REVIEW",$Q442)),"DO NOT DELETE — REVIEW pending",$S442))))</f>
        <v>DO NOT DELETE — HOLD (Charlie review)</v>
      </c>
      <c r="Q442" t="str" cm="1">
        <f t="array" ref="Q442">_xlfn.IFS(AND($A442="thg-beauty",ISNUMBER(SEARCH("liveramp",$C442))),"DELETE",$A442="agile-bonbon-662",_xlfn.IFS(LEFT($G442,9)="Tranche 1","DELETE",$C442="Sessions_Level_1_All_Sites","KEEP",ISNUMBER(--$C442),"REVIEW — UA raw logs",$C442="Emag_Reporting","KEEP",$C442="Nutrition_Data_Archived_Tables","KEEP",$C442="EU_Data","KEEP",TRUE,"REVIEW"),OR($A442="thg-influencer",$A442="thg-ingenuity",$A442="thg-central-marketing",$A442="thg-seoclarity"),"HOLD",TRUE,"")</f>
        <v>HOLD</v>
      </c>
      <c r="R442" t="str" cm="1">
        <f t="array" ref="R442">_xlfn.IFS(AND($A442="thg-beauty",ISNUMBER(SEARCH("liveramp",$C442))),"thg-beauty Liveramp dataset — confirmed safe to delete",$A442="agile-bonbon-662",_xlfn.IFS(LEFT($G442,9)="Tranche 1","Tranche 1: cleared",$C442="Sessions_Level_1_All_Sites","Downstream aggregation of UA raw logs — keep if raw tables go",ISNUMBER(--$C442),"UA raw site logs (account ID) — keep pending audit-retention check",$C442="Emag_Reporting","Legacy but likely needed",$C442="Nutrition_Data_Archived_Tables","Worth keeping",$C442="EU_Data","Static lookup tables — scripts still reference (smoke-test risk)",TRUE,"Review"),OR($A442="thg-influencer",$A442="thg-ingenuity",$A442="thg-central-marketing",$A442="thg-seoclarity"),"HOLD — Charlie Stringer to review before deletion",TRUE,"")</f>
        <v>HOLD — Charlie Stringer to review before deletion</v>
      </c>
      <c r="S442" t="s">
        <v>1624</v>
      </c>
    </row>
    <row r="443" spans="1:19" ht="76.5" hidden="1">
      <c r="A443" t="s">
        <v>39</v>
      </c>
      <c r="B443" t="s">
        <v>1619</v>
      </c>
      <c r="C443" t="s">
        <v>2596</v>
      </c>
      <c r="D443" s="2" t="s">
        <v>1621</v>
      </c>
      <c r="E443">
        <v>69.64</v>
      </c>
      <c r="F443">
        <v>1.39</v>
      </c>
      <c r="G443" t="s">
        <v>79</v>
      </c>
      <c r="H443" t="s">
        <v>81</v>
      </c>
      <c r="I443">
        <v>0</v>
      </c>
      <c r="J443">
        <v>0</v>
      </c>
      <c r="K443" s="5">
        <v>46197.084207719898</v>
      </c>
      <c r="L443" s="5">
        <v>46197.048396307873</v>
      </c>
      <c r="M443" s="2" t="s">
        <v>2597</v>
      </c>
      <c r="N443" s="2" t="s">
        <v>2598</v>
      </c>
      <c r="O443" s="5">
        <v>46197.048445162043</v>
      </c>
      <c r="P443" t="str">
        <f>IF($Q443="DELETE",IF($S443="CONFIRMED: NO MODS &gt; 1YR","CONFIRMED: NO MODS &gt; 1YR","DO NOT DELETE — not defensibly confirmed"),IF($Q443="HOLD","DO NOT DELETE — HOLD (Charlie review)",IF($Q443="KEEP","DO NOT DELETE — KEEP",IF(ISNUMBER(SEARCH("REVIEW",$Q443)),"DO NOT DELETE — REVIEW pending",$S443))))</f>
        <v>DO NOT DELETE — HOLD (Charlie review)</v>
      </c>
      <c r="Q443" t="str" cm="1">
        <f t="array" ref="Q443">_xlfn.IFS(AND($A443="thg-beauty",ISNUMBER(SEARCH("liveramp",$C443))),"DELETE",$A443="agile-bonbon-662",_xlfn.IFS(LEFT($G443,9)="Tranche 1","DELETE",$C443="Sessions_Level_1_All_Sites","KEEP",ISNUMBER(--$C443),"REVIEW — UA raw logs",$C443="Emag_Reporting","KEEP",$C443="Nutrition_Data_Archived_Tables","KEEP",$C443="EU_Data","KEEP",TRUE,"REVIEW"),OR($A443="thg-influencer",$A443="thg-ingenuity",$A443="thg-central-marketing",$A443="thg-seoclarity"),"HOLD",TRUE,"")</f>
        <v>HOLD</v>
      </c>
      <c r="R443" t="str" cm="1">
        <f t="array" ref="R443">_xlfn.IFS(AND($A443="thg-beauty",ISNUMBER(SEARCH("liveramp",$C443))),"thg-beauty Liveramp dataset — confirmed safe to delete",$A443="agile-bonbon-662",_xlfn.IFS(LEFT($G443,9)="Tranche 1","Tranche 1: cleared",$C443="Sessions_Level_1_All_Sites","Downstream aggregation of UA raw logs — keep if raw tables go",ISNUMBER(--$C443),"UA raw site logs (account ID) — keep pending audit-retention check",$C443="Emag_Reporting","Legacy but likely needed",$C443="Nutrition_Data_Archived_Tables","Worth keeping",$C443="EU_Data","Static lookup tables — scripts still reference (smoke-test risk)",TRUE,"Review"),OR($A443="thg-influencer",$A443="thg-ingenuity",$A443="thg-central-marketing",$A443="thg-seoclarity"),"HOLD — Charlie Stringer to review before deletion",TRUE,"")</f>
        <v>HOLD — Charlie Stringer to review before deletion</v>
      </c>
      <c r="S443" t="s">
        <v>1624</v>
      </c>
    </row>
    <row r="444" spans="1:19" ht="76.5" hidden="1">
      <c r="A444" t="s">
        <v>38</v>
      </c>
      <c r="B444" t="s">
        <v>1619</v>
      </c>
      <c r="C444" t="s">
        <v>2599</v>
      </c>
      <c r="D444" s="2" t="s">
        <v>1621</v>
      </c>
      <c r="E444">
        <v>69.400000000000006</v>
      </c>
      <c r="F444">
        <v>1.39</v>
      </c>
      <c r="G444" t="s">
        <v>79</v>
      </c>
      <c r="H444" t="s">
        <v>81</v>
      </c>
      <c r="I444">
        <v>0</v>
      </c>
      <c r="J444">
        <v>0</v>
      </c>
      <c r="L444" s="5">
        <v>46197.443633333343</v>
      </c>
      <c r="M444" s="2" t="s">
        <v>1715</v>
      </c>
      <c r="N444" s="2" t="s">
        <v>2600</v>
      </c>
      <c r="O444" s="5">
        <v>46197.443679594908</v>
      </c>
      <c r="P444" t="str">
        <f>IF($Q444="DELETE",IF($S444="CONFIRMED: NO MODS &gt; 1YR","CONFIRMED: NO MODS &gt; 1YR","DO NOT DELETE — not defensibly confirmed"),IF($Q444="HOLD","DO NOT DELETE — HOLD (Charlie review)",IF($Q444="KEEP","DO NOT DELETE — KEEP",IF(ISNUMBER(SEARCH("REVIEW",$Q444)),"DO NOT DELETE — REVIEW pending",$S444))))</f>
        <v>DO NOT DELETE — HOLD (Charlie review)</v>
      </c>
      <c r="Q444" t="str" cm="1">
        <f t="array" ref="Q444">_xlfn.IFS(AND($A444="thg-beauty",ISNUMBER(SEARCH("liveramp",$C444))),"DELETE",$A444="agile-bonbon-662",_xlfn.IFS(LEFT($G444,9)="Tranche 1","DELETE",$C444="Sessions_Level_1_All_Sites","KEEP",ISNUMBER(--$C444),"REVIEW — UA raw logs",$C444="Emag_Reporting","KEEP",$C444="Nutrition_Data_Archived_Tables","KEEP",$C444="EU_Data","KEEP",TRUE,"REVIEW"),OR($A444="thg-influencer",$A444="thg-ingenuity",$A444="thg-central-marketing",$A444="thg-seoclarity"),"HOLD",TRUE,"")</f>
        <v>HOLD</v>
      </c>
      <c r="R444" t="str" cm="1">
        <f t="array" ref="R444">_xlfn.IFS(AND($A444="thg-beauty",ISNUMBER(SEARCH("liveramp",$C444))),"thg-beauty Liveramp dataset — confirmed safe to delete",$A444="agile-bonbon-662",_xlfn.IFS(LEFT($G444,9)="Tranche 1","Tranche 1: cleared",$C444="Sessions_Level_1_All_Sites","Downstream aggregation of UA raw logs — keep if raw tables go",ISNUMBER(--$C444),"UA raw site logs (account ID) — keep pending audit-retention check",$C444="Emag_Reporting","Legacy but likely needed",$C444="Nutrition_Data_Archived_Tables","Worth keeping",$C444="EU_Data","Static lookup tables — scripts still reference (smoke-test risk)",TRUE,"Review"),OR($A444="thg-influencer",$A444="thg-ingenuity",$A444="thg-central-marketing",$A444="thg-seoclarity"),"HOLD — Charlie Stringer to review before deletion",TRUE,"")</f>
        <v>HOLD — Charlie Stringer to review before deletion</v>
      </c>
      <c r="S444" t="s">
        <v>1624</v>
      </c>
    </row>
    <row r="445" spans="1:19" ht="76.5" hidden="1">
      <c r="A445" t="s">
        <v>89</v>
      </c>
      <c r="B445" t="s">
        <v>1619</v>
      </c>
      <c r="C445" t="s">
        <v>2591</v>
      </c>
      <c r="D445" s="2" t="s">
        <v>1621</v>
      </c>
      <c r="E445">
        <v>69.38</v>
      </c>
      <c r="F445">
        <v>1.39</v>
      </c>
      <c r="G445" t="s">
        <v>79</v>
      </c>
      <c r="H445" t="s">
        <v>81</v>
      </c>
      <c r="I445">
        <v>0</v>
      </c>
      <c r="J445">
        <v>0</v>
      </c>
      <c r="K445" s="5">
        <v>46176.407854537043</v>
      </c>
      <c r="L445" s="5">
        <v>46197.166860428239</v>
      </c>
      <c r="M445" s="2" t="s">
        <v>2601</v>
      </c>
      <c r="N445" s="2" t="s">
        <v>2602</v>
      </c>
      <c r="O445" s="5">
        <v>46197.1678841088</v>
      </c>
      <c r="P445" t="str">
        <f>IF($Q445="DELETE",IF($S445="CONFIRMED: NO MODS &gt; 1YR","CONFIRMED: NO MODS &gt; 1YR","DO NOT DELETE — not defensibly confirmed"),IF($Q445="HOLD","DO NOT DELETE — HOLD (Charlie review)",IF($Q445="KEEP","DO NOT DELETE — KEEP",IF(ISNUMBER(SEARCH("REVIEW",$Q445)),"DO NOT DELETE — REVIEW pending",$S445))))</f>
        <v>DO NOT DELETE — REVIEW pending</v>
      </c>
      <c r="Q445" t="str" cm="1">
        <f t="array" ref="Q445">_xlfn.IFS(AND($A445="thg-beauty",ISNUMBER(SEARCH("liveramp",$C445))),"DELETE",$A445="agile-bonbon-662",_xlfn.IFS(LEFT($G445,9)="Tranche 1","DELETE",$C445="Sessions_Level_1_All_Sites","KEEP",ISNUMBER(--$C445),"REVIEW — UA raw logs",$C445="Emag_Reporting","KEEP",$C445="Nutrition_Data_Archived_Tables","KEEP",$C445="EU_Data","KEEP",TRUE,"REVIEW"),OR($A445="thg-influencer",$A445="thg-ingenuity",$A445="thg-central-marketing",$A445="thg-seoclarity"),"HOLD",TRUE,"")</f>
        <v>REVIEW</v>
      </c>
      <c r="R445" t="str" cm="1">
        <f t="array" ref="R445">_xlfn.IFS(AND($A445="thg-beauty",ISNUMBER(SEARCH("liveramp",$C445))),"thg-beauty Liveramp dataset — confirmed safe to delete",$A445="agile-bonbon-662",_xlfn.IFS(LEFT($G445,9)="Tranche 1","Tranche 1: cleared",$C445="Sessions_Level_1_All_Sites","Downstream aggregation of UA raw logs — keep if raw tables go",ISNUMBER(--$C445),"UA raw site logs (account ID) — keep pending audit-retention check",$C445="Emag_Reporting","Legacy but likely needed",$C445="Nutrition_Data_Archived_Tables","Worth keeping",$C445="EU_Data","Static lookup tables — scripts still reference (smoke-test risk)",TRUE,"Review"),OR($A445="thg-influencer",$A445="thg-ingenuity",$A445="thg-central-marketing",$A445="thg-seoclarity"),"HOLD — Charlie Stringer to review before deletion",TRUE,"")</f>
        <v>Review</v>
      </c>
      <c r="S445" t="s">
        <v>1624</v>
      </c>
    </row>
    <row r="446" spans="1:19" ht="76.5" hidden="1">
      <c r="A446" t="s">
        <v>89</v>
      </c>
      <c r="B446" t="s">
        <v>1619</v>
      </c>
      <c r="C446" t="s">
        <v>2603</v>
      </c>
      <c r="D446" s="2" t="s">
        <v>1621</v>
      </c>
      <c r="E446">
        <v>63.79</v>
      </c>
      <c r="F446">
        <v>1.28</v>
      </c>
      <c r="G446" t="s">
        <v>79</v>
      </c>
      <c r="H446" t="s">
        <v>81</v>
      </c>
      <c r="I446">
        <v>0</v>
      </c>
      <c r="J446">
        <v>0</v>
      </c>
      <c r="K446" s="5">
        <v>46194.125200995368</v>
      </c>
      <c r="L446" s="5">
        <v>46197.338772754629</v>
      </c>
      <c r="M446" s="2" t="s">
        <v>2260</v>
      </c>
      <c r="N446" s="2" t="s">
        <v>2604</v>
      </c>
      <c r="O446" s="5">
        <v>46197.338817534721</v>
      </c>
      <c r="P446" t="str">
        <f>IF($Q446="DELETE",IF($S446="CONFIRMED: NO MODS &gt; 1YR","CONFIRMED: NO MODS &gt; 1YR","DO NOT DELETE — not defensibly confirmed"),IF($Q446="HOLD","DO NOT DELETE — HOLD (Charlie review)",IF($Q446="KEEP","DO NOT DELETE — KEEP",IF(ISNUMBER(SEARCH("REVIEW",$Q446)),"DO NOT DELETE — REVIEW pending",$S446))))</f>
        <v>DO NOT DELETE — REVIEW pending</v>
      </c>
      <c r="Q446" t="str" cm="1">
        <f t="array" ref="Q446">_xlfn.IFS(AND($A446="thg-beauty",ISNUMBER(SEARCH("liveramp",$C446))),"DELETE",$A446="agile-bonbon-662",_xlfn.IFS(LEFT($G446,9)="Tranche 1","DELETE",$C446="Sessions_Level_1_All_Sites","KEEP",ISNUMBER(--$C446),"REVIEW — UA raw logs",$C446="Emag_Reporting","KEEP",$C446="Nutrition_Data_Archived_Tables","KEEP",$C446="EU_Data","KEEP",TRUE,"REVIEW"),OR($A446="thg-influencer",$A446="thg-ingenuity",$A446="thg-central-marketing",$A446="thg-seoclarity"),"HOLD",TRUE,"")</f>
        <v>REVIEW</v>
      </c>
      <c r="R446" t="str" cm="1">
        <f t="array" ref="R446">_xlfn.IFS(AND($A446="thg-beauty",ISNUMBER(SEARCH("liveramp",$C446))),"thg-beauty Liveramp dataset — confirmed safe to delete",$A446="agile-bonbon-662",_xlfn.IFS(LEFT($G446,9)="Tranche 1","Tranche 1: cleared",$C446="Sessions_Level_1_All_Sites","Downstream aggregation of UA raw logs — keep if raw tables go",ISNUMBER(--$C446),"UA raw site logs (account ID) — keep pending audit-retention check",$C446="Emag_Reporting","Legacy but likely needed",$C446="Nutrition_Data_Archived_Tables","Worth keeping",$C446="EU_Data","Static lookup tables — scripts still reference (smoke-test risk)",TRUE,"Review"),OR($A446="thg-influencer",$A446="thg-ingenuity",$A446="thg-central-marketing",$A446="thg-seoclarity"),"HOLD — Charlie Stringer to review before deletion",TRUE,"")</f>
        <v>Review</v>
      </c>
      <c r="S446" t="s">
        <v>1624</v>
      </c>
    </row>
    <row r="447" spans="1:19" ht="76.5" hidden="1">
      <c r="A447" t="s">
        <v>92</v>
      </c>
      <c r="B447" t="s">
        <v>1619</v>
      </c>
      <c r="C447" t="s">
        <v>2605</v>
      </c>
      <c r="D447" s="2" t="s">
        <v>1621</v>
      </c>
      <c r="E447">
        <v>7.85</v>
      </c>
      <c r="F447">
        <v>0.16</v>
      </c>
      <c r="G447" t="s">
        <v>79</v>
      </c>
      <c r="H447" t="s">
        <v>81</v>
      </c>
      <c r="I447">
        <v>0</v>
      </c>
      <c r="J447">
        <v>0</v>
      </c>
      <c r="K447" s="5">
        <v>46197.295083240737</v>
      </c>
      <c r="L447" s="5">
        <v>46197.104071539346</v>
      </c>
      <c r="M447" s="2" t="s">
        <v>2606</v>
      </c>
      <c r="N447" s="2" t="s">
        <v>2607</v>
      </c>
      <c r="O447" s="5">
        <v>46197.107453171287</v>
      </c>
      <c r="P447" t="str">
        <f>IF($Q447="DELETE",IF($S447="CONFIRMED: NO MODS &gt; 1YR","CONFIRMED: NO MODS &gt; 1YR","DO NOT DELETE — not defensibly confirmed"),IF($Q447="HOLD","DO NOT DELETE — HOLD (Charlie review)",IF($Q447="KEEP","DO NOT DELETE — KEEP",IF(ISNUMBER(SEARCH("REVIEW",$Q447)),"DO NOT DELETE — REVIEW pending",$S447))))</f>
        <v>CONFIRMED: NO MODS &gt; 1YR</v>
      </c>
      <c r="Q447" t="str" cm="1">
        <f t="array" ref="Q447">_xlfn.IFS(AND($A447="thg-beauty",ISNUMBER(SEARCH("liveramp",$C447))),"DELETE",$A447="agile-bonbon-662",_xlfn.IFS(LEFT($G447,9)="Tranche 1","DELETE",$C447="Sessions_Level_1_All_Sites","KEEP",ISNUMBER(--$C447),"REVIEW — UA raw logs",$C447="Emag_Reporting","KEEP",$C447="Nutrition_Data_Archived_Tables","KEEP",$C447="EU_Data","KEEP",TRUE,"REVIEW"),OR($A447="thg-influencer",$A447="thg-ingenuity",$A447="thg-central-marketing",$A447="thg-seoclarity"),"HOLD",TRUE,"")</f>
        <v/>
      </c>
      <c r="R447" t="str" cm="1">
        <f t="array" ref="R447">_xlfn.IFS(AND($A447="thg-beauty",ISNUMBER(SEARCH("liveramp",$C447))),"thg-beauty Liveramp dataset — confirmed safe to delete",$A447="agile-bonbon-662",_xlfn.IFS(LEFT($G447,9)="Tranche 1","Tranche 1: cleared",$C447="Sessions_Level_1_All_Sites","Downstream aggregation of UA raw logs — keep if raw tables go",ISNUMBER(--$C447),"UA raw site logs (account ID) — keep pending audit-retention check",$C447="Emag_Reporting","Legacy but likely needed",$C447="Nutrition_Data_Archived_Tables","Worth keeping",$C447="EU_Data","Static lookup tables — scripts still reference (smoke-test risk)",TRUE,"Review"),OR($A447="thg-influencer",$A447="thg-ingenuity",$A447="thg-central-marketing",$A447="thg-seoclarity"),"HOLD — Charlie Stringer to review before deletion",TRUE,"")</f>
        <v/>
      </c>
      <c r="S447" t="s">
        <v>1624</v>
      </c>
    </row>
    <row r="448" spans="1:19" ht="76.5" hidden="1">
      <c r="A448" t="s">
        <v>89</v>
      </c>
      <c r="B448" t="s">
        <v>1619</v>
      </c>
      <c r="C448" t="s">
        <v>2608</v>
      </c>
      <c r="D448" s="2" t="s">
        <v>1621</v>
      </c>
      <c r="E448">
        <v>63.12</v>
      </c>
      <c r="F448">
        <v>1.26</v>
      </c>
      <c r="G448" t="s">
        <v>79</v>
      </c>
      <c r="H448" t="s">
        <v>81</v>
      </c>
      <c r="I448">
        <v>0</v>
      </c>
      <c r="J448">
        <v>0</v>
      </c>
      <c r="K448" s="5">
        <v>46197.421903761577</v>
      </c>
      <c r="L448" s="5">
        <v>46197.287002812503</v>
      </c>
      <c r="M448" s="2" t="s">
        <v>2609</v>
      </c>
      <c r="N448" s="2" t="s">
        <v>2610</v>
      </c>
      <c r="O448" s="5">
        <v>46197.41773296296</v>
      </c>
      <c r="P448" t="str">
        <f>IF($Q448="DELETE",IF($S448="CONFIRMED: NO MODS &gt; 1YR","CONFIRMED: NO MODS &gt; 1YR","DO NOT DELETE — not defensibly confirmed"),IF($Q448="HOLD","DO NOT DELETE — HOLD (Charlie review)",IF($Q448="KEEP","DO NOT DELETE — KEEP",IF(ISNUMBER(SEARCH("REVIEW",$Q448)),"DO NOT DELETE — REVIEW pending",$S448))))</f>
        <v>DO NOT DELETE — REVIEW pending</v>
      </c>
      <c r="Q448" t="str" cm="1">
        <f t="array" ref="Q448">_xlfn.IFS(AND($A448="thg-beauty",ISNUMBER(SEARCH("liveramp",$C448))),"DELETE",$A448="agile-bonbon-662",_xlfn.IFS(LEFT($G448,9)="Tranche 1","DELETE",$C448="Sessions_Level_1_All_Sites","KEEP",ISNUMBER(--$C448),"REVIEW — UA raw logs",$C448="Emag_Reporting","KEEP",$C448="Nutrition_Data_Archived_Tables","KEEP",$C448="EU_Data","KEEP",TRUE,"REVIEW"),OR($A448="thg-influencer",$A448="thg-ingenuity",$A448="thg-central-marketing",$A448="thg-seoclarity"),"HOLD",TRUE,"")</f>
        <v>REVIEW</v>
      </c>
      <c r="R448" t="str" cm="1">
        <f t="array" ref="R448">_xlfn.IFS(AND($A448="thg-beauty",ISNUMBER(SEARCH("liveramp",$C448))),"thg-beauty Liveramp dataset — confirmed safe to delete",$A448="agile-bonbon-662",_xlfn.IFS(LEFT($G448,9)="Tranche 1","Tranche 1: cleared",$C448="Sessions_Level_1_All_Sites","Downstream aggregation of UA raw logs — keep if raw tables go",ISNUMBER(--$C448),"UA raw site logs (account ID) — keep pending audit-retention check",$C448="Emag_Reporting","Legacy but likely needed",$C448="Nutrition_Data_Archived_Tables","Worth keeping",$C448="EU_Data","Static lookup tables — scripts still reference (smoke-test risk)",TRUE,"Review"),OR($A448="thg-influencer",$A448="thg-ingenuity",$A448="thg-central-marketing",$A448="thg-seoclarity"),"HOLD — Charlie Stringer to review before deletion",TRUE,"")</f>
        <v>Review</v>
      </c>
      <c r="S448" t="s">
        <v>1624</v>
      </c>
    </row>
    <row r="449" spans="1:19" ht="76.5" hidden="1">
      <c r="A449" t="s">
        <v>38</v>
      </c>
      <c r="B449" t="s">
        <v>1619</v>
      </c>
      <c r="C449" t="s">
        <v>2611</v>
      </c>
      <c r="D449" s="2" t="s">
        <v>1621</v>
      </c>
      <c r="E449">
        <v>62.47</v>
      </c>
      <c r="F449">
        <v>1.25</v>
      </c>
      <c r="G449" t="s">
        <v>79</v>
      </c>
      <c r="H449" t="s">
        <v>81</v>
      </c>
      <c r="I449">
        <v>0</v>
      </c>
      <c r="J449">
        <v>0</v>
      </c>
      <c r="K449" s="5">
        <v>46197.418866840278</v>
      </c>
      <c r="L449" s="5">
        <v>46197.387648923614</v>
      </c>
      <c r="M449" s="2" t="s">
        <v>2612</v>
      </c>
      <c r="N449" s="2" t="s">
        <v>2613</v>
      </c>
      <c r="O449" s="5">
        <v>46197.387700196763</v>
      </c>
      <c r="P449" t="str">
        <f>IF($Q449="DELETE",IF($S449="CONFIRMED: NO MODS &gt; 1YR","CONFIRMED: NO MODS &gt; 1YR","DO NOT DELETE — not defensibly confirmed"),IF($Q449="HOLD","DO NOT DELETE — HOLD (Charlie review)",IF($Q449="KEEP","DO NOT DELETE — KEEP",IF(ISNUMBER(SEARCH("REVIEW",$Q449)),"DO NOT DELETE — REVIEW pending",$S449))))</f>
        <v>DO NOT DELETE — HOLD (Charlie review)</v>
      </c>
      <c r="Q449" t="str" cm="1">
        <f t="array" ref="Q449">_xlfn.IFS(AND($A449="thg-beauty",ISNUMBER(SEARCH("liveramp",$C449))),"DELETE",$A449="agile-bonbon-662",_xlfn.IFS(LEFT($G449,9)="Tranche 1","DELETE",$C449="Sessions_Level_1_All_Sites","KEEP",ISNUMBER(--$C449),"REVIEW — UA raw logs",$C449="Emag_Reporting","KEEP",$C449="Nutrition_Data_Archived_Tables","KEEP",$C449="EU_Data","KEEP",TRUE,"REVIEW"),OR($A449="thg-influencer",$A449="thg-ingenuity",$A449="thg-central-marketing",$A449="thg-seoclarity"),"HOLD",TRUE,"")</f>
        <v>HOLD</v>
      </c>
      <c r="R449" t="str" cm="1">
        <f t="array" ref="R449">_xlfn.IFS(AND($A449="thg-beauty",ISNUMBER(SEARCH("liveramp",$C449))),"thg-beauty Liveramp dataset — confirmed safe to delete",$A449="agile-bonbon-662",_xlfn.IFS(LEFT($G449,9)="Tranche 1","Tranche 1: cleared",$C449="Sessions_Level_1_All_Sites","Downstream aggregation of UA raw logs — keep if raw tables go",ISNUMBER(--$C449),"UA raw site logs (account ID) — keep pending audit-retention check",$C449="Emag_Reporting","Legacy but likely needed",$C449="Nutrition_Data_Archived_Tables","Worth keeping",$C449="EU_Data","Static lookup tables — scripts still reference (smoke-test risk)",TRUE,"Review"),OR($A449="thg-influencer",$A449="thg-ingenuity",$A449="thg-central-marketing",$A449="thg-seoclarity"),"HOLD — Charlie Stringer to review before deletion",TRUE,"")</f>
        <v>HOLD — Charlie Stringer to review before deletion</v>
      </c>
      <c r="S449" t="s">
        <v>1624</v>
      </c>
    </row>
    <row r="450" spans="1:19" ht="76.5" hidden="1">
      <c r="A450" t="s">
        <v>89</v>
      </c>
      <c r="B450" t="s">
        <v>1619</v>
      </c>
      <c r="C450" t="s">
        <v>2614</v>
      </c>
      <c r="D450" s="2" t="s">
        <v>1621</v>
      </c>
      <c r="E450">
        <v>62.43</v>
      </c>
      <c r="F450">
        <v>1.25</v>
      </c>
      <c r="G450" t="s">
        <v>79</v>
      </c>
      <c r="H450" t="s">
        <v>81</v>
      </c>
      <c r="I450">
        <v>0</v>
      </c>
      <c r="J450">
        <v>0</v>
      </c>
      <c r="K450" s="5">
        <v>46197.386484074072</v>
      </c>
      <c r="L450" s="5">
        <v>46197.375512766201</v>
      </c>
      <c r="M450" s="2" t="s">
        <v>2615</v>
      </c>
      <c r="N450" s="2" t="s">
        <v>2616</v>
      </c>
      <c r="O450" s="5">
        <v>46197.375535879633</v>
      </c>
      <c r="P450" t="str">
        <f>IF($Q450="DELETE",IF($S450="CONFIRMED: NO MODS &gt; 1YR","CONFIRMED: NO MODS &gt; 1YR","DO NOT DELETE — not defensibly confirmed"),IF($Q450="HOLD","DO NOT DELETE — HOLD (Charlie review)",IF($Q450="KEEP","DO NOT DELETE — KEEP",IF(ISNUMBER(SEARCH("REVIEW",$Q450)),"DO NOT DELETE — REVIEW pending",$S450))))</f>
        <v>DO NOT DELETE — REVIEW pending</v>
      </c>
      <c r="Q450" t="str" cm="1">
        <f t="array" ref="Q450">_xlfn.IFS(AND($A450="thg-beauty",ISNUMBER(SEARCH("liveramp",$C450))),"DELETE",$A450="agile-bonbon-662",_xlfn.IFS(LEFT($G450,9)="Tranche 1","DELETE",$C450="Sessions_Level_1_All_Sites","KEEP",ISNUMBER(--$C450),"REVIEW — UA raw logs",$C450="Emag_Reporting","KEEP",$C450="Nutrition_Data_Archived_Tables","KEEP",$C450="EU_Data","KEEP",TRUE,"REVIEW"),OR($A450="thg-influencer",$A450="thg-ingenuity",$A450="thg-central-marketing",$A450="thg-seoclarity"),"HOLD",TRUE,"")</f>
        <v>REVIEW</v>
      </c>
      <c r="R450" t="str" cm="1">
        <f t="array" ref="R450">_xlfn.IFS(AND($A450="thg-beauty",ISNUMBER(SEARCH("liveramp",$C450))),"thg-beauty Liveramp dataset — confirmed safe to delete",$A450="agile-bonbon-662",_xlfn.IFS(LEFT($G450,9)="Tranche 1","Tranche 1: cleared",$C450="Sessions_Level_1_All_Sites","Downstream aggregation of UA raw logs — keep if raw tables go",ISNUMBER(--$C450),"UA raw site logs (account ID) — keep pending audit-retention check",$C450="Emag_Reporting","Legacy but likely needed",$C450="Nutrition_Data_Archived_Tables","Worth keeping",$C450="EU_Data","Static lookup tables — scripts still reference (smoke-test risk)",TRUE,"Review"),OR($A450="thg-influencer",$A450="thg-ingenuity",$A450="thg-central-marketing",$A450="thg-seoclarity"),"HOLD — Charlie Stringer to review before deletion",TRUE,"")</f>
        <v>Review</v>
      </c>
      <c r="S450" t="s">
        <v>1624</v>
      </c>
    </row>
    <row r="451" spans="1:19" ht="76.5" hidden="1">
      <c r="A451" t="s">
        <v>90</v>
      </c>
      <c r="B451" t="s">
        <v>1619</v>
      </c>
      <c r="C451" t="s">
        <v>2617</v>
      </c>
      <c r="D451" s="2" t="s">
        <v>1621</v>
      </c>
      <c r="E451">
        <v>59.86</v>
      </c>
      <c r="F451">
        <v>1.2</v>
      </c>
      <c r="G451" t="s">
        <v>79</v>
      </c>
      <c r="H451" t="s">
        <v>81</v>
      </c>
      <c r="I451">
        <v>0</v>
      </c>
      <c r="J451">
        <v>0</v>
      </c>
      <c r="K451" s="5">
        <v>46197.452553310177</v>
      </c>
      <c r="L451" s="5">
        <v>46197.125565995368</v>
      </c>
      <c r="M451" s="2" t="s">
        <v>2618</v>
      </c>
      <c r="N451" s="2" t="s">
        <v>2619</v>
      </c>
      <c r="O451" s="5">
        <v>46197.427916134257</v>
      </c>
      <c r="P451" t="str">
        <f>IF($Q451="DELETE",IF($S451="CONFIRMED: NO MODS &gt; 1YR","CONFIRMED: NO MODS &gt; 1YR","DO NOT DELETE — not defensibly confirmed"),IF($Q451="HOLD","DO NOT DELETE — HOLD (Charlie review)",IF($Q451="KEEP","DO NOT DELETE — KEEP",IF(ISNUMBER(SEARCH("REVIEW",$Q451)),"DO NOT DELETE — REVIEW pending",$S451))))</f>
        <v>CONFIRMED: NO MODS &gt; 1YR</v>
      </c>
      <c r="Q451" t="str" cm="1">
        <f t="array" ref="Q451">_xlfn.IFS(AND($A451="thg-beauty",ISNUMBER(SEARCH("liveramp",$C451))),"DELETE",$A451="agile-bonbon-662",_xlfn.IFS(LEFT($G451,9)="Tranche 1","DELETE",$C451="Sessions_Level_1_All_Sites","KEEP",ISNUMBER(--$C451),"REVIEW — UA raw logs",$C451="Emag_Reporting","KEEP",$C451="Nutrition_Data_Archived_Tables","KEEP",$C451="EU_Data","KEEP",TRUE,"REVIEW"),OR($A451="thg-influencer",$A451="thg-ingenuity",$A451="thg-central-marketing",$A451="thg-seoclarity"),"HOLD",TRUE,"")</f>
        <v/>
      </c>
      <c r="R451" t="str" cm="1">
        <f t="array" ref="R451">_xlfn.IFS(AND($A451="thg-beauty",ISNUMBER(SEARCH("liveramp",$C451))),"thg-beauty Liveramp dataset — confirmed safe to delete",$A451="agile-bonbon-662",_xlfn.IFS(LEFT($G451,9)="Tranche 1","Tranche 1: cleared",$C451="Sessions_Level_1_All_Sites","Downstream aggregation of UA raw logs — keep if raw tables go",ISNUMBER(--$C451),"UA raw site logs (account ID) — keep pending audit-retention check",$C451="Emag_Reporting","Legacy but likely needed",$C451="Nutrition_Data_Archived_Tables","Worth keeping",$C451="EU_Data","Static lookup tables — scripts still reference (smoke-test risk)",TRUE,"Review"),OR($A451="thg-influencer",$A451="thg-ingenuity",$A451="thg-central-marketing",$A451="thg-seoclarity"),"HOLD — Charlie Stringer to review before deletion",TRUE,"")</f>
        <v/>
      </c>
      <c r="S451" t="s">
        <v>1624</v>
      </c>
    </row>
    <row r="452" spans="1:19" ht="76.5" hidden="1">
      <c r="A452" t="s">
        <v>92</v>
      </c>
      <c r="B452" t="s">
        <v>1619</v>
      </c>
      <c r="C452" t="s">
        <v>2620</v>
      </c>
      <c r="D452" s="2" t="s">
        <v>1621</v>
      </c>
      <c r="E452">
        <v>7.83</v>
      </c>
      <c r="F452">
        <v>0.16</v>
      </c>
      <c r="G452" t="s">
        <v>79</v>
      </c>
      <c r="H452" t="s">
        <v>81</v>
      </c>
      <c r="I452">
        <v>0</v>
      </c>
      <c r="J452">
        <v>0</v>
      </c>
      <c r="K452" s="5">
        <v>46197.297078148149</v>
      </c>
      <c r="L452" s="5">
        <v>46197.103411168981</v>
      </c>
      <c r="M452" s="2" t="s">
        <v>2621</v>
      </c>
      <c r="N452" s="2" t="s">
        <v>2622</v>
      </c>
      <c r="O452" s="5">
        <v>46197.109890231477</v>
      </c>
      <c r="P452" t="str">
        <f>IF($Q452="DELETE",IF($S452="CONFIRMED: NO MODS &gt; 1YR","CONFIRMED: NO MODS &gt; 1YR","DO NOT DELETE — not defensibly confirmed"),IF($Q452="HOLD","DO NOT DELETE — HOLD (Charlie review)",IF($Q452="KEEP","DO NOT DELETE — KEEP",IF(ISNUMBER(SEARCH("REVIEW",$Q452)),"DO NOT DELETE — REVIEW pending",$S452))))</f>
        <v>REVIEW</v>
      </c>
      <c r="Q452" t="str" cm="1">
        <f t="array" ref="Q452">_xlfn.IFS(AND($A452="thg-beauty",ISNUMBER(SEARCH("liveramp",$C452))),"DELETE",$A452="agile-bonbon-662",_xlfn.IFS(LEFT($G452,9)="Tranche 1","DELETE",$C452="Sessions_Level_1_All_Sites","KEEP",ISNUMBER(--$C452),"REVIEW — UA raw logs",$C452="Emag_Reporting","KEEP",$C452="Nutrition_Data_Archived_Tables","KEEP",$C452="EU_Data","KEEP",TRUE,"REVIEW"),OR($A452="thg-influencer",$A452="thg-ingenuity",$A452="thg-central-marketing",$A452="thg-seoclarity"),"HOLD",TRUE,"")</f>
        <v/>
      </c>
      <c r="R452" t="str" cm="1">
        <f t="array" ref="R452">_xlfn.IFS(AND($A452="thg-beauty",ISNUMBER(SEARCH("liveramp",$C452))),"thg-beauty Liveramp dataset — confirmed safe to delete",$A452="agile-bonbon-662",_xlfn.IFS(LEFT($G452,9)="Tranche 1","Tranche 1: cleared",$C452="Sessions_Level_1_All_Sites","Downstream aggregation of UA raw logs — keep if raw tables go",ISNUMBER(--$C452),"UA raw site logs (account ID) — keep pending audit-retention check",$C452="Emag_Reporting","Legacy but likely needed",$C452="Nutrition_Data_Archived_Tables","Worth keeping",$C452="EU_Data","Static lookup tables — scripts still reference (smoke-test risk)",TRUE,"Review"),OR($A452="thg-influencer",$A452="thg-ingenuity",$A452="thg-central-marketing",$A452="thg-seoclarity"),"HOLD — Charlie Stringer to review before deletion",TRUE,"")</f>
        <v/>
      </c>
      <c r="S452" t="s">
        <v>1631</v>
      </c>
    </row>
    <row r="453" spans="1:19" ht="76.5" hidden="1">
      <c r="A453" t="s">
        <v>89</v>
      </c>
      <c r="B453" t="s">
        <v>1619</v>
      </c>
      <c r="C453" t="s">
        <v>2623</v>
      </c>
      <c r="D453" s="2" t="s">
        <v>1621</v>
      </c>
      <c r="E453">
        <v>58.03</v>
      </c>
      <c r="F453">
        <v>1.1599999999999999</v>
      </c>
      <c r="G453" t="s">
        <v>79</v>
      </c>
      <c r="H453" t="s">
        <v>81</v>
      </c>
      <c r="I453">
        <v>0</v>
      </c>
      <c r="J453">
        <v>0</v>
      </c>
      <c r="K453" s="5">
        <v>46197.390915034717</v>
      </c>
      <c r="L453" s="5">
        <v>46197.239965949077</v>
      </c>
      <c r="M453" s="2" t="s">
        <v>2624</v>
      </c>
      <c r="N453" s="2" t="s">
        <v>2625</v>
      </c>
      <c r="O453" s="5">
        <v>46197.239979976846</v>
      </c>
      <c r="P453" t="str">
        <f>IF($Q453="DELETE",IF($S453="CONFIRMED: NO MODS &gt; 1YR","CONFIRMED: NO MODS &gt; 1YR","DO NOT DELETE — not defensibly confirmed"),IF($Q453="HOLD","DO NOT DELETE — HOLD (Charlie review)",IF($Q453="KEEP","DO NOT DELETE — KEEP",IF(ISNUMBER(SEARCH("REVIEW",$Q453)),"DO NOT DELETE — REVIEW pending",$S453))))</f>
        <v>DO NOT DELETE — REVIEW pending</v>
      </c>
      <c r="Q453" t="str" cm="1">
        <f t="array" ref="Q453">_xlfn.IFS(AND($A453="thg-beauty",ISNUMBER(SEARCH("liveramp",$C453))),"DELETE",$A453="agile-bonbon-662",_xlfn.IFS(LEFT($G453,9)="Tranche 1","DELETE",$C453="Sessions_Level_1_All_Sites","KEEP",ISNUMBER(--$C453),"REVIEW — UA raw logs",$C453="Emag_Reporting","KEEP",$C453="Nutrition_Data_Archived_Tables","KEEP",$C453="EU_Data","KEEP",TRUE,"REVIEW"),OR($A453="thg-influencer",$A453="thg-ingenuity",$A453="thg-central-marketing",$A453="thg-seoclarity"),"HOLD",TRUE,"")</f>
        <v>REVIEW</v>
      </c>
      <c r="R453" t="str" cm="1">
        <f t="array" ref="R453">_xlfn.IFS(AND($A453="thg-beauty",ISNUMBER(SEARCH("liveramp",$C453))),"thg-beauty Liveramp dataset — confirmed safe to delete",$A453="agile-bonbon-662",_xlfn.IFS(LEFT($G453,9)="Tranche 1","Tranche 1: cleared",$C453="Sessions_Level_1_All_Sites","Downstream aggregation of UA raw logs — keep if raw tables go",ISNUMBER(--$C453),"UA raw site logs (account ID) — keep pending audit-retention check",$C453="Emag_Reporting","Legacy but likely needed",$C453="Nutrition_Data_Archived_Tables","Worth keeping",$C453="EU_Data","Static lookup tables — scripts still reference (smoke-test risk)",TRUE,"Review"),OR($A453="thg-influencer",$A453="thg-ingenuity",$A453="thg-central-marketing",$A453="thg-seoclarity"),"HOLD — Charlie Stringer to review before deletion",TRUE,"")</f>
        <v>Review</v>
      </c>
      <c r="S453" t="s">
        <v>1631</v>
      </c>
    </row>
    <row r="454" spans="1:19" ht="76.5" hidden="1">
      <c r="A454" t="s">
        <v>35</v>
      </c>
      <c r="B454" t="s">
        <v>1619</v>
      </c>
      <c r="C454" t="s">
        <v>2626</v>
      </c>
      <c r="D454" s="2" t="s">
        <v>1621</v>
      </c>
      <c r="E454">
        <v>57.84</v>
      </c>
      <c r="F454">
        <v>1.1599999999999999</v>
      </c>
      <c r="G454" t="s">
        <v>79</v>
      </c>
      <c r="H454" t="s">
        <v>81</v>
      </c>
      <c r="I454">
        <v>0</v>
      </c>
      <c r="J454">
        <v>0</v>
      </c>
      <c r="K454" s="5">
        <v>46197.431243055558</v>
      </c>
      <c r="L454" s="5">
        <v>46197.431243055558</v>
      </c>
      <c r="M454" s="2" t="s">
        <v>2627</v>
      </c>
      <c r="N454" s="2" t="s">
        <v>2627</v>
      </c>
      <c r="O454" s="5">
        <v>46197.431701643523</v>
      </c>
      <c r="P454" t="str">
        <f>IF($Q454="DELETE",IF($S454="CONFIRMED: NO MODS &gt; 1YR","CONFIRMED: NO MODS &gt; 1YR","DO NOT DELETE — not defensibly confirmed"),IF($Q454="HOLD","DO NOT DELETE — HOLD (Charlie review)",IF($Q454="KEEP","DO NOT DELETE — KEEP",IF(ISNUMBER(SEARCH("REVIEW",$Q454)),"DO NOT DELETE — REVIEW pending",$S454))))</f>
        <v>DO NOT DELETE — HOLD (Charlie review)</v>
      </c>
      <c r="Q454" t="str" cm="1">
        <f t="array" ref="Q454">_xlfn.IFS(AND($A454="thg-beauty",ISNUMBER(SEARCH("liveramp",$C454))),"DELETE",$A454="agile-bonbon-662",_xlfn.IFS(LEFT($G454,9)="Tranche 1","DELETE",$C454="Sessions_Level_1_All_Sites","KEEP",ISNUMBER(--$C454),"REVIEW — UA raw logs",$C454="Emag_Reporting","KEEP",$C454="Nutrition_Data_Archived_Tables","KEEP",$C454="EU_Data","KEEP",TRUE,"REVIEW"),OR($A454="thg-influencer",$A454="thg-ingenuity",$A454="thg-central-marketing",$A454="thg-seoclarity"),"HOLD",TRUE,"")</f>
        <v>HOLD</v>
      </c>
      <c r="R454" t="str" cm="1">
        <f t="array" ref="R454">_xlfn.IFS(AND($A454="thg-beauty",ISNUMBER(SEARCH("liveramp",$C454))),"thg-beauty Liveramp dataset — confirmed safe to delete",$A454="agile-bonbon-662",_xlfn.IFS(LEFT($G454,9)="Tranche 1","Tranche 1: cleared",$C454="Sessions_Level_1_All_Sites","Downstream aggregation of UA raw logs — keep if raw tables go",ISNUMBER(--$C454),"UA raw site logs (account ID) — keep pending audit-retention check",$C454="Emag_Reporting","Legacy but likely needed",$C454="Nutrition_Data_Archived_Tables","Worth keeping",$C454="EU_Data","Static lookup tables — scripts still reference (smoke-test risk)",TRUE,"Review"),OR($A454="thg-influencer",$A454="thg-ingenuity",$A454="thg-central-marketing",$A454="thg-seoclarity"),"HOLD — Charlie Stringer to review before deletion",TRUE,"")</f>
        <v>HOLD — Charlie Stringer to review before deletion</v>
      </c>
      <c r="S454" t="s">
        <v>1624</v>
      </c>
    </row>
    <row r="455" spans="1:19" ht="76.5" hidden="1">
      <c r="A455" t="s">
        <v>89</v>
      </c>
      <c r="B455" t="s">
        <v>1619</v>
      </c>
      <c r="C455" t="s">
        <v>2628</v>
      </c>
      <c r="D455" s="2" t="s">
        <v>1621</v>
      </c>
      <c r="E455">
        <v>56.23</v>
      </c>
      <c r="F455">
        <v>1.1200000000000001</v>
      </c>
      <c r="G455" t="s">
        <v>79</v>
      </c>
      <c r="H455" t="s">
        <v>81</v>
      </c>
      <c r="I455">
        <v>0</v>
      </c>
      <c r="J455">
        <v>0</v>
      </c>
      <c r="K455" s="5">
        <v>46197.291930578707</v>
      </c>
      <c r="L455" s="5">
        <v>46197.334233564812</v>
      </c>
      <c r="M455" s="2" t="s">
        <v>2629</v>
      </c>
      <c r="N455" s="2" t="s">
        <v>2630</v>
      </c>
      <c r="O455" s="5">
        <v>46197.334253483787</v>
      </c>
      <c r="P455" t="str">
        <f>IF($Q455="DELETE",IF($S455="CONFIRMED: NO MODS &gt; 1YR","CONFIRMED: NO MODS &gt; 1YR","DO NOT DELETE — not defensibly confirmed"),IF($Q455="HOLD","DO NOT DELETE — HOLD (Charlie review)",IF($Q455="KEEP","DO NOT DELETE — KEEP",IF(ISNUMBER(SEARCH("REVIEW",$Q455)),"DO NOT DELETE — REVIEW pending",$S455))))</f>
        <v>DO NOT DELETE — REVIEW pending</v>
      </c>
      <c r="Q455" t="str" cm="1">
        <f t="array" ref="Q455">_xlfn.IFS(AND($A455="thg-beauty",ISNUMBER(SEARCH("liveramp",$C455))),"DELETE",$A455="agile-bonbon-662",_xlfn.IFS(LEFT($G455,9)="Tranche 1","DELETE",$C455="Sessions_Level_1_All_Sites","KEEP",ISNUMBER(--$C455),"REVIEW — UA raw logs",$C455="Emag_Reporting","KEEP",$C455="Nutrition_Data_Archived_Tables","KEEP",$C455="EU_Data","KEEP",TRUE,"REVIEW"),OR($A455="thg-influencer",$A455="thg-ingenuity",$A455="thg-central-marketing",$A455="thg-seoclarity"),"HOLD",TRUE,"")</f>
        <v>REVIEW</v>
      </c>
      <c r="R455" t="str" cm="1">
        <f t="array" ref="R455">_xlfn.IFS(AND($A455="thg-beauty",ISNUMBER(SEARCH("liveramp",$C455))),"thg-beauty Liveramp dataset — confirmed safe to delete",$A455="agile-bonbon-662",_xlfn.IFS(LEFT($G455,9)="Tranche 1","Tranche 1: cleared",$C455="Sessions_Level_1_All_Sites","Downstream aggregation of UA raw logs — keep if raw tables go",ISNUMBER(--$C455),"UA raw site logs (account ID) — keep pending audit-retention check",$C455="Emag_Reporting","Legacy but likely needed",$C455="Nutrition_Data_Archived_Tables","Worth keeping",$C455="EU_Data","Static lookup tables — scripts still reference (smoke-test risk)",TRUE,"Review"),OR($A455="thg-influencer",$A455="thg-ingenuity",$A455="thg-central-marketing",$A455="thg-seoclarity"),"HOLD — Charlie Stringer to review before deletion",TRUE,"")</f>
        <v>Review</v>
      </c>
      <c r="S455" t="s">
        <v>1631</v>
      </c>
    </row>
    <row r="456" spans="1:19" ht="76.5" hidden="1">
      <c r="A456" t="s">
        <v>89</v>
      </c>
      <c r="B456" t="s">
        <v>1619</v>
      </c>
      <c r="C456" t="s">
        <v>2631</v>
      </c>
      <c r="D456" s="2" t="s">
        <v>1621</v>
      </c>
      <c r="E456">
        <v>54.91</v>
      </c>
      <c r="F456">
        <v>1.1000000000000001</v>
      </c>
      <c r="G456" t="s">
        <v>79</v>
      </c>
      <c r="H456" t="s">
        <v>81</v>
      </c>
      <c r="I456">
        <v>0</v>
      </c>
      <c r="J456">
        <v>0</v>
      </c>
      <c r="K456" s="5">
        <v>46197.421375497688</v>
      </c>
      <c r="L456" s="5">
        <v>46197.374071805563</v>
      </c>
      <c r="M456" s="2" t="s">
        <v>2632</v>
      </c>
      <c r="N456" s="2" t="s">
        <v>2633</v>
      </c>
      <c r="O456" s="5">
        <v>46197.374112141202</v>
      </c>
      <c r="P456" t="str">
        <f>IF($Q456="DELETE",IF($S456="CONFIRMED: NO MODS &gt; 1YR","CONFIRMED: NO MODS &gt; 1YR","DO NOT DELETE — not defensibly confirmed"),IF($Q456="HOLD","DO NOT DELETE — HOLD (Charlie review)",IF($Q456="KEEP","DO NOT DELETE — KEEP",IF(ISNUMBER(SEARCH("REVIEW",$Q456)),"DO NOT DELETE — REVIEW pending",$S456))))</f>
        <v>DO NOT DELETE — REVIEW pending</v>
      </c>
      <c r="Q456" t="str" cm="1">
        <f t="array" ref="Q456">_xlfn.IFS(AND($A456="thg-beauty",ISNUMBER(SEARCH("liveramp",$C456))),"DELETE",$A456="agile-bonbon-662",_xlfn.IFS(LEFT($G456,9)="Tranche 1","DELETE",$C456="Sessions_Level_1_All_Sites","KEEP",ISNUMBER(--$C456),"REVIEW — UA raw logs",$C456="Emag_Reporting","KEEP",$C456="Nutrition_Data_Archived_Tables","KEEP",$C456="EU_Data","KEEP",TRUE,"REVIEW"),OR($A456="thg-influencer",$A456="thg-ingenuity",$A456="thg-central-marketing",$A456="thg-seoclarity"),"HOLD",TRUE,"")</f>
        <v>REVIEW</v>
      </c>
      <c r="R456" t="str" cm="1">
        <f t="array" ref="R456">_xlfn.IFS(AND($A456="thg-beauty",ISNUMBER(SEARCH("liveramp",$C456))),"thg-beauty Liveramp dataset — confirmed safe to delete",$A456="agile-bonbon-662",_xlfn.IFS(LEFT($G456,9)="Tranche 1","Tranche 1: cleared",$C456="Sessions_Level_1_All_Sites","Downstream aggregation of UA raw logs — keep if raw tables go",ISNUMBER(--$C456),"UA raw site logs (account ID) — keep pending audit-retention check",$C456="Emag_Reporting","Legacy but likely needed",$C456="Nutrition_Data_Archived_Tables","Worth keeping",$C456="EU_Data","Static lookup tables — scripts still reference (smoke-test risk)",TRUE,"Review"),OR($A456="thg-influencer",$A456="thg-ingenuity",$A456="thg-central-marketing",$A456="thg-seoclarity"),"HOLD — Charlie Stringer to review before deletion",TRUE,"")</f>
        <v>Review</v>
      </c>
      <c r="S456" t="s">
        <v>1631</v>
      </c>
    </row>
    <row r="457" spans="1:19" ht="76.5" hidden="1">
      <c r="A457" t="s">
        <v>89</v>
      </c>
      <c r="B457" t="s">
        <v>1619</v>
      </c>
      <c r="C457" t="s">
        <v>2634</v>
      </c>
      <c r="D457" s="2" t="s">
        <v>1621</v>
      </c>
      <c r="E457">
        <v>54.8</v>
      </c>
      <c r="F457">
        <v>1.1000000000000001</v>
      </c>
      <c r="G457" t="s">
        <v>79</v>
      </c>
      <c r="H457" t="s">
        <v>81</v>
      </c>
      <c r="I457">
        <v>0</v>
      </c>
      <c r="J457">
        <v>0</v>
      </c>
      <c r="K457" s="5">
        <v>46197.448016145827</v>
      </c>
      <c r="L457" s="5">
        <v>46197.448016145827</v>
      </c>
      <c r="M457" s="2" t="s">
        <v>2635</v>
      </c>
      <c r="N457" s="2" t="s">
        <v>2635</v>
      </c>
      <c r="O457" s="5">
        <v>46197.448098252316</v>
      </c>
      <c r="P457" t="str">
        <f>IF($Q457="DELETE",IF($S457="CONFIRMED: NO MODS &gt; 1YR","CONFIRMED: NO MODS &gt; 1YR","DO NOT DELETE — not defensibly confirmed"),IF($Q457="HOLD","DO NOT DELETE — HOLD (Charlie review)",IF($Q457="KEEP","DO NOT DELETE — KEEP",IF(ISNUMBER(SEARCH("REVIEW",$Q457)),"DO NOT DELETE — REVIEW pending",$S457))))</f>
        <v>DO NOT DELETE — REVIEW pending</v>
      </c>
      <c r="Q457" t="str" cm="1">
        <f t="array" ref="Q457">_xlfn.IFS(AND($A457="thg-beauty",ISNUMBER(SEARCH("liveramp",$C457))),"DELETE",$A457="agile-bonbon-662",_xlfn.IFS(LEFT($G457,9)="Tranche 1","DELETE",$C457="Sessions_Level_1_All_Sites","KEEP",ISNUMBER(--$C457),"REVIEW — UA raw logs",$C457="Emag_Reporting","KEEP",$C457="Nutrition_Data_Archived_Tables","KEEP",$C457="EU_Data","KEEP",TRUE,"REVIEW"),OR($A457="thg-influencer",$A457="thg-ingenuity",$A457="thg-central-marketing",$A457="thg-seoclarity"),"HOLD",TRUE,"")</f>
        <v>REVIEW</v>
      </c>
      <c r="R457" t="str" cm="1">
        <f t="array" ref="R457">_xlfn.IFS(AND($A457="thg-beauty",ISNUMBER(SEARCH("liveramp",$C457))),"thg-beauty Liveramp dataset — confirmed safe to delete",$A457="agile-bonbon-662",_xlfn.IFS(LEFT($G457,9)="Tranche 1","Tranche 1: cleared",$C457="Sessions_Level_1_All_Sites","Downstream aggregation of UA raw logs — keep if raw tables go",ISNUMBER(--$C457),"UA raw site logs (account ID) — keep pending audit-retention check",$C457="Emag_Reporting","Legacy but likely needed",$C457="Nutrition_Data_Archived_Tables","Worth keeping",$C457="EU_Data","Static lookup tables — scripts still reference (smoke-test risk)",TRUE,"Review"),OR($A457="thg-influencer",$A457="thg-ingenuity",$A457="thg-central-marketing",$A457="thg-seoclarity"),"HOLD — Charlie Stringer to review before deletion",TRUE,"")</f>
        <v>Review</v>
      </c>
      <c r="S457" t="s">
        <v>1631</v>
      </c>
    </row>
    <row r="458" spans="1:19" ht="76.5" hidden="1">
      <c r="A458" t="s">
        <v>92</v>
      </c>
      <c r="B458" t="s">
        <v>1619</v>
      </c>
      <c r="C458" t="s">
        <v>2636</v>
      </c>
      <c r="D458" s="2" t="s">
        <v>1621</v>
      </c>
      <c r="E458">
        <v>6.86</v>
      </c>
      <c r="F458">
        <v>0.14000000000000001</v>
      </c>
      <c r="G458" t="s">
        <v>79</v>
      </c>
      <c r="H458" t="s">
        <v>81</v>
      </c>
      <c r="I458">
        <v>0</v>
      </c>
      <c r="J458">
        <v>0</v>
      </c>
      <c r="K458" s="5">
        <v>46197.422217222222</v>
      </c>
      <c r="L458" s="5">
        <v>46197.104061134261</v>
      </c>
      <c r="M458" s="2" t="s">
        <v>2637</v>
      </c>
      <c r="N458" s="2" t="s">
        <v>2607</v>
      </c>
      <c r="O458" s="5">
        <v>46197.107825486113</v>
      </c>
      <c r="P458" t="str">
        <f>IF($Q458="DELETE",IF($S458="CONFIRMED: NO MODS &gt; 1YR","CONFIRMED: NO MODS &gt; 1YR","DO NOT DELETE — not defensibly confirmed"),IF($Q458="HOLD","DO NOT DELETE — HOLD (Charlie review)",IF($Q458="KEEP","DO NOT DELETE — KEEP",IF(ISNUMBER(SEARCH("REVIEW",$Q458)),"DO NOT DELETE — REVIEW pending",$S458))))</f>
        <v>REVIEW</v>
      </c>
      <c r="Q458" t="str" cm="1">
        <f t="array" ref="Q458">_xlfn.IFS(AND($A458="thg-beauty",ISNUMBER(SEARCH("liveramp",$C458))),"DELETE",$A458="agile-bonbon-662",_xlfn.IFS(LEFT($G458,9)="Tranche 1","DELETE",$C458="Sessions_Level_1_All_Sites","KEEP",ISNUMBER(--$C458),"REVIEW — UA raw logs",$C458="Emag_Reporting","KEEP",$C458="Nutrition_Data_Archived_Tables","KEEP",$C458="EU_Data","KEEP",TRUE,"REVIEW"),OR($A458="thg-influencer",$A458="thg-ingenuity",$A458="thg-central-marketing",$A458="thg-seoclarity"),"HOLD",TRUE,"")</f>
        <v/>
      </c>
      <c r="R458" t="str" cm="1">
        <f t="array" ref="R458">_xlfn.IFS(AND($A458="thg-beauty",ISNUMBER(SEARCH("liveramp",$C458))),"thg-beauty Liveramp dataset — confirmed safe to delete",$A458="agile-bonbon-662",_xlfn.IFS(LEFT($G458,9)="Tranche 1","Tranche 1: cleared",$C458="Sessions_Level_1_All_Sites","Downstream aggregation of UA raw logs — keep if raw tables go",ISNUMBER(--$C458),"UA raw site logs (account ID) — keep pending audit-retention check",$C458="Emag_Reporting","Legacy but likely needed",$C458="Nutrition_Data_Archived_Tables","Worth keeping",$C458="EU_Data","Static lookup tables — scripts still reference (smoke-test risk)",TRUE,"Review"),OR($A458="thg-influencer",$A458="thg-ingenuity",$A458="thg-central-marketing",$A458="thg-seoclarity"),"HOLD — Charlie Stringer to review before deletion",TRUE,"")</f>
        <v/>
      </c>
      <c r="S458" t="s">
        <v>1631</v>
      </c>
    </row>
    <row r="459" spans="1:19" ht="76.5" hidden="1">
      <c r="A459" t="s">
        <v>38</v>
      </c>
      <c r="B459" t="s">
        <v>1619</v>
      </c>
      <c r="C459" t="s">
        <v>2638</v>
      </c>
      <c r="D459" s="2" t="s">
        <v>1621</v>
      </c>
      <c r="E459">
        <v>53.7</v>
      </c>
      <c r="F459">
        <v>1.07</v>
      </c>
      <c r="G459" t="s">
        <v>79</v>
      </c>
      <c r="H459" t="s">
        <v>81</v>
      </c>
      <c r="I459">
        <v>0</v>
      </c>
      <c r="J459">
        <v>0</v>
      </c>
      <c r="K459" s="5">
        <v>46197.211540069453</v>
      </c>
      <c r="L459" s="5">
        <v>46197.135755682873</v>
      </c>
      <c r="M459" s="2" t="s">
        <v>2639</v>
      </c>
      <c r="N459" s="2" t="s">
        <v>2640</v>
      </c>
      <c r="O459" s="5">
        <v>46197.135770937501</v>
      </c>
      <c r="P459" t="str">
        <f>IF($Q459="DELETE",IF($S459="CONFIRMED: NO MODS &gt; 1YR","CONFIRMED: NO MODS &gt; 1YR","DO NOT DELETE — not defensibly confirmed"),IF($Q459="HOLD","DO NOT DELETE — HOLD (Charlie review)",IF($Q459="KEEP","DO NOT DELETE — KEEP",IF(ISNUMBER(SEARCH("REVIEW",$Q459)),"DO NOT DELETE — REVIEW pending",$S459))))</f>
        <v>DO NOT DELETE — HOLD (Charlie review)</v>
      </c>
      <c r="Q459" t="str" cm="1">
        <f t="array" ref="Q459">_xlfn.IFS(AND($A459="thg-beauty",ISNUMBER(SEARCH("liveramp",$C459))),"DELETE",$A459="agile-bonbon-662",_xlfn.IFS(LEFT($G459,9)="Tranche 1","DELETE",$C459="Sessions_Level_1_All_Sites","KEEP",ISNUMBER(--$C459),"REVIEW — UA raw logs",$C459="Emag_Reporting","KEEP",$C459="Nutrition_Data_Archived_Tables","KEEP",$C459="EU_Data","KEEP",TRUE,"REVIEW"),OR($A459="thg-influencer",$A459="thg-ingenuity",$A459="thg-central-marketing",$A459="thg-seoclarity"),"HOLD",TRUE,"")</f>
        <v>HOLD</v>
      </c>
      <c r="R459" t="str" cm="1">
        <f t="array" ref="R459">_xlfn.IFS(AND($A459="thg-beauty",ISNUMBER(SEARCH("liveramp",$C459))),"thg-beauty Liveramp dataset — confirmed safe to delete",$A459="agile-bonbon-662",_xlfn.IFS(LEFT($G459,9)="Tranche 1","Tranche 1: cleared",$C459="Sessions_Level_1_All_Sites","Downstream aggregation of UA raw logs — keep if raw tables go",ISNUMBER(--$C459),"UA raw site logs (account ID) — keep pending audit-retention check",$C459="Emag_Reporting","Legacy but likely needed",$C459="Nutrition_Data_Archived_Tables","Worth keeping",$C459="EU_Data","Static lookup tables — scripts still reference (smoke-test risk)",TRUE,"Review"),OR($A459="thg-influencer",$A459="thg-ingenuity",$A459="thg-central-marketing",$A459="thg-seoclarity"),"HOLD — Charlie Stringer to review before deletion",TRUE,"")</f>
        <v>HOLD — Charlie Stringer to review before deletion</v>
      </c>
      <c r="S459" t="s">
        <v>1631</v>
      </c>
    </row>
    <row r="460" spans="1:19" ht="76.5" hidden="1">
      <c r="A460" t="s">
        <v>89</v>
      </c>
      <c r="B460" t="s">
        <v>1619</v>
      </c>
      <c r="C460" t="s">
        <v>2641</v>
      </c>
      <c r="D460" s="2" t="s">
        <v>1621</v>
      </c>
      <c r="E460">
        <v>52.49</v>
      </c>
      <c r="F460">
        <v>1.05</v>
      </c>
      <c r="G460" t="s">
        <v>79</v>
      </c>
      <c r="H460" t="s">
        <v>81</v>
      </c>
      <c r="I460">
        <v>0</v>
      </c>
      <c r="J460">
        <v>0</v>
      </c>
      <c r="K460" s="5">
        <v>46197.4201230787</v>
      </c>
      <c r="L460" s="5">
        <v>46197.37503826389</v>
      </c>
      <c r="M460" s="2" t="s">
        <v>2642</v>
      </c>
      <c r="N460" s="2" t="s">
        <v>2643</v>
      </c>
      <c r="O460" s="5">
        <v>46197.375108506953</v>
      </c>
      <c r="P460" t="str">
        <f>IF($Q460="DELETE",IF($S460="CONFIRMED: NO MODS &gt; 1YR","CONFIRMED: NO MODS &gt; 1YR","DO NOT DELETE — not defensibly confirmed"),IF($Q460="HOLD","DO NOT DELETE — HOLD (Charlie review)",IF($Q460="KEEP","DO NOT DELETE — KEEP",IF(ISNUMBER(SEARCH("REVIEW",$Q460)),"DO NOT DELETE — REVIEW pending",$S460))))</f>
        <v>DO NOT DELETE — REVIEW pending</v>
      </c>
      <c r="Q460" t="str" cm="1">
        <f t="array" ref="Q460">_xlfn.IFS(AND($A460="thg-beauty",ISNUMBER(SEARCH("liveramp",$C460))),"DELETE",$A460="agile-bonbon-662",_xlfn.IFS(LEFT($G460,9)="Tranche 1","DELETE",$C460="Sessions_Level_1_All_Sites","KEEP",ISNUMBER(--$C460),"REVIEW — UA raw logs",$C460="Emag_Reporting","KEEP",$C460="Nutrition_Data_Archived_Tables","KEEP",$C460="EU_Data","KEEP",TRUE,"REVIEW"),OR($A460="thg-influencer",$A460="thg-ingenuity",$A460="thg-central-marketing",$A460="thg-seoclarity"),"HOLD",TRUE,"")</f>
        <v>REVIEW</v>
      </c>
      <c r="R460" t="str" cm="1">
        <f t="array" ref="R460">_xlfn.IFS(AND($A460="thg-beauty",ISNUMBER(SEARCH("liveramp",$C460))),"thg-beauty Liveramp dataset — confirmed safe to delete",$A460="agile-bonbon-662",_xlfn.IFS(LEFT($G460,9)="Tranche 1","Tranche 1: cleared",$C460="Sessions_Level_1_All_Sites","Downstream aggregation of UA raw logs — keep if raw tables go",ISNUMBER(--$C460),"UA raw site logs (account ID) — keep pending audit-retention check",$C460="Emag_Reporting","Legacy but likely needed",$C460="Nutrition_Data_Archived_Tables","Worth keeping",$C460="EU_Data","Static lookup tables — scripts still reference (smoke-test risk)",TRUE,"Review"),OR($A460="thg-influencer",$A460="thg-ingenuity",$A460="thg-central-marketing",$A460="thg-seoclarity"),"HOLD — Charlie Stringer to review before deletion",TRUE,"")</f>
        <v>Review</v>
      </c>
      <c r="S460" t="s">
        <v>1631</v>
      </c>
    </row>
    <row r="461" spans="1:19" ht="76.5" hidden="1">
      <c r="A461" t="s">
        <v>89</v>
      </c>
      <c r="B461" t="s">
        <v>1619</v>
      </c>
      <c r="C461" t="s">
        <v>1877</v>
      </c>
      <c r="E461">
        <v>52.23</v>
      </c>
      <c r="F461">
        <v>1.04</v>
      </c>
      <c r="G461" t="s">
        <v>79</v>
      </c>
      <c r="H461" t="s">
        <v>81</v>
      </c>
      <c r="I461">
        <v>0</v>
      </c>
      <c r="J461">
        <v>0</v>
      </c>
      <c r="K461" s="5">
        <v>46197.422427245372</v>
      </c>
      <c r="L461" s="5">
        <v>46197.422358113428</v>
      </c>
      <c r="M461" s="2" t="s">
        <v>2644</v>
      </c>
      <c r="N461" s="2" t="s">
        <v>2645</v>
      </c>
      <c r="O461" s="5">
        <v>46197.422391631953</v>
      </c>
      <c r="P461" t="str">
        <f>IF($Q461="DELETE",IF($S461="CONFIRMED: NO MODS &gt; 1YR","CONFIRMED: NO MODS &gt; 1YR","DO NOT DELETE — not defensibly confirmed"),IF($Q461="HOLD","DO NOT DELETE — HOLD (Charlie review)",IF($Q461="KEEP","DO NOT DELETE — KEEP",IF(ISNUMBER(SEARCH("REVIEW",$Q461)),"DO NOT DELETE — REVIEW pending",$S461))))</f>
        <v>DO NOT DELETE — REVIEW pending</v>
      </c>
      <c r="Q461" t="str" cm="1">
        <f t="array" ref="Q461">_xlfn.IFS(AND($A461="thg-beauty",ISNUMBER(SEARCH("liveramp",$C461))),"DELETE",$A461="agile-bonbon-662",_xlfn.IFS(LEFT($G461,9)="Tranche 1","DELETE",$C461="Sessions_Level_1_All_Sites","KEEP",ISNUMBER(--$C461),"REVIEW — UA raw logs",$C461="Emag_Reporting","KEEP",$C461="Nutrition_Data_Archived_Tables","KEEP",$C461="EU_Data","KEEP",TRUE,"REVIEW"),OR($A461="thg-influencer",$A461="thg-ingenuity",$A461="thg-central-marketing",$A461="thg-seoclarity"),"HOLD",TRUE,"")</f>
        <v>REVIEW</v>
      </c>
      <c r="R461" t="str" cm="1">
        <f t="array" ref="R461">_xlfn.IFS(AND($A461="thg-beauty",ISNUMBER(SEARCH("liveramp",$C461))),"thg-beauty Liveramp dataset — confirmed safe to delete",$A461="agile-bonbon-662",_xlfn.IFS(LEFT($G461,9)="Tranche 1","Tranche 1: cleared",$C461="Sessions_Level_1_All_Sites","Downstream aggregation of UA raw logs — keep if raw tables go",ISNUMBER(--$C461),"UA raw site logs (account ID) — keep pending audit-retention check",$C461="Emag_Reporting","Legacy but likely needed",$C461="Nutrition_Data_Archived_Tables","Worth keeping",$C461="EU_Data","Static lookup tables — scripts still reference (smoke-test risk)",TRUE,"Review"),OR($A461="thg-influencer",$A461="thg-ingenuity",$A461="thg-central-marketing",$A461="thg-seoclarity"),"HOLD — Charlie Stringer to review before deletion",TRUE,"")</f>
        <v>Review</v>
      </c>
      <c r="S461" t="s">
        <v>1631</v>
      </c>
    </row>
    <row r="462" spans="1:19" ht="76.5" hidden="1">
      <c r="A462" t="s">
        <v>38</v>
      </c>
      <c r="B462" t="s">
        <v>1619</v>
      </c>
      <c r="C462" t="s">
        <v>2646</v>
      </c>
      <c r="D462" s="2" t="s">
        <v>1621</v>
      </c>
      <c r="E462">
        <v>51.67</v>
      </c>
      <c r="F462">
        <v>1.03</v>
      </c>
      <c r="G462" t="s">
        <v>79</v>
      </c>
      <c r="H462" t="s">
        <v>81</v>
      </c>
      <c r="I462">
        <v>0</v>
      </c>
      <c r="J462">
        <v>0</v>
      </c>
      <c r="K462" s="5">
        <v>46197.302213159717</v>
      </c>
      <c r="L462" s="5">
        <v>46197.302213159717</v>
      </c>
      <c r="M462" s="2" t="s">
        <v>2647</v>
      </c>
      <c r="N462" s="2" t="s">
        <v>2647</v>
      </c>
      <c r="O462" s="5">
        <v>46197.302308043982</v>
      </c>
      <c r="P462" t="str">
        <f>IF($Q462="DELETE",IF($S462="CONFIRMED: NO MODS &gt; 1YR","CONFIRMED: NO MODS &gt; 1YR","DO NOT DELETE — not defensibly confirmed"),IF($Q462="HOLD","DO NOT DELETE — HOLD (Charlie review)",IF($Q462="KEEP","DO NOT DELETE — KEEP",IF(ISNUMBER(SEARCH("REVIEW",$Q462)),"DO NOT DELETE — REVIEW pending",$S462))))</f>
        <v>DO NOT DELETE — HOLD (Charlie review)</v>
      </c>
      <c r="Q462" t="str" cm="1">
        <f t="array" ref="Q462">_xlfn.IFS(AND($A462="thg-beauty",ISNUMBER(SEARCH("liveramp",$C462))),"DELETE",$A462="agile-bonbon-662",_xlfn.IFS(LEFT($G462,9)="Tranche 1","DELETE",$C462="Sessions_Level_1_All_Sites","KEEP",ISNUMBER(--$C462),"REVIEW — UA raw logs",$C462="Emag_Reporting","KEEP",$C462="Nutrition_Data_Archived_Tables","KEEP",$C462="EU_Data","KEEP",TRUE,"REVIEW"),OR($A462="thg-influencer",$A462="thg-ingenuity",$A462="thg-central-marketing",$A462="thg-seoclarity"),"HOLD",TRUE,"")</f>
        <v>HOLD</v>
      </c>
      <c r="R462" t="str" cm="1">
        <f t="array" ref="R462">_xlfn.IFS(AND($A462="thg-beauty",ISNUMBER(SEARCH("liveramp",$C462))),"thg-beauty Liveramp dataset — confirmed safe to delete",$A462="agile-bonbon-662",_xlfn.IFS(LEFT($G462,9)="Tranche 1","Tranche 1: cleared",$C462="Sessions_Level_1_All_Sites","Downstream aggregation of UA raw logs — keep if raw tables go",ISNUMBER(--$C462),"UA raw site logs (account ID) — keep pending audit-retention check",$C462="Emag_Reporting","Legacy but likely needed",$C462="Nutrition_Data_Archived_Tables","Worth keeping",$C462="EU_Data","Static lookup tables — scripts still reference (smoke-test risk)",TRUE,"Review"),OR($A462="thg-influencer",$A462="thg-ingenuity",$A462="thg-central-marketing",$A462="thg-seoclarity"),"HOLD — Charlie Stringer to review before deletion",TRUE,"")</f>
        <v>HOLD — Charlie Stringer to review before deletion</v>
      </c>
      <c r="S462" t="s">
        <v>1631</v>
      </c>
    </row>
    <row r="463" spans="1:19" ht="76.5" hidden="1">
      <c r="A463" t="s">
        <v>92</v>
      </c>
      <c r="B463" t="s">
        <v>1619</v>
      </c>
      <c r="C463" t="s">
        <v>2648</v>
      </c>
      <c r="D463" s="2" t="s">
        <v>1621</v>
      </c>
      <c r="E463">
        <v>6.18</v>
      </c>
      <c r="F463">
        <v>0.12</v>
      </c>
      <c r="G463" t="s">
        <v>79</v>
      </c>
      <c r="H463" t="s">
        <v>81</v>
      </c>
      <c r="I463">
        <v>0</v>
      </c>
      <c r="J463">
        <v>0</v>
      </c>
      <c r="K463" s="5">
        <v>46197.097247106482</v>
      </c>
      <c r="L463" s="5">
        <v>46197.097247106482</v>
      </c>
      <c r="M463" s="2" t="s">
        <v>2125</v>
      </c>
      <c r="N463" s="2" t="s">
        <v>2125</v>
      </c>
      <c r="O463" s="5">
        <v>46197.097259421287</v>
      </c>
      <c r="P463" t="str">
        <f>IF($Q463="DELETE",IF($S463="CONFIRMED: NO MODS &gt; 1YR","CONFIRMED: NO MODS &gt; 1YR","DO NOT DELETE — not defensibly confirmed"),IF($Q463="HOLD","DO NOT DELETE — HOLD (Charlie review)",IF($Q463="KEEP","DO NOT DELETE — KEEP",IF(ISNUMBER(SEARCH("REVIEW",$Q463)),"DO NOT DELETE — REVIEW pending",$S463))))</f>
        <v>REVIEW</v>
      </c>
      <c r="Q463" t="str" cm="1">
        <f t="array" ref="Q463">_xlfn.IFS(AND($A463="thg-beauty",ISNUMBER(SEARCH("liveramp",$C463))),"DELETE",$A463="agile-bonbon-662",_xlfn.IFS(LEFT($G463,9)="Tranche 1","DELETE",$C463="Sessions_Level_1_All_Sites","KEEP",ISNUMBER(--$C463),"REVIEW — UA raw logs",$C463="Emag_Reporting","KEEP",$C463="Nutrition_Data_Archived_Tables","KEEP",$C463="EU_Data","KEEP",TRUE,"REVIEW"),OR($A463="thg-influencer",$A463="thg-ingenuity",$A463="thg-central-marketing",$A463="thg-seoclarity"),"HOLD",TRUE,"")</f>
        <v/>
      </c>
      <c r="R463" t="str" cm="1">
        <f t="array" ref="R463">_xlfn.IFS(AND($A463="thg-beauty",ISNUMBER(SEARCH("liveramp",$C463))),"thg-beauty Liveramp dataset — confirmed safe to delete",$A463="agile-bonbon-662",_xlfn.IFS(LEFT($G463,9)="Tranche 1","Tranche 1: cleared",$C463="Sessions_Level_1_All_Sites","Downstream aggregation of UA raw logs — keep if raw tables go",ISNUMBER(--$C463),"UA raw site logs (account ID) — keep pending audit-retention check",$C463="Emag_Reporting","Legacy but likely needed",$C463="Nutrition_Data_Archived_Tables","Worth keeping",$C463="EU_Data","Static lookup tables — scripts still reference (smoke-test risk)",TRUE,"Review"),OR($A463="thg-influencer",$A463="thg-ingenuity",$A463="thg-central-marketing",$A463="thg-seoclarity"),"HOLD — Charlie Stringer to review before deletion",TRUE,"")</f>
        <v/>
      </c>
      <c r="S463" t="s">
        <v>1631</v>
      </c>
    </row>
    <row r="464" spans="1:19" hidden="1">
      <c r="A464" t="s">
        <v>2649</v>
      </c>
      <c r="B464" t="s">
        <v>1724</v>
      </c>
      <c r="C464" t="s">
        <v>2650</v>
      </c>
      <c r="D464" s="2" t="s">
        <v>1621</v>
      </c>
      <c r="E464">
        <v>48.73</v>
      </c>
      <c r="F464">
        <v>0.97</v>
      </c>
      <c r="G464" t="s">
        <v>79</v>
      </c>
      <c r="H464" t="s">
        <v>81</v>
      </c>
      <c r="I464">
        <v>0</v>
      </c>
      <c r="J464">
        <v>0</v>
      </c>
      <c r="M464" s="2" t="s">
        <v>1715</v>
      </c>
      <c r="N464" s="2" t="s">
        <v>1701</v>
      </c>
      <c r="O464" s="5">
        <v>46197.208979027782</v>
      </c>
      <c r="P464" t="str">
        <f>IF($Q464="DELETE",IF($S464="CONFIRMED: NO MODS &gt; 1YR","CONFIRMED: NO MODS &gt; 1YR","DO NOT DELETE — not defensibly confirmed"),IF($Q464="HOLD","DO NOT DELETE — HOLD (Charlie review)",IF($Q464="KEEP","DO NOT DELETE — KEEP",IF(ISNUMBER(SEARCH("REVIEW",$Q464)),"DO NOT DELETE — REVIEW pending",$S464))))</f>
        <v>REVIEW</v>
      </c>
      <c r="Q464" t="str" cm="1">
        <f t="array" ref="Q464">_xlfn.IFS(AND($A464="thg-beauty",ISNUMBER(SEARCH("liveramp",$C464))),"DELETE",$A464="agile-bonbon-662",_xlfn.IFS(LEFT($G464,9)="Tranche 1","DELETE",$C464="Sessions_Level_1_All_Sites","KEEP",ISNUMBER(--$C464),"REVIEW — UA raw logs",$C464="Emag_Reporting","KEEP",$C464="Nutrition_Data_Archived_Tables","KEEP",$C464="EU_Data","KEEP",TRUE,"REVIEW"),OR($A464="thg-influencer",$A464="thg-ingenuity",$A464="thg-central-marketing",$A464="thg-seoclarity"),"HOLD",TRUE,"")</f>
        <v/>
      </c>
      <c r="R464" t="str" cm="1">
        <f t="array" ref="R464">_xlfn.IFS(AND($A464="thg-beauty",ISNUMBER(SEARCH("liveramp",$C464))),"thg-beauty Liveramp dataset — confirmed safe to delete",$A464="agile-bonbon-662",_xlfn.IFS(LEFT($G464,9)="Tranche 1","Tranche 1: cleared",$C464="Sessions_Level_1_All_Sites","Downstream aggregation of UA raw logs — keep if raw tables go",ISNUMBER(--$C464),"UA raw site logs (account ID) — keep pending audit-retention check",$C464="Emag_Reporting","Legacy but likely needed",$C464="Nutrition_Data_Archived_Tables","Worth keeping",$C464="EU_Data","Static lookup tables — scripts still reference (smoke-test risk)",TRUE,"Review"),OR($A464="thg-influencer",$A464="thg-ingenuity",$A464="thg-central-marketing",$A464="thg-seoclarity"),"HOLD — Charlie Stringer to review before deletion",TRUE,"")</f>
        <v/>
      </c>
      <c r="S464" t="s">
        <v>1631</v>
      </c>
    </row>
    <row r="465" spans="1:19" ht="76.5" hidden="1">
      <c r="A465" t="s">
        <v>38</v>
      </c>
      <c r="B465" t="s">
        <v>1619</v>
      </c>
      <c r="C465" t="s">
        <v>2651</v>
      </c>
      <c r="D465" s="2" t="s">
        <v>1621</v>
      </c>
      <c r="E465">
        <v>46.69</v>
      </c>
      <c r="F465">
        <v>0.93</v>
      </c>
      <c r="G465" t="s">
        <v>79</v>
      </c>
      <c r="H465" t="s">
        <v>81</v>
      </c>
      <c r="I465">
        <v>0</v>
      </c>
      <c r="J465">
        <v>0</v>
      </c>
      <c r="L465" s="5">
        <v>46197.346858923607</v>
      </c>
      <c r="M465" s="2" t="s">
        <v>1715</v>
      </c>
      <c r="N465" s="2" t="s">
        <v>2652</v>
      </c>
      <c r="O465" s="5">
        <v>46197.346985474527</v>
      </c>
      <c r="P465" t="str">
        <f>IF($Q465="DELETE",IF($S465="CONFIRMED: NO MODS &gt; 1YR","CONFIRMED: NO MODS &gt; 1YR","DO NOT DELETE — not defensibly confirmed"),IF($Q465="HOLD","DO NOT DELETE — HOLD (Charlie review)",IF($Q465="KEEP","DO NOT DELETE — KEEP",IF(ISNUMBER(SEARCH("REVIEW",$Q465)),"DO NOT DELETE — REVIEW pending",$S465))))</f>
        <v>DO NOT DELETE — HOLD (Charlie review)</v>
      </c>
      <c r="Q465" t="str" cm="1">
        <f t="array" ref="Q465">_xlfn.IFS(AND($A465="thg-beauty",ISNUMBER(SEARCH("liveramp",$C465))),"DELETE",$A465="agile-bonbon-662",_xlfn.IFS(LEFT($G465,9)="Tranche 1","DELETE",$C465="Sessions_Level_1_All_Sites","KEEP",ISNUMBER(--$C465),"REVIEW — UA raw logs",$C465="Emag_Reporting","KEEP",$C465="Nutrition_Data_Archived_Tables","KEEP",$C465="EU_Data","KEEP",TRUE,"REVIEW"),OR($A465="thg-influencer",$A465="thg-ingenuity",$A465="thg-central-marketing",$A465="thg-seoclarity"),"HOLD",TRUE,"")</f>
        <v>HOLD</v>
      </c>
      <c r="R465" t="str" cm="1">
        <f t="array" ref="R465">_xlfn.IFS(AND($A465="thg-beauty",ISNUMBER(SEARCH("liveramp",$C465))),"thg-beauty Liveramp dataset — confirmed safe to delete",$A465="agile-bonbon-662",_xlfn.IFS(LEFT($G465,9)="Tranche 1","Tranche 1: cleared",$C465="Sessions_Level_1_All_Sites","Downstream aggregation of UA raw logs — keep if raw tables go",ISNUMBER(--$C465),"UA raw site logs (account ID) — keep pending audit-retention check",$C465="Emag_Reporting","Legacy but likely needed",$C465="Nutrition_Data_Archived_Tables","Worth keeping",$C465="EU_Data","Static lookup tables — scripts still reference (smoke-test risk)",TRUE,"Review"),OR($A465="thg-influencer",$A465="thg-ingenuity",$A465="thg-central-marketing",$A465="thg-seoclarity"),"HOLD — Charlie Stringer to review before deletion",TRUE,"")</f>
        <v>HOLD — Charlie Stringer to review before deletion</v>
      </c>
      <c r="S465" t="s">
        <v>1631</v>
      </c>
    </row>
    <row r="466" spans="1:19" ht="76.5" hidden="1">
      <c r="A466" t="s">
        <v>38</v>
      </c>
      <c r="B466" t="s">
        <v>1619</v>
      </c>
      <c r="C466" t="s">
        <v>1934</v>
      </c>
      <c r="D466" s="2" t="s">
        <v>1621</v>
      </c>
      <c r="E466">
        <v>44.22</v>
      </c>
      <c r="F466">
        <v>0.88</v>
      </c>
      <c r="G466" t="s">
        <v>79</v>
      </c>
      <c r="H466" t="s">
        <v>81</v>
      </c>
      <c r="I466">
        <v>0</v>
      </c>
      <c r="J466">
        <v>0</v>
      </c>
      <c r="K466" s="5">
        <v>46197.431035335649</v>
      </c>
      <c r="L466" s="5">
        <v>46197.420494791673</v>
      </c>
      <c r="M466" s="2" t="s">
        <v>2653</v>
      </c>
      <c r="N466" s="2" t="s">
        <v>2654</v>
      </c>
      <c r="O466" s="5">
        <v>46197.420516446757</v>
      </c>
      <c r="P466" t="str">
        <f>IF($Q466="DELETE",IF($S466="CONFIRMED: NO MODS &gt; 1YR","CONFIRMED: NO MODS &gt; 1YR","DO NOT DELETE — not defensibly confirmed"),IF($Q466="HOLD","DO NOT DELETE — HOLD (Charlie review)",IF($Q466="KEEP","DO NOT DELETE — KEEP",IF(ISNUMBER(SEARCH("REVIEW",$Q466)),"DO NOT DELETE — REVIEW pending",$S466))))</f>
        <v>DO NOT DELETE — HOLD (Charlie review)</v>
      </c>
      <c r="Q466" t="str" cm="1">
        <f t="array" ref="Q466">_xlfn.IFS(AND($A466="thg-beauty",ISNUMBER(SEARCH("liveramp",$C466))),"DELETE",$A466="agile-bonbon-662",_xlfn.IFS(LEFT($G466,9)="Tranche 1","DELETE",$C466="Sessions_Level_1_All_Sites","KEEP",ISNUMBER(--$C466),"REVIEW — UA raw logs",$C466="Emag_Reporting","KEEP",$C466="Nutrition_Data_Archived_Tables","KEEP",$C466="EU_Data","KEEP",TRUE,"REVIEW"),OR($A466="thg-influencer",$A466="thg-ingenuity",$A466="thg-central-marketing",$A466="thg-seoclarity"),"HOLD",TRUE,"")</f>
        <v>HOLD</v>
      </c>
      <c r="R466" t="str" cm="1">
        <f t="array" ref="R466">_xlfn.IFS(AND($A466="thg-beauty",ISNUMBER(SEARCH("liveramp",$C466))),"thg-beauty Liveramp dataset — confirmed safe to delete",$A466="agile-bonbon-662",_xlfn.IFS(LEFT($G466,9)="Tranche 1","Tranche 1: cleared",$C466="Sessions_Level_1_All_Sites","Downstream aggregation of UA raw logs — keep if raw tables go",ISNUMBER(--$C466),"UA raw site logs (account ID) — keep pending audit-retention check",$C466="Emag_Reporting","Legacy but likely needed",$C466="Nutrition_Data_Archived_Tables","Worth keeping",$C466="EU_Data","Static lookup tables — scripts still reference (smoke-test risk)",TRUE,"Review"),OR($A466="thg-influencer",$A466="thg-ingenuity",$A466="thg-central-marketing",$A466="thg-seoclarity"),"HOLD — Charlie Stringer to review before deletion",TRUE,"")</f>
        <v>HOLD — Charlie Stringer to review before deletion</v>
      </c>
      <c r="S466" t="s">
        <v>1631</v>
      </c>
    </row>
    <row r="467" spans="1:19" ht="76.5" hidden="1">
      <c r="A467" t="s">
        <v>92</v>
      </c>
      <c r="B467" t="s">
        <v>1619</v>
      </c>
      <c r="C467" t="s">
        <v>2655</v>
      </c>
      <c r="D467" s="2" t="s">
        <v>1621</v>
      </c>
      <c r="E467">
        <v>5.48</v>
      </c>
      <c r="F467">
        <v>0.11</v>
      </c>
      <c r="G467" t="s">
        <v>79</v>
      </c>
      <c r="H467" t="s">
        <v>81</v>
      </c>
      <c r="I467">
        <v>58</v>
      </c>
      <c r="J467">
        <v>58</v>
      </c>
      <c r="L467" s="5">
        <v>46139.029526516213</v>
      </c>
      <c r="M467" s="2" t="s">
        <v>1715</v>
      </c>
      <c r="N467" s="2" t="s">
        <v>2656</v>
      </c>
      <c r="O467" s="5">
        <v>46139.029539907409</v>
      </c>
      <c r="P467" t="str">
        <f>IF($Q467="DELETE",IF($S467="CONFIRMED: NO MODS &gt; 1YR","CONFIRMED: NO MODS &gt; 1YR","DO NOT DELETE — not defensibly confirmed"),IF($Q467="HOLD","DO NOT DELETE — HOLD (Charlie review)",IF($Q467="KEEP","DO NOT DELETE — KEEP",IF(ISNUMBER(SEARCH("REVIEW",$Q467)),"DO NOT DELETE — REVIEW pending",$S467))))</f>
        <v>REVIEW</v>
      </c>
      <c r="Q467" t="str" cm="1">
        <f t="array" ref="Q467">_xlfn.IFS(AND($A467="thg-beauty",ISNUMBER(SEARCH("liveramp",$C467))),"DELETE",$A467="agile-bonbon-662",_xlfn.IFS(LEFT($G467,9)="Tranche 1","DELETE",$C467="Sessions_Level_1_All_Sites","KEEP",ISNUMBER(--$C467),"REVIEW — UA raw logs",$C467="Emag_Reporting","KEEP",$C467="Nutrition_Data_Archived_Tables","KEEP",$C467="EU_Data","KEEP",TRUE,"REVIEW"),OR($A467="thg-influencer",$A467="thg-ingenuity",$A467="thg-central-marketing",$A467="thg-seoclarity"),"HOLD",TRUE,"")</f>
        <v/>
      </c>
      <c r="R467" t="str" cm="1">
        <f t="array" ref="R467">_xlfn.IFS(AND($A467="thg-beauty",ISNUMBER(SEARCH("liveramp",$C467))),"thg-beauty Liveramp dataset — confirmed safe to delete",$A467="agile-bonbon-662",_xlfn.IFS(LEFT($G467,9)="Tranche 1","Tranche 1: cleared",$C467="Sessions_Level_1_All_Sites","Downstream aggregation of UA raw logs — keep if raw tables go",ISNUMBER(--$C467),"UA raw site logs (account ID) — keep pending audit-retention check",$C467="Emag_Reporting","Legacy but likely needed",$C467="Nutrition_Data_Archived_Tables","Worth keeping",$C467="EU_Data","Static lookup tables — scripts still reference (smoke-test risk)",TRUE,"Review"),OR($A467="thg-influencer",$A467="thg-ingenuity",$A467="thg-central-marketing",$A467="thg-seoclarity"),"HOLD — Charlie Stringer to review before deletion",TRUE,"")</f>
        <v/>
      </c>
      <c r="S467" t="s">
        <v>1631</v>
      </c>
    </row>
    <row r="468" spans="1:19" ht="76.5" hidden="1">
      <c r="A468" t="s">
        <v>92</v>
      </c>
      <c r="B468" t="s">
        <v>1619</v>
      </c>
      <c r="C468" t="s">
        <v>2657</v>
      </c>
      <c r="D468" s="2" t="s">
        <v>1621</v>
      </c>
      <c r="E468">
        <v>4.8099999999999996</v>
      </c>
      <c r="F468">
        <v>0.1</v>
      </c>
      <c r="G468" t="s">
        <v>79</v>
      </c>
      <c r="H468" t="s">
        <v>81</v>
      </c>
      <c r="I468">
        <v>0</v>
      </c>
      <c r="J468">
        <v>0</v>
      </c>
      <c r="K468" s="5">
        <v>46197.293618599528</v>
      </c>
      <c r="L468" s="5">
        <v>46197.105800115743</v>
      </c>
      <c r="M468" s="2" t="s">
        <v>2658</v>
      </c>
      <c r="N468" s="2" t="s">
        <v>2659</v>
      </c>
      <c r="O468" s="5">
        <v>46197.10676934028</v>
      </c>
      <c r="P468" t="str">
        <f>IF($Q468="DELETE",IF($S468="CONFIRMED: NO MODS &gt; 1YR","CONFIRMED: NO MODS &gt; 1YR","DO NOT DELETE — not defensibly confirmed"),IF($Q468="HOLD","DO NOT DELETE — HOLD (Charlie review)",IF($Q468="KEEP","DO NOT DELETE — KEEP",IF(ISNUMBER(SEARCH("REVIEW",$Q468)),"DO NOT DELETE — REVIEW pending",$S468))))</f>
        <v>REVIEW</v>
      </c>
      <c r="Q468" t="str" cm="1">
        <f t="array" ref="Q468">_xlfn.IFS(AND($A468="thg-beauty",ISNUMBER(SEARCH("liveramp",$C468))),"DELETE",$A468="agile-bonbon-662",_xlfn.IFS(LEFT($G468,9)="Tranche 1","DELETE",$C468="Sessions_Level_1_All_Sites","KEEP",ISNUMBER(--$C468),"REVIEW — UA raw logs",$C468="Emag_Reporting","KEEP",$C468="Nutrition_Data_Archived_Tables","KEEP",$C468="EU_Data","KEEP",TRUE,"REVIEW"),OR($A468="thg-influencer",$A468="thg-ingenuity",$A468="thg-central-marketing",$A468="thg-seoclarity"),"HOLD",TRUE,"")</f>
        <v/>
      </c>
      <c r="R468" t="str" cm="1">
        <f t="array" ref="R468">_xlfn.IFS(AND($A468="thg-beauty",ISNUMBER(SEARCH("liveramp",$C468))),"thg-beauty Liveramp dataset — confirmed safe to delete",$A468="agile-bonbon-662",_xlfn.IFS(LEFT($G468,9)="Tranche 1","Tranche 1: cleared",$C468="Sessions_Level_1_All_Sites","Downstream aggregation of UA raw logs — keep if raw tables go",ISNUMBER(--$C468),"UA raw site logs (account ID) — keep pending audit-retention check",$C468="Emag_Reporting","Legacy but likely needed",$C468="Nutrition_Data_Archived_Tables","Worth keeping",$C468="EU_Data","Static lookup tables — scripts still reference (smoke-test risk)",TRUE,"Review"),OR($A468="thg-influencer",$A468="thg-ingenuity",$A468="thg-central-marketing",$A468="thg-seoclarity"),"HOLD — Charlie Stringer to review before deletion",TRUE,"")</f>
        <v/>
      </c>
      <c r="S468" t="s">
        <v>1631</v>
      </c>
    </row>
    <row r="469" spans="1:19" ht="76.5" hidden="1">
      <c r="A469" t="s">
        <v>1768</v>
      </c>
      <c r="B469" t="s">
        <v>1619</v>
      </c>
      <c r="C469" t="s">
        <v>2660</v>
      </c>
      <c r="D469" s="2" t="s">
        <v>1621</v>
      </c>
      <c r="E469">
        <v>43.16</v>
      </c>
      <c r="F469">
        <v>0.86</v>
      </c>
      <c r="G469" t="s">
        <v>79</v>
      </c>
      <c r="H469" t="s">
        <v>81</v>
      </c>
      <c r="I469">
        <v>0</v>
      </c>
      <c r="J469">
        <v>0</v>
      </c>
      <c r="K469" s="5">
        <v>46197.125134398149</v>
      </c>
      <c r="L469" s="5">
        <v>46197.125134398149</v>
      </c>
      <c r="M469" s="2" t="s">
        <v>2661</v>
      </c>
      <c r="N469" s="2" t="s">
        <v>2661</v>
      </c>
      <c r="O469" s="5">
        <v>46197.125296192127</v>
      </c>
      <c r="P469" t="str">
        <f>IF($Q469="DELETE",IF($S469="CONFIRMED: NO MODS &gt; 1YR","CONFIRMED: NO MODS &gt; 1YR","DO NOT DELETE — not defensibly confirmed"),IF($Q469="HOLD","DO NOT DELETE — HOLD (Charlie review)",IF($Q469="KEEP","DO NOT DELETE — KEEP",IF(ISNUMBER(SEARCH("REVIEW",$Q469)),"DO NOT DELETE — REVIEW pending",$S469))))</f>
        <v>REVIEW</v>
      </c>
      <c r="Q469" t="str" cm="1">
        <f t="array" ref="Q469">_xlfn.IFS(AND($A469="thg-beauty",ISNUMBER(SEARCH("liveramp",$C469))),"DELETE",$A469="agile-bonbon-662",_xlfn.IFS(LEFT($G469,9)="Tranche 1","DELETE",$C469="Sessions_Level_1_All_Sites","KEEP",ISNUMBER(--$C469),"REVIEW — UA raw logs",$C469="Emag_Reporting","KEEP",$C469="Nutrition_Data_Archived_Tables","KEEP",$C469="EU_Data","KEEP",TRUE,"REVIEW"),OR($A469="thg-influencer",$A469="thg-ingenuity",$A469="thg-central-marketing",$A469="thg-seoclarity"),"HOLD",TRUE,"")</f>
        <v/>
      </c>
      <c r="R469" t="str" cm="1">
        <f t="array" ref="R469">_xlfn.IFS(AND($A469="thg-beauty",ISNUMBER(SEARCH("liveramp",$C469))),"thg-beauty Liveramp dataset — confirmed safe to delete",$A469="agile-bonbon-662",_xlfn.IFS(LEFT($G469,9)="Tranche 1","Tranche 1: cleared",$C469="Sessions_Level_1_All_Sites","Downstream aggregation of UA raw logs — keep if raw tables go",ISNUMBER(--$C469),"UA raw site logs (account ID) — keep pending audit-retention check",$C469="Emag_Reporting","Legacy but likely needed",$C469="Nutrition_Data_Archived_Tables","Worth keeping",$C469="EU_Data","Static lookup tables — scripts still reference (smoke-test risk)",TRUE,"Review"),OR($A469="thg-influencer",$A469="thg-ingenuity",$A469="thg-central-marketing",$A469="thg-seoclarity"),"HOLD — Charlie Stringer to review before deletion",TRUE,"")</f>
        <v/>
      </c>
      <c r="S469" t="s">
        <v>1631</v>
      </c>
    </row>
    <row r="470" spans="1:19" ht="76.5" hidden="1">
      <c r="A470" t="s">
        <v>1702</v>
      </c>
      <c r="B470" t="s">
        <v>1619</v>
      </c>
      <c r="C470" t="s">
        <v>2660</v>
      </c>
      <c r="D470" s="2" t="s">
        <v>1621</v>
      </c>
      <c r="E470">
        <v>42.64</v>
      </c>
      <c r="F470">
        <v>0.85</v>
      </c>
      <c r="G470" t="s">
        <v>79</v>
      </c>
      <c r="H470" t="s">
        <v>81</v>
      </c>
      <c r="I470">
        <v>0</v>
      </c>
      <c r="J470">
        <v>0</v>
      </c>
      <c r="K470" s="5">
        <v>46197.209867199083</v>
      </c>
      <c r="L470" s="5">
        <v>46197.210028425929</v>
      </c>
      <c r="M470" s="2" t="s">
        <v>2662</v>
      </c>
      <c r="N470" s="2" t="s">
        <v>2663</v>
      </c>
      <c r="O470" s="5">
        <v>46197.21005530093</v>
      </c>
      <c r="P470" t="str">
        <f>IF($Q470="DELETE",IF($S470="CONFIRMED: NO MODS &gt; 1YR","CONFIRMED: NO MODS &gt; 1YR","DO NOT DELETE — not defensibly confirmed"),IF($Q470="HOLD","DO NOT DELETE — HOLD (Charlie review)",IF($Q470="KEEP","DO NOT DELETE — KEEP",IF(ISNUMBER(SEARCH("REVIEW",$Q470)),"DO NOT DELETE — REVIEW pending",$S470))))</f>
        <v>REVIEW</v>
      </c>
      <c r="Q470" t="str" cm="1">
        <f t="array" ref="Q470">_xlfn.IFS(AND($A470="thg-beauty",ISNUMBER(SEARCH("liveramp",$C470))),"DELETE",$A470="agile-bonbon-662",_xlfn.IFS(LEFT($G470,9)="Tranche 1","DELETE",$C470="Sessions_Level_1_All_Sites","KEEP",ISNUMBER(--$C470),"REVIEW — UA raw logs",$C470="Emag_Reporting","KEEP",$C470="Nutrition_Data_Archived_Tables","KEEP",$C470="EU_Data","KEEP",TRUE,"REVIEW"),OR($A470="thg-influencer",$A470="thg-ingenuity",$A470="thg-central-marketing",$A470="thg-seoclarity"),"HOLD",TRUE,"")</f>
        <v/>
      </c>
      <c r="R470" t="str" cm="1">
        <f t="array" ref="R470">_xlfn.IFS(AND($A470="thg-beauty",ISNUMBER(SEARCH("liveramp",$C470))),"thg-beauty Liveramp dataset — confirmed safe to delete",$A470="agile-bonbon-662",_xlfn.IFS(LEFT($G470,9)="Tranche 1","Tranche 1: cleared",$C470="Sessions_Level_1_All_Sites","Downstream aggregation of UA raw logs — keep if raw tables go",ISNUMBER(--$C470),"UA raw site logs (account ID) — keep pending audit-retention check",$C470="Emag_Reporting","Legacy but likely needed",$C470="Nutrition_Data_Archived_Tables","Worth keeping",$C470="EU_Data","Static lookup tables — scripts still reference (smoke-test risk)",TRUE,"Review"),OR($A470="thg-influencer",$A470="thg-ingenuity",$A470="thg-central-marketing",$A470="thg-seoclarity"),"HOLD — Charlie Stringer to review before deletion",TRUE,"")</f>
        <v/>
      </c>
      <c r="S470" t="s">
        <v>1631</v>
      </c>
    </row>
    <row r="471" spans="1:19" ht="76.5" hidden="1">
      <c r="A471" t="s">
        <v>39</v>
      </c>
      <c r="B471" t="s">
        <v>1619</v>
      </c>
      <c r="C471" t="s">
        <v>2664</v>
      </c>
      <c r="D471" s="2" t="s">
        <v>1621</v>
      </c>
      <c r="E471">
        <v>42.46</v>
      </c>
      <c r="F471">
        <v>0.85</v>
      </c>
      <c r="G471" t="s">
        <v>79</v>
      </c>
      <c r="H471" t="s">
        <v>81</v>
      </c>
      <c r="I471">
        <v>0</v>
      </c>
      <c r="J471">
        <v>0</v>
      </c>
      <c r="K471" s="5">
        <v>46197.441602893523</v>
      </c>
      <c r="L471" s="5">
        <v>46197.090767071757</v>
      </c>
      <c r="M471" s="2" t="s">
        <v>2665</v>
      </c>
      <c r="N471" s="2" t="s">
        <v>2666</v>
      </c>
      <c r="O471" s="5">
        <v>46197.090785196757</v>
      </c>
      <c r="P471" t="str">
        <f>IF($Q471="DELETE",IF($S471="CONFIRMED: NO MODS &gt; 1YR","CONFIRMED: NO MODS &gt; 1YR","DO NOT DELETE — not defensibly confirmed"),IF($Q471="HOLD","DO NOT DELETE — HOLD (Charlie review)",IF($Q471="KEEP","DO NOT DELETE — KEEP",IF(ISNUMBER(SEARCH("REVIEW",$Q471)),"DO NOT DELETE — REVIEW pending",$S471))))</f>
        <v>DO NOT DELETE — HOLD (Charlie review)</v>
      </c>
      <c r="Q471" t="str" cm="1">
        <f t="array" ref="Q471">_xlfn.IFS(AND($A471="thg-beauty",ISNUMBER(SEARCH("liveramp",$C471))),"DELETE",$A471="agile-bonbon-662",_xlfn.IFS(LEFT($G471,9)="Tranche 1","DELETE",$C471="Sessions_Level_1_All_Sites","KEEP",ISNUMBER(--$C471),"REVIEW — UA raw logs",$C471="Emag_Reporting","KEEP",$C471="Nutrition_Data_Archived_Tables","KEEP",$C471="EU_Data","KEEP",TRUE,"REVIEW"),OR($A471="thg-influencer",$A471="thg-ingenuity",$A471="thg-central-marketing",$A471="thg-seoclarity"),"HOLD",TRUE,"")</f>
        <v>HOLD</v>
      </c>
      <c r="R471" t="str" cm="1">
        <f t="array" ref="R471">_xlfn.IFS(AND($A471="thg-beauty",ISNUMBER(SEARCH("liveramp",$C471))),"thg-beauty Liveramp dataset — confirmed safe to delete",$A471="agile-bonbon-662",_xlfn.IFS(LEFT($G471,9)="Tranche 1","Tranche 1: cleared",$C471="Sessions_Level_1_All_Sites","Downstream aggregation of UA raw logs — keep if raw tables go",ISNUMBER(--$C471),"UA raw site logs (account ID) — keep pending audit-retention check",$C471="Emag_Reporting","Legacy but likely needed",$C471="Nutrition_Data_Archived_Tables","Worth keeping",$C471="EU_Data","Static lookup tables — scripts still reference (smoke-test risk)",TRUE,"Review"),OR($A471="thg-influencer",$A471="thg-ingenuity",$A471="thg-central-marketing",$A471="thg-seoclarity"),"HOLD — Charlie Stringer to review before deletion",TRUE,"")</f>
        <v>HOLD — Charlie Stringer to review before deletion</v>
      </c>
      <c r="S471" t="s">
        <v>1631</v>
      </c>
    </row>
    <row r="472" spans="1:19" ht="76.5" hidden="1">
      <c r="A472" t="s">
        <v>39</v>
      </c>
      <c r="B472" t="s">
        <v>1619</v>
      </c>
      <c r="C472" t="s">
        <v>2667</v>
      </c>
      <c r="D472" s="2" t="s">
        <v>1621</v>
      </c>
      <c r="E472">
        <v>41.93</v>
      </c>
      <c r="F472">
        <v>0.84</v>
      </c>
      <c r="G472" t="s">
        <v>79</v>
      </c>
      <c r="H472" t="s">
        <v>81</v>
      </c>
      <c r="I472">
        <v>0</v>
      </c>
      <c r="J472">
        <v>0</v>
      </c>
      <c r="K472" s="5">
        <v>46197.439285532397</v>
      </c>
      <c r="L472" s="5">
        <v>46197.057606724527</v>
      </c>
      <c r="M472" s="2" t="s">
        <v>2277</v>
      </c>
      <c r="N472" s="2" t="s">
        <v>2668</v>
      </c>
      <c r="O472" s="5">
        <v>46197.060090474537</v>
      </c>
      <c r="P472" t="str">
        <f>IF($Q472="DELETE",IF($S472="CONFIRMED: NO MODS &gt; 1YR","CONFIRMED: NO MODS &gt; 1YR","DO NOT DELETE — not defensibly confirmed"),IF($Q472="HOLD","DO NOT DELETE — HOLD (Charlie review)",IF($Q472="KEEP","DO NOT DELETE — KEEP",IF(ISNUMBER(SEARCH("REVIEW",$Q472)),"DO NOT DELETE — REVIEW pending",$S472))))</f>
        <v>DO NOT DELETE — HOLD (Charlie review)</v>
      </c>
      <c r="Q472" t="str" cm="1">
        <f t="array" ref="Q472">_xlfn.IFS(AND($A472="thg-beauty",ISNUMBER(SEARCH("liveramp",$C472))),"DELETE",$A472="agile-bonbon-662",_xlfn.IFS(LEFT($G472,9)="Tranche 1","DELETE",$C472="Sessions_Level_1_All_Sites","KEEP",ISNUMBER(--$C472),"REVIEW — UA raw logs",$C472="Emag_Reporting","KEEP",$C472="Nutrition_Data_Archived_Tables","KEEP",$C472="EU_Data","KEEP",TRUE,"REVIEW"),OR($A472="thg-influencer",$A472="thg-ingenuity",$A472="thg-central-marketing",$A472="thg-seoclarity"),"HOLD",TRUE,"")</f>
        <v>HOLD</v>
      </c>
      <c r="R472" t="str" cm="1">
        <f t="array" ref="R472">_xlfn.IFS(AND($A472="thg-beauty",ISNUMBER(SEARCH("liveramp",$C472))),"thg-beauty Liveramp dataset — confirmed safe to delete",$A472="agile-bonbon-662",_xlfn.IFS(LEFT($G472,9)="Tranche 1","Tranche 1: cleared",$C472="Sessions_Level_1_All_Sites","Downstream aggregation of UA raw logs — keep if raw tables go",ISNUMBER(--$C472),"UA raw site logs (account ID) — keep pending audit-retention check",$C472="Emag_Reporting","Legacy but likely needed",$C472="Nutrition_Data_Archived_Tables","Worth keeping",$C472="EU_Data","Static lookup tables — scripts still reference (smoke-test risk)",TRUE,"Review"),OR($A472="thg-influencer",$A472="thg-ingenuity",$A472="thg-central-marketing",$A472="thg-seoclarity"),"HOLD — Charlie Stringer to review before deletion",TRUE,"")</f>
        <v>HOLD — Charlie Stringer to review before deletion</v>
      </c>
      <c r="S472" t="s">
        <v>1631</v>
      </c>
    </row>
    <row r="473" spans="1:19" ht="76.5" hidden="1">
      <c r="A473" t="s">
        <v>39</v>
      </c>
      <c r="B473" t="s">
        <v>1619</v>
      </c>
      <c r="C473" t="s">
        <v>2669</v>
      </c>
      <c r="D473" s="2" t="s">
        <v>1621</v>
      </c>
      <c r="E473">
        <v>41.43</v>
      </c>
      <c r="F473">
        <v>0.83</v>
      </c>
      <c r="G473" t="s">
        <v>79</v>
      </c>
      <c r="H473" t="s">
        <v>81</v>
      </c>
      <c r="I473">
        <v>0</v>
      </c>
      <c r="J473">
        <v>0</v>
      </c>
      <c r="K473" s="5">
        <v>46027.539140752313</v>
      </c>
      <c r="L473" s="5">
        <v>46196.809745960651</v>
      </c>
      <c r="M473" s="2" t="s">
        <v>2670</v>
      </c>
      <c r="N473" s="2" t="s">
        <v>2671</v>
      </c>
      <c r="O473" s="5">
        <v>46196.809770231477</v>
      </c>
      <c r="P473" t="str">
        <f>IF($Q473="DELETE",IF($S473="CONFIRMED: NO MODS &gt; 1YR","CONFIRMED: NO MODS &gt; 1YR","DO NOT DELETE — not defensibly confirmed"),IF($Q473="HOLD","DO NOT DELETE — HOLD (Charlie review)",IF($Q473="KEEP","DO NOT DELETE — KEEP",IF(ISNUMBER(SEARCH("REVIEW",$Q473)),"DO NOT DELETE — REVIEW pending",$S473))))</f>
        <v>DO NOT DELETE — HOLD (Charlie review)</v>
      </c>
      <c r="Q473" t="str" cm="1">
        <f t="array" ref="Q473">_xlfn.IFS(AND($A473="thg-beauty",ISNUMBER(SEARCH("liveramp",$C473))),"DELETE",$A473="agile-bonbon-662",_xlfn.IFS(LEFT($G473,9)="Tranche 1","DELETE",$C473="Sessions_Level_1_All_Sites","KEEP",ISNUMBER(--$C473),"REVIEW — UA raw logs",$C473="Emag_Reporting","KEEP",$C473="Nutrition_Data_Archived_Tables","KEEP",$C473="EU_Data","KEEP",TRUE,"REVIEW"),OR($A473="thg-influencer",$A473="thg-ingenuity",$A473="thg-central-marketing",$A473="thg-seoclarity"),"HOLD",TRUE,"")</f>
        <v>HOLD</v>
      </c>
      <c r="R473" t="str" cm="1">
        <f t="array" ref="R473">_xlfn.IFS(AND($A473="thg-beauty",ISNUMBER(SEARCH("liveramp",$C473))),"thg-beauty Liveramp dataset — confirmed safe to delete",$A473="agile-bonbon-662",_xlfn.IFS(LEFT($G473,9)="Tranche 1","Tranche 1: cleared",$C473="Sessions_Level_1_All_Sites","Downstream aggregation of UA raw logs — keep if raw tables go",ISNUMBER(--$C473),"UA raw site logs (account ID) — keep pending audit-retention check",$C473="Emag_Reporting","Legacy but likely needed",$C473="Nutrition_Data_Archived_Tables","Worth keeping",$C473="EU_Data","Static lookup tables — scripts still reference (smoke-test risk)",TRUE,"Review"),OR($A473="thg-influencer",$A473="thg-ingenuity",$A473="thg-central-marketing",$A473="thg-seoclarity"),"HOLD — Charlie Stringer to review before deletion",TRUE,"")</f>
        <v>HOLD — Charlie Stringer to review before deletion</v>
      </c>
      <c r="S473" t="s">
        <v>1631</v>
      </c>
    </row>
    <row r="474" spans="1:19" ht="76.5" hidden="1">
      <c r="A474" t="s">
        <v>92</v>
      </c>
      <c r="B474" t="s">
        <v>1619</v>
      </c>
      <c r="C474" t="s">
        <v>2672</v>
      </c>
      <c r="D474" s="2" t="s">
        <v>1621</v>
      </c>
      <c r="E474">
        <v>4.3099999999999996</v>
      </c>
      <c r="F474">
        <v>0.09</v>
      </c>
      <c r="G474" t="s">
        <v>79</v>
      </c>
      <c r="H474" t="s">
        <v>81</v>
      </c>
      <c r="I474">
        <v>0</v>
      </c>
      <c r="J474">
        <v>0</v>
      </c>
      <c r="K474" s="5">
        <v>46197.336596828703</v>
      </c>
      <c r="L474" s="5">
        <v>46197.209965289352</v>
      </c>
      <c r="M474" s="2" t="s">
        <v>2673</v>
      </c>
      <c r="N474" s="2" t="s">
        <v>2674</v>
      </c>
      <c r="O474" s="5">
        <v>46197.210109490741</v>
      </c>
      <c r="P474" t="str">
        <f>IF($Q474="DELETE",IF($S474="CONFIRMED: NO MODS &gt; 1YR","CONFIRMED: NO MODS &gt; 1YR","DO NOT DELETE — not defensibly confirmed"),IF($Q474="HOLD","DO NOT DELETE — HOLD (Charlie review)",IF($Q474="KEEP","DO NOT DELETE — KEEP",IF(ISNUMBER(SEARCH("REVIEW",$Q474)),"DO NOT DELETE — REVIEW pending",$S474))))</f>
        <v>REVIEW</v>
      </c>
      <c r="Q474" t="str" cm="1">
        <f t="array" ref="Q474">_xlfn.IFS(AND($A474="thg-beauty",ISNUMBER(SEARCH("liveramp",$C474))),"DELETE",$A474="agile-bonbon-662",_xlfn.IFS(LEFT($G474,9)="Tranche 1","DELETE",$C474="Sessions_Level_1_All_Sites","KEEP",ISNUMBER(--$C474),"REVIEW — UA raw logs",$C474="Emag_Reporting","KEEP",$C474="Nutrition_Data_Archived_Tables","KEEP",$C474="EU_Data","KEEP",TRUE,"REVIEW"),OR($A474="thg-influencer",$A474="thg-ingenuity",$A474="thg-central-marketing",$A474="thg-seoclarity"),"HOLD",TRUE,"")</f>
        <v/>
      </c>
      <c r="R474" t="str" cm="1">
        <f t="array" ref="R474">_xlfn.IFS(AND($A474="thg-beauty",ISNUMBER(SEARCH("liveramp",$C474))),"thg-beauty Liveramp dataset — confirmed safe to delete",$A474="agile-bonbon-662",_xlfn.IFS(LEFT($G474,9)="Tranche 1","Tranche 1: cleared",$C474="Sessions_Level_1_All_Sites","Downstream aggregation of UA raw logs — keep if raw tables go",ISNUMBER(--$C474),"UA raw site logs (account ID) — keep pending audit-retention check",$C474="Emag_Reporting","Legacy but likely needed",$C474="Nutrition_Data_Archived_Tables","Worth keeping",$C474="EU_Data","Static lookup tables — scripts still reference (smoke-test risk)",TRUE,"Review"),OR($A474="thg-influencer",$A474="thg-ingenuity",$A474="thg-central-marketing",$A474="thg-seoclarity"),"HOLD — Charlie Stringer to review before deletion",TRUE,"")</f>
        <v/>
      </c>
      <c r="S474" t="s">
        <v>1631</v>
      </c>
    </row>
    <row r="475" spans="1:19" ht="76.5" hidden="1">
      <c r="A475" t="s">
        <v>39</v>
      </c>
      <c r="B475" t="s">
        <v>1619</v>
      </c>
      <c r="C475" t="s">
        <v>2675</v>
      </c>
      <c r="D475" s="2" t="s">
        <v>1621</v>
      </c>
      <c r="E475">
        <v>40.47</v>
      </c>
      <c r="F475">
        <v>0.81</v>
      </c>
      <c r="G475" t="s">
        <v>79</v>
      </c>
      <c r="H475" t="s">
        <v>81</v>
      </c>
      <c r="I475">
        <v>0</v>
      </c>
      <c r="J475">
        <v>0</v>
      </c>
      <c r="K475" s="5">
        <v>46197.343403564817</v>
      </c>
      <c r="L475" s="5">
        <v>46197.34344621528</v>
      </c>
      <c r="M475" s="2" t="s">
        <v>2676</v>
      </c>
      <c r="N475" s="2" t="s">
        <v>2677</v>
      </c>
      <c r="O475" s="5">
        <v>46197.343466388891</v>
      </c>
      <c r="P475" t="str">
        <f>IF($Q475="DELETE",IF($S475="CONFIRMED: NO MODS &gt; 1YR","CONFIRMED: NO MODS &gt; 1YR","DO NOT DELETE — not defensibly confirmed"),IF($Q475="HOLD","DO NOT DELETE — HOLD (Charlie review)",IF($Q475="KEEP","DO NOT DELETE — KEEP",IF(ISNUMBER(SEARCH("REVIEW",$Q475)),"DO NOT DELETE — REVIEW pending",$S475))))</f>
        <v>DO NOT DELETE — HOLD (Charlie review)</v>
      </c>
      <c r="Q475" t="str" cm="1">
        <f t="array" ref="Q475">_xlfn.IFS(AND($A475="thg-beauty",ISNUMBER(SEARCH("liveramp",$C475))),"DELETE",$A475="agile-bonbon-662",_xlfn.IFS(LEFT($G475,9)="Tranche 1","DELETE",$C475="Sessions_Level_1_All_Sites","KEEP",ISNUMBER(--$C475),"REVIEW — UA raw logs",$C475="Emag_Reporting","KEEP",$C475="Nutrition_Data_Archived_Tables","KEEP",$C475="EU_Data","KEEP",TRUE,"REVIEW"),OR($A475="thg-influencer",$A475="thg-ingenuity",$A475="thg-central-marketing",$A475="thg-seoclarity"),"HOLD",TRUE,"")</f>
        <v>HOLD</v>
      </c>
      <c r="R475" t="str" cm="1">
        <f t="array" ref="R475">_xlfn.IFS(AND($A475="thg-beauty",ISNUMBER(SEARCH("liveramp",$C475))),"thg-beauty Liveramp dataset — confirmed safe to delete",$A475="agile-bonbon-662",_xlfn.IFS(LEFT($G475,9)="Tranche 1","Tranche 1: cleared",$C475="Sessions_Level_1_All_Sites","Downstream aggregation of UA raw logs — keep if raw tables go",ISNUMBER(--$C475),"UA raw site logs (account ID) — keep pending audit-retention check",$C475="Emag_Reporting","Legacy but likely needed",$C475="Nutrition_Data_Archived_Tables","Worth keeping",$C475="EU_Data","Static lookup tables — scripts still reference (smoke-test risk)",TRUE,"Review"),OR($A475="thg-influencer",$A475="thg-ingenuity",$A475="thg-central-marketing",$A475="thg-seoclarity"),"HOLD — Charlie Stringer to review before deletion",TRUE,"")</f>
        <v>HOLD — Charlie Stringer to review before deletion</v>
      </c>
      <c r="S475" t="s">
        <v>1631</v>
      </c>
    </row>
    <row r="476" spans="1:19" ht="76.5" hidden="1">
      <c r="A476" t="s">
        <v>92</v>
      </c>
      <c r="B476" t="s">
        <v>1619</v>
      </c>
      <c r="C476" t="s">
        <v>2678</v>
      </c>
      <c r="D476" s="2" t="s">
        <v>1621</v>
      </c>
      <c r="E476">
        <v>3.9</v>
      </c>
      <c r="F476">
        <v>0.08</v>
      </c>
      <c r="G476" t="s">
        <v>79</v>
      </c>
      <c r="H476" t="s">
        <v>81</v>
      </c>
      <c r="I476">
        <v>3</v>
      </c>
      <c r="J476">
        <v>12</v>
      </c>
      <c r="K476" s="5">
        <v>46193.876498912039</v>
      </c>
      <c r="L476" s="5">
        <v>46184.517157627313</v>
      </c>
      <c r="M476" s="2" t="s">
        <v>2679</v>
      </c>
      <c r="N476" s="2" t="s">
        <v>2680</v>
      </c>
      <c r="O476" s="5">
        <v>46184.521752256936</v>
      </c>
      <c r="P476" t="str">
        <f>IF($Q476="DELETE",IF($S476="CONFIRMED: NO MODS &gt; 1YR","CONFIRMED: NO MODS &gt; 1YR","DO NOT DELETE — not defensibly confirmed"),IF($Q476="HOLD","DO NOT DELETE — HOLD (Charlie review)",IF($Q476="KEEP","DO NOT DELETE — KEEP",IF(ISNUMBER(SEARCH("REVIEW",$Q476)),"DO NOT DELETE — REVIEW pending",$S476))))</f>
        <v>REVIEW</v>
      </c>
      <c r="Q476" t="str" cm="1">
        <f t="array" ref="Q476">_xlfn.IFS(AND($A476="thg-beauty",ISNUMBER(SEARCH("liveramp",$C476))),"DELETE",$A476="agile-bonbon-662",_xlfn.IFS(LEFT($G476,9)="Tranche 1","DELETE",$C476="Sessions_Level_1_All_Sites","KEEP",ISNUMBER(--$C476),"REVIEW — UA raw logs",$C476="Emag_Reporting","KEEP",$C476="Nutrition_Data_Archived_Tables","KEEP",$C476="EU_Data","KEEP",TRUE,"REVIEW"),OR($A476="thg-influencer",$A476="thg-ingenuity",$A476="thg-central-marketing",$A476="thg-seoclarity"),"HOLD",TRUE,"")</f>
        <v/>
      </c>
      <c r="R476" t="str" cm="1">
        <f t="array" ref="R476">_xlfn.IFS(AND($A476="thg-beauty",ISNUMBER(SEARCH("liveramp",$C476))),"thg-beauty Liveramp dataset — confirmed safe to delete",$A476="agile-bonbon-662",_xlfn.IFS(LEFT($G476,9)="Tranche 1","Tranche 1: cleared",$C476="Sessions_Level_1_All_Sites","Downstream aggregation of UA raw logs — keep if raw tables go",ISNUMBER(--$C476),"UA raw site logs (account ID) — keep pending audit-retention check",$C476="Emag_Reporting","Legacy but likely needed",$C476="Nutrition_Data_Archived_Tables","Worth keeping",$C476="EU_Data","Static lookup tables — scripts still reference (smoke-test risk)",TRUE,"Review"),OR($A476="thg-influencer",$A476="thg-ingenuity",$A476="thg-central-marketing",$A476="thg-seoclarity"),"HOLD — Charlie Stringer to review before deletion",TRUE,"")</f>
        <v/>
      </c>
      <c r="S476" t="s">
        <v>1631</v>
      </c>
    </row>
    <row r="477" spans="1:19" hidden="1">
      <c r="A477" t="s">
        <v>2467</v>
      </c>
      <c r="B477" t="s">
        <v>1619</v>
      </c>
      <c r="C477" t="s">
        <v>1790</v>
      </c>
      <c r="D477" s="2" t="s">
        <v>1621</v>
      </c>
      <c r="E477">
        <v>38.51</v>
      </c>
      <c r="F477">
        <v>0.77</v>
      </c>
      <c r="G477" t="s">
        <v>79</v>
      </c>
      <c r="H477" t="s">
        <v>81</v>
      </c>
      <c r="I477">
        <v>0</v>
      </c>
      <c r="J477">
        <v>0</v>
      </c>
      <c r="K477" s="5">
        <v>46155.55182158565</v>
      </c>
      <c r="M477" s="2" t="s">
        <v>2681</v>
      </c>
      <c r="N477" s="2" t="s">
        <v>1701</v>
      </c>
      <c r="O477" s="5">
        <v>46197.270986215277</v>
      </c>
      <c r="P477" t="str">
        <f>IF($Q477="DELETE",IF($S477="CONFIRMED: NO MODS &gt; 1YR","CONFIRMED: NO MODS &gt; 1YR","DO NOT DELETE — not defensibly confirmed"),IF($Q477="HOLD","DO NOT DELETE — HOLD (Charlie review)",IF($Q477="KEEP","DO NOT DELETE — KEEP",IF(ISNUMBER(SEARCH("REVIEW",$Q477)),"DO NOT DELETE — REVIEW pending",$S477))))</f>
        <v>REVIEW</v>
      </c>
      <c r="Q477" t="str" cm="1">
        <f t="array" ref="Q477">_xlfn.IFS(AND($A477="thg-beauty",ISNUMBER(SEARCH("liveramp",$C477))),"DELETE",$A477="agile-bonbon-662",_xlfn.IFS(LEFT($G477,9)="Tranche 1","DELETE",$C477="Sessions_Level_1_All_Sites","KEEP",ISNUMBER(--$C477),"REVIEW — UA raw logs",$C477="Emag_Reporting","KEEP",$C477="Nutrition_Data_Archived_Tables","KEEP",$C477="EU_Data","KEEP",TRUE,"REVIEW"),OR($A477="thg-influencer",$A477="thg-ingenuity",$A477="thg-central-marketing",$A477="thg-seoclarity"),"HOLD",TRUE,"")</f>
        <v/>
      </c>
      <c r="R477" t="str" cm="1">
        <f t="array" ref="R477">_xlfn.IFS(AND($A477="thg-beauty",ISNUMBER(SEARCH("liveramp",$C477))),"thg-beauty Liveramp dataset — confirmed safe to delete",$A477="agile-bonbon-662",_xlfn.IFS(LEFT($G477,9)="Tranche 1","Tranche 1: cleared",$C477="Sessions_Level_1_All_Sites","Downstream aggregation of UA raw logs — keep if raw tables go",ISNUMBER(--$C477),"UA raw site logs (account ID) — keep pending audit-retention check",$C477="Emag_Reporting","Legacy but likely needed",$C477="Nutrition_Data_Archived_Tables","Worth keeping",$C477="EU_Data","Static lookup tables — scripts still reference (smoke-test risk)",TRUE,"Review"),OR($A477="thg-influencer",$A477="thg-ingenuity",$A477="thg-central-marketing",$A477="thg-seoclarity"),"HOLD — Charlie Stringer to review before deletion",TRUE,"")</f>
        <v/>
      </c>
      <c r="S477" t="s">
        <v>1631</v>
      </c>
    </row>
    <row r="478" spans="1:19" ht="76.5" hidden="1">
      <c r="A478" t="s">
        <v>92</v>
      </c>
      <c r="B478" t="s">
        <v>1619</v>
      </c>
      <c r="C478" t="s">
        <v>2682</v>
      </c>
      <c r="D478" s="2" t="s">
        <v>1621</v>
      </c>
      <c r="E478">
        <v>4</v>
      </c>
      <c r="F478">
        <v>0.08</v>
      </c>
      <c r="G478" t="s">
        <v>79</v>
      </c>
      <c r="H478" t="s">
        <v>81</v>
      </c>
      <c r="I478">
        <v>0</v>
      </c>
      <c r="J478">
        <v>0</v>
      </c>
      <c r="K478" s="5">
        <v>46197.418369699073</v>
      </c>
      <c r="L478" s="5">
        <v>46197.418369699073</v>
      </c>
      <c r="M478" s="2" t="s">
        <v>2683</v>
      </c>
      <c r="N478" s="2" t="s">
        <v>2684</v>
      </c>
      <c r="O478" s="5">
        <v>46197.418428680547</v>
      </c>
      <c r="P478" t="str">
        <f>IF($Q478="DELETE",IF($S478="CONFIRMED: NO MODS &gt; 1YR","CONFIRMED: NO MODS &gt; 1YR","DO NOT DELETE — not defensibly confirmed"),IF($Q478="HOLD","DO NOT DELETE — HOLD (Charlie review)",IF($Q478="KEEP","DO NOT DELETE — KEEP",IF(ISNUMBER(SEARCH("REVIEW",$Q478)),"DO NOT DELETE — REVIEW pending",$S478))))</f>
        <v>REVIEW</v>
      </c>
      <c r="Q478" t="str" cm="1">
        <f t="array" ref="Q478">_xlfn.IFS(AND($A478="thg-beauty",ISNUMBER(SEARCH("liveramp",$C478))),"DELETE",$A478="agile-bonbon-662",_xlfn.IFS(LEFT($G478,9)="Tranche 1","DELETE",$C478="Sessions_Level_1_All_Sites","KEEP",ISNUMBER(--$C478),"REVIEW — UA raw logs",$C478="Emag_Reporting","KEEP",$C478="Nutrition_Data_Archived_Tables","KEEP",$C478="EU_Data","KEEP",TRUE,"REVIEW"),OR($A478="thg-influencer",$A478="thg-ingenuity",$A478="thg-central-marketing",$A478="thg-seoclarity"),"HOLD",TRUE,"")</f>
        <v/>
      </c>
      <c r="R478" t="str" cm="1">
        <f t="array" ref="R478">_xlfn.IFS(AND($A478="thg-beauty",ISNUMBER(SEARCH("liveramp",$C478))),"thg-beauty Liveramp dataset — confirmed safe to delete",$A478="agile-bonbon-662",_xlfn.IFS(LEFT($G478,9)="Tranche 1","Tranche 1: cleared",$C478="Sessions_Level_1_All_Sites","Downstream aggregation of UA raw logs — keep if raw tables go",ISNUMBER(--$C478),"UA raw site logs (account ID) — keep pending audit-retention check",$C478="Emag_Reporting","Legacy but likely needed",$C478="Nutrition_Data_Archived_Tables","Worth keeping",$C478="EU_Data","Static lookup tables — scripts still reference (smoke-test risk)",TRUE,"Review"),OR($A478="thg-influencer",$A478="thg-ingenuity",$A478="thg-central-marketing",$A478="thg-seoclarity"),"HOLD — Charlie Stringer to review before deletion",TRUE,"")</f>
        <v/>
      </c>
      <c r="S478" t="s">
        <v>1631</v>
      </c>
    </row>
    <row r="479" spans="1:19" hidden="1">
      <c r="A479" t="s">
        <v>35</v>
      </c>
      <c r="B479" t="s">
        <v>1724</v>
      </c>
      <c r="C479" t="s">
        <v>2685</v>
      </c>
      <c r="D479" s="2" t="s">
        <v>1621</v>
      </c>
      <c r="E479">
        <v>37.54</v>
      </c>
      <c r="F479">
        <v>0.75</v>
      </c>
      <c r="G479" t="s">
        <v>79</v>
      </c>
      <c r="H479" t="s">
        <v>81</v>
      </c>
      <c r="I479">
        <v>0</v>
      </c>
      <c r="J479">
        <v>0</v>
      </c>
      <c r="M479" s="2" t="s">
        <v>1715</v>
      </c>
      <c r="N479" s="2" t="s">
        <v>1701</v>
      </c>
      <c r="O479" s="5">
        <v>46197.015284641202</v>
      </c>
      <c r="P479" t="str">
        <f>IF($Q479="DELETE",IF($S479="CONFIRMED: NO MODS &gt; 1YR","CONFIRMED: NO MODS &gt; 1YR","DO NOT DELETE — not defensibly confirmed"),IF($Q479="HOLD","DO NOT DELETE — HOLD (Charlie review)",IF($Q479="KEEP","DO NOT DELETE — KEEP",IF(ISNUMBER(SEARCH("REVIEW",$Q479)),"DO NOT DELETE — REVIEW pending",$S479))))</f>
        <v>DO NOT DELETE — HOLD (Charlie review)</v>
      </c>
      <c r="Q479" t="str" cm="1">
        <f t="array" ref="Q479">_xlfn.IFS(AND($A479="thg-beauty",ISNUMBER(SEARCH("liveramp",$C479))),"DELETE",$A479="agile-bonbon-662",_xlfn.IFS(LEFT($G479,9)="Tranche 1","DELETE",$C479="Sessions_Level_1_All_Sites","KEEP",ISNUMBER(--$C479),"REVIEW — UA raw logs",$C479="Emag_Reporting","KEEP",$C479="Nutrition_Data_Archived_Tables","KEEP",$C479="EU_Data","KEEP",TRUE,"REVIEW"),OR($A479="thg-influencer",$A479="thg-ingenuity",$A479="thg-central-marketing",$A479="thg-seoclarity"),"HOLD",TRUE,"")</f>
        <v>HOLD</v>
      </c>
      <c r="R479" t="str" cm="1">
        <f t="array" ref="R479">_xlfn.IFS(AND($A479="thg-beauty",ISNUMBER(SEARCH("liveramp",$C479))),"thg-beauty Liveramp dataset — confirmed safe to delete",$A479="agile-bonbon-662",_xlfn.IFS(LEFT($G479,9)="Tranche 1","Tranche 1: cleared",$C479="Sessions_Level_1_All_Sites","Downstream aggregation of UA raw logs — keep if raw tables go",ISNUMBER(--$C479),"UA raw site logs (account ID) — keep pending audit-retention check",$C479="Emag_Reporting","Legacy but likely needed",$C479="Nutrition_Data_Archived_Tables","Worth keeping",$C479="EU_Data","Static lookup tables — scripts still reference (smoke-test risk)",TRUE,"Review"),OR($A479="thg-influencer",$A479="thg-ingenuity",$A479="thg-central-marketing",$A479="thg-seoclarity"),"HOLD — Charlie Stringer to review before deletion",TRUE,"")</f>
        <v>HOLD — Charlie Stringer to review before deletion</v>
      </c>
      <c r="S479" t="s">
        <v>1631</v>
      </c>
    </row>
    <row r="480" spans="1:19" ht="76.5" hidden="1">
      <c r="A480" t="s">
        <v>35</v>
      </c>
      <c r="B480" t="s">
        <v>1619</v>
      </c>
      <c r="C480" t="s">
        <v>2685</v>
      </c>
      <c r="D480" s="2" t="s">
        <v>1621</v>
      </c>
      <c r="E480">
        <v>37.54</v>
      </c>
      <c r="F480">
        <v>0.75</v>
      </c>
      <c r="G480" t="s">
        <v>79</v>
      </c>
      <c r="H480" t="s">
        <v>81</v>
      </c>
      <c r="I480">
        <v>0</v>
      </c>
      <c r="J480">
        <v>0</v>
      </c>
      <c r="K480" s="5">
        <v>46197.417395578697</v>
      </c>
      <c r="L480" s="5">
        <v>46197.0152624537</v>
      </c>
      <c r="M480" s="2" t="s">
        <v>2686</v>
      </c>
      <c r="N480" s="2" t="s">
        <v>2687</v>
      </c>
      <c r="O480" s="5">
        <v>46197.015284641202</v>
      </c>
      <c r="P480" t="str">
        <f>IF($Q480="DELETE",IF($S480="CONFIRMED: NO MODS &gt; 1YR","CONFIRMED: NO MODS &gt; 1YR","DO NOT DELETE — not defensibly confirmed"),IF($Q480="HOLD","DO NOT DELETE — HOLD (Charlie review)",IF($Q480="KEEP","DO NOT DELETE — KEEP",IF(ISNUMBER(SEARCH("REVIEW",$Q480)),"DO NOT DELETE — REVIEW pending",$S480))))</f>
        <v>DO NOT DELETE — HOLD (Charlie review)</v>
      </c>
      <c r="Q480" t="str" cm="1">
        <f t="array" ref="Q480">_xlfn.IFS(AND($A480="thg-beauty",ISNUMBER(SEARCH("liveramp",$C480))),"DELETE",$A480="agile-bonbon-662",_xlfn.IFS(LEFT($G480,9)="Tranche 1","DELETE",$C480="Sessions_Level_1_All_Sites","KEEP",ISNUMBER(--$C480),"REVIEW — UA raw logs",$C480="Emag_Reporting","KEEP",$C480="Nutrition_Data_Archived_Tables","KEEP",$C480="EU_Data","KEEP",TRUE,"REVIEW"),OR($A480="thg-influencer",$A480="thg-ingenuity",$A480="thg-central-marketing",$A480="thg-seoclarity"),"HOLD",TRUE,"")</f>
        <v>HOLD</v>
      </c>
      <c r="R480" t="str" cm="1">
        <f t="array" ref="R480">_xlfn.IFS(AND($A480="thg-beauty",ISNUMBER(SEARCH("liveramp",$C480))),"thg-beauty Liveramp dataset — confirmed safe to delete",$A480="agile-bonbon-662",_xlfn.IFS(LEFT($G480,9)="Tranche 1","Tranche 1: cleared",$C480="Sessions_Level_1_All_Sites","Downstream aggregation of UA raw logs — keep if raw tables go",ISNUMBER(--$C480),"UA raw site logs (account ID) — keep pending audit-retention check",$C480="Emag_Reporting","Legacy but likely needed",$C480="Nutrition_Data_Archived_Tables","Worth keeping",$C480="EU_Data","Static lookup tables — scripts still reference (smoke-test risk)",TRUE,"Review"),OR($A480="thg-influencer",$A480="thg-ingenuity",$A480="thg-central-marketing",$A480="thg-seoclarity"),"HOLD — Charlie Stringer to review before deletion",TRUE,"")</f>
        <v>HOLD — Charlie Stringer to review before deletion</v>
      </c>
      <c r="S480" t="s">
        <v>1631</v>
      </c>
    </row>
    <row r="481" spans="1:19" ht="76.5" hidden="1">
      <c r="A481" t="s">
        <v>39</v>
      </c>
      <c r="B481" t="s">
        <v>1619</v>
      </c>
      <c r="C481" t="s">
        <v>2688</v>
      </c>
      <c r="D481" s="2" t="s">
        <v>1621</v>
      </c>
      <c r="E481">
        <v>37.14</v>
      </c>
      <c r="F481">
        <v>0.74</v>
      </c>
      <c r="G481" t="s">
        <v>79</v>
      </c>
      <c r="H481" t="s">
        <v>81</v>
      </c>
      <c r="I481">
        <v>0</v>
      </c>
      <c r="J481">
        <v>0</v>
      </c>
      <c r="K481" s="5">
        <v>46197.08451479167</v>
      </c>
      <c r="L481" s="5">
        <v>46197.098226145827</v>
      </c>
      <c r="M481" s="2" t="s">
        <v>2689</v>
      </c>
      <c r="N481" s="2" t="s">
        <v>2690</v>
      </c>
      <c r="O481" s="5">
        <v>46197.098531678239</v>
      </c>
      <c r="P481" t="str">
        <f>IF($Q481="DELETE",IF($S481="CONFIRMED: NO MODS &gt; 1YR","CONFIRMED: NO MODS &gt; 1YR","DO NOT DELETE — not defensibly confirmed"),IF($Q481="HOLD","DO NOT DELETE — HOLD (Charlie review)",IF($Q481="KEEP","DO NOT DELETE — KEEP",IF(ISNUMBER(SEARCH("REVIEW",$Q481)),"DO NOT DELETE — REVIEW pending",$S481))))</f>
        <v>DO NOT DELETE — HOLD (Charlie review)</v>
      </c>
      <c r="Q481" t="str" cm="1">
        <f t="array" ref="Q481">_xlfn.IFS(AND($A481="thg-beauty",ISNUMBER(SEARCH("liveramp",$C481))),"DELETE",$A481="agile-bonbon-662",_xlfn.IFS(LEFT($G481,9)="Tranche 1","DELETE",$C481="Sessions_Level_1_All_Sites","KEEP",ISNUMBER(--$C481),"REVIEW — UA raw logs",$C481="Emag_Reporting","KEEP",$C481="Nutrition_Data_Archived_Tables","KEEP",$C481="EU_Data","KEEP",TRUE,"REVIEW"),OR($A481="thg-influencer",$A481="thg-ingenuity",$A481="thg-central-marketing",$A481="thg-seoclarity"),"HOLD",TRUE,"")</f>
        <v>HOLD</v>
      </c>
      <c r="R481" t="str" cm="1">
        <f t="array" ref="R481">_xlfn.IFS(AND($A481="thg-beauty",ISNUMBER(SEARCH("liveramp",$C481))),"thg-beauty Liveramp dataset — confirmed safe to delete",$A481="agile-bonbon-662",_xlfn.IFS(LEFT($G481,9)="Tranche 1","Tranche 1: cleared",$C481="Sessions_Level_1_All_Sites","Downstream aggregation of UA raw logs — keep if raw tables go",ISNUMBER(--$C481),"UA raw site logs (account ID) — keep pending audit-retention check",$C481="Emag_Reporting","Legacy but likely needed",$C481="Nutrition_Data_Archived_Tables","Worth keeping",$C481="EU_Data","Static lookup tables — scripts still reference (smoke-test risk)",TRUE,"Review"),OR($A481="thg-influencer",$A481="thg-ingenuity",$A481="thg-central-marketing",$A481="thg-seoclarity"),"HOLD — Charlie Stringer to review before deletion",TRUE,"")</f>
        <v>HOLD — Charlie Stringer to review before deletion</v>
      </c>
      <c r="S481" t="s">
        <v>1631</v>
      </c>
    </row>
    <row r="482" spans="1:19" ht="76.5" hidden="1">
      <c r="A482" t="s">
        <v>90</v>
      </c>
      <c r="B482" t="s">
        <v>1619</v>
      </c>
      <c r="C482" t="s">
        <v>2691</v>
      </c>
      <c r="D482" s="2" t="s">
        <v>1621</v>
      </c>
      <c r="E482">
        <v>36.49</v>
      </c>
      <c r="F482">
        <v>0.73</v>
      </c>
      <c r="G482" t="s">
        <v>79</v>
      </c>
      <c r="H482" t="s">
        <v>81</v>
      </c>
      <c r="I482">
        <v>0</v>
      </c>
      <c r="J482">
        <v>0</v>
      </c>
      <c r="K482" s="5">
        <v>46197.418096111112</v>
      </c>
      <c r="L482" s="5">
        <v>46149.402447893517</v>
      </c>
      <c r="M482" s="2" t="s">
        <v>2692</v>
      </c>
      <c r="N482" s="2" t="s">
        <v>2693</v>
      </c>
      <c r="O482" s="5">
        <v>46197.448172569442</v>
      </c>
      <c r="P482" t="str">
        <f>IF($Q482="DELETE",IF($S482="CONFIRMED: NO MODS &gt; 1YR","CONFIRMED: NO MODS &gt; 1YR","DO NOT DELETE — not defensibly confirmed"),IF($Q482="HOLD","DO NOT DELETE — HOLD (Charlie review)",IF($Q482="KEEP","DO NOT DELETE — KEEP",IF(ISNUMBER(SEARCH("REVIEW",$Q482)),"DO NOT DELETE — REVIEW pending",$S482))))</f>
        <v>REVIEW</v>
      </c>
      <c r="Q482" t="str" cm="1">
        <f t="array" ref="Q482">_xlfn.IFS(AND($A482="thg-beauty",ISNUMBER(SEARCH("liveramp",$C482))),"DELETE",$A482="agile-bonbon-662",_xlfn.IFS(LEFT($G482,9)="Tranche 1","DELETE",$C482="Sessions_Level_1_All_Sites","KEEP",ISNUMBER(--$C482),"REVIEW — UA raw logs",$C482="Emag_Reporting","KEEP",$C482="Nutrition_Data_Archived_Tables","KEEP",$C482="EU_Data","KEEP",TRUE,"REVIEW"),OR($A482="thg-influencer",$A482="thg-ingenuity",$A482="thg-central-marketing",$A482="thg-seoclarity"),"HOLD",TRUE,"")</f>
        <v/>
      </c>
      <c r="R482" t="str" cm="1">
        <f t="array" ref="R482">_xlfn.IFS(AND($A482="thg-beauty",ISNUMBER(SEARCH("liveramp",$C482))),"thg-beauty Liveramp dataset — confirmed safe to delete",$A482="agile-bonbon-662",_xlfn.IFS(LEFT($G482,9)="Tranche 1","Tranche 1: cleared",$C482="Sessions_Level_1_All_Sites","Downstream aggregation of UA raw logs — keep if raw tables go",ISNUMBER(--$C482),"UA raw site logs (account ID) — keep pending audit-retention check",$C482="Emag_Reporting","Legacy but likely needed",$C482="Nutrition_Data_Archived_Tables","Worth keeping",$C482="EU_Data","Static lookup tables — scripts still reference (smoke-test risk)",TRUE,"Review"),OR($A482="thg-influencer",$A482="thg-ingenuity",$A482="thg-central-marketing",$A482="thg-seoclarity"),"HOLD — Charlie Stringer to review before deletion",TRUE,"")</f>
        <v/>
      </c>
      <c r="S482" t="s">
        <v>1631</v>
      </c>
    </row>
    <row r="483" spans="1:19" ht="76.5" hidden="1">
      <c r="A483" t="s">
        <v>92</v>
      </c>
      <c r="B483" t="s">
        <v>1619</v>
      </c>
      <c r="C483" t="s">
        <v>2694</v>
      </c>
      <c r="D483" s="2" t="s">
        <v>1621</v>
      </c>
      <c r="E483">
        <v>3.17</v>
      </c>
      <c r="F483">
        <v>0.06</v>
      </c>
      <c r="G483" t="s">
        <v>79</v>
      </c>
      <c r="H483" t="s">
        <v>81</v>
      </c>
      <c r="I483">
        <v>0</v>
      </c>
      <c r="J483">
        <v>127</v>
      </c>
      <c r="K483" s="5">
        <v>46197.130682256953</v>
      </c>
      <c r="L483" s="5">
        <v>46069.626490752307</v>
      </c>
      <c r="M483" s="2" t="s">
        <v>2695</v>
      </c>
      <c r="N483" s="2" t="s">
        <v>2696</v>
      </c>
      <c r="O483" s="5">
        <v>46069.626530706017</v>
      </c>
      <c r="P483" t="str">
        <f>IF($Q483="DELETE",IF($S483="CONFIRMED: NO MODS &gt; 1YR","CONFIRMED: NO MODS &gt; 1YR","DO NOT DELETE — not defensibly confirmed"),IF($Q483="HOLD","DO NOT DELETE — HOLD (Charlie review)",IF($Q483="KEEP","DO NOT DELETE — KEEP",IF(ISNUMBER(SEARCH("REVIEW",$Q483)),"DO NOT DELETE — REVIEW pending",$S483))))</f>
        <v>REVIEW</v>
      </c>
      <c r="Q483" t="str" cm="1">
        <f t="array" ref="Q483">_xlfn.IFS(AND($A483="thg-beauty",ISNUMBER(SEARCH("liveramp",$C483))),"DELETE",$A483="agile-bonbon-662",_xlfn.IFS(LEFT($G483,9)="Tranche 1","DELETE",$C483="Sessions_Level_1_All_Sites","KEEP",ISNUMBER(--$C483),"REVIEW — UA raw logs",$C483="Emag_Reporting","KEEP",$C483="Nutrition_Data_Archived_Tables","KEEP",$C483="EU_Data","KEEP",TRUE,"REVIEW"),OR($A483="thg-influencer",$A483="thg-ingenuity",$A483="thg-central-marketing",$A483="thg-seoclarity"),"HOLD",TRUE,"")</f>
        <v/>
      </c>
      <c r="R483" t="str" cm="1">
        <f t="array" ref="R483">_xlfn.IFS(AND($A483="thg-beauty",ISNUMBER(SEARCH("liveramp",$C483))),"thg-beauty Liveramp dataset — confirmed safe to delete",$A483="agile-bonbon-662",_xlfn.IFS(LEFT($G483,9)="Tranche 1","Tranche 1: cleared",$C483="Sessions_Level_1_All_Sites","Downstream aggregation of UA raw logs — keep if raw tables go",ISNUMBER(--$C483),"UA raw site logs (account ID) — keep pending audit-retention check",$C483="Emag_Reporting","Legacy but likely needed",$C483="Nutrition_Data_Archived_Tables","Worth keeping",$C483="EU_Data","Static lookup tables — scripts still reference (smoke-test risk)",TRUE,"Review"),OR($A483="thg-influencer",$A483="thg-ingenuity",$A483="thg-central-marketing",$A483="thg-seoclarity"),"HOLD — Charlie Stringer to review before deletion",TRUE,"")</f>
        <v/>
      </c>
      <c r="S483" t="s">
        <v>1631</v>
      </c>
    </row>
    <row r="484" spans="1:19" ht="76.5" hidden="1">
      <c r="A484" t="s">
        <v>38</v>
      </c>
      <c r="B484" t="s">
        <v>1619</v>
      </c>
      <c r="C484" t="s">
        <v>2697</v>
      </c>
      <c r="D484" s="2" t="s">
        <v>1621</v>
      </c>
      <c r="E484">
        <v>36.07</v>
      </c>
      <c r="F484">
        <v>0.72</v>
      </c>
      <c r="G484" t="s">
        <v>79</v>
      </c>
      <c r="H484" t="s">
        <v>81</v>
      </c>
      <c r="I484">
        <v>0</v>
      </c>
      <c r="J484">
        <v>0</v>
      </c>
      <c r="K484" s="5">
        <v>46197.335075324067</v>
      </c>
      <c r="L484" s="5">
        <v>46197.294343865738</v>
      </c>
      <c r="M484" s="2" t="s">
        <v>2698</v>
      </c>
      <c r="N484" s="2" t="s">
        <v>2699</v>
      </c>
      <c r="O484" s="5">
        <v>46197.294418032398</v>
      </c>
      <c r="P484" t="str">
        <f>IF($Q484="DELETE",IF($S484="CONFIRMED: NO MODS &gt; 1YR","CONFIRMED: NO MODS &gt; 1YR","DO NOT DELETE — not defensibly confirmed"),IF($Q484="HOLD","DO NOT DELETE — HOLD (Charlie review)",IF($Q484="KEEP","DO NOT DELETE — KEEP",IF(ISNUMBER(SEARCH("REVIEW",$Q484)),"DO NOT DELETE — REVIEW pending",$S484))))</f>
        <v>DO NOT DELETE — HOLD (Charlie review)</v>
      </c>
      <c r="Q484" t="str" cm="1">
        <f t="array" ref="Q484">_xlfn.IFS(AND($A484="thg-beauty",ISNUMBER(SEARCH("liveramp",$C484))),"DELETE",$A484="agile-bonbon-662",_xlfn.IFS(LEFT($G484,9)="Tranche 1","DELETE",$C484="Sessions_Level_1_All_Sites","KEEP",ISNUMBER(--$C484),"REVIEW — UA raw logs",$C484="Emag_Reporting","KEEP",$C484="Nutrition_Data_Archived_Tables","KEEP",$C484="EU_Data","KEEP",TRUE,"REVIEW"),OR($A484="thg-influencer",$A484="thg-ingenuity",$A484="thg-central-marketing",$A484="thg-seoclarity"),"HOLD",TRUE,"")</f>
        <v>HOLD</v>
      </c>
      <c r="R484" t="str" cm="1">
        <f t="array" ref="R484">_xlfn.IFS(AND($A484="thg-beauty",ISNUMBER(SEARCH("liveramp",$C484))),"thg-beauty Liveramp dataset — confirmed safe to delete",$A484="agile-bonbon-662",_xlfn.IFS(LEFT($G484,9)="Tranche 1","Tranche 1: cleared",$C484="Sessions_Level_1_All_Sites","Downstream aggregation of UA raw logs — keep if raw tables go",ISNUMBER(--$C484),"UA raw site logs (account ID) — keep pending audit-retention check",$C484="Emag_Reporting","Legacy but likely needed",$C484="Nutrition_Data_Archived_Tables","Worth keeping",$C484="EU_Data","Static lookup tables — scripts still reference (smoke-test risk)",TRUE,"Review"),OR($A484="thg-influencer",$A484="thg-ingenuity",$A484="thg-central-marketing",$A484="thg-seoclarity"),"HOLD — Charlie Stringer to review before deletion",TRUE,"")</f>
        <v>HOLD — Charlie Stringer to review before deletion</v>
      </c>
      <c r="S484" t="s">
        <v>1631</v>
      </c>
    </row>
    <row r="485" spans="1:19" ht="76.5" hidden="1">
      <c r="A485" t="s">
        <v>92</v>
      </c>
      <c r="B485" t="s">
        <v>1619</v>
      </c>
      <c r="C485" t="s">
        <v>2700</v>
      </c>
      <c r="D485" s="2" t="s">
        <v>1621</v>
      </c>
      <c r="E485">
        <v>2.78</v>
      </c>
      <c r="F485">
        <v>0.06</v>
      </c>
      <c r="G485" t="s">
        <v>79</v>
      </c>
      <c r="H485" t="s">
        <v>81</v>
      </c>
      <c r="I485">
        <v>0</v>
      </c>
      <c r="J485">
        <v>0</v>
      </c>
      <c r="K485" s="5">
        <v>46197.403039675934</v>
      </c>
      <c r="L485" s="5">
        <v>46197.398153368064</v>
      </c>
      <c r="M485" s="2" t="s">
        <v>2701</v>
      </c>
      <c r="N485" s="2" t="s">
        <v>1664</v>
      </c>
      <c r="O485" s="5">
        <v>46197.398170335648</v>
      </c>
      <c r="P485" t="str">
        <f>IF($Q485="DELETE",IF($S485="CONFIRMED: NO MODS &gt; 1YR","CONFIRMED: NO MODS &gt; 1YR","DO NOT DELETE — not defensibly confirmed"),IF($Q485="HOLD","DO NOT DELETE — HOLD (Charlie review)",IF($Q485="KEEP","DO NOT DELETE — KEEP",IF(ISNUMBER(SEARCH("REVIEW",$Q485)),"DO NOT DELETE — REVIEW pending",$S485))))</f>
        <v>REVIEW</v>
      </c>
      <c r="Q485" t="str" cm="1">
        <f t="array" ref="Q485">_xlfn.IFS(AND($A485="thg-beauty",ISNUMBER(SEARCH("liveramp",$C485))),"DELETE",$A485="agile-bonbon-662",_xlfn.IFS(LEFT($G485,9)="Tranche 1","DELETE",$C485="Sessions_Level_1_All_Sites","KEEP",ISNUMBER(--$C485),"REVIEW — UA raw logs",$C485="Emag_Reporting","KEEP",$C485="Nutrition_Data_Archived_Tables","KEEP",$C485="EU_Data","KEEP",TRUE,"REVIEW"),OR($A485="thg-influencer",$A485="thg-ingenuity",$A485="thg-central-marketing",$A485="thg-seoclarity"),"HOLD",TRUE,"")</f>
        <v/>
      </c>
      <c r="R485" t="str" cm="1">
        <f t="array" ref="R485">_xlfn.IFS(AND($A485="thg-beauty",ISNUMBER(SEARCH("liveramp",$C485))),"thg-beauty Liveramp dataset — confirmed safe to delete",$A485="agile-bonbon-662",_xlfn.IFS(LEFT($G485,9)="Tranche 1","Tranche 1: cleared",$C485="Sessions_Level_1_All_Sites","Downstream aggregation of UA raw logs — keep if raw tables go",ISNUMBER(--$C485),"UA raw site logs (account ID) — keep pending audit-retention check",$C485="Emag_Reporting","Legacy but likely needed",$C485="Nutrition_Data_Archived_Tables","Worth keeping",$C485="EU_Data","Static lookup tables — scripts still reference (smoke-test risk)",TRUE,"Review"),OR($A485="thg-influencer",$A485="thg-ingenuity",$A485="thg-central-marketing",$A485="thg-seoclarity"),"HOLD — Charlie Stringer to review before deletion",TRUE,"")</f>
        <v/>
      </c>
      <c r="S485" t="s">
        <v>1631</v>
      </c>
    </row>
    <row r="486" spans="1:19" ht="76.5" hidden="1">
      <c r="A486" t="s">
        <v>35</v>
      </c>
      <c r="B486" t="s">
        <v>1619</v>
      </c>
      <c r="C486" t="s">
        <v>2702</v>
      </c>
      <c r="D486" s="2" t="s">
        <v>1621</v>
      </c>
      <c r="E486">
        <v>34.49</v>
      </c>
      <c r="F486">
        <v>0.69</v>
      </c>
      <c r="G486" t="s">
        <v>79</v>
      </c>
      <c r="H486" t="s">
        <v>81</v>
      </c>
      <c r="I486">
        <v>0</v>
      </c>
      <c r="J486">
        <v>0</v>
      </c>
      <c r="K486" s="5">
        <v>46197.445512349543</v>
      </c>
      <c r="L486" s="5">
        <v>46197.427682175927</v>
      </c>
      <c r="M486" s="2" t="s">
        <v>2703</v>
      </c>
      <c r="N486" s="2" t="s">
        <v>2704</v>
      </c>
      <c r="O486" s="5">
        <v>46197.427730810188</v>
      </c>
      <c r="P486" t="str">
        <f>IF($Q486="DELETE",IF($S486="CONFIRMED: NO MODS &gt; 1YR","CONFIRMED: NO MODS &gt; 1YR","DO NOT DELETE — not defensibly confirmed"),IF($Q486="HOLD","DO NOT DELETE — HOLD (Charlie review)",IF($Q486="KEEP","DO NOT DELETE — KEEP",IF(ISNUMBER(SEARCH("REVIEW",$Q486)),"DO NOT DELETE — REVIEW pending",$S486))))</f>
        <v>DO NOT DELETE — HOLD (Charlie review)</v>
      </c>
      <c r="Q486" t="str" cm="1">
        <f t="array" ref="Q486">_xlfn.IFS(AND($A486="thg-beauty",ISNUMBER(SEARCH("liveramp",$C486))),"DELETE",$A486="agile-bonbon-662",_xlfn.IFS(LEFT($G486,9)="Tranche 1","DELETE",$C486="Sessions_Level_1_All_Sites","KEEP",ISNUMBER(--$C486),"REVIEW — UA raw logs",$C486="Emag_Reporting","KEEP",$C486="Nutrition_Data_Archived_Tables","KEEP",$C486="EU_Data","KEEP",TRUE,"REVIEW"),OR($A486="thg-influencer",$A486="thg-ingenuity",$A486="thg-central-marketing",$A486="thg-seoclarity"),"HOLD",TRUE,"")</f>
        <v>HOLD</v>
      </c>
      <c r="R486" t="str" cm="1">
        <f t="array" ref="R486">_xlfn.IFS(AND($A486="thg-beauty",ISNUMBER(SEARCH("liveramp",$C486))),"thg-beauty Liveramp dataset — confirmed safe to delete",$A486="agile-bonbon-662",_xlfn.IFS(LEFT($G486,9)="Tranche 1","Tranche 1: cleared",$C486="Sessions_Level_1_All_Sites","Downstream aggregation of UA raw logs — keep if raw tables go",ISNUMBER(--$C486),"UA raw site logs (account ID) — keep pending audit-retention check",$C486="Emag_Reporting","Legacy but likely needed",$C486="Nutrition_Data_Archived_Tables","Worth keeping",$C486="EU_Data","Static lookup tables — scripts still reference (smoke-test risk)",TRUE,"Review"),OR($A486="thg-influencer",$A486="thg-ingenuity",$A486="thg-central-marketing",$A486="thg-seoclarity"),"HOLD — Charlie Stringer to review before deletion",TRUE,"")</f>
        <v>HOLD — Charlie Stringer to review before deletion</v>
      </c>
      <c r="S486" t="s">
        <v>1631</v>
      </c>
    </row>
    <row r="487" spans="1:19" ht="76.5" hidden="1">
      <c r="A487" t="s">
        <v>89</v>
      </c>
      <c r="B487" t="s">
        <v>1619</v>
      </c>
      <c r="C487" t="s">
        <v>2705</v>
      </c>
      <c r="D487" s="2" t="s">
        <v>1621</v>
      </c>
      <c r="E487">
        <v>34.11</v>
      </c>
      <c r="F487">
        <v>0.68</v>
      </c>
      <c r="G487" t="s">
        <v>79</v>
      </c>
      <c r="H487" t="s">
        <v>81</v>
      </c>
      <c r="I487">
        <v>0</v>
      </c>
      <c r="J487">
        <v>0</v>
      </c>
      <c r="K487" s="5">
        <v>46197.453503993063</v>
      </c>
      <c r="L487" s="5">
        <v>46197.235130462963</v>
      </c>
      <c r="M487" s="2" t="s">
        <v>2706</v>
      </c>
      <c r="N487" s="2" t="s">
        <v>2707</v>
      </c>
      <c r="O487" s="5">
        <v>46197.235151122688</v>
      </c>
      <c r="P487" t="str">
        <f>IF($Q487="DELETE",IF($S487="CONFIRMED: NO MODS &gt; 1YR","CONFIRMED: NO MODS &gt; 1YR","DO NOT DELETE — not defensibly confirmed"),IF($Q487="HOLD","DO NOT DELETE — HOLD (Charlie review)",IF($Q487="KEEP","DO NOT DELETE — KEEP",IF(ISNUMBER(SEARCH("REVIEW",$Q487)),"DO NOT DELETE — REVIEW pending",$S487))))</f>
        <v>DO NOT DELETE — REVIEW pending</v>
      </c>
      <c r="Q487" t="str" cm="1">
        <f t="array" ref="Q487">_xlfn.IFS(AND($A487="thg-beauty",ISNUMBER(SEARCH("liveramp",$C487))),"DELETE",$A487="agile-bonbon-662",_xlfn.IFS(LEFT($G487,9)="Tranche 1","DELETE",$C487="Sessions_Level_1_All_Sites","KEEP",ISNUMBER(--$C487),"REVIEW — UA raw logs",$C487="Emag_Reporting","KEEP",$C487="Nutrition_Data_Archived_Tables","KEEP",$C487="EU_Data","KEEP",TRUE,"REVIEW"),OR($A487="thg-influencer",$A487="thg-ingenuity",$A487="thg-central-marketing",$A487="thg-seoclarity"),"HOLD",TRUE,"")</f>
        <v>REVIEW</v>
      </c>
      <c r="R487" t="str" cm="1">
        <f t="array" ref="R487">_xlfn.IFS(AND($A487="thg-beauty",ISNUMBER(SEARCH("liveramp",$C487))),"thg-beauty Liveramp dataset — confirmed safe to delete",$A487="agile-bonbon-662",_xlfn.IFS(LEFT($G487,9)="Tranche 1","Tranche 1: cleared",$C487="Sessions_Level_1_All_Sites","Downstream aggregation of UA raw logs — keep if raw tables go",ISNUMBER(--$C487),"UA raw site logs (account ID) — keep pending audit-retention check",$C487="Emag_Reporting","Legacy but likely needed",$C487="Nutrition_Data_Archived_Tables","Worth keeping",$C487="EU_Data","Static lookup tables — scripts still reference (smoke-test risk)",TRUE,"Review"),OR($A487="thg-influencer",$A487="thg-ingenuity",$A487="thg-central-marketing",$A487="thg-seoclarity"),"HOLD — Charlie Stringer to review before deletion",TRUE,"")</f>
        <v>Review</v>
      </c>
      <c r="S487" t="s">
        <v>1631</v>
      </c>
    </row>
    <row r="488" spans="1:19" ht="76.5" hidden="1">
      <c r="A488" t="s">
        <v>38</v>
      </c>
      <c r="B488" t="s">
        <v>1619</v>
      </c>
      <c r="C488" t="s">
        <v>2708</v>
      </c>
      <c r="D488" s="2" t="s">
        <v>1621</v>
      </c>
      <c r="E488">
        <v>33.880000000000003</v>
      </c>
      <c r="F488">
        <v>0.68</v>
      </c>
      <c r="G488" t="s">
        <v>79</v>
      </c>
      <c r="H488" t="s">
        <v>81</v>
      </c>
      <c r="I488">
        <v>0</v>
      </c>
      <c r="J488">
        <v>0</v>
      </c>
      <c r="K488" s="5">
        <v>46197.419828495367</v>
      </c>
      <c r="L488" s="5">
        <v>46197.370551099542</v>
      </c>
      <c r="M488" s="2" t="s">
        <v>2709</v>
      </c>
      <c r="N488" s="2" t="s">
        <v>2710</v>
      </c>
      <c r="O488" s="5">
        <v>46197.417594421298</v>
      </c>
      <c r="P488" t="str">
        <f>IF($Q488="DELETE",IF($S488="CONFIRMED: NO MODS &gt; 1YR","CONFIRMED: NO MODS &gt; 1YR","DO NOT DELETE — not defensibly confirmed"),IF($Q488="HOLD","DO NOT DELETE — HOLD (Charlie review)",IF($Q488="KEEP","DO NOT DELETE — KEEP",IF(ISNUMBER(SEARCH("REVIEW",$Q488)),"DO NOT DELETE — REVIEW pending",$S488))))</f>
        <v>DO NOT DELETE — HOLD (Charlie review)</v>
      </c>
      <c r="Q488" t="str" cm="1">
        <f t="array" ref="Q488">_xlfn.IFS(AND($A488="thg-beauty",ISNUMBER(SEARCH("liveramp",$C488))),"DELETE",$A488="agile-bonbon-662",_xlfn.IFS(LEFT($G488,9)="Tranche 1","DELETE",$C488="Sessions_Level_1_All_Sites","KEEP",ISNUMBER(--$C488),"REVIEW — UA raw logs",$C488="Emag_Reporting","KEEP",$C488="Nutrition_Data_Archived_Tables","KEEP",$C488="EU_Data","KEEP",TRUE,"REVIEW"),OR($A488="thg-influencer",$A488="thg-ingenuity",$A488="thg-central-marketing",$A488="thg-seoclarity"),"HOLD",TRUE,"")</f>
        <v>HOLD</v>
      </c>
      <c r="R488" t="str" cm="1">
        <f t="array" ref="R488">_xlfn.IFS(AND($A488="thg-beauty",ISNUMBER(SEARCH("liveramp",$C488))),"thg-beauty Liveramp dataset — confirmed safe to delete",$A488="agile-bonbon-662",_xlfn.IFS(LEFT($G488,9)="Tranche 1","Tranche 1: cleared",$C488="Sessions_Level_1_All_Sites","Downstream aggregation of UA raw logs — keep if raw tables go",ISNUMBER(--$C488),"UA raw site logs (account ID) — keep pending audit-retention check",$C488="Emag_Reporting","Legacy but likely needed",$C488="Nutrition_Data_Archived_Tables","Worth keeping",$C488="EU_Data","Static lookup tables — scripts still reference (smoke-test risk)",TRUE,"Review"),OR($A488="thg-influencer",$A488="thg-ingenuity",$A488="thg-central-marketing",$A488="thg-seoclarity"),"HOLD — Charlie Stringer to review before deletion",TRUE,"")</f>
        <v>HOLD — Charlie Stringer to review before deletion</v>
      </c>
      <c r="S488" t="s">
        <v>1631</v>
      </c>
    </row>
    <row r="489" spans="1:19" ht="76.5" hidden="1">
      <c r="A489" t="s">
        <v>39</v>
      </c>
      <c r="B489" t="s">
        <v>1619</v>
      </c>
      <c r="C489" t="s">
        <v>2711</v>
      </c>
      <c r="D489" s="2" t="s">
        <v>1621</v>
      </c>
      <c r="E489">
        <v>33.24</v>
      </c>
      <c r="F489">
        <v>0.66</v>
      </c>
      <c r="G489" t="s">
        <v>79</v>
      </c>
      <c r="H489" t="s">
        <v>81</v>
      </c>
      <c r="I489">
        <v>0</v>
      </c>
      <c r="J489">
        <v>0</v>
      </c>
      <c r="K489" s="5">
        <v>46197.146654259261</v>
      </c>
      <c r="L489" s="5">
        <v>46197.139959155087</v>
      </c>
      <c r="M489" s="2" t="s">
        <v>2712</v>
      </c>
      <c r="N489" s="2" t="s">
        <v>2713</v>
      </c>
      <c r="O489" s="5">
        <v>46197.140126817132</v>
      </c>
      <c r="P489" t="str">
        <f>IF($Q489="DELETE",IF($S489="CONFIRMED: NO MODS &gt; 1YR","CONFIRMED: NO MODS &gt; 1YR","DO NOT DELETE — not defensibly confirmed"),IF($Q489="HOLD","DO NOT DELETE — HOLD (Charlie review)",IF($Q489="KEEP","DO NOT DELETE — KEEP",IF(ISNUMBER(SEARCH("REVIEW",$Q489)),"DO NOT DELETE — REVIEW pending",$S489))))</f>
        <v>DO NOT DELETE — HOLD (Charlie review)</v>
      </c>
      <c r="Q489" t="str" cm="1">
        <f t="array" ref="Q489">_xlfn.IFS(AND($A489="thg-beauty",ISNUMBER(SEARCH("liveramp",$C489))),"DELETE",$A489="agile-bonbon-662",_xlfn.IFS(LEFT($G489,9)="Tranche 1","DELETE",$C489="Sessions_Level_1_All_Sites","KEEP",ISNUMBER(--$C489),"REVIEW — UA raw logs",$C489="Emag_Reporting","KEEP",$C489="Nutrition_Data_Archived_Tables","KEEP",$C489="EU_Data","KEEP",TRUE,"REVIEW"),OR($A489="thg-influencer",$A489="thg-ingenuity",$A489="thg-central-marketing",$A489="thg-seoclarity"),"HOLD",TRUE,"")</f>
        <v>HOLD</v>
      </c>
      <c r="R489" t="str" cm="1">
        <f t="array" ref="R489">_xlfn.IFS(AND($A489="thg-beauty",ISNUMBER(SEARCH("liveramp",$C489))),"thg-beauty Liveramp dataset — confirmed safe to delete",$A489="agile-bonbon-662",_xlfn.IFS(LEFT($G489,9)="Tranche 1","Tranche 1: cleared",$C489="Sessions_Level_1_All_Sites","Downstream aggregation of UA raw logs — keep if raw tables go",ISNUMBER(--$C489),"UA raw site logs (account ID) — keep pending audit-retention check",$C489="Emag_Reporting","Legacy but likely needed",$C489="Nutrition_Data_Archived_Tables","Worth keeping",$C489="EU_Data","Static lookup tables — scripts still reference (smoke-test risk)",TRUE,"Review"),OR($A489="thg-influencer",$A489="thg-ingenuity",$A489="thg-central-marketing",$A489="thg-seoclarity"),"HOLD — Charlie Stringer to review before deletion",TRUE,"")</f>
        <v>HOLD — Charlie Stringer to review before deletion</v>
      </c>
      <c r="S489" t="s">
        <v>1631</v>
      </c>
    </row>
    <row r="490" spans="1:19" ht="76.5" hidden="1">
      <c r="A490" t="s">
        <v>92</v>
      </c>
      <c r="B490" t="s">
        <v>1619</v>
      </c>
      <c r="C490" t="s">
        <v>2714</v>
      </c>
      <c r="D490" s="2" t="s">
        <v>1621</v>
      </c>
      <c r="E490">
        <v>2.25</v>
      </c>
      <c r="F490">
        <v>0.04</v>
      </c>
      <c r="G490" t="s">
        <v>79</v>
      </c>
      <c r="H490" t="s">
        <v>81</v>
      </c>
      <c r="I490">
        <v>0</v>
      </c>
      <c r="J490">
        <v>0</v>
      </c>
      <c r="K490" s="5">
        <v>46197.138909942129</v>
      </c>
      <c r="L490" s="5">
        <v>46196.458753969913</v>
      </c>
      <c r="M490" s="2" t="s">
        <v>2715</v>
      </c>
      <c r="N490" s="2" t="s">
        <v>2716</v>
      </c>
      <c r="O490" s="5">
        <v>46196.458926921303</v>
      </c>
      <c r="P490" t="str">
        <f>IF($Q490="DELETE",IF($S490="CONFIRMED: NO MODS &gt; 1YR","CONFIRMED: NO MODS &gt; 1YR","DO NOT DELETE — not defensibly confirmed"),IF($Q490="HOLD","DO NOT DELETE — HOLD (Charlie review)",IF($Q490="KEEP","DO NOT DELETE — KEEP",IF(ISNUMBER(SEARCH("REVIEW",$Q490)),"DO NOT DELETE — REVIEW pending",$S490))))</f>
        <v>REVIEW</v>
      </c>
      <c r="Q490" t="str" cm="1">
        <f t="array" ref="Q490">_xlfn.IFS(AND($A490="thg-beauty",ISNUMBER(SEARCH("liveramp",$C490))),"DELETE",$A490="agile-bonbon-662",_xlfn.IFS(LEFT($G490,9)="Tranche 1","DELETE",$C490="Sessions_Level_1_All_Sites","KEEP",ISNUMBER(--$C490),"REVIEW — UA raw logs",$C490="Emag_Reporting","KEEP",$C490="Nutrition_Data_Archived_Tables","KEEP",$C490="EU_Data","KEEP",TRUE,"REVIEW"),OR($A490="thg-influencer",$A490="thg-ingenuity",$A490="thg-central-marketing",$A490="thg-seoclarity"),"HOLD",TRUE,"")</f>
        <v/>
      </c>
      <c r="R490" t="str" cm="1">
        <f t="array" ref="R490">_xlfn.IFS(AND($A490="thg-beauty",ISNUMBER(SEARCH("liveramp",$C490))),"thg-beauty Liveramp dataset — confirmed safe to delete",$A490="agile-bonbon-662",_xlfn.IFS(LEFT($G490,9)="Tranche 1","Tranche 1: cleared",$C490="Sessions_Level_1_All_Sites","Downstream aggregation of UA raw logs — keep if raw tables go",ISNUMBER(--$C490),"UA raw site logs (account ID) — keep pending audit-retention check",$C490="Emag_Reporting","Legacy but likely needed",$C490="Nutrition_Data_Archived_Tables","Worth keeping",$C490="EU_Data","Static lookup tables — scripts still reference (smoke-test risk)",TRUE,"Review"),OR($A490="thg-influencer",$A490="thg-ingenuity",$A490="thg-central-marketing",$A490="thg-seoclarity"),"HOLD — Charlie Stringer to review before deletion",TRUE,"")</f>
        <v/>
      </c>
      <c r="S490" t="s">
        <v>1631</v>
      </c>
    </row>
    <row r="491" spans="1:19" ht="76.5" hidden="1">
      <c r="A491" t="s">
        <v>35</v>
      </c>
      <c r="B491" t="s">
        <v>1619</v>
      </c>
      <c r="C491" t="s">
        <v>2717</v>
      </c>
      <c r="D491" s="2" t="s">
        <v>1621</v>
      </c>
      <c r="E491">
        <v>29.9</v>
      </c>
      <c r="F491">
        <v>0.6</v>
      </c>
      <c r="G491" t="s">
        <v>79</v>
      </c>
      <c r="H491" t="s">
        <v>81</v>
      </c>
      <c r="I491">
        <v>0</v>
      </c>
      <c r="J491">
        <v>0</v>
      </c>
      <c r="K491" s="5">
        <v>46197.445732037027</v>
      </c>
      <c r="L491" s="5">
        <v>46197.418793807868</v>
      </c>
      <c r="M491" s="2" t="s">
        <v>2718</v>
      </c>
      <c r="N491" s="2" t="s">
        <v>2719</v>
      </c>
      <c r="O491" s="5">
        <v>46197.418929120373</v>
      </c>
      <c r="P491" t="str">
        <f>IF($Q491="DELETE",IF($S491="CONFIRMED: NO MODS &gt; 1YR","CONFIRMED: NO MODS &gt; 1YR","DO NOT DELETE — not defensibly confirmed"),IF($Q491="HOLD","DO NOT DELETE — HOLD (Charlie review)",IF($Q491="KEEP","DO NOT DELETE — KEEP",IF(ISNUMBER(SEARCH("REVIEW",$Q491)),"DO NOT DELETE — REVIEW pending",$S491))))</f>
        <v>DO NOT DELETE — HOLD (Charlie review)</v>
      </c>
      <c r="Q491" t="str" cm="1">
        <f t="array" ref="Q491">_xlfn.IFS(AND($A491="thg-beauty",ISNUMBER(SEARCH("liveramp",$C491))),"DELETE",$A491="agile-bonbon-662",_xlfn.IFS(LEFT($G491,9)="Tranche 1","DELETE",$C491="Sessions_Level_1_All_Sites","KEEP",ISNUMBER(--$C491),"REVIEW — UA raw logs",$C491="Emag_Reporting","KEEP",$C491="Nutrition_Data_Archived_Tables","KEEP",$C491="EU_Data","KEEP",TRUE,"REVIEW"),OR($A491="thg-influencer",$A491="thg-ingenuity",$A491="thg-central-marketing",$A491="thg-seoclarity"),"HOLD",TRUE,"")</f>
        <v>HOLD</v>
      </c>
      <c r="R491" t="str" cm="1">
        <f t="array" ref="R491">_xlfn.IFS(AND($A491="thg-beauty",ISNUMBER(SEARCH("liveramp",$C491))),"thg-beauty Liveramp dataset — confirmed safe to delete",$A491="agile-bonbon-662",_xlfn.IFS(LEFT($G491,9)="Tranche 1","Tranche 1: cleared",$C491="Sessions_Level_1_All_Sites","Downstream aggregation of UA raw logs — keep if raw tables go",ISNUMBER(--$C491),"UA raw site logs (account ID) — keep pending audit-retention check",$C491="Emag_Reporting","Legacy but likely needed",$C491="Nutrition_Data_Archived_Tables","Worth keeping",$C491="EU_Data","Static lookup tables — scripts still reference (smoke-test risk)",TRUE,"Review"),OR($A491="thg-influencer",$A491="thg-ingenuity",$A491="thg-central-marketing",$A491="thg-seoclarity"),"HOLD — Charlie Stringer to review before deletion",TRUE,"")</f>
        <v>HOLD — Charlie Stringer to review before deletion</v>
      </c>
      <c r="S491" t="s">
        <v>1631</v>
      </c>
    </row>
    <row r="492" spans="1:19" ht="76.5" hidden="1">
      <c r="A492" t="s">
        <v>38</v>
      </c>
      <c r="B492" t="s">
        <v>1619</v>
      </c>
      <c r="C492" t="s">
        <v>2720</v>
      </c>
      <c r="D492" s="2" t="s">
        <v>1621</v>
      </c>
      <c r="E492">
        <v>29.53</v>
      </c>
      <c r="F492">
        <v>0.59</v>
      </c>
      <c r="G492" t="s">
        <v>79</v>
      </c>
      <c r="H492" t="s">
        <v>81</v>
      </c>
      <c r="I492">
        <v>0</v>
      </c>
      <c r="J492">
        <v>0</v>
      </c>
      <c r="L492" s="5">
        <v>46197.359796909717</v>
      </c>
      <c r="M492" s="2" t="s">
        <v>1715</v>
      </c>
      <c r="N492" s="2" t="s">
        <v>2721</v>
      </c>
      <c r="O492" s="5">
        <v>46197.359910196763</v>
      </c>
      <c r="P492" t="str">
        <f>IF($Q492="DELETE",IF($S492="CONFIRMED: NO MODS &gt; 1YR","CONFIRMED: NO MODS &gt; 1YR","DO NOT DELETE — not defensibly confirmed"),IF($Q492="HOLD","DO NOT DELETE — HOLD (Charlie review)",IF($Q492="KEEP","DO NOT DELETE — KEEP",IF(ISNUMBER(SEARCH("REVIEW",$Q492)),"DO NOT DELETE — REVIEW pending",$S492))))</f>
        <v>DO NOT DELETE — HOLD (Charlie review)</v>
      </c>
      <c r="Q492" t="str" cm="1">
        <f t="array" ref="Q492">_xlfn.IFS(AND($A492="thg-beauty",ISNUMBER(SEARCH("liveramp",$C492))),"DELETE",$A492="agile-bonbon-662",_xlfn.IFS(LEFT($G492,9)="Tranche 1","DELETE",$C492="Sessions_Level_1_All_Sites","KEEP",ISNUMBER(--$C492),"REVIEW — UA raw logs",$C492="Emag_Reporting","KEEP",$C492="Nutrition_Data_Archived_Tables","KEEP",$C492="EU_Data","KEEP",TRUE,"REVIEW"),OR($A492="thg-influencer",$A492="thg-ingenuity",$A492="thg-central-marketing",$A492="thg-seoclarity"),"HOLD",TRUE,"")</f>
        <v>HOLD</v>
      </c>
      <c r="R492" t="str" cm="1">
        <f t="array" ref="R492">_xlfn.IFS(AND($A492="thg-beauty",ISNUMBER(SEARCH("liveramp",$C492))),"thg-beauty Liveramp dataset — confirmed safe to delete",$A492="agile-bonbon-662",_xlfn.IFS(LEFT($G492,9)="Tranche 1","Tranche 1: cleared",$C492="Sessions_Level_1_All_Sites","Downstream aggregation of UA raw logs — keep if raw tables go",ISNUMBER(--$C492),"UA raw site logs (account ID) — keep pending audit-retention check",$C492="Emag_Reporting","Legacy but likely needed",$C492="Nutrition_Data_Archived_Tables","Worth keeping",$C492="EU_Data","Static lookup tables — scripts still reference (smoke-test risk)",TRUE,"Review"),OR($A492="thg-influencer",$A492="thg-ingenuity",$A492="thg-central-marketing",$A492="thg-seoclarity"),"HOLD — Charlie Stringer to review before deletion",TRUE,"")</f>
        <v>HOLD — Charlie Stringer to review before deletion</v>
      </c>
      <c r="S492" t="s">
        <v>1624</v>
      </c>
    </row>
    <row r="493" spans="1:19" ht="76.5" hidden="1">
      <c r="A493" t="s">
        <v>92</v>
      </c>
      <c r="B493" t="s">
        <v>1619</v>
      </c>
      <c r="C493" t="s">
        <v>2722</v>
      </c>
      <c r="D493" s="2" t="s">
        <v>1621</v>
      </c>
      <c r="E493">
        <v>2.0699999999999998</v>
      </c>
      <c r="F493">
        <v>0.04</v>
      </c>
      <c r="G493" t="s">
        <v>79</v>
      </c>
      <c r="H493" t="s">
        <v>81</v>
      </c>
      <c r="I493">
        <v>0</v>
      </c>
      <c r="J493">
        <v>0</v>
      </c>
      <c r="K493" s="5">
        <v>46197.421610787038</v>
      </c>
      <c r="L493" s="5">
        <v>46197.274304525461</v>
      </c>
      <c r="M493" s="2" t="s">
        <v>2723</v>
      </c>
      <c r="N493" s="2" t="s">
        <v>2724</v>
      </c>
      <c r="O493" s="5">
        <v>46197.274418425928</v>
      </c>
      <c r="P493" t="str">
        <f>IF($Q493="DELETE",IF($S493="CONFIRMED: NO MODS &gt; 1YR","CONFIRMED: NO MODS &gt; 1YR","DO NOT DELETE — not defensibly confirmed"),IF($Q493="HOLD","DO NOT DELETE — HOLD (Charlie review)",IF($Q493="KEEP","DO NOT DELETE — KEEP",IF(ISNUMBER(SEARCH("REVIEW",$Q493)),"DO NOT DELETE — REVIEW pending",$S493))))</f>
        <v>CONFIRMED: NO MODS &gt; 1YR</v>
      </c>
      <c r="Q493" t="str" cm="1">
        <f t="array" ref="Q493">_xlfn.IFS(AND($A493="thg-beauty",ISNUMBER(SEARCH("liveramp",$C493))),"DELETE",$A493="agile-bonbon-662",_xlfn.IFS(LEFT($G493,9)="Tranche 1","DELETE",$C493="Sessions_Level_1_All_Sites","KEEP",ISNUMBER(--$C493),"REVIEW — UA raw logs",$C493="Emag_Reporting","KEEP",$C493="Nutrition_Data_Archived_Tables","KEEP",$C493="EU_Data","KEEP",TRUE,"REVIEW"),OR($A493="thg-influencer",$A493="thg-ingenuity",$A493="thg-central-marketing",$A493="thg-seoclarity"),"HOLD",TRUE,"")</f>
        <v/>
      </c>
      <c r="R493" t="str" cm="1">
        <f t="array" ref="R493">_xlfn.IFS(AND($A493="thg-beauty",ISNUMBER(SEARCH("liveramp",$C493))),"thg-beauty Liveramp dataset — confirmed safe to delete",$A493="agile-bonbon-662",_xlfn.IFS(LEFT($G493,9)="Tranche 1","Tranche 1: cleared",$C493="Sessions_Level_1_All_Sites","Downstream aggregation of UA raw logs — keep if raw tables go",ISNUMBER(--$C493),"UA raw site logs (account ID) — keep pending audit-retention check",$C493="Emag_Reporting","Legacy but likely needed",$C493="Nutrition_Data_Archived_Tables","Worth keeping",$C493="EU_Data","Static lookup tables — scripts still reference (smoke-test risk)",TRUE,"Review"),OR($A493="thg-influencer",$A493="thg-ingenuity",$A493="thg-central-marketing",$A493="thg-seoclarity"),"HOLD — Charlie Stringer to review before deletion",TRUE,"")</f>
        <v/>
      </c>
      <c r="S493" t="s">
        <v>1624</v>
      </c>
    </row>
    <row r="494" spans="1:19" ht="76.5" hidden="1">
      <c r="A494" t="s">
        <v>38</v>
      </c>
      <c r="B494" t="s">
        <v>1619</v>
      </c>
      <c r="C494" t="s">
        <v>2725</v>
      </c>
      <c r="D494" s="2" t="s">
        <v>1621</v>
      </c>
      <c r="E494">
        <v>29.03</v>
      </c>
      <c r="F494">
        <v>0.57999999999999996</v>
      </c>
      <c r="G494" t="s">
        <v>79</v>
      </c>
      <c r="H494" t="s">
        <v>81</v>
      </c>
      <c r="I494">
        <v>0</v>
      </c>
      <c r="J494">
        <v>0</v>
      </c>
      <c r="K494" s="5">
        <v>46197.419060729168</v>
      </c>
      <c r="L494" s="5">
        <v>46197.355226689811</v>
      </c>
      <c r="M494" s="2" t="s">
        <v>2726</v>
      </c>
      <c r="N494" s="2" t="s">
        <v>2727</v>
      </c>
      <c r="O494" s="5">
        <v>46197.355296111113</v>
      </c>
      <c r="P494" t="str">
        <f>IF($Q494="DELETE",IF($S494="CONFIRMED: NO MODS &gt; 1YR","CONFIRMED: NO MODS &gt; 1YR","DO NOT DELETE — not defensibly confirmed"),IF($Q494="HOLD","DO NOT DELETE — HOLD (Charlie review)",IF($Q494="KEEP","DO NOT DELETE — KEEP",IF(ISNUMBER(SEARCH("REVIEW",$Q494)),"DO NOT DELETE — REVIEW pending",$S494))))</f>
        <v>DO NOT DELETE — HOLD (Charlie review)</v>
      </c>
      <c r="Q494" t="str" cm="1">
        <f t="array" ref="Q494">_xlfn.IFS(AND($A494="thg-beauty",ISNUMBER(SEARCH("liveramp",$C494))),"DELETE",$A494="agile-bonbon-662",_xlfn.IFS(LEFT($G494,9)="Tranche 1","DELETE",$C494="Sessions_Level_1_All_Sites","KEEP",ISNUMBER(--$C494),"REVIEW — UA raw logs",$C494="Emag_Reporting","KEEP",$C494="Nutrition_Data_Archived_Tables","KEEP",$C494="EU_Data","KEEP",TRUE,"REVIEW"),OR($A494="thg-influencer",$A494="thg-ingenuity",$A494="thg-central-marketing",$A494="thg-seoclarity"),"HOLD",TRUE,"")</f>
        <v>HOLD</v>
      </c>
      <c r="R494" t="str" cm="1">
        <f t="array" ref="R494">_xlfn.IFS(AND($A494="thg-beauty",ISNUMBER(SEARCH("liveramp",$C494))),"thg-beauty Liveramp dataset — confirmed safe to delete",$A494="agile-bonbon-662",_xlfn.IFS(LEFT($G494,9)="Tranche 1","Tranche 1: cleared",$C494="Sessions_Level_1_All_Sites","Downstream aggregation of UA raw logs — keep if raw tables go",ISNUMBER(--$C494),"UA raw site logs (account ID) — keep pending audit-retention check",$C494="Emag_Reporting","Legacy but likely needed",$C494="Nutrition_Data_Archived_Tables","Worth keeping",$C494="EU_Data","Static lookup tables — scripts still reference (smoke-test risk)",TRUE,"Review"),OR($A494="thg-influencer",$A494="thg-ingenuity",$A494="thg-central-marketing",$A494="thg-seoclarity"),"HOLD — Charlie Stringer to review before deletion",TRUE,"")</f>
        <v>HOLD — Charlie Stringer to review before deletion</v>
      </c>
      <c r="S494" t="s">
        <v>1624</v>
      </c>
    </row>
    <row r="495" spans="1:19" ht="76.5" hidden="1">
      <c r="A495" t="s">
        <v>39</v>
      </c>
      <c r="B495" t="s">
        <v>1619</v>
      </c>
      <c r="C495" t="s">
        <v>2728</v>
      </c>
      <c r="D495" s="2" t="s">
        <v>1621</v>
      </c>
      <c r="E495">
        <v>27.87</v>
      </c>
      <c r="F495">
        <v>0.56000000000000005</v>
      </c>
      <c r="G495" t="s">
        <v>79</v>
      </c>
      <c r="H495" t="s">
        <v>81</v>
      </c>
      <c r="I495">
        <v>0</v>
      </c>
      <c r="J495">
        <v>0</v>
      </c>
      <c r="K495" s="5">
        <v>46197.104780416666</v>
      </c>
      <c r="L495" s="5">
        <v>46197.048334004627</v>
      </c>
      <c r="M495" s="2" t="s">
        <v>2729</v>
      </c>
      <c r="N495" s="2" t="s">
        <v>2598</v>
      </c>
      <c r="O495" s="5">
        <v>46197.048387222218</v>
      </c>
      <c r="P495" t="str">
        <f>IF($Q495="DELETE",IF($S495="CONFIRMED: NO MODS &gt; 1YR","CONFIRMED: NO MODS &gt; 1YR","DO NOT DELETE — not defensibly confirmed"),IF($Q495="HOLD","DO NOT DELETE — HOLD (Charlie review)",IF($Q495="KEEP","DO NOT DELETE — KEEP",IF(ISNUMBER(SEARCH("REVIEW",$Q495)),"DO NOT DELETE — REVIEW pending",$S495))))</f>
        <v>DO NOT DELETE — HOLD (Charlie review)</v>
      </c>
      <c r="Q495" t="str" cm="1">
        <f t="array" ref="Q495">_xlfn.IFS(AND($A495="thg-beauty",ISNUMBER(SEARCH("liveramp",$C495))),"DELETE",$A495="agile-bonbon-662",_xlfn.IFS(LEFT($G495,9)="Tranche 1","DELETE",$C495="Sessions_Level_1_All_Sites","KEEP",ISNUMBER(--$C495),"REVIEW — UA raw logs",$C495="Emag_Reporting","KEEP",$C495="Nutrition_Data_Archived_Tables","KEEP",$C495="EU_Data","KEEP",TRUE,"REVIEW"),OR($A495="thg-influencer",$A495="thg-ingenuity",$A495="thg-central-marketing",$A495="thg-seoclarity"),"HOLD",TRUE,"")</f>
        <v>HOLD</v>
      </c>
      <c r="R495" t="str" cm="1">
        <f t="array" ref="R495">_xlfn.IFS(AND($A495="thg-beauty",ISNUMBER(SEARCH("liveramp",$C495))),"thg-beauty Liveramp dataset — confirmed safe to delete",$A495="agile-bonbon-662",_xlfn.IFS(LEFT($G495,9)="Tranche 1","Tranche 1: cleared",$C495="Sessions_Level_1_All_Sites","Downstream aggregation of UA raw logs — keep if raw tables go",ISNUMBER(--$C495),"UA raw site logs (account ID) — keep pending audit-retention check",$C495="Emag_Reporting","Legacy but likely needed",$C495="Nutrition_Data_Archived_Tables","Worth keeping",$C495="EU_Data","Static lookup tables — scripts still reference (smoke-test risk)",TRUE,"Review"),OR($A495="thg-influencer",$A495="thg-ingenuity",$A495="thg-central-marketing",$A495="thg-seoclarity"),"HOLD — Charlie Stringer to review before deletion",TRUE,"")</f>
        <v>HOLD — Charlie Stringer to review before deletion</v>
      </c>
      <c r="S495" t="s">
        <v>1624</v>
      </c>
    </row>
    <row r="496" spans="1:19" hidden="1">
      <c r="A496" t="s">
        <v>38</v>
      </c>
      <c r="B496" t="s">
        <v>1619</v>
      </c>
      <c r="C496" t="s">
        <v>2730</v>
      </c>
      <c r="D496" s="2" t="s">
        <v>1621</v>
      </c>
      <c r="E496">
        <v>26.91</v>
      </c>
      <c r="F496">
        <v>0.54</v>
      </c>
      <c r="G496" t="s">
        <v>79</v>
      </c>
      <c r="H496" t="s">
        <v>81</v>
      </c>
      <c r="I496">
        <v>0</v>
      </c>
      <c r="J496">
        <v>0</v>
      </c>
      <c r="M496" s="2" t="s">
        <v>1715</v>
      </c>
      <c r="N496" s="2" t="s">
        <v>1701</v>
      </c>
      <c r="O496" s="5">
        <v>46197.12709829861</v>
      </c>
      <c r="P496" t="str">
        <f>IF($Q496="DELETE",IF($S496="CONFIRMED: NO MODS &gt; 1YR","CONFIRMED: NO MODS &gt; 1YR","DO NOT DELETE — not defensibly confirmed"),IF($Q496="HOLD","DO NOT DELETE — HOLD (Charlie review)",IF($Q496="KEEP","DO NOT DELETE — KEEP",IF(ISNUMBER(SEARCH("REVIEW",$Q496)),"DO NOT DELETE — REVIEW pending",$S496))))</f>
        <v>DO NOT DELETE — HOLD (Charlie review)</v>
      </c>
      <c r="Q496" t="str" cm="1">
        <f t="array" ref="Q496">_xlfn.IFS(AND($A496="thg-beauty",ISNUMBER(SEARCH("liveramp",$C496))),"DELETE",$A496="agile-bonbon-662",_xlfn.IFS(LEFT($G496,9)="Tranche 1","DELETE",$C496="Sessions_Level_1_All_Sites","KEEP",ISNUMBER(--$C496),"REVIEW — UA raw logs",$C496="Emag_Reporting","KEEP",$C496="Nutrition_Data_Archived_Tables","KEEP",$C496="EU_Data","KEEP",TRUE,"REVIEW"),OR($A496="thg-influencer",$A496="thg-ingenuity",$A496="thg-central-marketing",$A496="thg-seoclarity"),"HOLD",TRUE,"")</f>
        <v>HOLD</v>
      </c>
      <c r="R496" t="str" cm="1">
        <f t="array" ref="R496">_xlfn.IFS(AND($A496="thg-beauty",ISNUMBER(SEARCH("liveramp",$C496))),"thg-beauty Liveramp dataset — confirmed safe to delete",$A496="agile-bonbon-662",_xlfn.IFS(LEFT($G496,9)="Tranche 1","Tranche 1: cleared",$C496="Sessions_Level_1_All_Sites","Downstream aggregation of UA raw logs — keep if raw tables go",ISNUMBER(--$C496),"UA raw site logs (account ID) — keep pending audit-retention check",$C496="Emag_Reporting","Legacy but likely needed",$C496="Nutrition_Data_Archived_Tables","Worth keeping",$C496="EU_Data","Static lookup tables — scripts still reference (smoke-test risk)",TRUE,"Review"),OR($A496="thg-influencer",$A496="thg-ingenuity",$A496="thg-central-marketing",$A496="thg-seoclarity"),"HOLD — Charlie Stringer to review before deletion",TRUE,"")</f>
        <v>HOLD — Charlie Stringer to review before deletion</v>
      </c>
      <c r="S496" t="s">
        <v>1631</v>
      </c>
    </row>
    <row r="497" spans="1:19" ht="76.5" hidden="1">
      <c r="A497" t="s">
        <v>39</v>
      </c>
      <c r="B497" t="s">
        <v>1619</v>
      </c>
      <c r="C497" t="s">
        <v>1993</v>
      </c>
      <c r="D497" s="2" t="s">
        <v>1621</v>
      </c>
      <c r="E497">
        <v>25.63</v>
      </c>
      <c r="F497">
        <v>0.51</v>
      </c>
      <c r="G497" t="s">
        <v>79</v>
      </c>
      <c r="H497" t="s">
        <v>81</v>
      </c>
      <c r="I497">
        <v>0</v>
      </c>
      <c r="J497">
        <v>0</v>
      </c>
      <c r="K497" s="5">
        <v>46197.405165185177</v>
      </c>
      <c r="L497" s="5">
        <v>46197.405193495368</v>
      </c>
      <c r="M497" s="2" t="s">
        <v>2731</v>
      </c>
      <c r="N497" s="2" t="s">
        <v>2732</v>
      </c>
      <c r="O497" s="5">
        <v>46197.405217280088</v>
      </c>
      <c r="P497" t="str">
        <f>IF($Q497="DELETE",IF($S497="CONFIRMED: NO MODS &gt; 1YR","CONFIRMED: NO MODS &gt; 1YR","DO NOT DELETE — not defensibly confirmed"),IF($Q497="HOLD","DO NOT DELETE — HOLD (Charlie review)",IF($Q497="KEEP","DO NOT DELETE — KEEP",IF(ISNUMBER(SEARCH("REVIEW",$Q497)),"DO NOT DELETE — REVIEW pending",$S497))))</f>
        <v>DO NOT DELETE — HOLD (Charlie review)</v>
      </c>
      <c r="Q497" t="str" cm="1">
        <f t="array" ref="Q497">_xlfn.IFS(AND($A497="thg-beauty",ISNUMBER(SEARCH("liveramp",$C497))),"DELETE",$A497="agile-bonbon-662",_xlfn.IFS(LEFT($G497,9)="Tranche 1","DELETE",$C497="Sessions_Level_1_All_Sites","KEEP",ISNUMBER(--$C497),"REVIEW — UA raw logs",$C497="Emag_Reporting","KEEP",$C497="Nutrition_Data_Archived_Tables","KEEP",$C497="EU_Data","KEEP",TRUE,"REVIEW"),OR($A497="thg-influencer",$A497="thg-ingenuity",$A497="thg-central-marketing",$A497="thg-seoclarity"),"HOLD",TRUE,"")</f>
        <v>HOLD</v>
      </c>
      <c r="R497" t="str" cm="1">
        <f t="array" ref="R497">_xlfn.IFS(AND($A497="thg-beauty",ISNUMBER(SEARCH("liveramp",$C497))),"thg-beauty Liveramp dataset — confirmed safe to delete",$A497="agile-bonbon-662",_xlfn.IFS(LEFT($G497,9)="Tranche 1","Tranche 1: cleared",$C497="Sessions_Level_1_All_Sites","Downstream aggregation of UA raw logs — keep if raw tables go",ISNUMBER(--$C497),"UA raw site logs (account ID) — keep pending audit-retention check",$C497="Emag_Reporting","Legacy but likely needed",$C497="Nutrition_Data_Archived_Tables","Worth keeping",$C497="EU_Data","Static lookup tables — scripts still reference (smoke-test risk)",TRUE,"Review"),OR($A497="thg-influencer",$A497="thg-ingenuity",$A497="thg-central-marketing",$A497="thg-seoclarity"),"HOLD — Charlie Stringer to review before deletion",TRUE,"")</f>
        <v>HOLD — Charlie Stringer to review before deletion</v>
      </c>
      <c r="S497" t="s">
        <v>1631</v>
      </c>
    </row>
    <row r="498" spans="1:19" ht="76.5" hidden="1">
      <c r="A498" t="s">
        <v>38</v>
      </c>
      <c r="B498" t="s">
        <v>1619</v>
      </c>
      <c r="C498" t="s">
        <v>2733</v>
      </c>
      <c r="D498" s="2" t="s">
        <v>1621</v>
      </c>
      <c r="E498">
        <v>25.51</v>
      </c>
      <c r="F498">
        <v>0.51</v>
      </c>
      <c r="G498" t="s">
        <v>79</v>
      </c>
      <c r="H498" t="s">
        <v>81</v>
      </c>
      <c r="I498">
        <v>0</v>
      </c>
      <c r="J498">
        <v>0</v>
      </c>
      <c r="K498" s="5">
        <v>46197.419638159721</v>
      </c>
      <c r="L498" s="5">
        <v>46197.320903969907</v>
      </c>
      <c r="M498" s="2" t="s">
        <v>2734</v>
      </c>
      <c r="N498" s="2" t="s">
        <v>2404</v>
      </c>
      <c r="O498" s="5">
        <v>46197.427412384262</v>
      </c>
      <c r="P498" t="str">
        <f>IF($Q498="DELETE",IF($S498="CONFIRMED: NO MODS &gt; 1YR","CONFIRMED: NO MODS &gt; 1YR","DO NOT DELETE — not defensibly confirmed"),IF($Q498="HOLD","DO NOT DELETE — HOLD (Charlie review)",IF($Q498="KEEP","DO NOT DELETE — KEEP",IF(ISNUMBER(SEARCH("REVIEW",$Q498)),"DO NOT DELETE — REVIEW pending",$S498))))</f>
        <v>DO NOT DELETE — HOLD (Charlie review)</v>
      </c>
      <c r="Q498" t="str" cm="1">
        <f t="array" ref="Q498">_xlfn.IFS(AND($A498="thg-beauty",ISNUMBER(SEARCH("liveramp",$C498))),"DELETE",$A498="agile-bonbon-662",_xlfn.IFS(LEFT($G498,9)="Tranche 1","DELETE",$C498="Sessions_Level_1_All_Sites","KEEP",ISNUMBER(--$C498),"REVIEW — UA raw logs",$C498="Emag_Reporting","KEEP",$C498="Nutrition_Data_Archived_Tables","KEEP",$C498="EU_Data","KEEP",TRUE,"REVIEW"),OR($A498="thg-influencer",$A498="thg-ingenuity",$A498="thg-central-marketing",$A498="thg-seoclarity"),"HOLD",TRUE,"")</f>
        <v>HOLD</v>
      </c>
      <c r="R498" t="str" cm="1">
        <f t="array" ref="R498">_xlfn.IFS(AND($A498="thg-beauty",ISNUMBER(SEARCH("liveramp",$C498))),"thg-beauty Liveramp dataset — confirmed safe to delete",$A498="agile-bonbon-662",_xlfn.IFS(LEFT($G498,9)="Tranche 1","Tranche 1: cleared",$C498="Sessions_Level_1_All_Sites","Downstream aggregation of UA raw logs — keep if raw tables go",ISNUMBER(--$C498),"UA raw site logs (account ID) — keep pending audit-retention check",$C498="Emag_Reporting","Legacy but likely needed",$C498="Nutrition_Data_Archived_Tables","Worth keeping",$C498="EU_Data","Static lookup tables — scripts still reference (smoke-test risk)",TRUE,"Review"),OR($A498="thg-influencer",$A498="thg-ingenuity",$A498="thg-central-marketing",$A498="thg-seoclarity"),"HOLD — Charlie Stringer to review before deletion",TRUE,"")</f>
        <v>HOLD — Charlie Stringer to review before deletion</v>
      </c>
      <c r="S498" t="s">
        <v>1631</v>
      </c>
    </row>
    <row r="499" spans="1:19" hidden="1">
      <c r="A499" t="s">
        <v>39</v>
      </c>
      <c r="B499" t="s">
        <v>1724</v>
      </c>
      <c r="C499" t="s">
        <v>2735</v>
      </c>
      <c r="D499" s="2" t="s">
        <v>1621</v>
      </c>
      <c r="E499">
        <v>24.44</v>
      </c>
      <c r="F499">
        <v>0.49</v>
      </c>
      <c r="G499" t="s">
        <v>79</v>
      </c>
      <c r="H499" t="s">
        <v>81</v>
      </c>
      <c r="I499">
        <v>0</v>
      </c>
      <c r="J499">
        <v>0</v>
      </c>
      <c r="M499" s="2" t="s">
        <v>1715</v>
      </c>
      <c r="N499" s="2" t="s">
        <v>1701</v>
      </c>
      <c r="O499" s="5">
        <v>46197.433952858803</v>
      </c>
      <c r="P499" t="str">
        <f>IF($Q499="DELETE",IF($S499="CONFIRMED: NO MODS &gt; 1YR","CONFIRMED: NO MODS &gt; 1YR","DO NOT DELETE — not defensibly confirmed"),IF($Q499="HOLD","DO NOT DELETE — HOLD (Charlie review)",IF($Q499="KEEP","DO NOT DELETE — KEEP",IF(ISNUMBER(SEARCH("REVIEW",$Q499)),"DO NOT DELETE — REVIEW pending",$S499))))</f>
        <v>DO NOT DELETE — HOLD (Charlie review)</v>
      </c>
      <c r="Q499" t="str" cm="1">
        <f t="array" ref="Q499">_xlfn.IFS(AND($A499="thg-beauty",ISNUMBER(SEARCH("liveramp",$C499))),"DELETE",$A499="agile-bonbon-662",_xlfn.IFS(LEFT($G499,9)="Tranche 1","DELETE",$C499="Sessions_Level_1_All_Sites","KEEP",ISNUMBER(--$C499),"REVIEW — UA raw logs",$C499="Emag_Reporting","KEEP",$C499="Nutrition_Data_Archived_Tables","KEEP",$C499="EU_Data","KEEP",TRUE,"REVIEW"),OR($A499="thg-influencer",$A499="thg-ingenuity",$A499="thg-central-marketing",$A499="thg-seoclarity"),"HOLD",TRUE,"")</f>
        <v>HOLD</v>
      </c>
      <c r="R499" t="str" cm="1">
        <f t="array" ref="R499">_xlfn.IFS(AND($A499="thg-beauty",ISNUMBER(SEARCH("liveramp",$C499))),"thg-beauty Liveramp dataset — confirmed safe to delete",$A499="agile-bonbon-662",_xlfn.IFS(LEFT($G499,9)="Tranche 1","Tranche 1: cleared",$C499="Sessions_Level_1_All_Sites","Downstream aggregation of UA raw logs — keep if raw tables go",ISNUMBER(--$C499),"UA raw site logs (account ID) — keep pending audit-retention check",$C499="Emag_Reporting","Legacy but likely needed",$C499="Nutrition_Data_Archived_Tables","Worth keeping",$C499="EU_Data","Static lookup tables — scripts still reference (smoke-test risk)",TRUE,"Review"),OR($A499="thg-influencer",$A499="thg-ingenuity",$A499="thg-central-marketing",$A499="thg-seoclarity"),"HOLD — Charlie Stringer to review before deletion",TRUE,"")</f>
        <v>HOLD — Charlie Stringer to review before deletion</v>
      </c>
      <c r="S499" t="s">
        <v>1631</v>
      </c>
    </row>
    <row r="500" spans="1:19" ht="76.5" hidden="1">
      <c r="A500" t="s">
        <v>39</v>
      </c>
      <c r="B500" t="s">
        <v>1619</v>
      </c>
      <c r="C500" t="s">
        <v>2735</v>
      </c>
      <c r="D500" s="2" t="s">
        <v>1621</v>
      </c>
      <c r="E500">
        <v>24.44</v>
      </c>
      <c r="F500">
        <v>0.49</v>
      </c>
      <c r="G500" t="s">
        <v>79</v>
      </c>
      <c r="H500" t="s">
        <v>81</v>
      </c>
      <c r="I500">
        <v>0</v>
      </c>
      <c r="J500">
        <v>0</v>
      </c>
      <c r="K500" s="5">
        <v>46197.434883796297</v>
      </c>
      <c r="L500" s="5">
        <v>46197.433932997686</v>
      </c>
      <c r="M500" s="2" t="s">
        <v>2736</v>
      </c>
      <c r="N500" s="2" t="s">
        <v>2737</v>
      </c>
      <c r="O500" s="5">
        <v>46197.433952858803</v>
      </c>
      <c r="P500" t="str">
        <f>IF($Q500="DELETE",IF($S500="CONFIRMED: NO MODS &gt; 1YR","CONFIRMED: NO MODS &gt; 1YR","DO NOT DELETE — not defensibly confirmed"),IF($Q500="HOLD","DO NOT DELETE — HOLD (Charlie review)",IF($Q500="KEEP","DO NOT DELETE — KEEP",IF(ISNUMBER(SEARCH("REVIEW",$Q500)),"DO NOT DELETE — REVIEW pending",$S500))))</f>
        <v>DO NOT DELETE — HOLD (Charlie review)</v>
      </c>
      <c r="Q500" t="str" cm="1">
        <f t="array" ref="Q500">_xlfn.IFS(AND($A500="thg-beauty",ISNUMBER(SEARCH("liveramp",$C500))),"DELETE",$A500="agile-bonbon-662",_xlfn.IFS(LEFT($G500,9)="Tranche 1","DELETE",$C500="Sessions_Level_1_All_Sites","KEEP",ISNUMBER(--$C500),"REVIEW — UA raw logs",$C500="Emag_Reporting","KEEP",$C500="Nutrition_Data_Archived_Tables","KEEP",$C500="EU_Data","KEEP",TRUE,"REVIEW"),OR($A500="thg-influencer",$A500="thg-ingenuity",$A500="thg-central-marketing",$A500="thg-seoclarity"),"HOLD",TRUE,"")</f>
        <v>HOLD</v>
      </c>
      <c r="R500" t="str" cm="1">
        <f t="array" ref="R500">_xlfn.IFS(AND($A500="thg-beauty",ISNUMBER(SEARCH("liveramp",$C500))),"thg-beauty Liveramp dataset — confirmed safe to delete",$A500="agile-bonbon-662",_xlfn.IFS(LEFT($G500,9)="Tranche 1","Tranche 1: cleared",$C500="Sessions_Level_1_All_Sites","Downstream aggregation of UA raw logs — keep if raw tables go",ISNUMBER(--$C500),"UA raw site logs (account ID) — keep pending audit-retention check",$C500="Emag_Reporting","Legacy but likely needed",$C500="Nutrition_Data_Archived_Tables","Worth keeping",$C500="EU_Data","Static lookup tables — scripts still reference (smoke-test risk)",TRUE,"Review"),OR($A500="thg-influencer",$A500="thg-ingenuity",$A500="thg-central-marketing",$A500="thg-seoclarity"),"HOLD — Charlie Stringer to review before deletion",TRUE,"")</f>
        <v>HOLD — Charlie Stringer to review before deletion</v>
      </c>
      <c r="S500" t="s">
        <v>1624</v>
      </c>
    </row>
    <row r="501" spans="1:19" ht="76.5" hidden="1">
      <c r="A501" t="s">
        <v>92</v>
      </c>
      <c r="B501" t="s">
        <v>1619</v>
      </c>
      <c r="C501" t="s">
        <v>2738</v>
      </c>
      <c r="D501" s="2" t="s">
        <v>1621</v>
      </c>
      <c r="E501">
        <v>2.04</v>
      </c>
      <c r="F501">
        <v>0.04</v>
      </c>
      <c r="G501" t="s">
        <v>79</v>
      </c>
      <c r="H501" t="s">
        <v>81</v>
      </c>
      <c r="I501">
        <v>0</v>
      </c>
      <c r="J501">
        <v>0</v>
      </c>
      <c r="K501" s="5">
        <v>46197.225675104157</v>
      </c>
      <c r="L501" s="5">
        <v>46197.225142615738</v>
      </c>
      <c r="M501" s="2" t="s">
        <v>2739</v>
      </c>
      <c r="N501" s="2" t="s">
        <v>2740</v>
      </c>
      <c r="O501" s="5">
        <v>46197.225664467587</v>
      </c>
      <c r="P501" t="str">
        <f>IF($Q501="DELETE",IF($S501="CONFIRMED: NO MODS &gt; 1YR","CONFIRMED: NO MODS &gt; 1YR","DO NOT DELETE — not defensibly confirmed"),IF($Q501="HOLD","DO NOT DELETE — HOLD (Charlie review)",IF($Q501="KEEP","DO NOT DELETE — KEEP",IF(ISNUMBER(SEARCH("REVIEW",$Q501)),"DO NOT DELETE — REVIEW pending",$S501))))</f>
        <v>REVIEW</v>
      </c>
      <c r="Q501" t="str" cm="1">
        <f t="array" ref="Q501">_xlfn.IFS(AND($A501="thg-beauty",ISNUMBER(SEARCH("liveramp",$C501))),"DELETE",$A501="agile-bonbon-662",_xlfn.IFS(LEFT($G501,9)="Tranche 1","DELETE",$C501="Sessions_Level_1_All_Sites","KEEP",ISNUMBER(--$C501),"REVIEW — UA raw logs",$C501="Emag_Reporting","KEEP",$C501="Nutrition_Data_Archived_Tables","KEEP",$C501="EU_Data","KEEP",TRUE,"REVIEW"),OR($A501="thg-influencer",$A501="thg-ingenuity",$A501="thg-central-marketing",$A501="thg-seoclarity"),"HOLD",TRUE,"")</f>
        <v/>
      </c>
      <c r="R501" t="str" cm="1">
        <f t="array" ref="R501">_xlfn.IFS(AND($A501="thg-beauty",ISNUMBER(SEARCH("liveramp",$C501))),"thg-beauty Liveramp dataset — confirmed safe to delete",$A501="agile-bonbon-662",_xlfn.IFS(LEFT($G501,9)="Tranche 1","Tranche 1: cleared",$C501="Sessions_Level_1_All_Sites","Downstream aggregation of UA raw logs — keep if raw tables go",ISNUMBER(--$C501),"UA raw site logs (account ID) — keep pending audit-retention check",$C501="Emag_Reporting","Legacy but likely needed",$C501="Nutrition_Data_Archived_Tables","Worth keeping",$C501="EU_Data","Static lookup tables — scripts still reference (smoke-test risk)",TRUE,"Review"),OR($A501="thg-influencer",$A501="thg-ingenuity",$A501="thg-central-marketing",$A501="thg-seoclarity"),"HOLD — Charlie Stringer to review before deletion",TRUE,"")</f>
        <v/>
      </c>
      <c r="S501" t="s">
        <v>1631</v>
      </c>
    </row>
    <row r="502" spans="1:19" ht="76.5" hidden="1">
      <c r="A502" t="s">
        <v>38</v>
      </c>
      <c r="B502" t="s">
        <v>1619</v>
      </c>
      <c r="C502" t="s">
        <v>2741</v>
      </c>
      <c r="D502" s="2" t="s">
        <v>1621</v>
      </c>
      <c r="E502">
        <v>23.33</v>
      </c>
      <c r="F502">
        <v>0.47</v>
      </c>
      <c r="G502" t="s">
        <v>79</v>
      </c>
      <c r="H502" t="s">
        <v>81</v>
      </c>
      <c r="I502">
        <v>0</v>
      </c>
      <c r="J502">
        <v>0</v>
      </c>
      <c r="K502" s="5">
        <v>46197.248890798612</v>
      </c>
      <c r="L502" s="5">
        <v>46196.974303310177</v>
      </c>
      <c r="M502" s="2" t="s">
        <v>2742</v>
      </c>
      <c r="N502" s="2" t="s">
        <v>2743</v>
      </c>
      <c r="O502" s="5">
        <v>46196.974384745372</v>
      </c>
      <c r="P502" t="str">
        <f>IF($Q502="DELETE",IF($S502="CONFIRMED: NO MODS &gt; 1YR","CONFIRMED: NO MODS &gt; 1YR","DO NOT DELETE — not defensibly confirmed"),IF($Q502="HOLD","DO NOT DELETE — HOLD (Charlie review)",IF($Q502="KEEP","DO NOT DELETE — KEEP",IF(ISNUMBER(SEARCH("REVIEW",$Q502)),"DO NOT DELETE — REVIEW pending",$S502))))</f>
        <v>DO NOT DELETE — HOLD (Charlie review)</v>
      </c>
      <c r="Q502" t="str" cm="1">
        <f t="array" ref="Q502">_xlfn.IFS(AND($A502="thg-beauty",ISNUMBER(SEARCH("liveramp",$C502))),"DELETE",$A502="agile-bonbon-662",_xlfn.IFS(LEFT($G502,9)="Tranche 1","DELETE",$C502="Sessions_Level_1_All_Sites","KEEP",ISNUMBER(--$C502),"REVIEW — UA raw logs",$C502="Emag_Reporting","KEEP",$C502="Nutrition_Data_Archived_Tables","KEEP",$C502="EU_Data","KEEP",TRUE,"REVIEW"),OR($A502="thg-influencer",$A502="thg-ingenuity",$A502="thg-central-marketing",$A502="thg-seoclarity"),"HOLD",TRUE,"")</f>
        <v>HOLD</v>
      </c>
      <c r="R502" t="str" cm="1">
        <f t="array" ref="R502">_xlfn.IFS(AND($A502="thg-beauty",ISNUMBER(SEARCH("liveramp",$C502))),"thg-beauty Liveramp dataset — confirmed safe to delete",$A502="agile-bonbon-662",_xlfn.IFS(LEFT($G502,9)="Tranche 1","Tranche 1: cleared",$C502="Sessions_Level_1_All_Sites","Downstream aggregation of UA raw logs — keep if raw tables go",ISNUMBER(--$C502),"UA raw site logs (account ID) — keep pending audit-retention check",$C502="Emag_Reporting","Legacy but likely needed",$C502="Nutrition_Data_Archived_Tables","Worth keeping",$C502="EU_Data","Static lookup tables — scripts still reference (smoke-test risk)",TRUE,"Review"),OR($A502="thg-influencer",$A502="thg-ingenuity",$A502="thg-central-marketing",$A502="thg-seoclarity"),"HOLD — Charlie Stringer to review before deletion",TRUE,"")</f>
        <v>HOLD — Charlie Stringer to review before deletion</v>
      </c>
      <c r="S502" t="s">
        <v>1624</v>
      </c>
    </row>
    <row r="503" spans="1:19" ht="76.5" hidden="1">
      <c r="A503" t="s">
        <v>89</v>
      </c>
      <c r="B503" t="s">
        <v>1619</v>
      </c>
      <c r="C503" t="s">
        <v>2744</v>
      </c>
      <c r="D503" s="2" t="s">
        <v>1621</v>
      </c>
      <c r="E503">
        <v>23.26</v>
      </c>
      <c r="F503">
        <v>0.47</v>
      </c>
      <c r="G503" t="s">
        <v>79</v>
      </c>
      <c r="H503" t="s">
        <v>81</v>
      </c>
      <c r="I503">
        <v>0</v>
      </c>
      <c r="J503">
        <v>0</v>
      </c>
      <c r="K503" s="5">
        <v>46197.428268923613</v>
      </c>
      <c r="L503" s="5">
        <v>46197.423866516197</v>
      </c>
      <c r="M503" s="2" t="s">
        <v>2745</v>
      </c>
      <c r="N503" s="2" t="s">
        <v>2746</v>
      </c>
      <c r="O503" s="5">
        <v>46197.423897685178</v>
      </c>
      <c r="P503" t="str">
        <f>IF($Q503="DELETE",IF($S503="CONFIRMED: NO MODS &gt; 1YR","CONFIRMED: NO MODS &gt; 1YR","DO NOT DELETE — not defensibly confirmed"),IF($Q503="HOLD","DO NOT DELETE — HOLD (Charlie review)",IF($Q503="KEEP","DO NOT DELETE — KEEP",IF(ISNUMBER(SEARCH("REVIEW",$Q503)),"DO NOT DELETE — REVIEW pending",$S503))))</f>
        <v>DO NOT DELETE — REVIEW pending</v>
      </c>
      <c r="Q503" t="str" cm="1">
        <f t="array" ref="Q503">_xlfn.IFS(AND($A503="thg-beauty",ISNUMBER(SEARCH("liveramp",$C503))),"DELETE",$A503="agile-bonbon-662",_xlfn.IFS(LEFT($G503,9)="Tranche 1","DELETE",$C503="Sessions_Level_1_All_Sites","KEEP",ISNUMBER(--$C503),"REVIEW — UA raw logs",$C503="Emag_Reporting","KEEP",$C503="Nutrition_Data_Archived_Tables","KEEP",$C503="EU_Data","KEEP",TRUE,"REVIEW"),OR($A503="thg-influencer",$A503="thg-ingenuity",$A503="thg-central-marketing",$A503="thg-seoclarity"),"HOLD",TRUE,"")</f>
        <v>REVIEW</v>
      </c>
      <c r="R503" t="str" cm="1">
        <f t="array" ref="R503">_xlfn.IFS(AND($A503="thg-beauty",ISNUMBER(SEARCH("liveramp",$C503))),"thg-beauty Liveramp dataset — confirmed safe to delete",$A503="agile-bonbon-662",_xlfn.IFS(LEFT($G503,9)="Tranche 1","Tranche 1: cleared",$C503="Sessions_Level_1_All_Sites","Downstream aggregation of UA raw logs — keep if raw tables go",ISNUMBER(--$C503),"UA raw site logs (account ID) — keep pending audit-retention check",$C503="Emag_Reporting","Legacy but likely needed",$C503="Nutrition_Data_Archived_Tables","Worth keeping",$C503="EU_Data","Static lookup tables — scripts still reference (smoke-test risk)",TRUE,"Review"),OR($A503="thg-influencer",$A503="thg-ingenuity",$A503="thg-central-marketing",$A503="thg-seoclarity"),"HOLD — Charlie Stringer to review before deletion",TRUE,"")</f>
        <v>Review</v>
      </c>
      <c r="S503" t="s">
        <v>1631</v>
      </c>
    </row>
    <row r="504" spans="1:19" ht="76.5" hidden="1">
      <c r="A504" t="s">
        <v>90</v>
      </c>
      <c r="B504" t="s">
        <v>1619</v>
      </c>
      <c r="C504" t="s">
        <v>2099</v>
      </c>
      <c r="D504" s="2" t="s">
        <v>1621</v>
      </c>
      <c r="E504">
        <v>20.02</v>
      </c>
      <c r="F504">
        <v>0.4</v>
      </c>
      <c r="G504" t="s">
        <v>79</v>
      </c>
      <c r="H504" t="s">
        <v>81</v>
      </c>
      <c r="I504">
        <v>0</v>
      </c>
      <c r="J504">
        <v>0</v>
      </c>
      <c r="K504" s="5">
        <v>46197.43059783565</v>
      </c>
      <c r="L504" s="5">
        <v>46197.427116064813</v>
      </c>
      <c r="M504" s="2" t="s">
        <v>2747</v>
      </c>
      <c r="N504" s="2" t="s">
        <v>2748</v>
      </c>
      <c r="O504" s="5">
        <v>46197.429922083327</v>
      </c>
      <c r="P504" t="str">
        <f>IF($Q504="DELETE",IF($S504="CONFIRMED: NO MODS &gt; 1YR","CONFIRMED: NO MODS &gt; 1YR","DO NOT DELETE — not defensibly confirmed"),IF($Q504="HOLD","DO NOT DELETE — HOLD (Charlie review)",IF($Q504="KEEP","DO NOT DELETE — KEEP",IF(ISNUMBER(SEARCH("REVIEW",$Q504)),"DO NOT DELETE — REVIEW pending",$S504))))</f>
        <v>REVIEW</v>
      </c>
      <c r="Q504" t="str" cm="1">
        <f t="array" ref="Q504">_xlfn.IFS(AND($A504="thg-beauty",ISNUMBER(SEARCH("liveramp",$C504))),"DELETE",$A504="agile-bonbon-662",_xlfn.IFS(LEFT($G504,9)="Tranche 1","DELETE",$C504="Sessions_Level_1_All_Sites","KEEP",ISNUMBER(--$C504),"REVIEW — UA raw logs",$C504="Emag_Reporting","KEEP",$C504="Nutrition_Data_Archived_Tables","KEEP",$C504="EU_Data","KEEP",TRUE,"REVIEW"),OR($A504="thg-influencer",$A504="thg-ingenuity",$A504="thg-central-marketing",$A504="thg-seoclarity"),"HOLD",TRUE,"")</f>
        <v/>
      </c>
      <c r="R504" t="str" cm="1">
        <f t="array" ref="R504">_xlfn.IFS(AND($A504="thg-beauty",ISNUMBER(SEARCH("liveramp",$C504))),"thg-beauty Liveramp dataset — confirmed safe to delete",$A504="agile-bonbon-662",_xlfn.IFS(LEFT($G504,9)="Tranche 1","Tranche 1: cleared",$C504="Sessions_Level_1_All_Sites","Downstream aggregation of UA raw logs — keep if raw tables go",ISNUMBER(--$C504),"UA raw site logs (account ID) — keep pending audit-retention check",$C504="Emag_Reporting","Legacy but likely needed",$C504="Nutrition_Data_Archived_Tables","Worth keeping",$C504="EU_Data","Static lookup tables — scripts still reference (smoke-test risk)",TRUE,"Review"),OR($A504="thg-influencer",$A504="thg-ingenuity",$A504="thg-central-marketing",$A504="thg-seoclarity"),"HOLD — Charlie Stringer to review before deletion",TRUE,"")</f>
        <v/>
      </c>
      <c r="S504" t="s">
        <v>1631</v>
      </c>
    </row>
    <row r="505" spans="1:19" ht="76.5" hidden="1">
      <c r="A505" t="s">
        <v>89</v>
      </c>
      <c r="B505" t="s">
        <v>1619</v>
      </c>
      <c r="C505" t="s">
        <v>2749</v>
      </c>
      <c r="D505" s="2" t="s">
        <v>1621</v>
      </c>
      <c r="E505">
        <v>20.010000000000002</v>
      </c>
      <c r="F505">
        <v>0.4</v>
      </c>
      <c r="G505" t="s">
        <v>79</v>
      </c>
      <c r="H505" t="s">
        <v>81</v>
      </c>
      <c r="I505">
        <v>0</v>
      </c>
      <c r="J505">
        <v>0</v>
      </c>
      <c r="K505" s="5">
        <v>46197.332588703714</v>
      </c>
      <c r="L505" s="5">
        <v>46197.137155659722</v>
      </c>
      <c r="M505" s="2" t="s">
        <v>2750</v>
      </c>
      <c r="N505" s="2" t="s">
        <v>2751</v>
      </c>
      <c r="O505" s="5">
        <v>46197.137170601847</v>
      </c>
      <c r="P505" t="str">
        <f>IF($Q505="DELETE",IF($S505="CONFIRMED: NO MODS &gt; 1YR","CONFIRMED: NO MODS &gt; 1YR","DO NOT DELETE — not defensibly confirmed"),IF($Q505="HOLD","DO NOT DELETE — HOLD (Charlie review)",IF($Q505="KEEP","DO NOT DELETE — KEEP",IF(ISNUMBER(SEARCH("REVIEW",$Q505)),"DO NOT DELETE — REVIEW pending",$S505))))</f>
        <v>DO NOT DELETE — REVIEW pending</v>
      </c>
      <c r="Q505" t="str" cm="1">
        <f t="array" ref="Q505">_xlfn.IFS(AND($A505="thg-beauty",ISNUMBER(SEARCH("liveramp",$C505))),"DELETE",$A505="agile-bonbon-662",_xlfn.IFS(LEFT($G505,9)="Tranche 1","DELETE",$C505="Sessions_Level_1_All_Sites","KEEP",ISNUMBER(--$C505),"REVIEW — UA raw logs",$C505="Emag_Reporting","KEEP",$C505="Nutrition_Data_Archived_Tables","KEEP",$C505="EU_Data","KEEP",TRUE,"REVIEW"),OR($A505="thg-influencer",$A505="thg-ingenuity",$A505="thg-central-marketing",$A505="thg-seoclarity"),"HOLD",TRUE,"")</f>
        <v>REVIEW</v>
      </c>
      <c r="R505" t="str" cm="1">
        <f t="array" ref="R505">_xlfn.IFS(AND($A505="thg-beauty",ISNUMBER(SEARCH("liveramp",$C505))),"thg-beauty Liveramp dataset — confirmed safe to delete",$A505="agile-bonbon-662",_xlfn.IFS(LEFT($G505,9)="Tranche 1","Tranche 1: cleared",$C505="Sessions_Level_1_All_Sites","Downstream aggregation of UA raw logs — keep if raw tables go",ISNUMBER(--$C505),"UA raw site logs (account ID) — keep pending audit-retention check",$C505="Emag_Reporting","Legacy but likely needed",$C505="Nutrition_Data_Archived_Tables","Worth keeping",$C505="EU_Data","Static lookup tables — scripts still reference (smoke-test risk)",TRUE,"Review"),OR($A505="thg-influencer",$A505="thg-ingenuity",$A505="thg-central-marketing",$A505="thg-seoclarity"),"HOLD — Charlie Stringer to review before deletion",TRUE,"")</f>
        <v>Review</v>
      </c>
      <c r="S505" t="s">
        <v>1631</v>
      </c>
    </row>
    <row r="506" spans="1:19" hidden="1">
      <c r="A506" t="s">
        <v>2649</v>
      </c>
      <c r="B506" t="s">
        <v>1724</v>
      </c>
      <c r="C506" t="s">
        <v>2752</v>
      </c>
      <c r="D506" s="2" t="s">
        <v>1621</v>
      </c>
      <c r="E506">
        <v>19.03</v>
      </c>
      <c r="F506">
        <v>0.38</v>
      </c>
      <c r="G506" t="s">
        <v>79</v>
      </c>
      <c r="H506" t="s">
        <v>81</v>
      </c>
      <c r="I506">
        <v>0</v>
      </c>
      <c r="J506">
        <v>0</v>
      </c>
      <c r="M506" s="2" t="s">
        <v>1715</v>
      </c>
      <c r="N506" s="2" t="s">
        <v>1701</v>
      </c>
      <c r="O506" s="5">
        <v>46197.195227476848</v>
      </c>
      <c r="P506" t="str">
        <f>IF($Q506="DELETE",IF($S506="CONFIRMED: NO MODS &gt; 1YR","CONFIRMED: NO MODS &gt; 1YR","DO NOT DELETE — not defensibly confirmed"),IF($Q506="HOLD","DO NOT DELETE — HOLD (Charlie review)",IF($Q506="KEEP","DO NOT DELETE — KEEP",IF(ISNUMBER(SEARCH("REVIEW",$Q506)),"DO NOT DELETE — REVIEW pending",$S506))))</f>
        <v>REVIEW</v>
      </c>
      <c r="Q506" t="str" cm="1">
        <f t="array" ref="Q506">_xlfn.IFS(AND($A506="thg-beauty",ISNUMBER(SEARCH("liveramp",$C506))),"DELETE",$A506="agile-bonbon-662",_xlfn.IFS(LEFT($G506,9)="Tranche 1","DELETE",$C506="Sessions_Level_1_All_Sites","KEEP",ISNUMBER(--$C506),"REVIEW — UA raw logs",$C506="Emag_Reporting","KEEP",$C506="Nutrition_Data_Archived_Tables","KEEP",$C506="EU_Data","KEEP",TRUE,"REVIEW"),OR($A506="thg-influencer",$A506="thg-ingenuity",$A506="thg-central-marketing",$A506="thg-seoclarity"),"HOLD",TRUE,"")</f>
        <v/>
      </c>
      <c r="R506" t="str" cm="1">
        <f t="array" ref="R506">_xlfn.IFS(AND($A506="thg-beauty",ISNUMBER(SEARCH("liveramp",$C506))),"thg-beauty Liveramp dataset — confirmed safe to delete",$A506="agile-bonbon-662",_xlfn.IFS(LEFT($G506,9)="Tranche 1","Tranche 1: cleared",$C506="Sessions_Level_1_All_Sites","Downstream aggregation of UA raw logs — keep if raw tables go",ISNUMBER(--$C506),"UA raw site logs (account ID) — keep pending audit-retention check",$C506="Emag_Reporting","Legacy but likely needed",$C506="Nutrition_Data_Archived_Tables","Worth keeping",$C506="EU_Data","Static lookup tables — scripts still reference (smoke-test risk)",TRUE,"Review"),OR($A506="thg-influencer",$A506="thg-ingenuity",$A506="thg-central-marketing",$A506="thg-seoclarity"),"HOLD — Charlie Stringer to review before deletion",TRUE,"")</f>
        <v/>
      </c>
      <c r="S506" t="s">
        <v>1631</v>
      </c>
    </row>
    <row r="507" spans="1:19" ht="76.5" hidden="1">
      <c r="A507" t="s">
        <v>89</v>
      </c>
      <c r="B507" t="s">
        <v>1619</v>
      </c>
      <c r="C507" t="s">
        <v>2753</v>
      </c>
      <c r="D507" s="2" t="s">
        <v>1621</v>
      </c>
      <c r="E507">
        <v>18.98</v>
      </c>
      <c r="F507">
        <v>0.38</v>
      </c>
      <c r="G507" t="s">
        <v>79</v>
      </c>
      <c r="H507" t="s">
        <v>81</v>
      </c>
      <c r="I507">
        <v>0</v>
      </c>
      <c r="J507">
        <v>0</v>
      </c>
      <c r="K507" s="5">
        <v>46197.189364918981</v>
      </c>
      <c r="L507" s="5">
        <v>46197.18945755787</v>
      </c>
      <c r="M507" s="2" t="s">
        <v>2754</v>
      </c>
      <c r="N507" s="2" t="s">
        <v>2755</v>
      </c>
      <c r="O507" s="5">
        <v>46197.189472372687</v>
      </c>
      <c r="P507" t="str">
        <f>IF($Q507="DELETE",IF($S507="CONFIRMED: NO MODS &gt; 1YR","CONFIRMED: NO MODS &gt; 1YR","DO NOT DELETE — not defensibly confirmed"),IF($Q507="HOLD","DO NOT DELETE — HOLD (Charlie review)",IF($Q507="KEEP","DO NOT DELETE — KEEP",IF(ISNUMBER(SEARCH("REVIEW",$Q507)),"DO NOT DELETE — REVIEW pending",$S507))))</f>
        <v>DO NOT DELETE — REVIEW pending</v>
      </c>
      <c r="Q507" t="str" cm="1">
        <f t="array" ref="Q507">_xlfn.IFS(AND($A507="thg-beauty",ISNUMBER(SEARCH("liveramp",$C507))),"DELETE",$A507="agile-bonbon-662",_xlfn.IFS(LEFT($G507,9)="Tranche 1","DELETE",$C507="Sessions_Level_1_All_Sites","KEEP",ISNUMBER(--$C507),"REVIEW — UA raw logs",$C507="Emag_Reporting","KEEP",$C507="Nutrition_Data_Archived_Tables","KEEP",$C507="EU_Data","KEEP",TRUE,"REVIEW"),OR($A507="thg-influencer",$A507="thg-ingenuity",$A507="thg-central-marketing",$A507="thg-seoclarity"),"HOLD",TRUE,"")</f>
        <v>REVIEW</v>
      </c>
      <c r="R507" t="str" cm="1">
        <f t="array" ref="R507">_xlfn.IFS(AND($A507="thg-beauty",ISNUMBER(SEARCH("liveramp",$C507))),"thg-beauty Liveramp dataset — confirmed safe to delete",$A507="agile-bonbon-662",_xlfn.IFS(LEFT($G507,9)="Tranche 1","Tranche 1: cleared",$C507="Sessions_Level_1_All_Sites","Downstream aggregation of UA raw logs — keep if raw tables go",ISNUMBER(--$C507),"UA raw site logs (account ID) — keep pending audit-retention check",$C507="Emag_Reporting","Legacy but likely needed",$C507="Nutrition_Data_Archived_Tables","Worth keeping",$C507="EU_Data","Static lookup tables — scripts still reference (smoke-test risk)",TRUE,"Review"),OR($A507="thg-influencer",$A507="thg-ingenuity",$A507="thg-central-marketing",$A507="thg-seoclarity"),"HOLD — Charlie Stringer to review before deletion",TRUE,"")</f>
        <v>Review</v>
      </c>
      <c r="S507" t="s">
        <v>1631</v>
      </c>
    </row>
    <row r="508" spans="1:19" ht="76.5" hidden="1">
      <c r="A508" t="s">
        <v>39</v>
      </c>
      <c r="B508" t="s">
        <v>1619</v>
      </c>
      <c r="C508" t="s">
        <v>2756</v>
      </c>
      <c r="D508" s="2" t="s">
        <v>1621</v>
      </c>
      <c r="E508">
        <v>18.95</v>
      </c>
      <c r="F508">
        <v>0.38</v>
      </c>
      <c r="G508" t="s">
        <v>79</v>
      </c>
      <c r="H508" t="s">
        <v>81</v>
      </c>
      <c r="I508">
        <v>0</v>
      </c>
      <c r="J508">
        <v>0</v>
      </c>
      <c r="K508" s="5">
        <v>46197.1397459375</v>
      </c>
      <c r="L508" s="5">
        <v>46197.1397459375</v>
      </c>
      <c r="M508" s="2" t="s">
        <v>2757</v>
      </c>
      <c r="N508" s="2" t="s">
        <v>2758</v>
      </c>
      <c r="O508" s="5">
        <v>46197.139949629629</v>
      </c>
      <c r="P508" t="str">
        <f>IF($Q508="DELETE",IF($S508="CONFIRMED: NO MODS &gt; 1YR","CONFIRMED: NO MODS &gt; 1YR","DO NOT DELETE — not defensibly confirmed"),IF($Q508="HOLD","DO NOT DELETE — HOLD (Charlie review)",IF($Q508="KEEP","DO NOT DELETE — KEEP",IF(ISNUMBER(SEARCH("REVIEW",$Q508)),"DO NOT DELETE — REVIEW pending",$S508))))</f>
        <v>DO NOT DELETE — HOLD (Charlie review)</v>
      </c>
      <c r="Q508" t="str" cm="1">
        <f t="array" ref="Q508">_xlfn.IFS(AND($A508="thg-beauty",ISNUMBER(SEARCH("liveramp",$C508))),"DELETE",$A508="agile-bonbon-662",_xlfn.IFS(LEFT($G508,9)="Tranche 1","DELETE",$C508="Sessions_Level_1_All_Sites","KEEP",ISNUMBER(--$C508),"REVIEW — UA raw logs",$C508="Emag_Reporting","KEEP",$C508="Nutrition_Data_Archived_Tables","KEEP",$C508="EU_Data","KEEP",TRUE,"REVIEW"),OR($A508="thg-influencer",$A508="thg-ingenuity",$A508="thg-central-marketing",$A508="thg-seoclarity"),"HOLD",TRUE,"")</f>
        <v>HOLD</v>
      </c>
      <c r="R508" t="str" cm="1">
        <f t="array" ref="R508">_xlfn.IFS(AND($A508="thg-beauty",ISNUMBER(SEARCH("liveramp",$C508))),"thg-beauty Liveramp dataset — confirmed safe to delete",$A508="agile-bonbon-662",_xlfn.IFS(LEFT($G508,9)="Tranche 1","Tranche 1: cleared",$C508="Sessions_Level_1_All_Sites","Downstream aggregation of UA raw logs — keep if raw tables go",ISNUMBER(--$C508),"UA raw site logs (account ID) — keep pending audit-retention check",$C508="Emag_Reporting","Legacy but likely needed",$C508="Nutrition_Data_Archived_Tables","Worth keeping",$C508="EU_Data","Static lookup tables — scripts still reference (smoke-test risk)",TRUE,"Review"),OR($A508="thg-influencer",$A508="thg-ingenuity",$A508="thg-central-marketing",$A508="thg-seoclarity"),"HOLD — Charlie Stringer to review before deletion",TRUE,"")</f>
        <v>HOLD — Charlie Stringer to review before deletion</v>
      </c>
      <c r="S508" t="s">
        <v>1631</v>
      </c>
    </row>
    <row r="509" spans="1:19" ht="76.5" hidden="1">
      <c r="A509" t="s">
        <v>38</v>
      </c>
      <c r="B509" t="s">
        <v>1619</v>
      </c>
      <c r="C509" t="s">
        <v>2759</v>
      </c>
      <c r="D509" s="2" t="s">
        <v>1621</v>
      </c>
      <c r="E509">
        <v>18.600000000000001</v>
      </c>
      <c r="F509">
        <v>0.37</v>
      </c>
      <c r="G509" t="s">
        <v>79</v>
      </c>
      <c r="H509" t="s">
        <v>81</v>
      </c>
      <c r="I509">
        <v>0</v>
      </c>
      <c r="J509">
        <v>0</v>
      </c>
      <c r="K509" s="5">
        <v>46196.502297268518</v>
      </c>
      <c r="L509" s="5">
        <v>46197.446257951393</v>
      </c>
      <c r="M509" s="2" t="s">
        <v>2760</v>
      </c>
      <c r="N509" s="2" t="s">
        <v>2761</v>
      </c>
      <c r="O509" s="5">
        <v>46197.44631835648</v>
      </c>
      <c r="P509" t="str">
        <f>IF($Q509="DELETE",IF($S509="CONFIRMED: NO MODS &gt; 1YR","CONFIRMED: NO MODS &gt; 1YR","DO NOT DELETE — not defensibly confirmed"),IF($Q509="HOLD","DO NOT DELETE — HOLD (Charlie review)",IF($Q509="KEEP","DO NOT DELETE — KEEP",IF(ISNUMBER(SEARCH("REVIEW",$Q509)),"DO NOT DELETE — REVIEW pending",$S509))))</f>
        <v>DO NOT DELETE — HOLD (Charlie review)</v>
      </c>
      <c r="Q509" t="str" cm="1">
        <f t="array" ref="Q509">_xlfn.IFS(AND($A509="thg-beauty",ISNUMBER(SEARCH("liveramp",$C509))),"DELETE",$A509="agile-bonbon-662",_xlfn.IFS(LEFT($G509,9)="Tranche 1","DELETE",$C509="Sessions_Level_1_All_Sites","KEEP",ISNUMBER(--$C509),"REVIEW — UA raw logs",$C509="Emag_Reporting","KEEP",$C509="Nutrition_Data_Archived_Tables","KEEP",$C509="EU_Data","KEEP",TRUE,"REVIEW"),OR($A509="thg-influencer",$A509="thg-ingenuity",$A509="thg-central-marketing",$A509="thg-seoclarity"),"HOLD",TRUE,"")</f>
        <v>HOLD</v>
      </c>
      <c r="R509" t="str" cm="1">
        <f t="array" ref="R509">_xlfn.IFS(AND($A509="thg-beauty",ISNUMBER(SEARCH("liveramp",$C509))),"thg-beauty Liveramp dataset — confirmed safe to delete",$A509="agile-bonbon-662",_xlfn.IFS(LEFT($G509,9)="Tranche 1","Tranche 1: cleared",$C509="Sessions_Level_1_All_Sites","Downstream aggregation of UA raw logs — keep if raw tables go",ISNUMBER(--$C509),"UA raw site logs (account ID) — keep pending audit-retention check",$C509="Emag_Reporting","Legacy but likely needed",$C509="Nutrition_Data_Archived_Tables","Worth keeping",$C509="EU_Data","Static lookup tables — scripts still reference (smoke-test risk)",TRUE,"Review"),OR($A509="thg-influencer",$A509="thg-ingenuity",$A509="thg-central-marketing",$A509="thg-seoclarity"),"HOLD — Charlie Stringer to review before deletion",TRUE,"")</f>
        <v>HOLD — Charlie Stringer to review before deletion</v>
      </c>
      <c r="S509" t="s">
        <v>1631</v>
      </c>
    </row>
    <row r="510" spans="1:19" ht="76.5" hidden="1">
      <c r="A510" t="s">
        <v>92</v>
      </c>
      <c r="B510" t="s">
        <v>1619</v>
      </c>
      <c r="C510" t="s">
        <v>2762</v>
      </c>
      <c r="D510" s="2" t="s">
        <v>1621</v>
      </c>
      <c r="E510">
        <v>1.72</v>
      </c>
      <c r="F510">
        <v>0.03</v>
      </c>
      <c r="G510" t="s">
        <v>79</v>
      </c>
      <c r="H510" t="s">
        <v>81</v>
      </c>
      <c r="I510">
        <v>0</v>
      </c>
      <c r="J510">
        <v>0</v>
      </c>
      <c r="K510" s="5">
        <v>46197.187901956022</v>
      </c>
      <c r="L510" s="5">
        <v>46197.187807939823</v>
      </c>
      <c r="M510" s="2" t="s">
        <v>2330</v>
      </c>
      <c r="N510" s="2" t="s">
        <v>2763</v>
      </c>
      <c r="O510" s="5">
        <v>46197.187897048607</v>
      </c>
      <c r="P510" t="str">
        <f>IF($Q510="DELETE",IF($S510="CONFIRMED: NO MODS &gt; 1YR","CONFIRMED: NO MODS &gt; 1YR","DO NOT DELETE — not defensibly confirmed"),IF($Q510="HOLD","DO NOT DELETE — HOLD (Charlie review)",IF($Q510="KEEP","DO NOT DELETE — KEEP",IF(ISNUMBER(SEARCH("REVIEW",$Q510)),"DO NOT DELETE — REVIEW pending",$S510))))</f>
        <v>DO NOT DELETE — not defensibly confirmed</v>
      </c>
      <c r="Q510" t="str" cm="1">
        <f t="array" ref="Q510">_xlfn.IFS(AND($A510="thg-beauty",ISNUMBER(SEARCH("liveramp",$C510))),"DELETE",$A510="agile-bonbon-662",_xlfn.IFS(LEFT($G510,9)="Tranche 1","DELETE",$C510="Sessions_Level_1_All_Sites","KEEP",ISNUMBER(--$C510),"REVIEW — UA raw logs",$C510="Emag_Reporting","KEEP",$C510="Nutrition_Data_Archived_Tables","KEEP",$C510="EU_Data","KEEP",TRUE,"REVIEW"),OR($A510="thg-influencer",$A510="thg-ingenuity",$A510="thg-central-marketing",$A510="thg-seoclarity"),"HOLD",TRUE,"")</f>
        <v>DELETE</v>
      </c>
      <c r="R510" t="str" cm="1">
        <f t="array" ref="R510">_xlfn.IFS(AND($A510="thg-beauty",ISNUMBER(SEARCH("liveramp",$C510))),"thg-beauty Liveramp dataset — confirmed safe to delete",$A510="agile-bonbon-662",_xlfn.IFS(LEFT($G510,9)="Tranche 1","Tranche 1: cleared",$C510="Sessions_Level_1_All_Sites","Downstream aggregation of UA raw logs — keep if raw tables go",ISNUMBER(--$C510),"UA raw site logs (account ID) — keep pending audit-retention check",$C510="Emag_Reporting","Legacy but likely needed",$C510="Nutrition_Data_Archived_Tables","Worth keeping",$C510="EU_Data","Static lookup tables — scripts still reference (smoke-test risk)",TRUE,"Review"),OR($A510="thg-influencer",$A510="thg-ingenuity",$A510="thg-central-marketing",$A510="thg-seoclarity"),"HOLD — Charlie Stringer to review before deletion",TRUE,"")</f>
        <v>thg-beauty Liveramp dataset — confirmed safe to delete</v>
      </c>
      <c r="S510" t="s">
        <v>1631</v>
      </c>
    </row>
    <row r="511" spans="1:19" ht="76.5" hidden="1">
      <c r="A511" t="s">
        <v>39</v>
      </c>
      <c r="B511" t="s">
        <v>1619</v>
      </c>
      <c r="C511" t="s">
        <v>2764</v>
      </c>
      <c r="D511" s="2" t="s">
        <v>1621</v>
      </c>
      <c r="E511">
        <v>18.36</v>
      </c>
      <c r="F511">
        <v>0.37</v>
      </c>
      <c r="G511" t="s">
        <v>79</v>
      </c>
      <c r="H511" t="s">
        <v>81</v>
      </c>
      <c r="I511">
        <v>0</v>
      </c>
      <c r="J511">
        <v>0</v>
      </c>
      <c r="K511" s="5">
        <v>46197.441602893523</v>
      </c>
      <c r="L511" s="5">
        <v>46197.436187789353</v>
      </c>
      <c r="M511" s="2" t="s">
        <v>2765</v>
      </c>
      <c r="N511" s="2" t="s">
        <v>2766</v>
      </c>
      <c r="O511" s="5">
        <v>46197.436292696759</v>
      </c>
      <c r="P511" t="str">
        <f>IF($Q511="DELETE",IF($S511="CONFIRMED: NO MODS &gt; 1YR","CONFIRMED: NO MODS &gt; 1YR","DO NOT DELETE — not defensibly confirmed"),IF($Q511="HOLD","DO NOT DELETE — HOLD (Charlie review)",IF($Q511="KEEP","DO NOT DELETE — KEEP",IF(ISNUMBER(SEARCH("REVIEW",$Q511)),"DO NOT DELETE — REVIEW pending",$S511))))</f>
        <v>DO NOT DELETE — HOLD (Charlie review)</v>
      </c>
      <c r="Q511" t="str" cm="1">
        <f t="array" ref="Q511">_xlfn.IFS(AND($A511="thg-beauty",ISNUMBER(SEARCH("liveramp",$C511))),"DELETE",$A511="agile-bonbon-662",_xlfn.IFS(LEFT($G511,9)="Tranche 1","DELETE",$C511="Sessions_Level_1_All_Sites","KEEP",ISNUMBER(--$C511),"REVIEW — UA raw logs",$C511="Emag_Reporting","KEEP",$C511="Nutrition_Data_Archived_Tables","KEEP",$C511="EU_Data","KEEP",TRUE,"REVIEW"),OR($A511="thg-influencer",$A511="thg-ingenuity",$A511="thg-central-marketing",$A511="thg-seoclarity"),"HOLD",TRUE,"")</f>
        <v>HOLD</v>
      </c>
      <c r="R511" t="str" cm="1">
        <f t="array" ref="R511">_xlfn.IFS(AND($A511="thg-beauty",ISNUMBER(SEARCH("liveramp",$C511))),"thg-beauty Liveramp dataset — confirmed safe to delete",$A511="agile-bonbon-662",_xlfn.IFS(LEFT($G511,9)="Tranche 1","Tranche 1: cleared",$C511="Sessions_Level_1_All_Sites","Downstream aggregation of UA raw logs — keep if raw tables go",ISNUMBER(--$C511),"UA raw site logs (account ID) — keep pending audit-retention check",$C511="Emag_Reporting","Legacy but likely needed",$C511="Nutrition_Data_Archived_Tables","Worth keeping",$C511="EU_Data","Static lookup tables — scripts still reference (smoke-test risk)",TRUE,"Review"),OR($A511="thg-influencer",$A511="thg-ingenuity",$A511="thg-central-marketing",$A511="thg-seoclarity"),"HOLD — Charlie Stringer to review before deletion",TRUE,"")</f>
        <v>HOLD — Charlie Stringer to review before deletion</v>
      </c>
      <c r="S511" t="s">
        <v>1631</v>
      </c>
    </row>
    <row r="512" spans="1:19" ht="76.5" hidden="1">
      <c r="A512" t="s">
        <v>38</v>
      </c>
      <c r="B512" t="s">
        <v>1619</v>
      </c>
      <c r="C512" t="s">
        <v>2767</v>
      </c>
      <c r="D512" s="2" t="s">
        <v>1621</v>
      </c>
      <c r="E512">
        <v>18.3</v>
      </c>
      <c r="F512">
        <v>0.37</v>
      </c>
      <c r="G512" t="s">
        <v>79</v>
      </c>
      <c r="H512" t="s">
        <v>81</v>
      </c>
      <c r="I512">
        <v>0</v>
      </c>
      <c r="J512">
        <v>0</v>
      </c>
      <c r="K512" s="5">
        <v>46196.502167372688</v>
      </c>
      <c r="L512" s="5">
        <v>46197.420311145826</v>
      </c>
      <c r="M512" s="2" t="s">
        <v>2768</v>
      </c>
      <c r="N512" s="2" t="s">
        <v>2769</v>
      </c>
      <c r="O512" s="5">
        <v>46197.420371979169</v>
      </c>
      <c r="P512" t="str">
        <f>IF($Q512="DELETE",IF($S512="CONFIRMED: NO MODS &gt; 1YR","CONFIRMED: NO MODS &gt; 1YR","DO NOT DELETE — not defensibly confirmed"),IF($Q512="HOLD","DO NOT DELETE — HOLD (Charlie review)",IF($Q512="KEEP","DO NOT DELETE — KEEP",IF(ISNUMBER(SEARCH("REVIEW",$Q512)),"DO NOT DELETE — REVIEW pending",$S512))))</f>
        <v>DO NOT DELETE — HOLD (Charlie review)</v>
      </c>
      <c r="Q512" t="str" cm="1">
        <f t="array" ref="Q512">_xlfn.IFS(AND($A512="thg-beauty",ISNUMBER(SEARCH("liveramp",$C512))),"DELETE",$A512="agile-bonbon-662",_xlfn.IFS(LEFT($G512,9)="Tranche 1","DELETE",$C512="Sessions_Level_1_All_Sites","KEEP",ISNUMBER(--$C512),"REVIEW — UA raw logs",$C512="Emag_Reporting","KEEP",$C512="Nutrition_Data_Archived_Tables","KEEP",$C512="EU_Data","KEEP",TRUE,"REVIEW"),OR($A512="thg-influencer",$A512="thg-ingenuity",$A512="thg-central-marketing",$A512="thg-seoclarity"),"HOLD",TRUE,"")</f>
        <v>HOLD</v>
      </c>
      <c r="R512" t="str" cm="1">
        <f t="array" ref="R512">_xlfn.IFS(AND($A512="thg-beauty",ISNUMBER(SEARCH("liveramp",$C512))),"thg-beauty Liveramp dataset — confirmed safe to delete",$A512="agile-bonbon-662",_xlfn.IFS(LEFT($G512,9)="Tranche 1","Tranche 1: cleared",$C512="Sessions_Level_1_All_Sites","Downstream aggregation of UA raw logs — keep if raw tables go",ISNUMBER(--$C512),"UA raw site logs (account ID) — keep pending audit-retention check",$C512="Emag_Reporting","Legacy but likely needed",$C512="Nutrition_Data_Archived_Tables","Worth keeping",$C512="EU_Data","Static lookup tables — scripts still reference (smoke-test risk)",TRUE,"Review"),OR($A512="thg-influencer",$A512="thg-ingenuity",$A512="thg-central-marketing",$A512="thg-seoclarity"),"HOLD — Charlie Stringer to review before deletion",TRUE,"")</f>
        <v>HOLD — Charlie Stringer to review before deletion</v>
      </c>
      <c r="S512" t="s">
        <v>1631</v>
      </c>
    </row>
    <row r="513" spans="1:19" ht="76.5" hidden="1">
      <c r="A513" t="s">
        <v>38</v>
      </c>
      <c r="B513" t="s">
        <v>1619</v>
      </c>
      <c r="C513" t="s">
        <v>2770</v>
      </c>
      <c r="D513" s="2" t="s">
        <v>1621</v>
      </c>
      <c r="E513">
        <v>18.260000000000002</v>
      </c>
      <c r="F513">
        <v>0.37</v>
      </c>
      <c r="G513" t="s">
        <v>79</v>
      </c>
      <c r="H513" t="s">
        <v>81</v>
      </c>
      <c r="I513">
        <v>0</v>
      </c>
      <c r="J513">
        <v>0</v>
      </c>
      <c r="K513" s="5">
        <v>46197.430979699071</v>
      </c>
      <c r="L513" s="5">
        <v>46197.430979699071</v>
      </c>
      <c r="M513" s="2" t="s">
        <v>2771</v>
      </c>
      <c r="N513" s="2" t="s">
        <v>2771</v>
      </c>
      <c r="O513" s="5">
        <v>46197.432054502307</v>
      </c>
      <c r="P513" t="str">
        <f>IF($Q513="DELETE",IF($S513="CONFIRMED: NO MODS &gt; 1YR","CONFIRMED: NO MODS &gt; 1YR","DO NOT DELETE — not defensibly confirmed"),IF($Q513="HOLD","DO NOT DELETE — HOLD (Charlie review)",IF($Q513="KEEP","DO NOT DELETE — KEEP",IF(ISNUMBER(SEARCH("REVIEW",$Q513)),"DO NOT DELETE — REVIEW pending",$S513))))</f>
        <v>DO NOT DELETE — HOLD (Charlie review)</v>
      </c>
      <c r="Q513" t="str" cm="1">
        <f t="array" ref="Q513">_xlfn.IFS(AND($A513="thg-beauty",ISNUMBER(SEARCH("liveramp",$C513))),"DELETE",$A513="agile-bonbon-662",_xlfn.IFS(LEFT($G513,9)="Tranche 1","DELETE",$C513="Sessions_Level_1_All_Sites","KEEP",ISNUMBER(--$C513),"REVIEW — UA raw logs",$C513="Emag_Reporting","KEEP",$C513="Nutrition_Data_Archived_Tables","KEEP",$C513="EU_Data","KEEP",TRUE,"REVIEW"),OR($A513="thg-influencer",$A513="thg-ingenuity",$A513="thg-central-marketing",$A513="thg-seoclarity"),"HOLD",TRUE,"")</f>
        <v>HOLD</v>
      </c>
      <c r="R513" t="str" cm="1">
        <f t="array" ref="R513">_xlfn.IFS(AND($A513="thg-beauty",ISNUMBER(SEARCH("liveramp",$C513))),"thg-beauty Liveramp dataset — confirmed safe to delete",$A513="agile-bonbon-662",_xlfn.IFS(LEFT($G513,9)="Tranche 1","Tranche 1: cleared",$C513="Sessions_Level_1_All_Sites","Downstream aggregation of UA raw logs — keep if raw tables go",ISNUMBER(--$C513),"UA raw site logs (account ID) — keep pending audit-retention check",$C513="Emag_Reporting","Legacy but likely needed",$C513="Nutrition_Data_Archived_Tables","Worth keeping",$C513="EU_Data","Static lookup tables — scripts still reference (smoke-test risk)",TRUE,"Review"),OR($A513="thg-influencer",$A513="thg-ingenuity",$A513="thg-central-marketing",$A513="thg-seoclarity"),"HOLD — Charlie Stringer to review before deletion",TRUE,"")</f>
        <v>HOLD — Charlie Stringer to review before deletion</v>
      </c>
      <c r="S513" t="s">
        <v>1631</v>
      </c>
    </row>
    <row r="514" spans="1:19" ht="76.5" hidden="1">
      <c r="A514" t="s">
        <v>38</v>
      </c>
      <c r="B514" t="s">
        <v>1619</v>
      </c>
      <c r="C514" t="s">
        <v>2772</v>
      </c>
      <c r="D514" s="2" t="s">
        <v>1621</v>
      </c>
      <c r="E514">
        <v>18.23</v>
      </c>
      <c r="F514">
        <v>0.36</v>
      </c>
      <c r="G514" t="s">
        <v>79</v>
      </c>
      <c r="H514" t="s">
        <v>81</v>
      </c>
      <c r="I514">
        <v>0</v>
      </c>
      <c r="J514">
        <v>0</v>
      </c>
      <c r="L514" s="5">
        <v>46196.771548923607</v>
      </c>
      <c r="M514" s="2" t="s">
        <v>1715</v>
      </c>
      <c r="N514" s="2" t="s">
        <v>2773</v>
      </c>
      <c r="O514" s="5">
        <v>46196.771629560193</v>
      </c>
      <c r="P514" t="str">
        <f>IF($Q514="DELETE",IF($S514="CONFIRMED: NO MODS &gt; 1YR","CONFIRMED: NO MODS &gt; 1YR","DO NOT DELETE — not defensibly confirmed"),IF($Q514="HOLD","DO NOT DELETE — HOLD (Charlie review)",IF($Q514="KEEP","DO NOT DELETE — KEEP",IF(ISNUMBER(SEARCH("REVIEW",$Q514)),"DO NOT DELETE — REVIEW pending",$S514))))</f>
        <v>DO NOT DELETE — HOLD (Charlie review)</v>
      </c>
      <c r="Q514" t="str" cm="1">
        <f t="array" ref="Q514">_xlfn.IFS(AND($A514="thg-beauty",ISNUMBER(SEARCH("liveramp",$C514))),"DELETE",$A514="agile-bonbon-662",_xlfn.IFS(LEFT($G514,9)="Tranche 1","DELETE",$C514="Sessions_Level_1_All_Sites","KEEP",ISNUMBER(--$C514),"REVIEW — UA raw logs",$C514="Emag_Reporting","KEEP",$C514="Nutrition_Data_Archived_Tables","KEEP",$C514="EU_Data","KEEP",TRUE,"REVIEW"),OR($A514="thg-influencer",$A514="thg-ingenuity",$A514="thg-central-marketing",$A514="thg-seoclarity"),"HOLD",TRUE,"")</f>
        <v>HOLD</v>
      </c>
      <c r="R514" t="str" cm="1">
        <f t="array" ref="R514">_xlfn.IFS(AND($A514="thg-beauty",ISNUMBER(SEARCH("liveramp",$C514))),"thg-beauty Liveramp dataset — confirmed safe to delete",$A514="agile-bonbon-662",_xlfn.IFS(LEFT($G514,9)="Tranche 1","Tranche 1: cleared",$C514="Sessions_Level_1_All_Sites","Downstream aggregation of UA raw logs — keep if raw tables go",ISNUMBER(--$C514),"UA raw site logs (account ID) — keep pending audit-retention check",$C514="Emag_Reporting","Legacy but likely needed",$C514="Nutrition_Data_Archived_Tables","Worth keeping",$C514="EU_Data","Static lookup tables — scripts still reference (smoke-test risk)",TRUE,"Review"),OR($A514="thg-influencer",$A514="thg-ingenuity",$A514="thg-central-marketing",$A514="thg-seoclarity"),"HOLD — Charlie Stringer to review before deletion",TRUE,"")</f>
        <v>HOLD — Charlie Stringer to review before deletion</v>
      </c>
      <c r="S514" t="s">
        <v>1631</v>
      </c>
    </row>
    <row r="515" spans="1:19" ht="76.5" hidden="1">
      <c r="A515" t="s">
        <v>39</v>
      </c>
      <c r="B515" t="s">
        <v>1619</v>
      </c>
      <c r="C515" t="s">
        <v>2774</v>
      </c>
      <c r="D515" s="2" t="s">
        <v>1621</v>
      </c>
      <c r="E515">
        <v>18.149999999999999</v>
      </c>
      <c r="F515">
        <v>0.36</v>
      </c>
      <c r="G515" t="s">
        <v>79</v>
      </c>
      <c r="H515" t="s">
        <v>81</v>
      </c>
      <c r="I515">
        <v>0</v>
      </c>
      <c r="J515">
        <v>0</v>
      </c>
      <c r="K515" s="5">
        <v>46197.22060572917</v>
      </c>
      <c r="L515" s="5">
        <v>46197.055772418978</v>
      </c>
      <c r="M515" s="2" t="s">
        <v>2775</v>
      </c>
      <c r="N515" s="2" t="s">
        <v>2776</v>
      </c>
      <c r="O515" s="5">
        <v>46197.057251759259</v>
      </c>
      <c r="P515" t="str">
        <f>IF($Q515="DELETE",IF($S515="CONFIRMED: NO MODS &gt; 1YR","CONFIRMED: NO MODS &gt; 1YR","DO NOT DELETE — not defensibly confirmed"),IF($Q515="HOLD","DO NOT DELETE — HOLD (Charlie review)",IF($Q515="KEEP","DO NOT DELETE — KEEP",IF(ISNUMBER(SEARCH("REVIEW",$Q515)),"DO NOT DELETE — REVIEW pending",$S515))))</f>
        <v>DO NOT DELETE — HOLD (Charlie review)</v>
      </c>
      <c r="Q515" t="str" cm="1">
        <f t="array" ref="Q515">_xlfn.IFS(AND($A515="thg-beauty",ISNUMBER(SEARCH("liveramp",$C515))),"DELETE",$A515="agile-bonbon-662",_xlfn.IFS(LEFT($G515,9)="Tranche 1","DELETE",$C515="Sessions_Level_1_All_Sites","KEEP",ISNUMBER(--$C515),"REVIEW — UA raw logs",$C515="Emag_Reporting","KEEP",$C515="Nutrition_Data_Archived_Tables","KEEP",$C515="EU_Data","KEEP",TRUE,"REVIEW"),OR($A515="thg-influencer",$A515="thg-ingenuity",$A515="thg-central-marketing",$A515="thg-seoclarity"),"HOLD",TRUE,"")</f>
        <v>HOLD</v>
      </c>
      <c r="R515" t="str" cm="1">
        <f t="array" ref="R515">_xlfn.IFS(AND($A515="thg-beauty",ISNUMBER(SEARCH("liveramp",$C515))),"thg-beauty Liveramp dataset — confirmed safe to delete",$A515="agile-bonbon-662",_xlfn.IFS(LEFT($G515,9)="Tranche 1","Tranche 1: cleared",$C515="Sessions_Level_1_All_Sites","Downstream aggregation of UA raw logs — keep if raw tables go",ISNUMBER(--$C515),"UA raw site logs (account ID) — keep pending audit-retention check",$C515="Emag_Reporting","Legacy but likely needed",$C515="Nutrition_Data_Archived_Tables","Worth keeping",$C515="EU_Data","Static lookup tables — scripts still reference (smoke-test risk)",TRUE,"Review"),OR($A515="thg-influencer",$A515="thg-ingenuity",$A515="thg-central-marketing",$A515="thg-seoclarity"),"HOLD — Charlie Stringer to review before deletion",TRUE,"")</f>
        <v>HOLD — Charlie Stringer to review before deletion</v>
      </c>
      <c r="S515" t="s">
        <v>1631</v>
      </c>
    </row>
    <row r="516" spans="1:19" ht="76.5" hidden="1">
      <c r="A516" t="s">
        <v>93</v>
      </c>
      <c r="B516" t="s">
        <v>1619</v>
      </c>
      <c r="C516" t="s">
        <v>2660</v>
      </c>
      <c r="D516" s="2" t="s">
        <v>1621</v>
      </c>
      <c r="E516">
        <v>17.809999999999999</v>
      </c>
      <c r="F516">
        <v>0.36</v>
      </c>
      <c r="G516" t="s">
        <v>79</v>
      </c>
      <c r="H516" t="s">
        <v>81</v>
      </c>
      <c r="I516">
        <v>0</v>
      </c>
      <c r="J516">
        <v>0</v>
      </c>
      <c r="K516" s="5">
        <v>46197.125204606476</v>
      </c>
      <c r="L516" s="5">
        <v>46197.125204606476</v>
      </c>
      <c r="M516" s="2" t="s">
        <v>2777</v>
      </c>
      <c r="N516" s="2" t="s">
        <v>2777</v>
      </c>
      <c r="O516" s="5">
        <v>46197.125302256944</v>
      </c>
      <c r="P516" t="str">
        <f>IF($Q516="DELETE",IF($S516="CONFIRMED: NO MODS &gt; 1YR","CONFIRMED: NO MODS &gt; 1YR","DO NOT DELETE — not defensibly confirmed"),IF($Q516="HOLD","DO NOT DELETE — HOLD (Charlie review)",IF($Q516="KEEP","DO NOT DELETE — KEEP",IF(ISNUMBER(SEARCH("REVIEW",$Q516)),"DO NOT DELETE — REVIEW pending",$S516))))</f>
        <v>REVIEW</v>
      </c>
      <c r="Q516" t="str" cm="1">
        <f t="array" ref="Q516">_xlfn.IFS(AND($A516="thg-beauty",ISNUMBER(SEARCH("liveramp",$C516))),"DELETE",$A516="agile-bonbon-662",_xlfn.IFS(LEFT($G516,9)="Tranche 1","DELETE",$C516="Sessions_Level_1_All_Sites","KEEP",ISNUMBER(--$C516),"REVIEW — UA raw logs",$C516="Emag_Reporting","KEEP",$C516="Nutrition_Data_Archived_Tables","KEEP",$C516="EU_Data","KEEP",TRUE,"REVIEW"),OR($A516="thg-influencer",$A516="thg-ingenuity",$A516="thg-central-marketing",$A516="thg-seoclarity"),"HOLD",TRUE,"")</f>
        <v/>
      </c>
      <c r="R516" t="str" cm="1">
        <f t="array" ref="R516">_xlfn.IFS(AND($A516="thg-beauty",ISNUMBER(SEARCH("liveramp",$C516))),"thg-beauty Liveramp dataset — confirmed safe to delete",$A516="agile-bonbon-662",_xlfn.IFS(LEFT($G516,9)="Tranche 1","Tranche 1: cleared",$C516="Sessions_Level_1_All_Sites","Downstream aggregation of UA raw logs — keep if raw tables go",ISNUMBER(--$C516),"UA raw site logs (account ID) — keep pending audit-retention check",$C516="Emag_Reporting","Legacy but likely needed",$C516="Nutrition_Data_Archived_Tables","Worth keeping",$C516="EU_Data","Static lookup tables — scripts still reference (smoke-test risk)",TRUE,"Review"),OR($A516="thg-influencer",$A516="thg-ingenuity",$A516="thg-central-marketing",$A516="thg-seoclarity"),"HOLD — Charlie Stringer to review before deletion",TRUE,"")</f>
        <v/>
      </c>
      <c r="S516" t="s">
        <v>1631</v>
      </c>
    </row>
    <row r="517" spans="1:19" ht="76.5" hidden="1">
      <c r="A517" t="s">
        <v>38</v>
      </c>
      <c r="B517" t="s">
        <v>1619</v>
      </c>
      <c r="C517" t="s">
        <v>2778</v>
      </c>
      <c r="D517" s="2" t="s">
        <v>1621</v>
      </c>
      <c r="E517">
        <v>16.53</v>
      </c>
      <c r="F517">
        <v>0.33</v>
      </c>
      <c r="G517" t="s">
        <v>79</v>
      </c>
      <c r="H517" t="s">
        <v>81</v>
      </c>
      <c r="I517">
        <v>0</v>
      </c>
      <c r="J517">
        <v>0</v>
      </c>
      <c r="K517" s="5">
        <v>46196.501947372693</v>
      </c>
      <c r="L517" s="5">
        <v>46197.420309884263</v>
      </c>
      <c r="M517" s="2" t="s">
        <v>2779</v>
      </c>
      <c r="N517" s="2" t="s">
        <v>2769</v>
      </c>
      <c r="O517" s="5">
        <v>46197.420359166666</v>
      </c>
      <c r="P517" t="str">
        <f>IF($Q517="DELETE",IF($S517="CONFIRMED: NO MODS &gt; 1YR","CONFIRMED: NO MODS &gt; 1YR","DO NOT DELETE — not defensibly confirmed"),IF($Q517="HOLD","DO NOT DELETE — HOLD (Charlie review)",IF($Q517="KEEP","DO NOT DELETE — KEEP",IF(ISNUMBER(SEARCH("REVIEW",$Q517)),"DO NOT DELETE — REVIEW pending",$S517))))</f>
        <v>DO NOT DELETE — HOLD (Charlie review)</v>
      </c>
      <c r="Q517" t="str" cm="1">
        <f t="array" ref="Q517">_xlfn.IFS(AND($A517="thg-beauty",ISNUMBER(SEARCH("liveramp",$C517))),"DELETE",$A517="agile-bonbon-662",_xlfn.IFS(LEFT($G517,9)="Tranche 1","DELETE",$C517="Sessions_Level_1_All_Sites","KEEP",ISNUMBER(--$C517),"REVIEW — UA raw logs",$C517="Emag_Reporting","KEEP",$C517="Nutrition_Data_Archived_Tables","KEEP",$C517="EU_Data","KEEP",TRUE,"REVIEW"),OR($A517="thg-influencer",$A517="thg-ingenuity",$A517="thg-central-marketing",$A517="thg-seoclarity"),"HOLD",TRUE,"")</f>
        <v>HOLD</v>
      </c>
      <c r="R517" t="str" cm="1">
        <f t="array" ref="R517">_xlfn.IFS(AND($A517="thg-beauty",ISNUMBER(SEARCH("liveramp",$C517))),"thg-beauty Liveramp dataset — confirmed safe to delete",$A517="agile-bonbon-662",_xlfn.IFS(LEFT($G517,9)="Tranche 1","Tranche 1: cleared",$C517="Sessions_Level_1_All_Sites","Downstream aggregation of UA raw logs — keep if raw tables go",ISNUMBER(--$C517),"UA raw site logs (account ID) — keep pending audit-retention check",$C517="Emag_Reporting","Legacy but likely needed",$C517="Nutrition_Data_Archived_Tables","Worth keeping",$C517="EU_Data","Static lookup tables — scripts still reference (smoke-test risk)",TRUE,"Review"),OR($A517="thg-influencer",$A517="thg-ingenuity",$A517="thg-central-marketing",$A517="thg-seoclarity"),"HOLD — Charlie Stringer to review before deletion",TRUE,"")</f>
        <v>HOLD — Charlie Stringer to review before deletion</v>
      </c>
      <c r="S517" t="s">
        <v>1631</v>
      </c>
    </row>
    <row r="518" spans="1:19" ht="76.5" hidden="1">
      <c r="A518" t="s">
        <v>35</v>
      </c>
      <c r="B518" t="s">
        <v>1619</v>
      </c>
      <c r="C518" t="s">
        <v>2780</v>
      </c>
      <c r="D518" s="2" t="s">
        <v>1621</v>
      </c>
      <c r="E518">
        <v>16.48</v>
      </c>
      <c r="F518">
        <v>0.33</v>
      </c>
      <c r="G518" t="s">
        <v>79</v>
      </c>
      <c r="H518" t="s">
        <v>81</v>
      </c>
      <c r="I518">
        <v>0</v>
      </c>
      <c r="J518">
        <v>0</v>
      </c>
      <c r="K518" s="5">
        <v>46197.445512349543</v>
      </c>
      <c r="L518" s="5">
        <v>46197.416971030092</v>
      </c>
      <c r="M518" s="2" t="s">
        <v>2781</v>
      </c>
      <c r="N518" s="2" t="s">
        <v>2782</v>
      </c>
      <c r="O518" s="5">
        <v>46197.41700306713</v>
      </c>
      <c r="P518" t="str">
        <f>IF($Q518="DELETE",IF($S518="CONFIRMED: NO MODS &gt; 1YR","CONFIRMED: NO MODS &gt; 1YR","DO NOT DELETE — not defensibly confirmed"),IF($Q518="HOLD","DO NOT DELETE — HOLD (Charlie review)",IF($Q518="KEEP","DO NOT DELETE — KEEP",IF(ISNUMBER(SEARCH("REVIEW",$Q518)),"DO NOT DELETE — REVIEW pending",$S518))))</f>
        <v>DO NOT DELETE — HOLD (Charlie review)</v>
      </c>
      <c r="Q518" t="str" cm="1">
        <f t="array" ref="Q518">_xlfn.IFS(AND($A518="thg-beauty",ISNUMBER(SEARCH("liveramp",$C518))),"DELETE",$A518="agile-bonbon-662",_xlfn.IFS(LEFT($G518,9)="Tranche 1","DELETE",$C518="Sessions_Level_1_All_Sites","KEEP",ISNUMBER(--$C518),"REVIEW — UA raw logs",$C518="Emag_Reporting","KEEP",$C518="Nutrition_Data_Archived_Tables","KEEP",$C518="EU_Data","KEEP",TRUE,"REVIEW"),OR($A518="thg-influencer",$A518="thg-ingenuity",$A518="thg-central-marketing",$A518="thg-seoclarity"),"HOLD",TRUE,"")</f>
        <v>HOLD</v>
      </c>
      <c r="R518" t="str" cm="1">
        <f t="array" ref="R518">_xlfn.IFS(AND($A518="thg-beauty",ISNUMBER(SEARCH("liveramp",$C518))),"thg-beauty Liveramp dataset — confirmed safe to delete",$A518="agile-bonbon-662",_xlfn.IFS(LEFT($G518,9)="Tranche 1","Tranche 1: cleared",$C518="Sessions_Level_1_All_Sites","Downstream aggregation of UA raw logs — keep if raw tables go",ISNUMBER(--$C518),"UA raw site logs (account ID) — keep pending audit-retention check",$C518="Emag_Reporting","Legacy but likely needed",$C518="Nutrition_Data_Archived_Tables","Worth keeping",$C518="EU_Data","Static lookup tables — scripts still reference (smoke-test risk)",TRUE,"Review"),OR($A518="thg-influencer",$A518="thg-ingenuity",$A518="thg-central-marketing",$A518="thg-seoclarity"),"HOLD — Charlie Stringer to review before deletion",TRUE,"")</f>
        <v>HOLD — Charlie Stringer to review before deletion</v>
      </c>
      <c r="S518" t="s">
        <v>1631</v>
      </c>
    </row>
    <row r="519" spans="1:19" ht="76.5" hidden="1">
      <c r="A519" t="s">
        <v>92</v>
      </c>
      <c r="B519" t="s">
        <v>1619</v>
      </c>
      <c r="C519" t="s">
        <v>2783</v>
      </c>
      <c r="D519" s="2" t="s">
        <v>1621</v>
      </c>
      <c r="E519">
        <v>1.52</v>
      </c>
      <c r="F519">
        <v>0.03</v>
      </c>
      <c r="G519" t="s">
        <v>79</v>
      </c>
      <c r="H519" t="s">
        <v>81</v>
      </c>
      <c r="I519">
        <v>0</v>
      </c>
      <c r="J519">
        <v>0</v>
      </c>
      <c r="K519" s="5">
        <v>46197.295715069442</v>
      </c>
      <c r="L519" s="5">
        <v>46197.119222488429</v>
      </c>
      <c r="M519" s="2" t="s">
        <v>2784</v>
      </c>
      <c r="N519" s="2" t="s">
        <v>2785</v>
      </c>
      <c r="O519" s="5">
        <v>46197.119498472217</v>
      </c>
      <c r="P519" t="str">
        <f>IF($Q519="DELETE",IF($S519="CONFIRMED: NO MODS &gt; 1YR","CONFIRMED: NO MODS &gt; 1YR","DO NOT DELETE — not defensibly confirmed"),IF($Q519="HOLD","DO NOT DELETE — HOLD (Charlie review)",IF($Q519="KEEP","DO NOT DELETE — KEEP",IF(ISNUMBER(SEARCH("REVIEW",$Q519)),"DO NOT DELETE — REVIEW pending",$S519))))</f>
        <v>REVIEW</v>
      </c>
      <c r="Q519" t="str" cm="1">
        <f t="array" ref="Q519">_xlfn.IFS(AND($A519="thg-beauty",ISNUMBER(SEARCH("liveramp",$C519))),"DELETE",$A519="agile-bonbon-662",_xlfn.IFS(LEFT($G519,9)="Tranche 1","DELETE",$C519="Sessions_Level_1_All_Sites","KEEP",ISNUMBER(--$C519),"REVIEW — UA raw logs",$C519="Emag_Reporting","KEEP",$C519="Nutrition_Data_Archived_Tables","KEEP",$C519="EU_Data","KEEP",TRUE,"REVIEW"),OR($A519="thg-influencer",$A519="thg-ingenuity",$A519="thg-central-marketing",$A519="thg-seoclarity"),"HOLD",TRUE,"")</f>
        <v/>
      </c>
      <c r="R519" t="str" cm="1">
        <f t="array" ref="R519">_xlfn.IFS(AND($A519="thg-beauty",ISNUMBER(SEARCH("liveramp",$C519))),"thg-beauty Liveramp dataset — confirmed safe to delete",$A519="agile-bonbon-662",_xlfn.IFS(LEFT($G519,9)="Tranche 1","Tranche 1: cleared",$C519="Sessions_Level_1_All_Sites","Downstream aggregation of UA raw logs — keep if raw tables go",ISNUMBER(--$C519),"UA raw site logs (account ID) — keep pending audit-retention check",$C519="Emag_Reporting","Legacy but likely needed",$C519="Nutrition_Data_Archived_Tables","Worth keeping",$C519="EU_Data","Static lookup tables — scripts still reference (smoke-test risk)",TRUE,"Review"),OR($A519="thg-influencer",$A519="thg-ingenuity",$A519="thg-central-marketing",$A519="thg-seoclarity"),"HOLD — Charlie Stringer to review before deletion",TRUE,"")</f>
        <v/>
      </c>
      <c r="S519" t="s">
        <v>1631</v>
      </c>
    </row>
    <row r="520" spans="1:19" ht="76.5" hidden="1">
      <c r="A520" t="s">
        <v>38</v>
      </c>
      <c r="B520" t="s">
        <v>1619</v>
      </c>
      <c r="C520" t="s">
        <v>2786</v>
      </c>
      <c r="D520" s="2" t="s">
        <v>1621</v>
      </c>
      <c r="E520">
        <v>15.87</v>
      </c>
      <c r="F520">
        <v>0.32</v>
      </c>
      <c r="G520" t="s">
        <v>79</v>
      </c>
      <c r="H520" t="s">
        <v>81</v>
      </c>
      <c r="I520">
        <v>0</v>
      </c>
      <c r="J520">
        <v>0</v>
      </c>
      <c r="L520" s="5">
        <v>46197.354078402779</v>
      </c>
      <c r="M520" s="2" t="s">
        <v>1715</v>
      </c>
      <c r="N520" s="2" t="s">
        <v>2787</v>
      </c>
      <c r="O520" s="5">
        <v>46197.354136273148</v>
      </c>
      <c r="P520" t="str">
        <f>IF($Q520="DELETE",IF($S520="CONFIRMED: NO MODS &gt; 1YR","CONFIRMED: NO MODS &gt; 1YR","DO NOT DELETE — not defensibly confirmed"),IF($Q520="HOLD","DO NOT DELETE — HOLD (Charlie review)",IF($Q520="KEEP","DO NOT DELETE — KEEP",IF(ISNUMBER(SEARCH("REVIEW",$Q520)),"DO NOT DELETE — REVIEW pending",$S520))))</f>
        <v>DO NOT DELETE — HOLD (Charlie review)</v>
      </c>
      <c r="Q520" t="str" cm="1">
        <f t="array" ref="Q520">_xlfn.IFS(AND($A520="thg-beauty",ISNUMBER(SEARCH("liveramp",$C520))),"DELETE",$A520="agile-bonbon-662",_xlfn.IFS(LEFT($G520,9)="Tranche 1","DELETE",$C520="Sessions_Level_1_All_Sites","KEEP",ISNUMBER(--$C520),"REVIEW — UA raw logs",$C520="Emag_Reporting","KEEP",$C520="Nutrition_Data_Archived_Tables","KEEP",$C520="EU_Data","KEEP",TRUE,"REVIEW"),OR($A520="thg-influencer",$A520="thg-ingenuity",$A520="thg-central-marketing",$A520="thg-seoclarity"),"HOLD",TRUE,"")</f>
        <v>HOLD</v>
      </c>
      <c r="R520" t="str" cm="1">
        <f t="array" ref="R520">_xlfn.IFS(AND($A520="thg-beauty",ISNUMBER(SEARCH("liveramp",$C520))),"thg-beauty Liveramp dataset — confirmed safe to delete",$A520="agile-bonbon-662",_xlfn.IFS(LEFT($G520,9)="Tranche 1","Tranche 1: cleared",$C520="Sessions_Level_1_All_Sites","Downstream aggregation of UA raw logs — keep if raw tables go",ISNUMBER(--$C520),"UA raw site logs (account ID) — keep pending audit-retention check",$C520="Emag_Reporting","Legacy but likely needed",$C520="Nutrition_Data_Archived_Tables","Worth keeping",$C520="EU_Data","Static lookup tables — scripts still reference (smoke-test risk)",TRUE,"Review"),OR($A520="thg-influencer",$A520="thg-ingenuity",$A520="thg-central-marketing",$A520="thg-seoclarity"),"HOLD — Charlie Stringer to review before deletion",TRUE,"")</f>
        <v>HOLD — Charlie Stringer to review before deletion</v>
      </c>
      <c r="S520" t="s">
        <v>1631</v>
      </c>
    </row>
    <row r="521" spans="1:19" ht="76.5" hidden="1">
      <c r="A521" t="s">
        <v>92</v>
      </c>
      <c r="B521" t="s">
        <v>1619</v>
      </c>
      <c r="C521" t="s">
        <v>2788</v>
      </c>
      <c r="D521" s="2" t="s">
        <v>1621</v>
      </c>
      <c r="E521">
        <v>1.49</v>
      </c>
      <c r="F521">
        <v>0.03</v>
      </c>
      <c r="G521" t="s">
        <v>79</v>
      </c>
      <c r="H521" t="s">
        <v>81</v>
      </c>
      <c r="I521">
        <v>0</v>
      </c>
      <c r="J521">
        <v>0</v>
      </c>
      <c r="K521" s="5">
        <v>46197.271490694453</v>
      </c>
      <c r="L521" s="5">
        <v>46197.119217314823</v>
      </c>
      <c r="M521" s="2" t="s">
        <v>2789</v>
      </c>
      <c r="N521" s="2" t="s">
        <v>2790</v>
      </c>
      <c r="O521" s="5">
        <v>46197.1212915625</v>
      </c>
      <c r="P521" t="str">
        <f>IF($Q521="DELETE",IF($S521="CONFIRMED: NO MODS &gt; 1YR","CONFIRMED: NO MODS &gt; 1YR","DO NOT DELETE — not defensibly confirmed"),IF($Q521="HOLD","DO NOT DELETE — HOLD (Charlie review)",IF($Q521="KEEP","DO NOT DELETE — KEEP",IF(ISNUMBER(SEARCH("REVIEW",$Q521)),"DO NOT DELETE — REVIEW pending",$S521))))</f>
        <v>CONFIRMED: NO MODS &gt; 1YR</v>
      </c>
      <c r="Q521" t="str" cm="1">
        <f t="array" ref="Q521">_xlfn.IFS(AND($A521="thg-beauty",ISNUMBER(SEARCH("liveramp",$C521))),"DELETE",$A521="agile-bonbon-662",_xlfn.IFS(LEFT($G521,9)="Tranche 1","DELETE",$C521="Sessions_Level_1_All_Sites","KEEP",ISNUMBER(--$C521),"REVIEW — UA raw logs",$C521="Emag_Reporting","KEEP",$C521="Nutrition_Data_Archived_Tables","KEEP",$C521="EU_Data","KEEP",TRUE,"REVIEW"),OR($A521="thg-influencer",$A521="thg-ingenuity",$A521="thg-central-marketing",$A521="thg-seoclarity"),"HOLD",TRUE,"")</f>
        <v/>
      </c>
      <c r="R521" t="str" cm="1">
        <f t="array" ref="R521">_xlfn.IFS(AND($A521="thg-beauty",ISNUMBER(SEARCH("liveramp",$C521))),"thg-beauty Liveramp dataset — confirmed safe to delete",$A521="agile-bonbon-662",_xlfn.IFS(LEFT($G521,9)="Tranche 1","Tranche 1: cleared",$C521="Sessions_Level_1_All_Sites","Downstream aggregation of UA raw logs — keep if raw tables go",ISNUMBER(--$C521),"UA raw site logs (account ID) — keep pending audit-retention check",$C521="Emag_Reporting","Legacy but likely needed",$C521="Nutrition_Data_Archived_Tables","Worth keeping",$C521="EU_Data","Static lookup tables — scripts still reference (smoke-test risk)",TRUE,"Review"),OR($A521="thg-influencer",$A521="thg-ingenuity",$A521="thg-central-marketing",$A521="thg-seoclarity"),"HOLD — Charlie Stringer to review before deletion",TRUE,"")</f>
        <v/>
      </c>
      <c r="S521" t="s">
        <v>1624</v>
      </c>
    </row>
    <row r="522" spans="1:19" ht="76.5" hidden="1">
      <c r="A522" t="s">
        <v>89</v>
      </c>
      <c r="B522" t="s">
        <v>1619</v>
      </c>
      <c r="C522" t="s">
        <v>2735</v>
      </c>
      <c r="D522" s="2" t="s">
        <v>1621</v>
      </c>
      <c r="E522">
        <v>14.7</v>
      </c>
      <c r="F522">
        <v>0.28999999999999998</v>
      </c>
      <c r="G522" t="s">
        <v>79</v>
      </c>
      <c r="H522" t="s">
        <v>81</v>
      </c>
      <c r="I522">
        <v>0</v>
      </c>
      <c r="J522">
        <v>0</v>
      </c>
      <c r="K522" s="5">
        <v>46197.305629872688</v>
      </c>
      <c r="L522" s="5">
        <v>46197.13247665509</v>
      </c>
      <c r="M522" s="2" t="s">
        <v>2791</v>
      </c>
      <c r="N522" s="2" t="s">
        <v>2792</v>
      </c>
      <c r="O522" s="5">
        <v>46197.13249300926</v>
      </c>
      <c r="P522" t="str">
        <f>IF($Q522="DELETE",IF($S522="CONFIRMED: NO MODS &gt; 1YR","CONFIRMED: NO MODS &gt; 1YR","DO NOT DELETE — not defensibly confirmed"),IF($Q522="HOLD","DO NOT DELETE — HOLD (Charlie review)",IF($Q522="KEEP","DO NOT DELETE — KEEP",IF(ISNUMBER(SEARCH("REVIEW",$Q522)),"DO NOT DELETE — REVIEW pending",$S522))))</f>
        <v>DO NOT DELETE — REVIEW pending</v>
      </c>
      <c r="Q522" t="str" cm="1">
        <f t="array" ref="Q522">_xlfn.IFS(AND($A522="thg-beauty",ISNUMBER(SEARCH("liveramp",$C522))),"DELETE",$A522="agile-bonbon-662",_xlfn.IFS(LEFT($G522,9)="Tranche 1","DELETE",$C522="Sessions_Level_1_All_Sites","KEEP",ISNUMBER(--$C522),"REVIEW — UA raw logs",$C522="Emag_Reporting","KEEP",$C522="Nutrition_Data_Archived_Tables","KEEP",$C522="EU_Data","KEEP",TRUE,"REVIEW"),OR($A522="thg-influencer",$A522="thg-ingenuity",$A522="thg-central-marketing",$A522="thg-seoclarity"),"HOLD",TRUE,"")</f>
        <v>REVIEW</v>
      </c>
      <c r="R522" t="str" cm="1">
        <f t="array" ref="R522">_xlfn.IFS(AND($A522="thg-beauty",ISNUMBER(SEARCH("liveramp",$C522))),"thg-beauty Liveramp dataset — confirmed safe to delete",$A522="agile-bonbon-662",_xlfn.IFS(LEFT($G522,9)="Tranche 1","Tranche 1: cleared",$C522="Sessions_Level_1_All_Sites","Downstream aggregation of UA raw logs — keep if raw tables go",ISNUMBER(--$C522),"UA raw site logs (account ID) — keep pending audit-retention check",$C522="Emag_Reporting","Legacy but likely needed",$C522="Nutrition_Data_Archived_Tables","Worth keeping",$C522="EU_Data","Static lookup tables — scripts still reference (smoke-test risk)",TRUE,"Review"),OR($A522="thg-influencer",$A522="thg-ingenuity",$A522="thg-central-marketing",$A522="thg-seoclarity"),"HOLD — Charlie Stringer to review before deletion",TRUE,"")</f>
        <v>Review</v>
      </c>
      <c r="S522" t="s">
        <v>1624</v>
      </c>
    </row>
    <row r="523" spans="1:19" ht="76.5" hidden="1">
      <c r="A523" t="s">
        <v>92</v>
      </c>
      <c r="B523" t="s">
        <v>1619</v>
      </c>
      <c r="C523" t="s">
        <v>2793</v>
      </c>
      <c r="D523" s="2" t="s">
        <v>1621</v>
      </c>
      <c r="E523">
        <v>1.23</v>
      </c>
      <c r="F523">
        <v>0.02</v>
      </c>
      <c r="G523" t="s">
        <v>79</v>
      </c>
      <c r="H523" t="s">
        <v>81</v>
      </c>
      <c r="I523">
        <v>0</v>
      </c>
      <c r="J523">
        <v>0</v>
      </c>
      <c r="K523" s="5">
        <v>46197.292075636571</v>
      </c>
      <c r="L523" s="5">
        <v>46197.292075636571</v>
      </c>
      <c r="M523" s="2" t="s">
        <v>2794</v>
      </c>
      <c r="N523" s="2" t="s">
        <v>2794</v>
      </c>
      <c r="O523" s="5">
        <v>46197.292159652781</v>
      </c>
      <c r="P523" t="str">
        <f>IF($Q523="DELETE",IF($S523="CONFIRMED: NO MODS &gt; 1YR","CONFIRMED: NO MODS &gt; 1YR","DO NOT DELETE — not defensibly confirmed"),IF($Q523="HOLD","DO NOT DELETE — HOLD (Charlie review)",IF($Q523="KEEP","DO NOT DELETE — KEEP",IF(ISNUMBER(SEARCH("REVIEW",$Q523)),"DO NOT DELETE — REVIEW pending",$S523))))</f>
        <v>REVIEW</v>
      </c>
      <c r="Q523" t="str" cm="1">
        <f t="array" ref="Q523">_xlfn.IFS(AND($A523="thg-beauty",ISNUMBER(SEARCH("liveramp",$C523))),"DELETE",$A523="agile-bonbon-662",_xlfn.IFS(LEFT($G523,9)="Tranche 1","DELETE",$C523="Sessions_Level_1_All_Sites","KEEP",ISNUMBER(--$C523),"REVIEW — UA raw logs",$C523="Emag_Reporting","KEEP",$C523="Nutrition_Data_Archived_Tables","KEEP",$C523="EU_Data","KEEP",TRUE,"REVIEW"),OR($A523="thg-influencer",$A523="thg-ingenuity",$A523="thg-central-marketing",$A523="thg-seoclarity"),"HOLD",TRUE,"")</f>
        <v/>
      </c>
      <c r="R523" t="str" cm="1">
        <f t="array" ref="R523">_xlfn.IFS(AND($A523="thg-beauty",ISNUMBER(SEARCH("liveramp",$C523))),"thg-beauty Liveramp dataset — confirmed safe to delete",$A523="agile-bonbon-662",_xlfn.IFS(LEFT($G523,9)="Tranche 1","Tranche 1: cleared",$C523="Sessions_Level_1_All_Sites","Downstream aggregation of UA raw logs — keep if raw tables go",ISNUMBER(--$C523),"UA raw site logs (account ID) — keep pending audit-retention check",$C523="Emag_Reporting","Legacy but likely needed",$C523="Nutrition_Data_Archived_Tables","Worth keeping",$C523="EU_Data","Static lookup tables — scripts still reference (smoke-test risk)",TRUE,"Review"),OR($A523="thg-influencer",$A523="thg-ingenuity",$A523="thg-central-marketing",$A523="thg-seoclarity"),"HOLD — Charlie Stringer to review before deletion",TRUE,"")</f>
        <v/>
      </c>
      <c r="S523" t="s">
        <v>1631</v>
      </c>
    </row>
    <row r="524" spans="1:19" ht="76.5" hidden="1">
      <c r="A524" t="s">
        <v>92</v>
      </c>
      <c r="B524" t="s">
        <v>1619</v>
      </c>
      <c r="C524" t="s">
        <v>2795</v>
      </c>
      <c r="D524" s="2" t="s">
        <v>1621</v>
      </c>
      <c r="E524">
        <v>1.07</v>
      </c>
      <c r="F524">
        <v>0.02</v>
      </c>
      <c r="G524" t="s">
        <v>79</v>
      </c>
      <c r="H524" t="s">
        <v>81</v>
      </c>
      <c r="I524">
        <v>0</v>
      </c>
      <c r="J524">
        <v>0</v>
      </c>
      <c r="K524" s="5">
        <v>46197.210381805548</v>
      </c>
      <c r="L524" s="5">
        <v>46197.210388402767</v>
      </c>
      <c r="M524" s="2" t="s">
        <v>2796</v>
      </c>
      <c r="N524" s="2" t="s">
        <v>2796</v>
      </c>
      <c r="O524" s="5">
        <v>46197.212055185177</v>
      </c>
      <c r="P524" t="str">
        <f>IF($Q524="DELETE",IF($S524="CONFIRMED: NO MODS &gt; 1YR","CONFIRMED: NO MODS &gt; 1YR","DO NOT DELETE — not defensibly confirmed"),IF($Q524="HOLD","DO NOT DELETE — HOLD (Charlie review)",IF($Q524="KEEP","DO NOT DELETE — KEEP",IF(ISNUMBER(SEARCH("REVIEW",$Q524)),"DO NOT DELETE — REVIEW pending",$S524))))</f>
        <v>REVIEW</v>
      </c>
      <c r="Q524" t="str" cm="1">
        <f t="array" ref="Q524">_xlfn.IFS(AND($A524="thg-beauty",ISNUMBER(SEARCH("liveramp",$C524))),"DELETE",$A524="agile-bonbon-662",_xlfn.IFS(LEFT($G524,9)="Tranche 1","DELETE",$C524="Sessions_Level_1_All_Sites","KEEP",ISNUMBER(--$C524),"REVIEW — UA raw logs",$C524="Emag_Reporting","KEEP",$C524="Nutrition_Data_Archived_Tables","KEEP",$C524="EU_Data","KEEP",TRUE,"REVIEW"),OR($A524="thg-influencer",$A524="thg-ingenuity",$A524="thg-central-marketing",$A524="thg-seoclarity"),"HOLD",TRUE,"")</f>
        <v/>
      </c>
      <c r="R524" t="str" cm="1">
        <f t="array" ref="R524">_xlfn.IFS(AND($A524="thg-beauty",ISNUMBER(SEARCH("liveramp",$C524))),"thg-beauty Liveramp dataset — confirmed safe to delete",$A524="agile-bonbon-662",_xlfn.IFS(LEFT($G524,9)="Tranche 1","Tranche 1: cleared",$C524="Sessions_Level_1_All_Sites","Downstream aggregation of UA raw logs — keep if raw tables go",ISNUMBER(--$C524),"UA raw site logs (account ID) — keep pending audit-retention check",$C524="Emag_Reporting","Legacy but likely needed",$C524="Nutrition_Data_Archived_Tables","Worth keeping",$C524="EU_Data","Static lookup tables — scripts still reference (smoke-test risk)",TRUE,"Review"),OR($A524="thg-influencer",$A524="thg-ingenuity",$A524="thg-central-marketing",$A524="thg-seoclarity"),"HOLD — Charlie Stringer to review before deletion",TRUE,"")</f>
        <v/>
      </c>
      <c r="S524" t="s">
        <v>1631</v>
      </c>
    </row>
    <row r="525" spans="1:19" ht="76.5" hidden="1">
      <c r="A525" t="s">
        <v>89</v>
      </c>
      <c r="B525" t="s">
        <v>1619</v>
      </c>
      <c r="C525" t="s">
        <v>2797</v>
      </c>
      <c r="D525" s="2" t="s">
        <v>1621</v>
      </c>
      <c r="E525">
        <v>13.46</v>
      </c>
      <c r="F525">
        <v>0.27</v>
      </c>
      <c r="G525" t="s">
        <v>79</v>
      </c>
      <c r="H525" t="s">
        <v>81</v>
      </c>
      <c r="I525">
        <v>0</v>
      </c>
      <c r="J525">
        <v>0</v>
      </c>
      <c r="K525" s="5">
        <v>46197.168658043978</v>
      </c>
      <c r="L525" s="5">
        <v>46196.408561574077</v>
      </c>
      <c r="M525" s="2" t="s">
        <v>2798</v>
      </c>
      <c r="N525" s="2" t="s">
        <v>2799</v>
      </c>
      <c r="O525" s="5">
        <v>46197.434619768523</v>
      </c>
      <c r="P525" t="str">
        <f>IF($Q525="DELETE",IF($S525="CONFIRMED: NO MODS &gt; 1YR","CONFIRMED: NO MODS &gt; 1YR","DO NOT DELETE — not defensibly confirmed"),IF($Q525="HOLD","DO NOT DELETE — HOLD (Charlie review)",IF($Q525="KEEP","DO NOT DELETE — KEEP",IF(ISNUMBER(SEARCH("REVIEW",$Q525)),"DO NOT DELETE — REVIEW pending",$S525))))</f>
        <v>DO NOT DELETE — REVIEW pending</v>
      </c>
      <c r="Q525" t="str" cm="1">
        <f t="array" ref="Q525">_xlfn.IFS(AND($A525="thg-beauty",ISNUMBER(SEARCH("liveramp",$C525))),"DELETE",$A525="agile-bonbon-662",_xlfn.IFS(LEFT($G525,9)="Tranche 1","DELETE",$C525="Sessions_Level_1_All_Sites","KEEP",ISNUMBER(--$C525),"REVIEW — UA raw logs",$C525="Emag_Reporting","KEEP",$C525="Nutrition_Data_Archived_Tables","KEEP",$C525="EU_Data","KEEP",TRUE,"REVIEW"),OR($A525="thg-influencer",$A525="thg-ingenuity",$A525="thg-central-marketing",$A525="thg-seoclarity"),"HOLD",TRUE,"")</f>
        <v>REVIEW</v>
      </c>
      <c r="R525" t="str" cm="1">
        <f t="array" ref="R525">_xlfn.IFS(AND($A525="thg-beauty",ISNUMBER(SEARCH("liveramp",$C525))),"thg-beauty Liveramp dataset — confirmed safe to delete",$A525="agile-bonbon-662",_xlfn.IFS(LEFT($G525,9)="Tranche 1","Tranche 1: cleared",$C525="Sessions_Level_1_All_Sites","Downstream aggregation of UA raw logs — keep if raw tables go",ISNUMBER(--$C525),"UA raw site logs (account ID) — keep pending audit-retention check",$C525="Emag_Reporting","Legacy but likely needed",$C525="Nutrition_Data_Archived_Tables","Worth keeping",$C525="EU_Data","Static lookup tables — scripts still reference (smoke-test risk)",TRUE,"Review"),OR($A525="thg-influencer",$A525="thg-ingenuity",$A525="thg-central-marketing",$A525="thg-seoclarity"),"HOLD — Charlie Stringer to review before deletion",TRUE,"")</f>
        <v>Review</v>
      </c>
      <c r="S525" t="s">
        <v>1631</v>
      </c>
    </row>
    <row r="526" spans="1:19" ht="76.5" hidden="1">
      <c r="A526" t="s">
        <v>38</v>
      </c>
      <c r="B526" t="s">
        <v>1619</v>
      </c>
      <c r="C526" t="s">
        <v>2800</v>
      </c>
      <c r="D526" s="2" t="s">
        <v>1621</v>
      </c>
      <c r="E526">
        <v>13.35</v>
      </c>
      <c r="F526">
        <v>0.27</v>
      </c>
      <c r="G526" t="s">
        <v>79</v>
      </c>
      <c r="H526" t="s">
        <v>81</v>
      </c>
      <c r="I526">
        <v>0</v>
      </c>
      <c r="J526">
        <v>0</v>
      </c>
      <c r="K526" s="5">
        <v>46197.419013252307</v>
      </c>
      <c r="L526" s="5">
        <v>46197.35010570602</v>
      </c>
      <c r="M526" s="2" t="s">
        <v>2801</v>
      </c>
      <c r="N526" s="2" t="s">
        <v>2802</v>
      </c>
      <c r="O526" s="5">
        <v>46197.350172638893</v>
      </c>
      <c r="P526" t="str">
        <f>IF($Q526="DELETE",IF($S526="CONFIRMED: NO MODS &gt; 1YR","CONFIRMED: NO MODS &gt; 1YR","DO NOT DELETE — not defensibly confirmed"),IF($Q526="HOLD","DO NOT DELETE — HOLD (Charlie review)",IF($Q526="KEEP","DO NOT DELETE — KEEP",IF(ISNUMBER(SEARCH("REVIEW",$Q526)),"DO NOT DELETE — REVIEW pending",$S526))))</f>
        <v>DO NOT DELETE — HOLD (Charlie review)</v>
      </c>
      <c r="Q526" t="str" cm="1">
        <f t="array" ref="Q526">_xlfn.IFS(AND($A526="thg-beauty",ISNUMBER(SEARCH("liveramp",$C526))),"DELETE",$A526="agile-bonbon-662",_xlfn.IFS(LEFT($G526,9)="Tranche 1","DELETE",$C526="Sessions_Level_1_All_Sites","KEEP",ISNUMBER(--$C526),"REVIEW — UA raw logs",$C526="Emag_Reporting","KEEP",$C526="Nutrition_Data_Archived_Tables","KEEP",$C526="EU_Data","KEEP",TRUE,"REVIEW"),OR($A526="thg-influencer",$A526="thg-ingenuity",$A526="thg-central-marketing",$A526="thg-seoclarity"),"HOLD",TRUE,"")</f>
        <v>HOLD</v>
      </c>
      <c r="R526" t="str" cm="1">
        <f t="array" ref="R526">_xlfn.IFS(AND($A526="thg-beauty",ISNUMBER(SEARCH("liveramp",$C526))),"thg-beauty Liveramp dataset — confirmed safe to delete",$A526="agile-bonbon-662",_xlfn.IFS(LEFT($G526,9)="Tranche 1","Tranche 1: cleared",$C526="Sessions_Level_1_All_Sites","Downstream aggregation of UA raw logs — keep if raw tables go",ISNUMBER(--$C526),"UA raw site logs (account ID) — keep pending audit-retention check",$C526="Emag_Reporting","Legacy but likely needed",$C526="Nutrition_Data_Archived_Tables","Worth keeping",$C526="EU_Data","Static lookup tables — scripts still reference (smoke-test risk)",TRUE,"Review"),OR($A526="thg-influencer",$A526="thg-ingenuity",$A526="thg-central-marketing",$A526="thg-seoclarity"),"HOLD — Charlie Stringer to review before deletion",TRUE,"")</f>
        <v>HOLD — Charlie Stringer to review before deletion</v>
      </c>
      <c r="S526" t="s">
        <v>1631</v>
      </c>
    </row>
    <row r="527" spans="1:19" ht="76.5" hidden="1">
      <c r="A527" t="s">
        <v>38</v>
      </c>
      <c r="B527" t="s">
        <v>1619</v>
      </c>
      <c r="C527" t="s">
        <v>2803</v>
      </c>
      <c r="D527" s="2" t="s">
        <v>1621</v>
      </c>
      <c r="E527">
        <v>13.12</v>
      </c>
      <c r="F527">
        <v>0.26</v>
      </c>
      <c r="G527" t="s">
        <v>79</v>
      </c>
      <c r="H527" t="s">
        <v>81</v>
      </c>
      <c r="I527">
        <v>0</v>
      </c>
      <c r="J527">
        <v>0</v>
      </c>
      <c r="K527" s="5">
        <v>46196.585407453713</v>
      </c>
      <c r="L527" s="5">
        <v>46196.526015208343</v>
      </c>
      <c r="M527" s="2" t="s">
        <v>2804</v>
      </c>
      <c r="N527" s="2" t="s">
        <v>2805</v>
      </c>
      <c r="O527" s="5">
        <v>46196.526076018519</v>
      </c>
      <c r="P527" t="str">
        <f>IF($Q527="DELETE",IF($S527="CONFIRMED: NO MODS &gt; 1YR","CONFIRMED: NO MODS &gt; 1YR","DO NOT DELETE — not defensibly confirmed"),IF($Q527="HOLD","DO NOT DELETE — HOLD (Charlie review)",IF($Q527="KEEP","DO NOT DELETE — KEEP",IF(ISNUMBER(SEARCH("REVIEW",$Q527)),"DO NOT DELETE — REVIEW pending",$S527))))</f>
        <v>DO NOT DELETE — HOLD (Charlie review)</v>
      </c>
      <c r="Q527" t="str" cm="1">
        <f t="array" ref="Q527">_xlfn.IFS(AND($A527="thg-beauty",ISNUMBER(SEARCH("liveramp",$C527))),"DELETE",$A527="agile-bonbon-662",_xlfn.IFS(LEFT($G527,9)="Tranche 1","DELETE",$C527="Sessions_Level_1_All_Sites","KEEP",ISNUMBER(--$C527),"REVIEW — UA raw logs",$C527="Emag_Reporting","KEEP",$C527="Nutrition_Data_Archived_Tables","KEEP",$C527="EU_Data","KEEP",TRUE,"REVIEW"),OR($A527="thg-influencer",$A527="thg-ingenuity",$A527="thg-central-marketing",$A527="thg-seoclarity"),"HOLD",TRUE,"")</f>
        <v>HOLD</v>
      </c>
      <c r="R527" t="str" cm="1">
        <f t="array" ref="R527">_xlfn.IFS(AND($A527="thg-beauty",ISNUMBER(SEARCH("liveramp",$C527))),"thg-beauty Liveramp dataset — confirmed safe to delete",$A527="agile-bonbon-662",_xlfn.IFS(LEFT($G527,9)="Tranche 1","Tranche 1: cleared",$C527="Sessions_Level_1_All_Sites","Downstream aggregation of UA raw logs — keep if raw tables go",ISNUMBER(--$C527),"UA raw site logs (account ID) — keep pending audit-retention check",$C527="Emag_Reporting","Legacy but likely needed",$C527="Nutrition_Data_Archived_Tables","Worth keeping",$C527="EU_Data","Static lookup tables — scripts still reference (smoke-test risk)",TRUE,"Review"),OR($A527="thg-influencer",$A527="thg-ingenuity",$A527="thg-central-marketing",$A527="thg-seoclarity"),"HOLD — Charlie Stringer to review before deletion",TRUE,"")</f>
        <v>HOLD — Charlie Stringer to review before deletion</v>
      </c>
      <c r="S527" t="s">
        <v>1631</v>
      </c>
    </row>
    <row r="528" spans="1:19" ht="76.5" hidden="1">
      <c r="A528" t="s">
        <v>38</v>
      </c>
      <c r="B528" t="s">
        <v>1619</v>
      </c>
      <c r="C528" t="s">
        <v>2806</v>
      </c>
      <c r="D528" s="2" t="s">
        <v>1621</v>
      </c>
      <c r="E528">
        <v>10.95</v>
      </c>
      <c r="F528">
        <v>0.22</v>
      </c>
      <c r="G528" t="s">
        <v>79</v>
      </c>
      <c r="H528" t="s">
        <v>81</v>
      </c>
      <c r="I528">
        <v>0</v>
      </c>
      <c r="J528">
        <v>0</v>
      </c>
      <c r="K528" s="5">
        <v>46196.584986099537</v>
      </c>
      <c r="L528" s="5">
        <v>46196.577468518517</v>
      </c>
      <c r="M528" s="2" t="s">
        <v>2807</v>
      </c>
      <c r="N528" s="2" t="s">
        <v>2808</v>
      </c>
      <c r="O528" s="5">
        <v>46196.577529733797</v>
      </c>
      <c r="P528" t="str">
        <f>IF($Q528="DELETE",IF($S528="CONFIRMED: NO MODS &gt; 1YR","CONFIRMED: NO MODS &gt; 1YR","DO NOT DELETE — not defensibly confirmed"),IF($Q528="HOLD","DO NOT DELETE — HOLD (Charlie review)",IF($Q528="KEEP","DO NOT DELETE — KEEP",IF(ISNUMBER(SEARCH("REVIEW",$Q528)),"DO NOT DELETE — REVIEW pending",$S528))))</f>
        <v>DO NOT DELETE — HOLD (Charlie review)</v>
      </c>
      <c r="Q528" t="str" cm="1">
        <f t="array" ref="Q528">_xlfn.IFS(AND($A528="thg-beauty",ISNUMBER(SEARCH("liveramp",$C528))),"DELETE",$A528="agile-bonbon-662",_xlfn.IFS(LEFT($G528,9)="Tranche 1","DELETE",$C528="Sessions_Level_1_All_Sites","KEEP",ISNUMBER(--$C528),"REVIEW — UA raw logs",$C528="Emag_Reporting","KEEP",$C528="Nutrition_Data_Archived_Tables","KEEP",$C528="EU_Data","KEEP",TRUE,"REVIEW"),OR($A528="thg-influencer",$A528="thg-ingenuity",$A528="thg-central-marketing",$A528="thg-seoclarity"),"HOLD",TRUE,"")</f>
        <v>HOLD</v>
      </c>
      <c r="R528" t="str" cm="1">
        <f t="array" ref="R528">_xlfn.IFS(AND($A528="thg-beauty",ISNUMBER(SEARCH("liveramp",$C528))),"thg-beauty Liveramp dataset — confirmed safe to delete",$A528="agile-bonbon-662",_xlfn.IFS(LEFT($G528,9)="Tranche 1","Tranche 1: cleared",$C528="Sessions_Level_1_All_Sites","Downstream aggregation of UA raw logs — keep if raw tables go",ISNUMBER(--$C528),"UA raw site logs (account ID) — keep pending audit-retention check",$C528="Emag_Reporting","Legacy but likely needed",$C528="Nutrition_Data_Archived_Tables","Worth keeping",$C528="EU_Data","Static lookup tables — scripts still reference (smoke-test risk)",TRUE,"Review"),OR($A528="thg-influencer",$A528="thg-ingenuity",$A528="thg-central-marketing",$A528="thg-seoclarity"),"HOLD — Charlie Stringer to review before deletion",TRUE,"")</f>
        <v>HOLD — Charlie Stringer to review before deletion</v>
      </c>
      <c r="S528" t="s">
        <v>1624</v>
      </c>
    </row>
    <row r="529" spans="1:19" ht="76.5" hidden="1">
      <c r="A529" t="s">
        <v>35</v>
      </c>
      <c r="B529" t="s">
        <v>1619</v>
      </c>
      <c r="C529" t="s">
        <v>2809</v>
      </c>
      <c r="D529" s="2" t="s">
        <v>1621</v>
      </c>
      <c r="E529">
        <v>10.88</v>
      </c>
      <c r="F529">
        <v>0.22</v>
      </c>
      <c r="G529" t="s">
        <v>79</v>
      </c>
      <c r="H529" t="s">
        <v>81</v>
      </c>
      <c r="I529">
        <v>0</v>
      </c>
      <c r="J529">
        <v>0</v>
      </c>
      <c r="K529" s="5">
        <v>46197.104468263889</v>
      </c>
      <c r="L529" s="5">
        <v>46197.007342175923</v>
      </c>
      <c r="M529" s="2" t="s">
        <v>2810</v>
      </c>
      <c r="N529" s="2" t="s">
        <v>2811</v>
      </c>
      <c r="O529" s="5">
        <v>46197.007828287038</v>
      </c>
      <c r="P529" t="str">
        <f>IF($Q529="DELETE",IF($S529="CONFIRMED: NO MODS &gt; 1YR","CONFIRMED: NO MODS &gt; 1YR","DO NOT DELETE — not defensibly confirmed"),IF($Q529="HOLD","DO NOT DELETE — HOLD (Charlie review)",IF($Q529="KEEP","DO NOT DELETE — KEEP",IF(ISNUMBER(SEARCH("REVIEW",$Q529)),"DO NOT DELETE — REVIEW pending",$S529))))</f>
        <v>DO NOT DELETE — HOLD (Charlie review)</v>
      </c>
      <c r="Q529" t="str" cm="1">
        <f t="array" ref="Q529">_xlfn.IFS(AND($A529="thg-beauty",ISNUMBER(SEARCH("liveramp",$C529))),"DELETE",$A529="agile-bonbon-662",_xlfn.IFS(LEFT($G529,9)="Tranche 1","DELETE",$C529="Sessions_Level_1_All_Sites","KEEP",ISNUMBER(--$C529),"REVIEW — UA raw logs",$C529="Emag_Reporting","KEEP",$C529="Nutrition_Data_Archived_Tables","KEEP",$C529="EU_Data","KEEP",TRUE,"REVIEW"),OR($A529="thg-influencer",$A529="thg-ingenuity",$A529="thg-central-marketing",$A529="thg-seoclarity"),"HOLD",TRUE,"")</f>
        <v>HOLD</v>
      </c>
      <c r="R529" t="str" cm="1">
        <f t="array" ref="R529">_xlfn.IFS(AND($A529="thg-beauty",ISNUMBER(SEARCH("liveramp",$C529))),"thg-beauty Liveramp dataset — confirmed safe to delete",$A529="agile-bonbon-662",_xlfn.IFS(LEFT($G529,9)="Tranche 1","Tranche 1: cleared",$C529="Sessions_Level_1_All_Sites","Downstream aggregation of UA raw logs — keep if raw tables go",ISNUMBER(--$C529),"UA raw site logs (account ID) — keep pending audit-retention check",$C529="Emag_Reporting","Legacy but likely needed",$C529="Nutrition_Data_Archived_Tables","Worth keeping",$C529="EU_Data","Static lookup tables — scripts still reference (smoke-test risk)",TRUE,"Review"),OR($A529="thg-influencer",$A529="thg-ingenuity",$A529="thg-central-marketing",$A529="thg-seoclarity"),"HOLD — Charlie Stringer to review before deletion",TRUE,"")</f>
        <v>HOLD — Charlie Stringer to review before deletion</v>
      </c>
      <c r="S529" t="s">
        <v>1631</v>
      </c>
    </row>
    <row r="530" spans="1:19" ht="76.5" hidden="1">
      <c r="A530" t="s">
        <v>38</v>
      </c>
      <c r="B530" t="s">
        <v>1619</v>
      </c>
      <c r="C530" t="s">
        <v>2413</v>
      </c>
      <c r="D530" s="2" t="s">
        <v>1621</v>
      </c>
      <c r="E530">
        <v>10.82</v>
      </c>
      <c r="F530">
        <v>0.22</v>
      </c>
      <c r="G530" t="s">
        <v>79</v>
      </c>
      <c r="H530" t="s">
        <v>81</v>
      </c>
      <c r="I530">
        <v>0</v>
      </c>
      <c r="J530">
        <v>0</v>
      </c>
      <c r="K530" s="5">
        <v>46197.046655625003</v>
      </c>
      <c r="L530" s="5">
        <v>46197.046655625003</v>
      </c>
      <c r="M530" s="2" t="s">
        <v>2812</v>
      </c>
      <c r="N530" s="2" t="s">
        <v>2813</v>
      </c>
      <c r="O530" s="5">
        <v>46197.0476208912</v>
      </c>
      <c r="P530" t="str">
        <f>IF($Q530="DELETE",IF($S530="CONFIRMED: NO MODS &gt; 1YR","CONFIRMED: NO MODS &gt; 1YR","DO NOT DELETE — not defensibly confirmed"),IF($Q530="HOLD","DO NOT DELETE — HOLD (Charlie review)",IF($Q530="KEEP","DO NOT DELETE — KEEP",IF(ISNUMBER(SEARCH("REVIEW",$Q530)),"DO NOT DELETE — REVIEW pending",$S530))))</f>
        <v>DO NOT DELETE — HOLD (Charlie review)</v>
      </c>
      <c r="Q530" t="str" cm="1">
        <f t="array" ref="Q530">_xlfn.IFS(AND($A530="thg-beauty",ISNUMBER(SEARCH("liveramp",$C530))),"DELETE",$A530="agile-bonbon-662",_xlfn.IFS(LEFT($G530,9)="Tranche 1","DELETE",$C530="Sessions_Level_1_All_Sites","KEEP",ISNUMBER(--$C530),"REVIEW — UA raw logs",$C530="Emag_Reporting","KEEP",$C530="Nutrition_Data_Archived_Tables","KEEP",$C530="EU_Data","KEEP",TRUE,"REVIEW"),OR($A530="thg-influencer",$A530="thg-ingenuity",$A530="thg-central-marketing",$A530="thg-seoclarity"),"HOLD",TRUE,"")</f>
        <v>HOLD</v>
      </c>
      <c r="R530" t="str" cm="1">
        <f t="array" ref="R530">_xlfn.IFS(AND($A530="thg-beauty",ISNUMBER(SEARCH("liveramp",$C530))),"thg-beauty Liveramp dataset — confirmed safe to delete",$A530="agile-bonbon-662",_xlfn.IFS(LEFT($G530,9)="Tranche 1","Tranche 1: cleared",$C530="Sessions_Level_1_All_Sites","Downstream aggregation of UA raw logs — keep if raw tables go",ISNUMBER(--$C530),"UA raw site logs (account ID) — keep pending audit-retention check",$C530="Emag_Reporting","Legacy but likely needed",$C530="Nutrition_Data_Archived_Tables","Worth keeping",$C530="EU_Data","Static lookup tables — scripts still reference (smoke-test risk)",TRUE,"Review"),OR($A530="thg-influencer",$A530="thg-ingenuity",$A530="thg-central-marketing",$A530="thg-seoclarity"),"HOLD — Charlie Stringer to review before deletion",TRUE,"")</f>
        <v>HOLD — Charlie Stringer to review before deletion</v>
      </c>
      <c r="S530" t="s">
        <v>1631</v>
      </c>
    </row>
    <row r="531" spans="1:19" ht="76.5" hidden="1">
      <c r="A531" t="s">
        <v>39</v>
      </c>
      <c r="B531" t="s">
        <v>1619</v>
      </c>
      <c r="C531" t="s">
        <v>2524</v>
      </c>
      <c r="D531" s="2" t="s">
        <v>1621</v>
      </c>
      <c r="E531">
        <v>10.72</v>
      </c>
      <c r="F531">
        <v>0.21</v>
      </c>
      <c r="G531" t="s">
        <v>79</v>
      </c>
      <c r="H531" t="s">
        <v>81</v>
      </c>
      <c r="I531">
        <v>0</v>
      </c>
      <c r="J531">
        <v>0</v>
      </c>
      <c r="K531" s="5">
        <v>46197.078892662037</v>
      </c>
      <c r="L531" s="5">
        <v>46197.078985949083</v>
      </c>
      <c r="M531" s="2" t="s">
        <v>2814</v>
      </c>
      <c r="N531" s="2" t="s">
        <v>2815</v>
      </c>
      <c r="O531" s="5">
        <v>46197.079011585651</v>
      </c>
      <c r="P531" t="str">
        <f>IF($Q531="DELETE",IF($S531="CONFIRMED: NO MODS &gt; 1YR","CONFIRMED: NO MODS &gt; 1YR","DO NOT DELETE — not defensibly confirmed"),IF($Q531="HOLD","DO NOT DELETE — HOLD (Charlie review)",IF($Q531="KEEP","DO NOT DELETE — KEEP",IF(ISNUMBER(SEARCH("REVIEW",$Q531)),"DO NOT DELETE — REVIEW pending",$S531))))</f>
        <v>DO NOT DELETE — HOLD (Charlie review)</v>
      </c>
      <c r="Q531" t="str" cm="1">
        <f t="array" ref="Q531">_xlfn.IFS(AND($A531="thg-beauty",ISNUMBER(SEARCH("liveramp",$C531))),"DELETE",$A531="agile-bonbon-662",_xlfn.IFS(LEFT($G531,9)="Tranche 1","DELETE",$C531="Sessions_Level_1_All_Sites","KEEP",ISNUMBER(--$C531),"REVIEW — UA raw logs",$C531="Emag_Reporting","KEEP",$C531="Nutrition_Data_Archived_Tables","KEEP",$C531="EU_Data","KEEP",TRUE,"REVIEW"),OR($A531="thg-influencer",$A531="thg-ingenuity",$A531="thg-central-marketing",$A531="thg-seoclarity"),"HOLD",TRUE,"")</f>
        <v>HOLD</v>
      </c>
      <c r="R531" t="str" cm="1">
        <f t="array" ref="R531">_xlfn.IFS(AND($A531="thg-beauty",ISNUMBER(SEARCH("liveramp",$C531))),"thg-beauty Liveramp dataset — confirmed safe to delete",$A531="agile-bonbon-662",_xlfn.IFS(LEFT($G531,9)="Tranche 1","Tranche 1: cleared",$C531="Sessions_Level_1_All_Sites","Downstream aggregation of UA raw logs — keep if raw tables go",ISNUMBER(--$C531),"UA raw site logs (account ID) — keep pending audit-retention check",$C531="Emag_Reporting","Legacy but likely needed",$C531="Nutrition_Data_Archived_Tables","Worth keeping",$C531="EU_Data","Static lookup tables — scripts still reference (smoke-test risk)",TRUE,"Review"),OR($A531="thg-influencer",$A531="thg-ingenuity",$A531="thg-central-marketing",$A531="thg-seoclarity"),"HOLD — Charlie Stringer to review before deletion",TRUE,"")</f>
        <v>HOLD — Charlie Stringer to review before deletion</v>
      </c>
      <c r="S531" t="s">
        <v>1624</v>
      </c>
    </row>
    <row r="532" spans="1:19" ht="76.5" hidden="1">
      <c r="A532" t="s">
        <v>92</v>
      </c>
      <c r="B532" t="s">
        <v>1619</v>
      </c>
      <c r="C532" t="s">
        <v>2816</v>
      </c>
      <c r="D532" s="2" t="s">
        <v>1621</v>
      </c>
      <c r="E532">
        <v>0.62</v>
      </c>
      <c r="F532">
        <v>0.01</v>
      </c>
      <c r="G532" t="s">
        <v>79</v>
      </c>
      <c r="H532" t="s">
        <v>81</v>
      </c>
      <c r="I532">
        <v>121</v>
      </c>
      <c r="J532">
        <v>121</v>
      </c>
      <c r="K532" s="5">
        <v>46076.355462002313</v>
      </c>
      <c r="L532" s="5">
        <v>46076.355462002313</v>
      </c>
      <c r="M532" s="2" t="s">
        <v>2817</v>
      </c>
      <c r="N532" s="2" t="s">
        <v>2817</v>
      </c>
      <c r="O532" s="5">
        <v>46076.355547245374</v>
      </c>
      <c r="P532" t="str">
        <f>IF($Q532="DELETE",IF($S532="CONFIRMED: NO MODS &gt; 1YR","CONFIRMED: NO MODS &gt; 1YR","DO NOT DELETE — not defensibly confirmed"),IF($Q532="HOLD","DO NOT DELETE — HOLD (Charlie review)",IF($Q532="KEEP","DO NOT DELETE — KEEP",IF(ISNUMBER(SEARCH("REVIEW",$Q532)),"DO NOT DELETE — REVIEW pending",$S532))))</f>
        <v>REVIEW</v>
      </c>
      <c r="Q532" t="str" cm="1">
        <f t="array" ref="Q532">_xlfn.IFS(AND($A532="thg-beauty",ISNUMBER(SEARCH("liveramp",$C532))),"DELETE",$A532="agile-bonbon-662",_xlfn.IFS(LEFT($G532,9)="Tranche 1","DELETE",$C532="Sessions_Level_1_All_Sites","KEEP",ISNUMBER(--$C532),"REVIEW — UA raw logs",$C532="Emag_Reporting","KEEP",$C532="Nutrition_Data_Archived_Tables","KEEP",$C532="EU_Data","KEEP",TRUE,"REVIEW"),OR($A532="thg-influencer",$A532="thg-ingenuity",$A532="thg-central-marketing",$A532="thg-seoclarity"),"HOLD",TRUE,"")</f>
        <v/>
      </c>
      <c r="R532" t="str" cm="1">
        <f t="array" ref="R532">_xlfn.IFS(AND($A532="thg-beauty",ISNUMBER(SEARCH("liveramp",$C532))),"thg-beauty Liveramp dataset — confirmed safe to delete",$A532="agile-bonbon-662",_xlfn.IFS(LEFT($G532,9)="Tranche 1","Tranche 1: cleared",$C532="Sessions_Level_1_All_Sites","Downstream aggregation of UA raw logs — keep if raw tables go",ISNUMBER(--$C532),"UA raw site logs (account ID) — keep pending audit-retention check",$C532="Emag_Reporting","Legacy but likely needed",$C532="Nutrition_Data_Archived_Tables","Worth keeping",$C532="EU_Data","Static lookup tables — scripts still reference (smoke-test risk)",TRUE,"Review"),OR($A532="thg-influencer",$A532="thg-ingenuity",$A532="thg-central-marketing",$A532="thg-seoclarity"),"HOLD — Charlie Stringer to review before deletion",TRUE,"")</f>
        <v/>
      </c>
      <c r="S532" t="s">
        <v>1631</v>
      </c>
    </row>
    <row r="533" spans="1:19" ht="76.5" hidden="1">
      <c r="A533" t="s">
        <v>92</v>
      </c>
      <c r="B533" t="s">
        <v>1619</v>
      </c>
      <c r="C533" t="s">
        <v>2818</v>
      </c>
      <c r="D533" s="2" t="s">
        <v>1621</v>
      </c>
      <c r="E533">
        <v>0.64</v>
      </c>
      <c r="F533">
        <v>0.01</v>
      </c>
      <c r="G533" t="s">
        <v>79</v>
      </c>
      <c r="H533" t="s">
        <v>81</v>
      </c>
      <c r="I533">
        <v>118</v>
      </c>
      <c r="J533">
        <v>118</v>
      </c>
      <c r="K533" s="5">
        <v>46078.63048226852</v>
      </c>
      <c r="L533" s="5">
        <v>46078.599171724527</v>
      </c>
      <c r="M533" s="2" t="s">
        <v>2819</v>
      </c>
      <c r="N533" s="2" t="s">
        <v>2820</v>
      </c>
      <c r="O533" s="5">
        <v>46078.599340694447</v>
      </c>
      <c r="P533" t="str">
        <f>IF($Q533="DELETE",IF($S533="CONFIRMED: NO MODS &gt; 1YR","CONFIRMED: NO MODS &gt; 1YR","DO NOT DELETE — not defensibly confirmed"),IF($Q533="HOLD","DO NOT DELETE — HOLD (Charlie review)",IF($Q533="KEEP","DO NOT DELETE — KEEP",IF(ISNUMBER(SEARCH("REVIEW",$Q533)),"DO NOT DELETE — REVIEW pending",$S533))))</f>
        <v>REVIEW</v>
      </c>
      <c r="Q533" t="str" cm="1">
        <f t="array" ref="Q533">_xlfn.IFS(AND($A533="thg-beauty",ISNUMBER(SEARCH("liveramp",$C533))),"DELETE",$A533="agile-bonbon-662",_xlfn.IFS(LEFT($G533,9)="Tranche 1","DELETE",$C533="Sessions_Level_1_All_Sites","KEEP",ISNUMBER(--$C533),"REVIEW — UA raw logs",$C533="Emag_Reporting","KEEP",$C533="Nutrition_Data_Archived_Tables","KEEP",$C533="EU_Data","KEEP",TRUE,"REVIEW"),OR($A533="thg-influencer",$A533="thg-ingenuity",$A533="thg-central-marketing",$A533="thg-seoclarity"),"HOLD",TRUE,"")</f>
        <v/>
      </c>
      <c r="R533" t="str" cm="1">
        <f t="array" ref="R533">_xlfn.IFS(AND($A533="thg-beauty",ISNUMBER(SEARCH("liveramp",$C533))),"thg-beauty Liveramp dataset — confirmed safe to delete",$A533="agile-bonbon-662",_xlfn.IFS(LEFT($G533,9)="Tranche 1","Tranche 1: cleared",$C533="Sessions_Level_1_All_Sites","Downstream aggregation of UA raw logs — keep if raw tables go",ISNUMBER(--$C533),"UA raw site logs (account ID) — keep pending audit-retention check",$C533="Emag_Reporting","Legacy but likely needed",$C533="Nutrition_Data_Archived_Tables","Worth keeping",$C533="EU_Data","Static lookup tables — scripts still reference (smoke-test risk)",TRUE,"Review"),OR($A533="thg-influencer",$A533="thg-ingenuity",$A533="thg-central-marketing",$A533="thg-seoclarity"),"HOLD — Charlie Stringer to review before deletion",TRUE,"")</f>
        <v/>
      </c>
      <c r="S533" t="s">
        <v>1631</v>
      </c>
    </row>
    <row r="534" spans="1:19" hidden="1">
      <c r="A534" t="s">
        <v>90</v>
      </c>
      <c r="B534" t="s">
        <v>1619</v>
      </c>
      <c r="C534" t="s">
        <v>2821</v>
      </c>
      <c r="D534" s="2" t="s">
        <v>1621</v>
      </c>
      <c r="E534">
        <v>9.98</v>
      </c>
      <c r="F534">
        <v>0.2</v>
      </c>
      <c r="G534" t="s">
        <v>79</v>
      </c>
      <c r="H534" t="s">
        <v>81</v>
      </c>
      <c r="I534">
        <v>0</v>
      </c>
      <c r="J534">
        <v>0</v>
      </c>
      <c r="K534" s="5">
        <v>46141.387823738427</v>
      </c>
      <c r="M534" s="2" t="s">
        <v>1800</v>
      </c>
      <c r="N534" s="2" t="s">
        <v>1701</v>
      </c>
      <c r="O534" s="5">
        <v>46197.422548240742</v>
      </c>
      <c r="P534" t="str">
        <f>IF($Q534="DELETE",IF($S534="CONFIRMED: NO MODS &gt; 1YR","CONFIRMED: NO MODS &gt; 1YR","DO NOT DELETE — not defensibly confirmed"),IF($Q534="HOLD","DO NOT DELETE — HOLD (Charlie review)",IF($Q534="KEEP","DO NOT DELETE — KEEP",IF(ISNUMBER(SEARCH("REVIEW",$Q534)),"DO NOT DELETE — REVIEW pending",$S534))))</f>
        <v>REVIEW</v>
      </c>
      <c r="Q534" t="str" cm="1">
        <f t="array" ref="Q534">_xlfn.IFS(AND($A534="thg-beauty",ISNUMBER(SEARCH("liveramp",$C534))),"DELETE",$A534="agile-bonbon-662",_xlfn.IFS(LEFT($G534,9)="Tranche 1","DELETE",$C534="Sessions_Level_1_All_Sites","KEEP",ISNUMBER(--$C534),"REVIEW — UA raw logs",$C534="Emag_Reporting","KEEP",$C534="Nutrition_Data_Archived_Tables","KEEP",$C534="EU_Data","KEEP",TRUE,"REVIEW"),OR($A534="thg-influencer",$A534="thg-ingenuity",$A534="thg-central-marketing",$A534="thg-seoclarity"),"HOLD",TRUE,"")</f>
        <v/>
      </c>
      <c r="R534" t="str" cm="1">
        <f t="array" ref="R534">_xlfn.IFS(AND($A534="thg-beauty",ISNUMBER(SEARCH("liveramp",$C534))),"thg-beauty Liveramp dataset — confirmed safe to delete",$A534="agile-bonbon-662",_xlfn.IFS(LEFT($G534,9)="Tranche 1","Tranche 1: cleared",$C534="Sessions_Level_1_All_Sites","Downstream aggregation of UA raw logs — keep if raw tables go",ISNUMBER(--$C534),"UA raw site logs (account ID) — keep pending audit-retention check",$C534="Emag_Reporting","Legacy but likely needed",$C534="Nutrition_Data_Archived_Tables","Worth keeping",$C534="EU_Data","Static lookup tables — scripts still reference (smoke-test risk)",TRUE,"Review"),OR($A534="thg-influencer",$A534="thg-ingenuity",$A534="thg-central-marketing",$A534="thg-seoclarity"),"HOLD — Charlie Stringer to review before deletion",TRUE,"")</f>
        <v/>
      </c>
      <c r="S534" t="s">
        <v>1631</v>
      </c>
    </row>
    <row r="535" spans="1:19" ht="76.5" hidden="1">
      <c r="A535" t="s">
        <v>92</v>
      </c>
      <c r="B535" t="s">
        <v>1619</v>
      </c>
      <c r="C535" t="s">
        <v>2822</v>
      </c>
      <c r="D535" s="2" t="s">
        <v>1621</v>
      </c>
      <c r="E535">
        <v>0.3</v>
      </c>
      <c r="F535">
        <v>0.01</v>
      </c>
      <c r="G535" t="s">
        <v>79</v>
      </c>
      <c r="H535" t="s">
        <v>81</v>
      </c>
      <c r="I535">
        <v>100</v>
      </c>
      <c r="J535">
        <v>100</v>
      </c>
      <c r="K535" s="5">
        <v>46097.196881238429</v>
      </c>
      <c r="L535" s="5">
        <v>46097.196809872687</v>
      </c>
      <c r="M535" s="2" t="s">
        <v>2823</v>
      </c>
      <c r="N535" s="2" t="s">
        <v>2824</v>
      </c>
      <c r="O535" s="5">
        <v>46097.196830393521</v>
      </c>
      <c r="P535" t="str">
        <f>IF($Q535="DELETE",IF($S535="CONFIRMED: NO MODS &gt; 1YR","CONFIRMED: NO MODS &gt; 1YR","DO NOT DELETE — not defensibly confirmed"),IF($Q535="HOLD","DO NOT DELETE — HOLD (Charlie review)",IF($Q535="KEEP","DO NOT DELETE — KEEP",IF(ISNUMBER(SEARCH("REVIEW",$Q535)),"DO NOT DELETE — REVIEW pending",$S535))))</f>
        <v>REVIEW</v>
      </c>
      <c r="Q535" t="str" cm="1">
        <f t="array" ref="Q535">_xlfn.IFS(AND($A535="thg-beauty",ISNUMBER(SEARCH("liveramp",$C535))),"DELETE",$A535="agile-bonbon-662",_xlfn.IFS(LEFT($G535,9)="Tranche 1","DELETE",$C535="Sessions_Level_1_All_Sites","KEEP",ISNUMBER(--$C535),"REVIEW — UA raw logs",$C535="Emag_Reporting","KEEP",$C535="Nutrition_Data_Archived_Tables","KEEP",$C535="EU_Data","KEEP",TRUE,"REVIEW"),OR($A535="thg-influencer",$A535="thg-ingenuity",$A535="thg-central-marketing",$A535="thg-seoclarity"),"HOLD",TRUE,"")</f>
        <v/>
      </c>
      <c r="R535" t="str" cm="1">
        <f t="array" ref="R535">_xlfn.IFS(AND($A535="thg-beauty",ISNUMBER(SEARCH("liveramp",$C535))),"thg-beauty Liveramp dataset — confirmed safe to delete",$A535="agile-bonbon-662",_xlfn.IFS(LEFT($G535,9)="Tranche 1","Tranche 1: cleared",$C535="Sessions_Level_1_All_Sites","Downstream aggregation of UA raw logs — keep if raw tables go",ISNUMBER(--$C535),"UA raw site logs (account ID) — keep pending audit-retention check",$C535="Emag_Reporting","Legacy but likely needed",$C535="Nutrition_Data_Archived_Tables","Worth keeping",$C535="EU_Data","Static lookup tables — scripts still reference (smoke-test risk)",TRUE,"Review"),OR($A535="thg-influencer",$A535="thg-ingenuity",$A535="thg-central-marketing",$A535="thg-seoclarity"),"HOLD — Charlie Stringer to review before deletion",TRUE,"")</f>
        <v/>
      </c>
      <c r="S535" t="s">
        <v>1631</v>
      </c>
    </row>
    <row r="536" spans="1:19" ht="76.5" hidden="1">
      <c r="A536" t="s">
        <v>92</v>
      </c>
      <c r="B536" t="s">
        <v>1619</v>
      </c>
      <c r="C536" t="s">
        <v>2825</v>
      </c>
      <c r="D536" s="2" t="s">
        <v>1621</v>
      </c>
      <c r="E536">
        <v>0.7</v>
      </c>
      <c r="F536">
        <v>0.01</v>
      </c>
      <c r="G536" t="s">
        <v>79</v>
      </c>
      <c r="H536" t="s">
        <v>81</v>
      </c>
      <c r="I536">
        <v>65</v>
      </c>
      <c r="J536">
        <v>86</v>
      </c>
      <c r="K536" s="5">
        <v>46132.252299178239</v>
      </c>
      <c r="L536" s="5">
        <v>46111.145273831018</v>
      </c>
      <c r="M536" s="2" t="s">
        <v>2826</v>
      </c>
      <c r="N536" s="2" t="s">
        <v>2827</v>
      </c>
      <c r="O536" s="5">
        <v>46111.145272569447</v>
      </c>
      <c r="P536" t="str">
        <f>IF($Q536="DELETE",IF($S536="CONFIRMED: NO MODS &gt; 1YR","CONFIRMED: NO MODS &gt; 1YR","DO NOT DELETE — not defensibly confirmed"),IF($Q536="HOLD","DO NOT DELETE — HOLD (Charlie review)",IF($Q536="KEEP","DO NOT DELETE — KEEP",IF(ISNUMBER(SEARCH("REVIEW",$Q536)),"DO NOT DELETE — REVIEW pending",$S536))))</f>
        <v>REVIEW</v>
      </c>
      <c r="Q536" t="str" cm="1">
        <f t="array" ref="Q536">_xlfn.IFS(AND($A536="thg-beauty",ISNUMBER(SEARCH("liveramp",$C536))),"DELETE",$A536="agile-bonbon-662",_xlfn.IFS(LEFT($G536,9)="Tranche 1","DELETE",$C536="Sessions_Level_1_All_Sites","KEEP",ISNUMBER(--$C536),"REVIEW — UA raw logs",$C536="Emag_Reporting","KEEP",$C536="Nutrition_Data_Archived_Tables","KEEP",$C536="EU_Data","KEEP",TRUE,"REVIEW"),OR($A536="thg-influencer",$A536="thg-ingenuity",$A536="thg-central-marketing",$A536="thg-seoclarity"),"HOLD",TRUE,"")</f>
        <v/>
      </c>
      <c r="R536" t="str" cm="1">
        <f t="array" ref="R536">_xlfn.IFS(AND($A536="thg-beauty",ISNUMBER(SEARCH("liveramp",$C536))),"thg-beauty Liveramp dataset — confirmed safe to delete",$A536="agile-bonbon-662",_xlfn.IFS(LEFT($G536,9)="Tranche 1","Tranche 1: cleared",$C536="Sessions_Level_1_All_Sites","Downstream aggregation of UA raw logs — keep if raw tables go",ISNUMBER(--$C536),"UA raw site logs (account ID) — keep pending audit-retention check",$C536="Emag_Reporting","Legacy but likely needed",$C536="Nutrition_Data_Archived_Tables","Worth keeping",$C536="EU_Data","Static lookup tables — scripts still reference (smoke-test risk)",TRUE,"Review"),OR($A536="thg-influencer",$A536="thg-ingenuity",$A536="thg-central-marketing",$A536="thg-seoclarity"),"HOLD — Charlie Stringer to review before deletion",TRUE,"")</f>
        <v/>
      </c>
      <c r="S536" t="s">
        <v>1631</v>
      </c>
    </row>
    <row r="537" spans="1:19" ht="76.5" hidden="1">
      <c r="A537" t="s">
        <v>90</v>
      </c>
      <c r="B537" t="s">
        <v>1619</v>
      </c>
      <c r="C537" t="s">
        <v>1816</v>
      </c>
      <c r="D537" s="2" t="s">
        <v>1621</v>
      </c>
      <c r="E537">
        <v>9.15</v>
      </c>
      <c r="F537">
        <v>0.18</v>
      </c>
      <c r="G537" t="s">
        <v>79</v>
      </c>
      <c r="H537" t="s">
        <v>81</v>
      </c>
      <c r="I537">
        <v>0</v>
      </c>
      <c r="J537">
        <v>0</v>
      </c>
      <c r="K537" s="5">
        <v>46197.349773391201</v>
      </c>
      <c r="L537" s="5">
        <v>46155.330606828713</v>
      </c>
      <c r="M537" s="2" t="s">
        <v>2828</v>
      </c>
      <c r="N537" s="2" t="s">
        <v>2829</v>
      </c>
      <c r="O537" s="5">
        <v>46197.43332394676</v>
      </c>
      <c r="P537" t="str">
        <f>IF($Q537="DELETE",IF($S537="CONFIRMED: NO MODS &gt; 1YR","CONFIRMED: NO MODS &gt; 1YR","DO NOT DELETE — not defensibly confirmed"),IF($Q537="HOLD","DO NOT DELETE — HOLD (Charlie review)",IF($Q537="KEEP","DO NOT DELETE — KEEP",IF(ISNUMBER(SEARCH("REVIEW",$Q537)),"DO NOT DELETE — REVIEW pending",$S537))))</f>
        <v>REVIEW</v>
      </c>
      <c r="Q537" t="str" cm="1">
        <f t="array" ref="Q537">_xlfn.IFS(AND($A537="thg-beauty",ISNUMBER(SEARCH("liveramp",$C537))),"DELETE",$A537="agile-bonbon-662",_xlfn.IFS(LEFT($G537,9)="Tranche 1","DELETE",$C537="Sessions_Level_1_All_Sites","KEEP",ISNUMBER(--$C537),"REVIEW — UA raw logs",$C537="Emag_Reporting","KEEP",$C537="Nutrition_Data_Archived_Tables","KEEP",$C537="EU_Data","KEEP",TRUE,"REVIEW"),OR($A537="thg-influencer",$A537="thg-ingenuity",$A537="thg-central-marketing",$A537="thg-seoclarity"),"HOLD",TRUE,"")</f>
        <v/>
      </c>
      <c r="R537" t="str" cm="1">
        <f t="array" ref="R537">_xlfn.IFS(AND($A537="thg-beauty",ISNUMBER(SEARCH("liveramp",$C537))),"thg-beauty Liveramp dataset — confirmed safe to delete",$A537="agile-bonbon-662",_xlfn.IFS(LEFT($G537,9)="Tranche 1","Tranche 1: cleared",$C537="Sessions_Level_1_All_Sites","Downstream aggregation of UA raw logs — keep if raw tables go",ISNUMBER(--$C537),"UA raw site logs (account ID) — keep pending audit-retention check",$C537="Emag_Reporting","Legacy but likely needed",$C537="Nutrition_Data_Archived_Tables","Worth keeping",$C537="EU_Data","Static lookup tables — scripts still reference (smoke-test risk)",TRUE,"Review"),OR($A537="thg-influencer",$A537="thg-ingenuity",$A537="thg-central-marketing",$A537="thg-seoclarity"),"HOLD — Charlie Stringer to review before deletion",TRUE,"")</f>
        <v/>
      </c>
      <c r="S537" t="s">
        <v>1631</v>
      </c>
    </row>
    <row r="538" spans="1:19" ht="76.5" hidden="1">
      <c r="A538" t="s">
        <v>89</v>
      </c>
      <c r="B538" t="s">
        <v>1619</v>
      </c>
      <c r="C538" t="s">
        <v>2830</v>
      </c>
      <c r="D538" s="2" t="s">
        <v>1621</v>
      </c>
      <c r="E538">
        <v>8.73</v>
      </c>
      <c r="F538">
        <v>0.17</v>
      </c>
      <c r="G538" t="s">
        <v>79</v>
      </c>
      <c r="H538" t="s">
        <v>81</v>
      </c>
      <c r="I538">
        <v>0</v>
      </c>
      <c r="J538">
        <v>0</v>
      </c>
      <c r="K538" s="5">
        <v>46197.420845069442</v>
      </c>
      <c r="L538" s="5">
        <v>46197.380138611108</v>
      </c>
      <c r="M538" s="2" t="s">
        <v>2831</v>
      </c>
      <c r="N538" s="2" t="s">
        <v>2832</v>
      </c>
      <c r="O538" s="5">
        <v>46197.380156099527</v>
      </c>
      <c r="P538" t="str">
        <f>IF($Q538="DELETE",IF($S538="CONFIRMED: NO MODS &gt; 1YR","CONFIRMED: NO MODS &gt; 1YR","DO NOT DELETE — not defensibly confirmed"),IF($Q538="HOLD","DO NOT DELETE — HOLD (Charlie review)",IF($Q538="KEEP","DO NOT DELETE — KEEP",IF(ISNUMBER(SEARCH("REVIEW",$Q538)),"DO NOT DELETE — REVIEW pending",$S538))))</f>
        <v>DO NOT DELETE — REVIEW pending</v>
      </c>
      <c r="Q538" t="str" cm="1">
        <f t="array" ref="Q538">_xlfn.IFS(AND($A538="thg-beauty",ISNUMBER(SEARCH("liveramp",$C538))),"DELETE",$A538="agile-bonbon-662",_xlfn.IFS(LEFT($G538,9)="Tranche 1","DELETE",$C538="Sessions_Level_1_All_Sites","KEEP",ISNUMBER(--$C538),"REVIEW — UA raw logs",$C538="Emag_Reporting","KEEP",$C538="Nutrition_Data_Archived_Tables","KEEP",$C538="EU_Data","KEEP",TRUE,"REVIEW"),OR($A538="thg-influencer",$A538="thg-ingenuity",$A538="thg-central-marketing",$A538="thg-seoclarity"),"HOLD",TRUE,"")</f>
        <v>REVIEW</v>
      </c>
      <c r="R538" t="str" cm="1">
        <f t="array" ref="R538">_xlfn.IFS(AND($A538="thg-beauty",ISNUMBER(SEARCH("liveramp",$C538))),"thg-beauty Liveramp dataset — confirmed safe to delete",$A538="agile-bonbon-662",_xlfn.IFS(LEFT($G538,9)="Tranche 1","Tranche 1: cleared",$C538="Sessions_Level_1_All_Sites","Downstream aggregation of UA raw logs — keep if raw tables go",ISNUMBER(--$C538),"UA raw site logs (account ID) — keep pending audit-retention check",$C538="Emag_Reporting","Legacy but likely needed",$C538="Nutrition_Data_Archived_Tables","Worth keeping",$C538="EU_Data","Static lookup tables — scripts still reference (smoke-test risk)",TRUE,"Review"),OR($A538="thg-influencer",$A538="thg-ingenuity",$A538="thg-central-marketing",$A538="thg-seoclarity"),"HOLD — Charlie Stringer to review before deletion",TRUE,"")</f>
        <v>Review</v>
      </c>
      <c r="S538" t="s">
        <v>1631</v>
      </c>
    </row>
    <row r="539" spans="1:19" ht="76.5" hidden="1">
      <c r="A539" t="s">
        <v>38</v>
      </c>
      <c r="B539" t="s">
        <v>1619</v>
      </c>
      <c r="C539" t="s">
        <v>2434</v>
      </c>
      <c r="D539" s="2" t="s">
        <v>1621</v>
      </c>
      <c r="E539">
        <v>8.26</v>
      </c>
      <c r="F539">
        <v>0.17</v>
      </c>
      <c r="G539" t="s">
        <v>79</v>
      </c>
      <c r="H539" t="s">
        <v>81</v>
      </c>
      <c r="I539">
        <v>0</v>
      </c>
      <c r="J539">
        <v>0</v>
      </c>
      <c r="K539" s="5">
        <v>46100.479525868053</v>
      </c>
      <c r="L539" s="5">
        <v>46197.085615532407</v>
      </c>
      <c r="M539" s="2" t="s">
        <v>2833</v>
      </c>
      <c r="N539" s="2" t="s">
        <v>2834</v>
      </c>
      <c r="O539" s="5">
        <v>46197.085951782406</v>
      </c>
      <c r="P539" t="str">
        <f>IF($Q539="DELETE",IF($S539="CONFIRMED: NO MODS &gt; 1YR","CONFIRMED: NO MODS &gt; 1YR","DO NOT DELETE — not defensibly confirmed"),IF($Q539="HOLD","DO NOT DELETE — HOLD (Charlie review)",IF($Q539="KEEP","DO NOT DELETE — KEEP",IF(ISNUMBER(SEARCH("REVIEW",$Q539)),"DO NOT DELETE — REVIEW pending",$S539))))</f>
        <v>DO NOT DELETE — HOLD (Charlie review)</v>
      </c>
      <c r="Q539" t="str" cm="1">
        <f t="array" ref="Q539">_xlfn.IFS(AND($A539="thg-beauty",ISNUMBER(SEARCH("liveramp",$C539))),"DELETE",$A539="agile-bonbon-662",_xlfn.IFS(LEFT($G539,9)="Tranche 1","DELETE",$C539="Sessions_Level_1_All_Sites","KEEP",ISNUMBER(--$C539),"REVIEW — UA raw logs",$C539="Emag_Reporting","KEEP",$C539="Nutrition_Data_Archived_Tables","KEEP",$C539="EU_Data","KEEP",TRUE,"REVIEW"),OR($A539="thg-influencer",$A539="thg-ingenuity",$A539="thg-central-marketing",$A539="thg-seoclarity"),"HOLD",TRUE,"")</f>
        <v>HOLD</v>
      </c>
      <c r="R539" t="str" cm="1">
        <f t="array" ref="R539">_xlfn.IFS(AND($A539="thg-beauty",ISNUMBER(SEARCH("liveramp",$C539))),"thg-beauty Liveramp dataset — confirmed safe to delete",$A539="agile-bonbon-662",_xlfn.IFS(LEFT($G539,9)="Tranche 1","Tranche 1: cleared",$C539="Sessions_Level_1_All_Sites","Downstream aggregation of UA raw logs — keep if raw tables go",ISNUMBER(--$C539),"UA raw site logs (account ID) — keep pending audit-retention check",$C539="Emag_Reporting","Legacy but likely needed",$C539="Nutrition_Data_Archived_Tables","Worth keeping",$C539="EU_Data","Static lookup tables — scripts still reference (smoke-test risk)",TRUE,"Review"),OR($A539="thg-influencer",$A539="thg-ingenuity",$A539="thg-central-marketing",$A539="thg-seoclarity"),"HOLD — Charlie Stringer to review before deletion",TRUE,"")</f>
        <v>HOLD — Charlie Stringer to review before deletion</v>
      </c>
      <c r="S539" t="s">
        <v>1631</v>
      </c>
    </row>
    <row r="540" spans="1:19" ht="76.5" hidden="1">
      <c r="A540" t="s">
        <v>89</v>
      </c>
      <c r="B540" t="s">
        <v>1619</v>
      </c>
      <c r="C540" t="s">
        <v>2835</v>
      </c>
      <c r="D540" s="2" t="s">
        <v>1621</v>
      </c>
      <c r="E540">
        <v>8.0500000000000007</v>
      </c>
      <c r="F540">
        <v>0.16</v>
      </c>
      <c r="G540" t="s">
        <v>79</v>
      </c>
      <c r="H540" t="s">
        <v>81</v>
      </c>
      <c r="I540">
        <v>0</v>
      </c>
      <c r="J540">
        <v>0</v>
      </c>
      <c r="K540" s="5">
        <v>46197.219224502318</v>
      </c>
      <c r="L540" s="5">
        <v>46197.219218668979</v>
      </c>
      <c r="M540" s="2" t="s">
        <v>2836</v>
      </c>
      <c r="N540" s="2" t="s">
        <v>2836</v>
      </c>
      <c r="O540" s="5">
        <v>46197.21887409722</v>
      </c>
      <c r="P540" t="str">
        <f>IF($Q540="DELETE",IF($S540="CONFIRMED: NO MODS &gt; 1YR","CONFIRMED: NO MODS &gt; 1YR","DO NOT DELETE — not defensibly confirmed"),IF($Q540="HOLD","DO NOT DELETE — HOLD (Charlie review)",IF($Q540="KEEP","DO NOT DELETE — KEEP",IF(ISNUMBER(SEARCH("REVIEW",$Q540)),"DO NOT DELETE — REVIEW pending",$S540))))</f>
        <v>DO NOT DELETE — REVIEW pending</v>
      </c>
      <c r="Q540" t="str" cm="1">
        <f t="array" ref="Q540">_xlfn.IFS(AND($A540="thg-beauty",ISNUMBER(SEARCH("liveramp",$C540))),"DELETE",$A540="agile-bonbon-662",_xlfn.IFS(LEFT($G540,9)="Tranche 1","DELETE",$C540="Sessions_Level_1_All_Sites","KEEP",ISNUMBER(--$C540),"REVIEW — UA raw logs",$C540="Emag_Reporting","KEEP",$C540="Nutrition_Data_Archived_Tables","KEEP",$C540="EU_Data","KEEP",TRUE,"REVIEW"),OR($A540="thg-influencer",$A540="thg-ingenuity",$A540="thg-central-marketing",$A540="thg-seoclarity"),"HOLD",TRUE,"")</f>
        <v>REVIEW</v>
      </c>
      <c r="R540" t="str" cm="1">
        <f t="array" ref="R540">_xlfn.IFS(AND($A540="thg-beauty",ISNUMBER(SEARCH("liveramp",$C540))),"thg-beauty Liveramp dataset — confirmed safe to delete",$A540="agile-bonbon-662",_xlfn.IFS(LEFT($G540,9)="Tranche 1","Tranche 1: cleared",$C540="Sessions_Level_1_All_Sites","Downstream aggregation of UA raw logs — keep if raw tables go",ISNUMBER(--$C540),"UA raw site logs (account ID) — keep pending audit-retention check",$C540="Emag_Reporting","Legacy but likely needed",$C540="Nutrition_Data_Archived_Tables","Worth keeping",$C540="EU_Data","Static lookup tables — scripts still reference (smoke-test risk)",TRUE,"Review"),OR($A540="thg-influencer",$A540="thg-ingenuity",$A540="thg-central-marketing",$A540="thg-seoclarity"),"HOLD — Charlie Stringer to review before deletion",TRUE,"")</f>
        <v>Review</v>
      </c>
      <c r="S540" t="s">
        <v>1631</v>
      </c>
    </row>
    <row r="541" spans="1:19" ht="76.5" hidden="1">
      <c r="A541" t="s">
        <v>38</v>
      </c>
      <c r="B541" t="s">
        <v>1619</v>
      </c>
      <c r="C541" t="s">
        <v>2837</v>
      </c>
      <c r="D541" s="2" t="s">
        <v>1621</v>
      </c>
      <c r="E541">
        <v>8.0500000000000007</v>
      </c>
      <c r="F541">
        <v>0.16</v>
      </c>
      <c r="G541" t="s">
        <v>79</v>
      </c>
      <c r="H541" t="s">
        <v>81</v>
      </c>
      <c r="I541">
        <v>0</v>
      </c>
      <c r="J541">
        <v>0</v>
      </c>
      <c r="L541" s="5">
        <v>46196.807787569443</v>
      </c>
      <c r="M541" s="2" t="s">
        <v>1715</v>
      </c>
      <c r="N541" s="2" t="s">
        <v>2838</v>
      </c>
      <c r="O541" s="5">
        <v>46196.80784681713</v>
      </c>
      <c r="P541" t="str">
        <f>IF($Q541="DELETE",IF($S541="CONFIRMED: NO MODS &gt; 1YR","CONFIRMED: NO MODS &gt; 1YR","DO NOT DELETE — not defensibly confirmed"),IF($Q541="HOLD","DO NOT DELETE — HOLD (Charlie review)",IF($Q541="KEEP","DO NOT DELETE — KEEP",IF(ISNUMBER(SEARCH("REVIEW",$Q541)),"DO NOT DELETE — REVIEW pending",$S541))))</f>
        <v>DO NOT DELETE — HOLD (Charlie review)</v>
      </c>
      <c r="Q541" t="str" cm="1">
        <f t="array" ref="Q541">_xlfn.IFS(AND($A541="thg-beauty",ISNUMBER(SEARCH("liveramp",$C541))),"DELETE",$A541="agile-bonbon-662",_xlfn.IFS(LEFT($G541,9)="Tranche 1","DELETE",$C541="Sessions_Level_1_All_Sites","KEEP",ISNUMBER(--$C541),"REVIEW — UA raw logs",$C541="Emag_Reporting","KEEP",$C541="Nutrition_Data_Archived_Tables","KEEP",$C541="EU_Data","KEEP",TRUE,"REVIEW"),OR($A541="thg-influencer",$A541="thg-ingenuity",$A541="thg-central-marketing",$A541="thg-seoclarity"),"HOLD",TRUE,"")</f>
        <v>HOLD</v>
      </c>
      <c r="R541" t="str" cm="1">
        <f t="array" ref="R541">_xlfn.IFS(AND($A541="thg-beauty",ISNUMBER(SEARCH("liveramp",$C541))),"thg-beauty Liveramp dataset — confirmed safe to delete",$A541="agile-bonbon-662",_xlfn.IFS(LEFT($G541,9)="Tranche 1","Tranche 1: cleared",$C541="Sessions_Level_1_All_Sites","Downstream aggregation of UA raw logs — keep if raw tables go",ISNUMBER(--$C541),"UA raw site logs (account ID) — keep pending audit-retention check",$C541="Emag_Reporting","Legacy but likely needed",$C541="Nutrition_Data_Archived_Tables","Worth keeping",$C541="EU_Data","Static lookup tables — scripts still reference (smoke-test risk)",TRUE,"Review"),OR($A541="thg-influencer",$A541="thg-ingenuity",$A541="thg-central-marketing",$A541="thg-seoclarity"),"HOLD — Charlie Stringer to review before deletion",TRUE,"")</f>
        <v>HOLD — Charlie Stringer to review before deletion</v>
      </c>
      <c r="S541" t="s">
        <v>1624</v>
      </c>
    </row>
    <row r="542" spans="1:19" ht="76.5" hidden="1">
      <c r="A542" t="s">
        <v>92</v>
      </c>
      <c r="B542" t="s">
        <v>1619</v>
      </c>
      <c r="C542" t="s">
        <v>2839</v>
      </c>
      <c r="D542" s="2" t="s">
        <v>1621</v>
      </c>
      <c r="E542">
        <v>0.3</v>
      </c>
      <c r="F542">
        <v>0.01</v>
      </c>
      <c r="G542" t="s">
        <v>79</v>
      </c>
      <c r="H542" t="s">
        <v>81</v>
      </c>
      <c r="I542">
        <v>23</v>
      </c>
      <c r="J542">
        <v>23</v>
      </c>
      <c r="K542" s="5">
        <v>46174.252049756942</v>
      </c>
      <c r="L542" s="5">
        <v>46174.229940300916</v>
      </c>
      <c r="M542" s="2" t="s">
        <v>2840</v>
      </c>
      <c r="N542" s="2" t="s">
        <v>2841</v>
      </c>
      <c r="O542" s="5">
        <v>46174.2299709375</v>
      </c>
      <c r="P542" t="str">
        <f>IF($Q542="DELETE",IF($S542="CONFIRMED: NO MODS &gt; 1YR","CONFIRMED: NO MODS &gt; 1YR","DO NOT DELETE — not defensibly confirmed"),IF($Q542="HOLD","DO NOT DELETE — HOLD (Charlie review)",IF($Q542="KEEP","DO NOT DELETE — KEEP",IF(ISNUMBER(SEARCH("REVIEW",$Q542)),"DO NOT DELETE — REVIEW pending",$S542))))</f>
        <v>CONFIRMED: NO MODS &gt; 1YR</v>
      </c>
      <c r="Q542" t="str" cm="1">
        <f t="array" ref="Q542">_xlfn.IFS(AND($A542="thg-beauty",ISNUMBER(SEARCH("liveramp",$C542))),"DELETE",$A542="agile-bonbon-662",_xlfn.IFS(LEFT($G542,9)="Tranche 1","DELETE",$C542="Sessions_Level_1_All_Sites","KEEP",ISNUMBER(--$C542),"REVIEW — UA raw logs",$C542="Emag_Reporting","KEEP",$C542="Nutrition_Data_Archived_Tables","KEEP",$C542="EU_Data","KEEP",TRUE,"REVIEW"),OR($A542="thg-influencer",$A542="thg-ingenuity",$A542="thg-central-marketing",$A542="thg-seoclarity"),"HOLD",TRUE,"")</f>
        <v/>
      </c>
      <c r="R542" t="str" cm="1">
        <f t="array" ref="R542">_xlfn.IFS(AND($A542="thg-beauty",ISNUMBER(SEARCH("liveramp",$C542))),"thg-beauty Liveramp dataset — confirmed safe to delete",$A542="agile-bonbon-662",_xlfn.IFS(LEFT($G542,9)="Tranche 1","Tranche 1: cleared",$C542="Sessions_Level_1_All_Sites","Downstream aggregation of UA raw logs — keep if raw tables go",ISNUMBER(--$C542),"UA raw site logs (account ID) — keep pending audit-retention check",$C542="Emag_Reporting","Legacy but likely needed",$C542="Nutrition_Data_Archived_Tables","Worth keeping",$C542="EU_Data","Static lookup tables — scripts still reference (smoke-test risk)",TRUE,"Review"),OR($A542="thg-influencer",$A542="thg-ingenuity",$A542="thg-central-marketing",$A542="thg-seoclarity"),"HOLD — Charlie Stringer to review before deletion",TRUE,"")</f>
        <v/>
      </c>
      <c r="S542" t="s">
        <v>1624</v>
      </c>
    </row>
    <row r="543" spans="1:19" ht="76.5" hidden="1">
      <c r="A543" t="s">
        <v>92</v>
      </c>
      <c r="B543" t="s">
        <v>1619</v>
      </c>
      <c r="C543" t="s">
        <v>2842</v>
      </c>
      <c r="D543" s="2" t="s">
        <v>1621</v>
      </c>
      <c r="E543">
        <v>0.46</v>
      </c>
      <c r="F543">
        <v>0.01</v>
      </c>
      <c r="G543" t="s">
        <v>79</v>
      </c>
      <c r="H543" t="s">
        <v>81</v>
      </c>
      <c r="I543">
        <v>0</v>
      </c>
      <c r="J543">
        <v>0</v>
      </c>
      <c r="K543" s="5">
        <v>46197.210044675929</v>
      </c>
      <c r="L543" s="5">
        <v>46197.055427789353</v>
      </c>
      <c r="M543" s="2" t="s">
        <v>2843</v>
      </c>
      <c r="N543" s="2" t="s">
        <v>2844</v>
      </c>
      <c r="O543" s="5">
        <v>46197.055504999997</v>
      </c>
      <c r="P543" t="str">
        <f>IF($Q543="DELETE",IF($S543="CONFIRMED: NO MODS &gt; 1YR","CONFIRMED: NO MODS &gt; 1YR","DO NOT DELETE — not defensibly confirmed"),IF($Q543="HOLD","DO NOT DELETE — HOLD (Charlie review)",IF($Q543="KEEP","DO NOT DELETE — KEEP",IF(ISNUMBER(SEARCH("REVIEW",$Q543)),"DO NOT DELETE — REVIEW pending",$S543))))</f>
        <v>CONFIRMED: NO MODS &gt; 1YR</v>
      </c>
      <c r="Q543" t="str" cm="1">
        <f t="array" ref="Q543">_xlfn.IFS(AND($A543="thg-beauty",ISNUMBER(SEARCH("liveramp",$C543))),"DELETE",$A543="agile-bonbon-662",_xlfn.IFS(LEFT($G543,9)="Tranche 1","DELETE",$C543="Sessions_Level_1_All_Sites","KEEP",ISNUMBER(--$C543),"REVIEW — UA raw logs",$C543="Emag_Reporting","KEEP",$C543="Nutrition_Data_Archived_Tables","KEEP",$C543="EU_Data","KEEP",TRUE,"REVIEW"),OR($A543="thg-influencer",$A543="thg-ingenuity",$A543="thg-central-marketing",$A543="thg-seoclarity"),"HOLD",TRUE,"")</f>
        <v/>
      </c>
      <c r="R543" t="str" cm="1">
        <f t="array" ref="R543">_xlfn.IFS(AND($A543="thg-beauty",ISNUMBER(SEARCH("liveramp",$C543))),"thg-beauty Liveramp dataset — confirmed safe to delete",$A543="agile-bonbon-662",_xlfn.IFS(LEFT($G543,9)="Tranche 1","Tranche 1: cleared",$C543="Sessions_Level_1_All_Sites","Downstream aggregation of UA raw logs — keep if raw tables go",ISNUMBER(--$C543),"UA raw site logs (account ID) — keep pending audit-retention check",$C543="Emag_Reporting","Legacy but likely needed",$C543="Nutrition_Data_Archived_Tables","Worth keeping",$C543="EU_Data","Static lookup tables — scripts still reference (smoke-test risk)",TRUE,"Review"),OR($A543="thg-influencer",$A543="thg-ingenuity",$A543="thg-central-marketing",$A543="thg-seoclarity"),"HOLD — Charlie Stringer to review before deletion",TRUE,"")</f>
        <v/>
      </c>
      <c r="S543" t="s">
        <v>1624</v>
      </c>
    </row>
    <row r="544" spans="1:19" ht="76.5" hidden="1">
      <c r="A544" t="s">
        <v>92</v>
      </c>
      <c r="B544" t="s">
        <v>1619</v>
      </c>
      <c r="C544" t="s">
        <v>2845</v>
      </c>
      <c r="D544" s="2" t="s">
        <v>1621</v>
      </c>
      <c r="E544">
        <v>0.31</v>
      </c>
      <c r="F544">
        <v>0.01</v>
      </c>
      <c r="G544" t="s">
        <v>79</v>
      </c>
      <c r="H544" t="s">
        <v>81</v>
      </c>
      <c r="I544">
        <v>0</v>
      </c>
      <c r="J544">
        <v>71</v>
      </c>
      <c r="K544" s="5">
        <v>46197.336596828703</v>
      </c>
      <c r="L544" s="5">
        <v>46125.465317847222</v>
      </c>
      <c r="M544" s="2" t="s">
        <v>2846</v>
      </c>
      <c r="N544" s="2" t="s">
        <v>2847</v>
      </c>
      <c r="O544" s="5">
        <v>46125.465504155087</v>
      </c>
      <c r="P544" t="str">
        <f>IF($Q544="DELETE",IF($S544="CONFIRMED: NO MODS &gt; 1YR","CONFIRMED: NO MODS &gt; 1YR","DO NOT DELETE — not defensibly confirmed"),IF($Q544="HOLD","DO NOT DELETE — HOLD (Charlie review)",IF($Q544="KEEP","DO NOT DELETE — KEEP",IF(ISNUMBER(SEARCH("REVIEW",$Q544)),"DO NOT DELETE — REVIEW pending",$S544))))</f>
        <v>CONFIRMED: NO MODS &gt; 1YR</v>
      </c>
      <c r="Q544" t="str" cm="1">
        <f t="array" ref="Q544">_xlfn.IFS(AND($A544="thg-beauty",ISNUMBER(SEARCH("liveramp",$C544))),"DELETE",$A544="agile-bonbon-662",_xlfn.IFS(LEFT($G544,9)="Tranche 1","DELETE",$C544="Sessions_Level_1_All_Sites","KEEP",ISNUMBER(--$C544),"REVIEW — UA raw logs",$C544="Emag_Reporting","KEEP",$C544="Nutrition_Data_Archived_Tables","KEEP",$C544="EU_Data","KEEP",TRUE,"REVIEW"),OR($A544="thg-influencer",$A544="thg-ingenuity",$A544="thg-central-marketing",$A544="thg-seoclarity"),"HOLD",TRUE,"")</f>
        <v/>
      </c>
      <c r="R544" t="str" cm="1">
        <f t="array" ref="R544">_xlfn.IFS(AND($A544="thg-beauty",ISNUMBER(SEARCH("liveramp",$C544))),"thg-beauty Liveramp dataset — confirmed safe to delete",$A544="agile-bonbon-662",_xlfn.IFS(LEFT($G544,9)="Tranche 1","Tranche 1: cleared",$C544="Sessions_Level_1_All_Sites","Downstream aggregation of UA raw logs — keep if raw tables go",ISNUMBER(--$C544),"UA raw site logs (account ID) — keep pending audit-retention check",$C544="Emag_Reporting","Legacy but likely needed",$C544="Nutrition_Data_Archived_Tables","Worth keeping",$C544="EU_Data","Static lookup tables — scripts still reference (smoke-test risk)",TRUE,"Review"),OR($A544="thg-influencer",$A544="thg-ingenuity",$A544="thg-central-marketing",$A544="thg-seoclarity"),"HOLD — Charlie Stringer to review before deletion",TRUE,"")</f>
        <v/>
      </c>
      <c r="S544" t="s">
        <v>1624</v>
      </c>
    </row>
    <row r="545" spans="1:19" ht="76.5" hidden="1">
      <c r="A545" t="s">
        <v>38</v>
      </c>
      <c r="B545" t="s">
        <v>1619</v>
      </c>
      <c r="C545" t="s">
        <v>2848</v>
      </c>
      <c r="D545" s="2" t="s">
        <v>1621</v>
      </c>
      <c r="E545">
        <v>7.56</v>
      </c>
      <c r="F545">
        <v>0.15</v>
      </c>
      <c r="G545" t="s">
        <v>79</v>
      </c>
      <c r="H545" t="s">
        <v>81</v>
      </c>
      <c r="I545">
        <v>0</v>
      </c>
      <c r="J545">
        <v>0</v>
      </c>
      <c r="L545" s="5">
        <v>46197.011625393519</v>
      </c>
      <c r="M545" s="2" t="s">
        <v>1715</v>
      </c>
      <c r="N545" s="2" t="s">
        <v>2849</v>
      </c>
      <c r="O545" s="5">
        <v>46197.011657175928</v>
      </c>
      <c r="P545" t="str">
        <f>IF($Q545="DELETE",IF($S545="CONFIRMED: NO MODS &gt; 1YR","CONFIRMED: NO MODS &gt; 1YR","DO NOT DELETE — not defensibly confirmed"),IF($Q545="HOLD","DO NOT DELETE — HOLD (Charlie review)",IF($Q545="KEEP","DO NOT DELETE — KEEP",IF(ISNUMBER(SEARCH("REVIEW",$Q545)),"DO NOT DELETE — REVIEW pending",$S545))))</f>
        <v>DO NOT DELETE — HOLD (Charlie review)</v>
      </c>
      <c r="Q545" t="str" cm="1">
        <f t="array" ref="Q545">_xlfn.IFS(AND($A545="thg-beauty",ISNUMBER(SEARCH("liveramp",$C545))),"DELETE",$A545="agile-bonbon-662",_xlfn.IFS(LEFT($G545,9)="Tranche 1","DELETE",$C545="Sessions_Level_1_All_Sites","KEEP",ISNUMBER(--$C545),"REVIEW — UA raw logs",$C545="Emag_Reporting","KEEP",$C545="Nutrition_Data_Archived_Tables","KEEP",$C545="EU_Data","KEEP",TRUE,"REVIEW"),OR($A545="thg-influencer",$A545="thg-ingenuity",$A545="thg-central-marketing",$A545="thg-seoclarity"),"HOLD",TRUE,"")</f>
        <v>HOLD</v>
      </c>
      <c r="R545" t="str" cm="1">
        <f t="array" ref="R545">_xlfn.IFS(AND($A545="thg-beauty",ISNUMBER(SEARCH("liveramp",$C545))),"thg-beauty Liveramp dataset — confirmed safe to delete",$A545="agile-bonbon-662",_xlfn.IFS(LEFT($G545,9)="Tranche 1","Tranche 1: cleared",$C545="Sessions_Level_1_All_Sites","Downstream aggregation of UA raw logs — keep if raw tables go",ISNUMBER(--$C545),"UA raw site logs (account ID) — keep pending audit-retention check",$C545="Emag_Reporting","Legacy but likely needed",$C545="Nutrition_Data_Archived_Tables","Worth keeping",$C545="EU_Data","Static lookup tables — scripts still reference (smoke-test risk)",TRUE,"Review"),OR($A545="thg-influencer",$A545="thg-ingenuity",$A545="thg-central-marketing",$A545="thg-seoclarity"),"HOLD — Charlie Stringer to review before deletion",TRUE,"")</f>
        <v>HOLD — Charlie Stringer to review before deletion</v>
      </c>
      <c r="S545" t="s">
        <v>1624</v>
      </c>
    </row>
    <row r="546" spans="1:19" ht="76.5" hidden="1">
      <c r="A546" t="s">
        <v>35</v>
      </c>
      <c r="B546" t="s">
        <v>1619</v>
      </c>
      <c r="C546" t="s">
        <v>2850</v>
      </c>
      <c r="D546" s="2" t="s">
        <v>1621</v>
      </c>
      <c r="E546">
        <v>7.51</v>
      </c>
      <c r="F546">
        <v>0.15</v>
      </c>
      <c r="G546" t="s">
        <v>79</v>
      </c>
      <c r="H546" t="s">
        <v>81</v>
      </c>
      <c r="I546">
        <v>0</v>
      </c>
      <c r="J546">
        <v>0</v>
      </c>
      <c r="K546" s="5">
        <v>46197.446039328701</v>
      </c>
      <c r="L546" s="5">
        <v>46196.812825312503</v>
      </c>
      <c r="M546" s="2" t="s">
        <v>2851</v>
      </c>
      <c r="N546" s="2" t="s">
        <v>2852</v>
      </c>
      <c r="O546" s="5">
        <v>46196.813429351852</v>
      </c>
      <c r="P546" t="str">
        <f>IF($Q546="DELETE",IF($S546="CONFIRMED: NO MODS &gt; 1YR","CONFIRMED: NO MODS &gt; 1YR","DO NOT DELETE — not defensibly confirmed"),IF($Q546="HOLD","DO NOT DELETE — HOLD (Charlie review)",IF($Q546="KEEP","DO NOT DELETE — KEEP",IF(ISNUMBER(SEARCH("REVIEW",$Q546)),"DO NOT DELETE — REVIEW pending",$S546))))</f>
        <v>DO NOT DELETE — HOLD (Charlie review)</v>
      </c>
      <c r="Q546" t="str" cm="1">
        <f t="array" ref="Q546">_xlfn.IFS(AND($A546="thg-beauty",ISNUMBER(SEARCH("liveramp",$C546))),"DELETE",$A546="agile-bonbon-662",_xlfn.IFS(LEFT($G546,9)="Tranche 1","DELETE",$C546="Sessions_Level_1_All_Sites","KEEP",ISNUMBER(--$C546),"REVIEW — UA raw logs",$C546="Emag_Reporting","KEEP",$C546="Nutrition_Data_Archived_Tables","KEEP",$C546="EU_Data","KEEP",TRUE,"REVIEW"),OR($A546="thg-influencer",$A546="thg-ingenuity",$A546="thg-central-marketing",$A546="thg-seoclarity"),"HOLD",TRUE,"")</f>
        <v>HOLD</v>
      </c>
      <c r="R546" t="str" cm="1">
        <f t="array" ref="R546">_xlfn.IFS(AND($A546="thg-beauty",ISNUMBER(SEARCH("liveramp",$C546))),"thg-beauty Liveramp dataset — confirmed safe to delete",$A546="agile-bonbon-662",_xlfn.IFS(LEFT($G546,9)="Tranche 1","Tranche 1: cleared",$C546="Sessions_Level_1_All_Sites","Downstream aggregation of UA raw logs — keep if raw tables go",ISNUMBER(--$C546),"UA raw site logs (account ID) — keep pending audit-retention check",$C546="Emag_Reporting","Legacy but likely needed",$C546="Nutrition_Data_Archived_Tables","Worth keeping",$C546="EU_Data","Static lookup tables — scripts still reference (smoke-test risk)",TRUE,"Review"),OR($A546="thg-influencer",$A546="thg-ingenuity",$A546="thg-central-marketing",$A546="thg-seoclarity"),"HOLD — Charlie Stringer to review before deletion",TRUE,"")</f>
        <v>HOLD — Charlie Stringer to review before deletion</v>
      </c>
      <c r="S546" t="s">
        <v>1624</v>
      </c>
    </row>
    <row r="547" spans="1:19" ht="76.5" hidden="1">
      <c r="A547" t="s">
        <v>90</v>
      </c>
      <c r="B547" t="s">
        <v>1619</v>
      </c>
      <c r="C547" t="s">
        <v>2853</v>
      </c>
      <c r="D547" s="2" t="s">
        <v>1621</v>
      </c>
      <c r="E547">
        <v>7.24</v>
      </c>
      <c r="F547">
        <v>0.14000000000000001</v>
      </c>
      <c r="G547" t="s">
        <v>79</v>
      </c>
      <c r="H547" t="s">
        <v>81</v>
      </c>
      <c r="I547">
        <v>0</v>
      </c>
      <c r="J547">
        <v>0</v>
      </c>
      <c r="K547" s="5">
        <v>46197.452504814813</v>
      </c>
      <c r="M547" s="2" t="s">
        <v>2854</v>
      </c>
      <c r="N547" s="2" t="s">
        <v>1701</v>
      </c>
      <c r="O547" s="5">
        <v>46197.417561585651</v>
      </c>
      <c r="P547" t="str">
        <f>IF($Q547="DELETE",IF($S547="CONFIRMED: NO MODS &gt; 1YR","CONFIRMED: NO MODS &gt; 1YR","DO NOT DELETE — not defensibly confirmed"),IF($Q547="HOLD","DO NOT DELETE — HOLD (Charlie review)",IF($Q547="KEEP","DO NOT DELETE — KEEP",IF(ISNUMBER(SEARCH("REVIEW",$Q547)),"DO NOT DELETE — REVIEW pending",$S547))))</f>
        <v>CONFIRMED: NO MODS &gt; 1YR</v>
      </c>
      <c r="Q547" t="str" cm="1">
        <f t="array" ref="Q547">_xlfn.IFS(AND($A547="thg-beauty",ISNUMBER(SEARCH("liveramp",$C547))),"DELETE",$A547="agile-bonbon-662",_xlfn.IFS(LEFT($G547,9)="Tranche 1","DELETE",$C547="Sessions_Level_1_All_Sites","KEEP",ISNUMBER(--$C547),"REVIEW — UA raw logs",$C547="Emag_Reporting","KEEP",$C547="Nutrition_Data_Archived_Tables","KEEP",$C547="EU_Data","KEEP",TRUE,"REVIEW"),OR($A547="thg-influencer",$A547="thg-ingenuity",$A547="thg-central-marketing",$A547="thg-seoclarity"),"HOLD",TRUE,"")</f>
        <v/>
      </c>
      <c r="R547" t="str" cm="1">
        <f t="array" ref="R547">_xlfn.IFS(AND($A547="thg-beauty",ISNUMBER(SEARCH("liveramp",$C547))),"thg-beauty Liveramp dataset — confirmed safe to delete",$A547="agile-bonbon-662",_xlfn.IFS(LEFT($G547,9)="Tranche 1","Tranche 1: cleared",$C547="Sessions_Level_1_All_Sites","Downstream aggregation of UA raw logs — keep if raw tables go",ISNUMBER(--$C547),"UA raw site logs (account ID) — keep pending audit-retention check",$C547="Emag_Reporting","Legacy but likely needed",$C547="Nutrition_Data_Archived_Tables","Worth keeping",$C547="EU_Data","Static lookup tables — scripts still reference (smoke-test risk)",TRUE,"Review"),OR($A547="thg-influencer",$A547="thg-ingenuity",$A547="thg-central-marketing",$A547="thg-seoclarity"),"HOLD — Charlie Stringer to review before deletion",TRUE,"")</f>
        <v/>
      </c>
      <c r="S547" t="s">
        <v>1624</v>
      </c>
    </row>
    <row r="548" spans="1:19" ht="76.5" hidden="1">
      <c r="A548" t="s">
        <v>38</v>
      </c>
      <c r="B548" t="s">
        <v>1619</v>
      </c>
      <c r="C548" t="s">
        <v>2855</v>
      </c>
      <c r="D548" s="2" t="s">
        <v>1621</v>
      </c>
      <c r="E548">
        <v>7.16</v>
      </c>
      <c r="F548">
        <v>0.14000000000000001</v>
      </c>
      <c r="G548" t="s">
        <v>79</v>
      </c>
      <c r="H548" t="s">
        <v>81</v>
      </c>
      <c r="I548">
        <v>0</v>
      </c>
      <c r="J548">
        <v>0</v>
      </c>
      <c r="K548" s="5">
        <v>46197.419873645827</v>
      </c>
      <c r="L548" s="5">
        <v>46197.374421689812</v>
      </c>
      <c r="M548" s="2" t="s">
        <v>2709</v>
      </c>
      <c r="N548" s="2" t="s">
        <v>2856</v>
      </c>
      <c r="O548" s="5">
        <v>46197.423671828707</v>
      </c>
      <c r="P548" t="str">
        <f>IF($Q548="DELETE",IF($S548="CONFIRMED: NO MODS &gt; 1YR","CONFIRMED: NO MODS &gt; 1YR","DO NOT DELETE — not defensibly confirmed"),IF($Q548="HOLD","DO NOT DELETE — HOLD (Charlie review)",IF($Q548="KEEP","DO NOT DELETE — KEEP",IF(ISNUMBER(SEARCH("REVIEW",$Q548)),"DO NOT DELETE — REVIEW pending",$S548))))</f>
        <v>DO NOT DELETE — HOLD (Charlie review)</v>
      </c>
      <c r="Q548" t="str" cm="1">
        <f t="array" ref="Q548">_xlfn.IFS(AND($A548="thg-beauty",ISNUMBER(SEARCH("liveramp",$C548))),"DELETE",$A548="agile-bonbon-662",_xlfn.IFS(LEFT($G548,9)="Tranche 1","DELETE",$C548="Sessions_Level_1_All_Sites","KEEP",ISNUMBER(--$C548),"REVIEW — UA raw logs",$C548="Emag_Reporting","KEEP",$C548="Nutrition_Data_Archived_Tables","KEEP",$C548="EU_Data","KEEP",TRUE,"REVIEW"),OR($A548="thg-influencer",$A548="thg-ingenuity",$A548="thg-central-marketing",$A548="thg-seoclarity"),"HOLD",TRUE,"")</f>
        <v>HOLD</v>
      </c>
      <c r="R548" t="str" cm="1">
        <f t="array" ref="R548">_xlfn.IFS(AND($A548="thg-beauty",ISNUMBER(SEARCH("liveramp",$C548))),"thg-beauty Liveramp dataset — confirmed safe to delete",$A548="agile-bonbon-662",_xlfn.IFS(LEFT($G548,9)="Tranche 1","Tranche 1: cleared",$C548="Sessions_Level_1_All_Sites","Downstream aggregation of UA raw logs — keep if raw tables go",ISNUMBER(--$C548),"UA raw site logs (account ID) — keep pending audit-retention check",$C548="Emag_Reporting","Legacy but likely needed",$C548="Nutrition_Data_Archived_Tables","Worth keeping",$C548="EU_Data","Static lookup tables — scripts still reference (smoke-test risk)",TRUE,"Review"),OR($A548="thg-influencer",$A548="thg-ingenuity",$A548="thg-central-marketing",$A548="thg-seoclarity"),"HOLD — Charlie Stringer to review before deletion",TRUE,"")</f>
        <v>HOLD — Charlie Stringer to review before deletion</v>
      </c>
      <c r="S548" t="s">
        <v>1624</v>
      </c>
    </row>
    <row r="549" spans="1:19" ht="76.5" hidden="1">
      <c r="A549" t="s">
        <v>2344</v>
      </c>
      <c r="B549" t="s">
        <v>1619</v>
      </c>
      <c r="C549" t="s">
        <v>2857</v>
      </c>
      <c r="D549" s="2" t="s">
        <v>1621</v>
      </c>
      <c r="E549">
        <v>7.15</v>
      </c>
      <c r="F549">
        <v>0.14000000000000001</v>
      </c>
      <c r="G549" t="s">
        <v>79</v>
      </c>
      <c r="H549" t="s">
        <v>81</v>
      </c>
      <c r="I549">
        <v>0</v>
      </c>
      <c r="J549">
        <v>0</v>
      </c>
      <c r="K549" s="5">
        <v>46080.367954953697</v>
      </c>
      <c r="L549" s="5">
        <v>46196.57936113426</v>
      </c>
      <c r="M549" s="2" t="s">
        <v>2858</v>
      </c>
      <c r="N549" s="2" t="s">
        <v>2859</v>
      </c>
      <c r="O549" s="5">
        <v>46197.420353425929</v>
      </c>
      <c r="P549" t="str">
        <f>IF($Q549="DELETE",IF($S549="CONFIRMED: NO MODS &gt; 1YR","CONFIRMED: NO MODS &gt; 1YR","DO NOT DELETE — not defensibly confirmed"),IF($Q549="HOLD","DO NOT DELETE — HOLD (Charlie review)",IF($Q549="KEEP","DO NOT DELETE — KEEP",IF(ISNUMBER(SEARCH("REVIEW",$Q549)),"DO NOT DELETE — REVIEW pending",$S549))))</f>
        <v>CONFIRMED: NO MODS &gt; 1YR</v>
      </c>
      <c r="Q549" t="str" cm="1">
        <f t="array" ref="Q549">_xlfn.IFS(AND($A549="thg-beauty",ISNUMBER(SEARCH("liveramp",$C549))),"DELETE",$A549="agile-bonbon-662",_xlfn.IFS(LEFT($G549,9)="Tranche 1","DELETE",$C549="Sessions_Level_1_All_Sites","KEEP",ISNUMBER(--$C549),"REVIEW — UA raw logs",$C549="Emag_Reporting","KEEP",$C549="Nutrition_Data_Archived_Tables","KEEP",$C549="EU_Data","KEEP",TRUE,"REVIEW"),OR($A549="thg-influencer",$A549="thg-ingenuity",$A549="thg-central-marketing",$A549="thg-seoclarity"),"HOLD",TRUE,"")</f>
        <v/>
      </c>
      <c r="R549" t="str" cm="1">
        <f t="array" ref="R549">_xlfn.IFS(AND($A549="thg-beauty",ISNUMBER(SEARCH("liveramp",$C549))),"thg-beauty Liveramp dataset — confirmed safe to delete",$A549="agile-bonbon-662",_xlfn.IFS(LEFT($G549,9)="Tranche 1","Tranche 1: cleared",$C549="Sessions_Level_1_All_Sites","Downstream aggregation of UA raw logs — keep if raw tables go",ISNUMBER(--$C549),"UA raw site logs (account ID) — keep pending audit-retention check",$C549="Emag_Reporting","Legacy but likely needed",$C549="Nutrition_Data_Archived_Tables","Worth keeping",$C549="EU_Data","Static lookup tables — scripts still reference (smoke-test risk)",TRUE,"Review"),OR($A549="thg-influencer",$A549="thg-ingenuity",$A549="thg-central-marketing",$A549="thg-seoclarity"),"HOLD — Charlie Stringer to review before deletion",TRUE,"")</f>
        <v/>
      </c>
      <c r="S549" t="s">
        <v>1624</v>
      </c>
    </row>
    <row r="550" spans="1:19" ht="76.5" hidden="1">
      <c r="A550" t="s">
        <v>90</v>
      </c>
      <c r="B550" t="s">
        <v>1619</v>
      </c>
      <c r="C550" t="s">
        <v>1817</v>
      </c>
      <c r="D550" s="2" t="s">
        <v>1621</v>
      </c>
      <c r="E550">
        <v>6.99</v>
      </c>
      <c r="F550">
        <v>0.14000000000000001</v>
      </c>
      <c r="G550" t="s">
        <v>79</v>
      </c>
      <c r="H550" t="s">
        <v>81</v>
      </c>
      <c r="I550">
        <v>0</v>
      </c>
      <c r="J550">
        <v>0</v>
      </c>
      <c r="K550" s="5">
        <v>46197.434341967593</v>
      </c>
      <c r="M550" s="2" t="s">
        <v>2860</v>
      </c>
      <c r="N550" s="2" t="s">
        <v>1701</v>
      </c>
      <c r="O550" s="5">
        <v>46197.429739513893</v>
      </c>
      <c r="P550" t="str">
        <f>IF($Q550="DELETE",IF($S550="CONFIRMED: NO MODS &gt; 1YR","CONFIRMED: NO MODS &gt; 1YR","DO NOT DELETE — not defensibly confirmed"),IF($Q550="HOLD","DO NOT DELETE — HOLD (Charlie review)",IF($Q550="KEEP","DO NOT DELETE — KEEP",IF(ISNUMBER(SEARCH("REVIEW",$Q550)),"DO NOT DELETE — REVIEW pending",$S550))))</f>
        <v>CONFIRMED: NO MODS &gt; 1YR</v>
      </c>
      <c r="Q550" t="str" cm="1">
        <f t="array" ref="Q550">_xlfn.IFS(AND($A550="thg-beauty",ISNUMBER(SEARCH("liveramp",$C550))),"DELETE",$A550="agile-bonbon-662",_xlfn.IFS(LEFT($G550,9)="Tranche 1","DELETE",$C550="Sessions_Level_1_All_Sites","KEEP",ISNUMBER(--$C550),"REVIEW — UA raw logs",$C550="Emag_Reporting","KEEP",$C550="Nutrition_Data_Archived_Tables","KEEP",$C550="EU_Data","KEEP",TRUE,"REVIEW"),OR($A550="thg-influencer",$A550="thg-ingenuity",$A550="thg-central-marketing",$A550="thg-seoclarity"),"HOLD",TRUE,"")</f>
        <v/>
      </c>
      <c r="R550" t="str" cm="1">
        <f t="array" ref="R550">_xlfn.IFS(AND($A550="thg-beauty",ISNUMBER(SEARCH("liveramp",$C550))),"thg-beauty Liveramp dataset — confirmed safe to delete",$A550="agile-bonbon-662",_xlfn.IFS(LEFT($G550,9)="Tranche 1","Tranche 1: cleared",$C550="Sessions_Level_1_All_Sites","Downstream aggregation of UA raw logs — keep if raw tables go",ISNUMBER(--$C550),"UA raw site logs (account ID) — keep pending audit-retention check",$C550="Emag_Reporting","Legacy but likely needed",$C550="Nutrition_Data_Archived_Tables","Worth keeping",$C550="EU_Data","Static lookup tables — scripts still reference (smoke-test risk)",TRUE,"Review"),OR($A550="thg-influencer",$A550="thg-ingenuity",$A550="thg-central-marketing",$A550="thg-seoclarity"),"HOLD — Charlie Stringer to review before deletion",TRUE,"")</f>
        <v/>
      </c>
      <c r="S550" t="s">
        <v>1624</v>
      </c>
    </row>
    <row r="551" spans="1:19" ht="76.5" hidden="1">
      <c r="A551" t="s">
        <v>92</v>
      </c>
      <c r="B551" t="s">
        <v>1619</v>
      </c>
      <c r="C551" t="s">
        <v>2861</v>
      </c>
      <c r="D551" s="2" t="s">
        <v>1621</v>
      </c>
      <c r="E551">
        <v>0.26</v>
      </c>
      <c r="F551">
        <v>0.01</v>
      </c>
      <c r="G551" t="s">
        <v>79</v>
      </c>
      <c r="H551" t="s">
        <v>81</v>
      </c>
      <c r="I551">
        <v>0</v>
      </c>
      <c r="J551">
        <v>0</v>
      </c>
      <c r="K551" s="5">
        <v>46197.103449085647</v>
      </c>
      <c r="L551" s="5">
        <v>46197.103449085647</v>
      </c>
      <c r="M551" s="2" t="s">
        <v>2862</v>
      </c>
      <c r="N551" s="2" t="s">
        <v>2863</v>
      </c>
      <c r="O551" s="5">
        <v>46197.103672268517</v>
      </c>
      <c r="P551" t="str">
        <f>IF($Q551="DELETE",IF($S551="CONFIRMED: NO MODS &gt; 1YR","CONFIRMED: NO MODS &gt; 1YR","DO NOT DELETE — not defensibly confirmed"),IF($Q551="HOLD","DO NOT DELETE — HOLD (Charlie review)",IF($Q551="KEEP","DO NOT DELETE — KEEP",IF(ISNUMBER(SEARCH("REVIEW",$Q551)),"DO NOT DELETE — REVIEW pending",$S551))))</f>
        <v>CONFIRMED: NO MODS &gt; 1YR</v>
      </c>
      <c r="Q551" t="str" cm="1">
        <f t="array" ref="Q551">_xlfn.IFS(AND($A551="thg-beauty",ISNUMBER(SEARCH("liveramp",$C551))),"DELETE",$A551="agile-bonbon-662",_xlfn.IFS(LEFT($G551,9)="Tranche 1","DELETE",$C551="Sessions_Level_1_All_Sites","KEEP",ISNUMBER(--$C551),"REVIEW — UA raw logs",$C551="Emag_Reporting","KEEP",$C551="Nutrition_Data_Archived_Tables","KEEP",$C551="EU_Data","KEEP",TRUE,"REVIEW"),OR($A551="thg-influencer",$A551="thg-ingenuity",$A551="thg-central-marketing",$A551="thg-seoclarity"),"HOLD",TRUE,"")</f>
        <v/>
      </c>
      <c r="R551" t="str" cm="1">
        <f t="array" ref="R551">_xlfn.IFS(AND($A551="thg-beauty",ISNUMBER(SEARCH("liveramp",$C551))),"thg-beauty Liveramp dataset — confirmed safe to delete",$A551="agile-bonbon-662",_xlfn.IFS(LEFT($G551,9)="Tranche 1","Tranche 1: cleared",$C551="Sessions_Level_1_All_Sites","Downstream aggregation of UA raw logs — keep if raw tables go",ISNUMBER(--$C551),"UA raw site logs (account ID) — keep pending audit-retention check",$C551="Emag_Reporting","Legacy but likely needed",$C551="Nutrition_Data_Archived_Tables","Worth keeping",$C551="EU_Data","Static lookup tables — scripts still reference (smoke-test risk)",TRUE,"Review"),OR($A551="thg-influencer",$A551="thg-ingenuity",$A551="thg-central-marketing",$A551="thg-seoclarity"),"HOLD — Charlie Stringer to review before deletion",TRUE,"")</f>
        <v/>
      </c>
      <c r="S551" t="s">
        <v>1624</v>
      </c>
    </row>
    <row r="552" spans="1:19" ht="76.5" hidden="1">
      <c r="A552" t="s">
        <v>89</v>
      </c>
      <c r="B552" t="s">
        <v>1619</v>
      </c>
      <c r="C552" t="s">
        <v>2864</v>
      </c>
      <c r="D552" s="2" t="s">
        <v>1621</v>
      </c>
      <c r="E552">
        <v>6.72</v>
      </c>
      <c r="F552">
        <v>0.13</v>
      </c>
      <c r="G552" t="s">
        <v>79</v>
      </c>
      <c r="H552" t="s">
        <v>81</v>
      </c>
      <c r="I552">
        <v>0</v>
      </c>
      <c r="J552">
        <v>0</v>
      </c>
      <c r="K552" s="5">
        <v>46164.514153773147</v>
      </c>
      <c r="L552" s="5">
        <v>46197.390518159722</v>
      </c>
      <c r="M552" s="2" t="s">
        <v>2865</v>
      </c>
      <c r="N552" s="2" t="s">
        <v>2866</v>
      </c>
      <c r="O552" s="5">
        <v>46197.390565347217</v>
      </c>
      <c r="P552" t="str">
        <f>IF($Q552="DELETE",IF($S552="CONFIRMED: NO MODS &gt; 1YR","CONFIRMED: NO MODS &gt; 1YR","DO NOT DELETE — not defensibly confirmed"),IF($Q552="HOLD","DO NOT DELETE — HOLD (Charlie review)",IF($Q552="KEEP","DO NOT DELETE — KEEP",IF(ISNUMBER(SEARCH("REVIEW",$Q552)),"DO NOT DELETE — REVIEW pending",$S552))))</f>
        <v>DO NOT DELETE — REVIEW pending</v>
      </c>
      <c r="Q552" t="str" cm="1">
        <f t="array" ref="Q552">_xlfn.IFS(AND($A552="thg-beauty",ISNUMBER(SEARCH("liveramp",$C552))),"DELETE",$A552="agile-bonbon-662",_xlfn.IFS(LEFT($G552,9)="Tranche 1","DELETE",$C552="Sessions_Level_1_All_Sites","KEEP",ISNUMBER(--$C552),"REVIEW — UA raw logs",$C552="Emag_Reporting","KEEP",$C552="Nutrition_Data_Archived_Tables","KEEP",$C552="EU_Data","KEEP",TRUE,"REVIEW"),OR($A552="thg-influencer",$A552="thg-ingenuity",$A552="thg-central-marketing",$A552="thg-seoclarity"),"HOLD",TRUE,"")</f>
        <v>REVIEW</v>
      </c>
      <c r="R552" t="str" cm="1">
        <f t="array" ref="R552">_xlfn.IFS(AND($A552="thg-beauty",ISNUMBER(SEARCH("liveramp",$C552))),"thg-beauty Liveramp dataset — confirmed safe to delete",$A552="agile-bonbon-662",_xlfn.IFS(LEFT($G552,9)="Tranche 1","Tranche 1: cleared",$C552="Sessions_Level_1_All_Sites","Downstream aggregation of UA raw logs — keep if raw tables go",ISNUMBER(--$C552),"UA raw site logs (account ID) — keep pending audit-retention check",$C552="Emag_Reporting","Legacy but likely needed",$C552="Nutrition_Data_Archived_Tables","Worth keeping",$C552="EU_Data","Static lookup tables — scripts still reference (smoke-test risk)",TRUE,"Review"),OR($A552="thg-influencer",$A552="thg-ingenuity",$A552="thg-central-marketing",$A552="thg-seoclarity"),"HOLD — Charlie Stringer to review before deletion",TRUE,"")</f>
        <v>Review</v>
      </c>
      <c r="S552" t="s">
        <v>1624</v>
      </c>
    </row>
    <row r="553" spans="1:19" ht="76.5" hidden="1">
      <c r="A553" t="s">
        <v>38</v>
      </c>
      <c r="B553" t="s">
        <v>1724</v>
      </c>
      <c r="C553" t="s">
        <v>2867</v>
      </c>
      <c r="D553" s="2" t="s">
        <v>1621</v>
      </c>
      <c r="E553">
        <v>6.71</v>
      </c>
      <c r="F553">
        <v>0.13</v>
      </c>
      <c r="G553" t="s">
        <v>79</v>
      </c>
      <c r="H553" t="s">
        <v>81</v>
      </c>
      <c r="I553">
        <v>0</v>
      </c>
      <c r="J553">
        <v>0</v>
      </c>
      <c r="K553" s="5">
        <v>46195.107725960654</v>
      </c>
      <c r="M553" s="2" t="s">
        <v>2868</v>
      </c>
      <c r="N553" s="2" t="s">
        <v>1701</v>
      </c>
      <c r="O553" s="5">
        <v>46197.097735752322</v>
      </c>
      <c r="P553" t="str">
        <f>IF($Q553="DELETE",IF($S553="CONFIRMED: NO MODS &gt; 1YR","CONFIRMED: NO MODS &gt; 1YR","DO NOT DELETE — not defensibly confirmed"),IF($Q553="HOLD","DO NOT DELETE — HOLD (Charlie review)",IF($Q553="KEEP","DO NOT DELETE — KEEP",IF(ISNUMBER(SEARCH("REVIEW",$Q553)),"DO NOT DELETE — REVIEW pending",$S553))))</f>
        <v>DO NOT DELETE — HOLD (Charlie review)</v>
      </c>
      <c r="Q553" t="str" cm="1">
        <f t="array" ref="Q553">_xlfn.IFS(AND($A553="thg-beauty",ISNUMBER(SEARCH("liveramp",$C553))),"DELETE",$A553="agile-bonbon-662",_xlfn.IFS(LEFT($G553,9)="Tranche 1","DELETE",$C553="Sessions_Level_1_All_Sites","KEEP",ISNUMBER(--$C553),"REVIEW — UA raw logs",$C553="Emag_Reporting","KEEP",$C553="Nutrition_Data_Archived_Tables","KEEP",$C553="EU_Data","KEEP",TRUE,"REVIEW"),OR($A553="thg-influencer",$A553="thg-ingenuity",$A553="thg-central-marketing",$A553="thg-seoclarity"),"HOLD",TRUE,"")</f>
        <v>HOLD</v>
      </c>
      <c r="R553" t="str" cm="1">
        <f t="array" ref="R553">_xlfn.IFS(AND($A553="thg-beauty",ISNUMBER(SEARCH("liveramp",$C553))),"thg-beauty Liveramp dataset — confirmed safe to delete",$A553="agile-bonbon-662",_xlfn.IFS(LEFT($G553,9)="Tranche 1","Tranche 1: cleared",$C553="Sessions_Level_1_All_Sites","Downstream aggregation of UA raw logs — keep if raw tables go",ISNUMBER(--$C553),"UA raw site logs (account ID) — keep pending audit-retention check",$C553="Emag_Reporting","Legacy but likely needed",$C553="Nutrition_Data_Archived_Tables","Worth keeping",$C553="EU_Data","Static lookup tables — scripts still reference (smoke-test risk)",TRUE,"Review"),OR($A553="thg-influencer",$A553="thg-ingenuity",$A553="thg-central-marketing",$A553="thg-seoclarity"),"HOLD — Charlie Stringer to review before deletion",TRUE,"")</f>
        <v>HOLD — Charlie Stringer to review before deletion</v>
      </c>
      <c r="S553" t="s">
        <v>1624</v>
      </c>
    </row>
    <row r="554" spans="1:19" ht="76.5" hidden="1">
      <c r="A554" t="s">
        <v>38</v>
      </c>
      <c r="B554" t="s">
        <v>1619</v>
      </c>
      <c r="C554" t="s">
        <v>2867</v>
      </c>
      <c r="D554" s="2" t="s">
        <v>1621</v>
      </c>
      <c r="E554">
        <v>6.71</v>
      </c>
      <c r="F554">
        <v>0.13</v>
      </c>
      <c r="G554" t="s">
        <v>79</v>
      </c>
      <c r="H554" t="s">
        <v>81</v>
      </c>
      <c r="I554">
        <v>0</v>
      </c>
      <c r="J554">
        <v>0</v>
      </c>
      <c r="K554" s="5">
        <v>46197.435051307868</v>
      </c>
      <c r="L554" s="5">
        <v>46197.097720844897</v>
      </c>
      <c r="M554" s="2" t="s">
        <v>2869</v>
      </c>
      <c r="N554" s="2" t="s">
        <v>2870</v>
      </c>
      <c r="O554" s="5">
        <v>46197.097735752322</v>
      </c>
      <c r="P554" t="str">
        <f>IF($Q554="DELETE",IF($S554="CONFIRMED: NO MODS &gt; 1YR","CONFIRMED: NO MODS &gt; 1YR","DO NOT DELETE — not defensibly confirmed"),IF($Q554="HOLD","DO NOT DELETE — HOLD (Charlie review)",IF($Q554="KEEP","DO NOT DELETE — KEEP",IF(ISNUMBER(SEARCH("REVIEW",$Q554)),"DO NOT DELETE — REVIEW pending",$S554))))</f>
        <v>DO NOT DELETE — HOLD (Charlie review)</v>
      </c>
      <c r="Q554" t="str" cm="1">
        <f t="array" ref="Q554">_xlfn.IFS(AND($A554="thg-beauty",ISNUMBER(SEARCH("liveramp",$C554))),"DELETE",$A554="agile-bonbon-662",_xlfn.IFS(LEFT($G554,9)="Tranche 1","DELETE",$C554="Sessions_Level_1_All_Sites","KEEP",ISNUMBER(--$C554),"REVIEW — UA raw logs",$C554="Emag_Reporting","KEEP",$C554="Nutrition_Data_Archived_Tables","KEEP",$C554="EU_Data","KEEP",TRUE,"REVIEW"),OR($A554="thg-influencer",$A554="thg-ingenuity",$A554="thg-central-marketing",$A554="thg-seoclarity"),"HOLD",TRUE,"")</f>
        <v>HOLD</v>
      </c>
      <c r="R554" t="str" cm="1">
        <f t="array" ref="R554">_xlfn.IFS(AND($A554="thg-beauty",ISNUMBER(SEARCH("liveramp",$C554))),"thg-beauty Liveramp dataset — confirmed safe to delete",$A554="agile-bonbon-662",_xlfn.IFS(LEFT($G554,9)="Tranche 1","Tranche 1: cleared",$C554="Sessions_Level_1_All_Sites","Downstream aggregation of UA raw logs — keep if raw tables go",ISNUMBER(--$C554),"UA raw site logs (account ID) — keep pending audit-retention check",$C554="Emag_Reporting","Legacy but likely needed",$C554="Nutrition_Data_Archived_Tables","Worth keeping",$C554="EU_Data","Static lookup tables — scripts still reference (smoke-test risk)",TRUE,"Review"),OR($A554="thg-influencer",$A554="thg-ingenuity",$A554="thg-central-marketing",$A554="thg-seoclarity"),"HOLD — Charlie Stringer to review before deletion",TRUE,"")</f>
        <v>HOLD — Charlie Stringer to review before deletion</v>
      </c>
      <c r="S554" t="s">
        <v>1624</v>
      </c>
    </row>
    <row r="555" spans="1:19" ht="76.5" hidden="1">
      <c r="A555" t="s">
        <v>38</v>
      </c>
      <c r="B555" t="s">
        <v>1619</v>
      </c>
      <c r="C555" t="s">
        <v>2871</v>
      </c>
      <c r="D555" s="2" t="s">
        <v>1621</v>
      </c>
      <c r="E555">
        <v>6.37</v>
      </c>
      <c r="F555">
        <v>0.13</v>
      </c>
      <c r="G555" t="s">
        <v>79</v>
      </c>
      <c r="H555" t="s">
        <v>81</v>
      </c>
      <c r="I555">
        <v>0</v>
      </c>
      <c r="J555">
        <v>0</v>
      </c>
      <c r="K555" s="5">
        <v>46197.418600555553</v>
      </c>
      <c r="L555" s="5">
        <v>46197.364428668981</v>
      </c>
      <c r="M555" s="2" t="s">
        <v>2872</v>
      </c>
      <c r="N555" s="2" t="s">
        <v>2873</v>
      </c>
      <c r="O555" s="5">
        <v>46197.364734953713</v>
      </c>
      <c r="P555" t="str">
        <f>IF($Q555="DELETE",IF($S555="CONFIRMED: NO MODS &gt; 1YR","CONFIRMED: NO MODS &gt; 1YR","DO NOT DELETE — not defensibly confirmed"),IF($Q555="HOLD","DO NOT DELETE — HOLD (Charlie review)",IF($Q555="KEEP","DO NOT DELETE — KEEP",IF(ISNUMBER(SEARCH("REVIEW",$Q555)),"DO NOT DELETE — REVIEW pending",$S555))))</f>
        <v>DO NOT DELETE — HOLD (Charlie review)</v>
      </c>
      <c r="Q555" t="str" cm="1">
        <f t="array" ref="Q555">_xlfn.IFS(AND($A555="thg-beauty",ISNUMBER(SEARCH("liveramp",$C555))),"DELETE",$A555="agile-bonbon-662",_xlfn.IFS(LEFT($G555,9)="Tranche 1","DELETE",$C555="Sessions_Level_1_All_Sites","KEEP",ISNUMBER(--$C555),"REVIEW — UA raw logs",$C555="Emag_Reporting","KEEP",$C555="Nutrition_Data_Archived_Tables","KEEP",$C555="EU_Data","KEEP",TRUE,"REVIEW"),OR($A555="thg-influencer",$A555="thg-ingenuity",$A555="thg-central-marketing",$A555="thg-seoclarity"),"HOLD",TRUE,"")</f>
        <v>HOLD</v>
      </c>
      <c r="R555" t="str" cm="1">
        <f t="array" ref="R555">_xlfn.IFS(AND($A555="thg-beauty",ISNUMBER(SEARCH("liveramp",$C555))),"thg-beauty Liveramp dataset — confirmed safe to delete",$A555="agile-bonbon-662",_xlfn.IFS(LEFT($G555,9)="Tranche 1","Tranche 1: cleared",$C555="Sessions_Level_1_All_Sites","Downstream aggregation of UA raw logs — keep if raw tables go",ISNUMBER(--$C555),"UA raw site logs (account ID) — keep pending audit-retention check",$C555="Emag_Reporting","Legacy but likely needed",$C555="Nutrition_Data_Archived_Tables","Worth keeping",$C555="EU_Data","Static lookup tables — scripts still reference (smoke-test risk)",TRUE,"Review"),OR($A555="thg-influencer",$A555="thg-ingenuity",$A555="thg-central-marketing",$A555="thg-seoclarity"),"HOLD — Charlie Stringer to review before deletion",TRUE,"")</f>
        <v>HOLD — Charlie Stringer to review before deletion</v>
      </c>
      <c r="S555" t="s">
        <v>1624</v>
      </c>
    </row>
    <row r="556" spans="1:19" ht="76.5" hidden="1">
      <c r="A556" t="s">
        <v>35</v>
      </c>
      <c r="B556" t="s">
        <v>1619</v>
      </c>
      <c r="C556" t="s">
        <v>2874</v>
      </c>
      <c r="D556" s="2" t="s">
        <v>1621</v>
      </c>
      <c r="E556">
        <v>6.17</v>
      </c>
      <c r="F556">
        <v>0.12</v>
      </c>
      <c r="G556" t="s">
        <v>79</v>
      </c>
      <c r="H556" t="s">
        <v>81</v>
      </c>
      <c r="I556">
        <v>0</v>
      </c>
      <c r="J556">
        <v>0</v>
      </c>
      <c r="K556" s="5">
        <v>46197.118751284717</v>
      </c>
      <c r="L556" s="5">
        <v>46197.081620983787</v>
      </c>
      <c r="M556" s="2" t="s">
        <v>2875</v>
      </c>
      <c r="N556" s="2" t="s">
        <v>2876</v>
      </c>
      <c r="O556" s="5">
        <v>46197.081713877313</v>
      </c>
      <c r="P556" t="str">
        <f>IF($Q556="DELETE",IF($S556="CONFIRMED: NO MODS &gt; 1YR","CONFIRMED: NO MODS &gt; 1YR","DO NOT DELETE — not defensibly confirmed"),IF($Q556="HOLD","DO NOT DELETE — HOLD (Charlie review)",IF($Q556="KEEP","DO NOT DELETE — KEEP",IF(ISNUMBER(SEARCH("REVIEW",$Q556)),"DO NOT DELETE — REVIEW pending",$S556))))</f>
        <v>DO NOT DELETE — HOLD (Charlie review)</v>
      </c>
      <c r="Q556" t="str" cm="1">
        <f t="array" ref="Q556">_xlfn.IFS(AND($A556="thg-beauty",ISNUMBER(SEARCH("liveramp",$C556))),"DELETE",$A556="agile-bonbon-662",_xlfn.IFS(LEFT($G556,9)="Tranche 1","DELETE",$C556="Sessions_Level_1_All_Sites","KEEP",ISNUMBER(--$C556),"REVIEW — UA raw logs",$C556="Emag_Reporting","KEEP",$C556="Nutrition_Data_Archived_Tables","KEEP",$C556="EU_Data","KEEP",TRUE,"REVIEW"),OR($A556="thg-influencer",$A556="thg-ingenuity",$A556="thg-central-marketing",$A556="thg-seoclarity"),"HOLD",TRUE,"")</f>
        <v>HOLD</v>
      </c>
      <c r="R556" t="str" cm="1">
        <f t="array" ref="R556">_xlfn.IFS(AND($A556="thg-beauty",ISNUMBER(SEARCH("liveramp",$C556))),"thg-beauty Liveramp dataset — confirmed safe to delete",$A556="agile-bonbon-662",_xlfn.IFS(LEFT($G556,9)="Tranche 1","Tranche 1: cleared",$C556="Sessions_Level_1_All_Sites","Downstream aggregation of UA raw logs — keep if raw tables go",ISNUMBER(--$C556),"UA raw site logs (account ID) — keep pending audit-retention check",$C556="Emag_Reporting","Legacy but likely needed",$C556="Nutrition_Data_Archived_Tables","Worth keeping",$C556="EU_Data","Static lookup tables — scripts still reference (smoke-test risk)",TRUE,"Review"),OR($A556="thg-influencer",$A556="thg-ingenuity",$A556="thg-central-marketing",$A556="thg-seoclarity"),"HOLD — Charlie Stringer to review before deletion",TRUE,"")</f>
        <v>HOLD — Charlie Stringer to review before deletion</v>
      </c>
      <c r="S556" t="s">
        <v>1624</v>
      </c>
    </row>
    <row r="557" spans="1:19" ht="76.5" hidden="1">
      <c r="A557" t="s">
        <v>38</v>
      </c>
      <c r="B557" t="s">
        <v>1619</v>
      </c>
      <c r="C557" t="s">
        <v>2877</v>
      </c>
      <c r="D557" s="2" t="s">
        <v>1621</v>
      </c>
      <c r="E557">
        <v>6.15</v>
      </c>
      <c r="F557">
        <v>0.12</v>
      </c>
      <c r="G557" t="s">
        <v>79</v>
      </c>
      <c r="H557" t="s">
        <v>81</v>
      </c>
      <c r="I557">
        <v>0</v>
      </c>
      <c r="J557">
        <v>0</v>
      </c>
      <c r="L557" s="5">
        <v>46196.752268668977</v>
      </c>
      <c r="M557" s="2" t="s">
        <v>1715</v>
      </c>
      <c r="N557" s="2" t="s">
        <v>2878</v>
      </c>
      <c r="O557" s="5">
        <v>46196.752321828702</v>
      </c>
      <c r="P557" t="str">
        <f>IF($Q557="DELETE",IF($S557="CONFIRMED: NO MODS &gt; 1YR","CONFIRMED: NO MODS &gt; 1YR","DO NOT DELETE — not defensibly confirmed"),IF($Q557="HOLD","DO NOT DELETE — HOLD (Charlie review)",IF($Q557="KEEP","DO NOT DELETE — KEEP",IF(ISNUMBER(SEARCH("REVIEW",$Q557)),"DO NOT DELETE — REVIEW pending",$S557))))</f>
        <v>DO NOT DELETE — HOLD (Charlie review)</v>
      </c>
      <c r="Q557" t="str" cm="1">
        <f t="array" ref="Q557">_xlfn.IFS(AND($A557="thg-beauty",ISNUMBER(SEARCH("liveramp",$C557))),"DELETE",$A557="agile-bonbon-662",_xlfn.IFS(LEFT($G557,9)="Tranche 1","DELETE",$C557="Sessions_Level_1_All_Sites","KEEP",ISNUMBER(--$C557),"REVIEW — UA raw logs",$C557="Emag_Reporting","KEEP",$C557="Nutrition_Data_Archived_Tables","KEEP",$C557="EU_Data","KEEP",TRUE,"REVIEW"),OR($A557="thg-influencer",$A557="thg-ingenuity",$A557="thg-central-marketing",$A557="thg-seoclarity"),"HOLD",TRUE,"")</f>
        <v>HOLD</v>
      </c>
      <c r="R557" t="str" cm="1">
        <f t="array" ref="R557">_xlfn.IFS(AND($A557="thg-beauty",ISNUMBER(SEARCH("liveramp",$C557))),"thg-beauty Liveramp dataset — confirmed safe to delete",$A557="agile-bonbon-662",_xlfn.IFS(LEFT($G557,9)="Tranche 1","Tranche 1: cleared",$C557="Sessions_Level_1_All_Sites","Downstream aggregation of UA raw logs — keep if raw tables go",ISNUMBER(--$C557),"UA raw site logs (account ID) — keep pending audit-retention check",$C557="Emag_Reporting","Legacy but likely needed",$C557="Nutrition_Data_Archived_Tables","Worth keeping",$C557="EU_Data","Static lookup tables — scripts still reference (smoke-test risk)",TRUE,"Review"),OR($A557="thg-influencer",$A557="thg-ingenuity",$A557="thg-central-marketing",$A557="thg-seoclarity"),"HOLD — Charlie Stringer to review before deletion",TRUE,"")</f>
        <v>HOLD — Charlie Stringer to review before deletion</v>
      </c>
      <c r="S557" t="s">
        <v>1624</v>
      </c>
    </row>
    <row r="558" spans="1:19" ht="76.5" hidden="1">
      <c r="A558" t="s">
        <v>89</v>
      </c>
      <c r="B558" t="s">
        <v>1619</v>
      </c>
      <c r="C558" t="s">
        <v>2879</v>
      </c>
      <c r="D558" s="2" t="s">
        <v>1621</v>
      </c>
      <c r="E558">
        <v>5.68</v>
      </c>
      <c r="F558">
        <v>0.11</v>
      </c>
      <c r="G558" t="s">
        <v>79</v>
      </c>
      <c r="H558" t="s">
        <v>81</v>
      </c>
      <c r="I558">
        <v>0</v>
      </c>
      <c r="J558">
        <v>48</v>
      </c>
      <c r="K558" s="5">
        <v>46197.126002407407</v>
      </c>
      <c r="L558" s="5">
        <v>46148.565855393521</v>
      </c>
      <c r="M558" s="2" t="s">
        <v>2880</v>
      </c>
      <c r="N558" s="2" t="s">
        <v>2881</v>
      </c>
      <c r="O558" s="5">
        <v>46148.565888611112</v>
      </c>
      <c r="P558" t="str">
        <f>IF($Q558="DELETE",IF($S558="CONFIRMED: NO MODS &gt; 1YR","CONFIRMED: NO MODS &gt; 1YR","DO NOT DELETE — not defensibly confirmed"),IF($Q558="HOLD","DO NOT DELETE — HOLD (Charlie review)",IF($Q558="KEEP","DO NOT DELETE — KEEP",IF(ISNUMBER(SEARCH("REVIEW",$Q558)),"DO NOT DELETE — REVIEW pending",$S558))))</f>
        <v>DO NOT DELETE — REVIEW pending</v>
      </c>
      <c r="Q558" t="str" cm="1">
        <f t="array" ref="Q558">_xlfn.IFS(AND($A558="thg-beauty",ISNUMBER(SEARCH("liveramp",$C558))),"DELETE",$A558="agile-bonbon-662",_xlfn.IFS(LEFT($G558,9)="Tranche 1","DELETE",$C558="Sessions_Level_1_All_Sites","KEEP",ISNUMBER(--$C558),"REVIEW — UA raw logs",$C558="Emag_Reporting","KEEP",$C558="Nutrition_Data_Archived_Tables","KEEP",$C558="EU_Data","KEEP",TRUE,"REVIEW"),OR($A558="thg-influencer",$A558="thg-ingenuity",$A558="thg-central-marketing",$A558="thg-seoclarity"),"HOLD",TRUE,"")</f>
        <v>REVIEW</v>
      </c>
      <c r="R558" t="str" cm="1">
        <f t="array" ref="R558">_xlfn.IFS(AND($A558="thg-beauty",ISNUMBER(SEARCH("liveramp",$C558))),"thg-beauty Liveramp dataset — confirmed safe to delete",$A558="agile-bonbon-662",_xlfn.IFS(LEFT($G558,9)="Tranche 1","Tranche 1: cleared",$C558="Sessions_Level_1_All_Sites","Downstream aggregation of UA raw logs — keep if raw tables go",ISNUMBER(--$C558),"UA raw site logs (account ID) — keep pending audit-retention check",$C558="Emag_Reporting","Legacy but likely needed",$C558="Nutrition_Data_Archived_Tables","Worth keeping",$C558="EU_Data","Static lookup tables — scripts still reference (smoke-test risk)",TRUE,"Review"),OR($A558="thg-influencer",$A558="thg-ingenuity",$A558="thg-central-marketing",$A558="thg-seoclarity"),"HOLD — Charlie Stringer to review before deletion",TRUE,"")</f>
        <v>Review</v>
      </c>
      <c r="S558" t="s">
        <v>1624</v>
      </c>
    </row>
    <row r="559" spans="1:19" ht="76.5" hidden="1">
      <c r="A559" t="s">
        <v>38</v>
      </c>
      <c r="B559" t="s">
        <v>1619</v>
      </c>
      <c r="C559" t="s">
        <v>2882</v>
      </c>
      <c r="D559" s="2" t="s">
        <v>1621</v>
      </c>
      <c r="E559">
        <v>5.61</v>
      </c>
      <c r="F559">
        <v>0.11</v>
      </c>
      <c r="G559" t="s">
        <v>79</v>
      </c>
      <c r="H559" t="s">
        <v>81</v>
      </c>
      <c r="I559">
        <v>0</v>
      </c>
      <c r="J559">
        <v>0</v>
      </c>
      <c r="K559" s="5">
        <v>46197.271330474527</v>
      </c>
      <c r="L559" s="5">
        <v>46197.121667430547</v>
      </c>
      <c r="M559" s="2" t="s">
        <v>2883</v>
      </c>
      <c r="N559" s="2" t="s">
        <v>2884</v>
      </c>
      <c r="O559" s="5">
        <v>46197.121695324073</v>
      </c>
      <c r="P559" t="str">
        <f>IF($Q559="DELETE",IF($S559="CONFIRMED: NO MODS &gt; 1YR","CONFIRMED: NO MODS &gt; 1YR","DO NOT DELETE — not defensibly confirmed"),IF($Q559="HOLD","DO NOT DELETE — HOLD (Charlie review)",IF($Q559="KEEP","DO NOT DELETE — KEEP",IF(ISNUMBER(SEARCH("REVIEW",$Q559)),"DO NOT DELETE — REVIEW pending",$S559))))</f>
        <v>DO NOT DELETE — HOLD (Charlie review)</v>
      </c>
      <c r="Q559" t="str" cm="1">
        <f t="array" ref="Q559">_xlfn.IFS(AND($A559="thg-beauty",ISNUMBER(SEARCH("liveramp",$C559))),"DELETE",$A559="agile-bonbon-662",_xlfn.IFS(LEFT($G559,9)="Tranche 1","DELETE",$C559="Sessions_Level_1_All_Sites","KEEP",ISNUMBER(--$C559),"REVIEW — UA raw logs",$C559="Emag_Reporting","KEEP",$C559="Nutrition_Data_Archived_Tables","KEEP",$C559="EU_Data","KEEP",TRUE,"REVIEW"),OR($A559="thg-influencer",$A559="thg-ingenuity",$A559="thg-central-marketing",$A559="thg-seoclarity"),"HOLD",TRUE,"")</f>
        <v>HOLD</v>
      </c>
      <c r="R559" t="str" cm="1">
        <f t="array" ref="R559">_xlfn.IFS(AND($A559="thg-beauty",ISNUMBER(SEARCH("liveramp",$C559))),"thg-beauty Liveramp dataset — confirmed safe to delete",$A559="agile-bonbon-662",_xlfn.IFS(LEFT($G559,9)="Tranche 1","Tranche 1: cleared",$C559="Sessions_Level_1_All_Sites","Downstream aggregation of UA raw logs — keep if raw tables go",ISNUMBER(--$C559),"UA raw site logs (account ID) — keep pending audit-retention check",$C559="Emag_Reporting","Legacy but likely needed",$C559="Nutrition_Data_Archived_Tables","Worth keeping",$C559="EU_Data","Static lookup tables — scripts still reference (smoke-test risk)",TRUE,"Review"),OR($A559="thg-influencer",$A559="thg-ingenuity",$A559="thg-central-marketing",$A559="thg-seoclarity"),"HOLD — Charlie Stringer to review before deletion",TRUE,"")</f>
        <v>HOLD — Charlie Stringer to review before deletion</v>
      </c>
      <c r="S559" t="s">
        <v>1624</v>
      </c>
    </row>
    <row r="560" spans="1:19" ht="76.5" hidden="1">
      <c r="A560" t="s">
        <v>38</v>
      </c>
      <c r="B560" t="s">
        <v>1619</v>
      </c>
      <c r="C560" t="s">
        <v>2885</v>
      </c>
      <c r="D560" s="2" t="s">
        <v>1621</v>
      </c>
      <c r="E560">
        <v>5.61</v>
      </c>
      <c r="F560">
        <v>0.11</v>
      </c>
      <c r="G560" t="s">
        <v>79</v>
      </c>
      <c r="H560" t="s">
        <v>81</v>
      </c>
      <c r="I560">
        <v>0</v>
      </c>
      <c r="J560">
        <v>0</v>
      </c>
      <c r="K560" s="5">
        <v>46197.41957701389</v>
      </c>
      <c r="L560" s="5">
        <v>46197.346177789354</v>
      </c>
      <c r="M560" s="2" t="s">
        <v>2886</v>
      </c>
      <c r="N560" s="2" t="s">
        <v>2887</v>
      </c>
      <c r="O560" s="5">
        <v>46197.378260289363</v>
      </c>
      <c r="P560" t="str">
        <f>IF($Q560="DELETE",IF($S560="CONFIRMED: NO MODS &gt; 1YR","CONFIRMED: NO MODS &gt; 1YR","DO NOT DELETE — not defensibly confirmed"),IF($Q560="HOLD","DO NOT DELETE — HOLD (Charlie review)",IF($Q560="KEEP","DO NOT DELETE — KEEP",IF(ISNUMBER(SEARCH("REVIEW",$Q560)),"DO NOT DELETE — REVIEW pending",$S560))))</f>
        <v>DO NOT DELETE — HOLD (Charlie review)</v>
      </c>
      <c r="Q560" t="str" cm="1">
        <f t="array" ref="Q560">_xlfn.IFS(AND($A560="thg-beauty",ISNUMBER(SEARCH("liveramp",$C560))),"DELETE",$A560="agile-bonbon-662",_xlfn.IFS(LEFT($G560,9)="Tranche 1","DELETE",$C560="Sessions_Level_1_All_Sites","KEEP",ISNUMBER(--$C560),"REVIEW — UA raw logs",$C560="Emag_Reporting","KEEP",$C560="Nutrition_Data_Archived_Tables","KEEP",$C560="EU_Data","KEEP",TRUE,"REVIEW"),OR($A560="thg-influencer",$A560="thg-ingenuity",$A560="thg-central-marketing",$A560="thg-seoclarity"),"HOLD",TRUE,"")</f>
        <v>HOLD</v>
      </c>
      <c r="R560" t="str" cm="1">
        <f t="array" ref="R560">_xlfn.IFS(AND($A560="thg-beauty",ISNUMBER(SEARCH("liveramp",$C560))),"thg-beauty Liveramp dataset — confirmed safe to delete",$A560="agile-bonbon-662",_xlfn.IFS(LEFT($G560,9)="Tranche 1","Tranche 1: cleared",$C560="Sessions_Level_1_All_Sites","Downstream aggregation of UA raw logs — keep if raw tables go",ISNUMBER(--$C560),"UA raw site logs (account ID) — keep pending audit-retention check",$C560="Emag_Reporting","Legacy but likely needed",$C560="Nutrition_Data_Archived_Tables","Worth keeping",$C560="EU_Data","Static lookup tables — scripts still reference (smoke-test risk)",TRUE,"Review"),OR($A560="thg-influencer",$A560="thg-ingenuity",$A560="thg-central-marketing",$A560="thg-seoclarity"),"HOLD — Charlie Stringer to review before deletion",TRUE,"")</f>
        <v>HOLD — Charlie Stringer to review before deletion</v>
      </c>
      <c r="S560" t="s">
        <v>1624</v>
      </c>
    </row>
    <row r="561" spans="1:19" ht="76.5" hidden="1">
      <c r="A561" t="s">
        <v>89</v>
      </c>
      <c r="B561" t="s">
        <v>1619</v>
      </c>
      <c r="C561" t="s">
        <v>2888</v>
      </c>
      <c r="D561" s="2" t="s">
        <v>1621</v>
      </c>
      <c r="E561">
        <v>5.45</v>
      </c>
      <c r="F561">
        <v>0.11</v>
      </c>
      <c r="G561" t="s">
        <v>79</v>
      </c>
      <c r="H561" t="s">
        <v>81</v>
      </c>
      <c r="I561">
        <v>0</v>
      </c>
      <c r="J561">
        <v>0</v>
      </c>
      <c r="K561" s="5">
        <v>46197.218492789347</v>
      </c>
      <c r="L561" s="5">
        <v>46197.218526400473</v>
      </c>
      <c r="M561" s="2" t="s">
        <v>2889</v>
      </c>
      <c r="N561" s="2" t="s">
        <v>2890</v>
      </c>
      <c r="O561" s="5">
        <v>46197.21854115741</v>
      </c>
      <c r="P561" t="str">
        <f>IF($Q561="DELETE",IF($S561="CONFIRMED: NO MODS &gt; 1YR","CONFIRMED: NO MODS &gt; 1YR","DO NOT DELETE — not defensibly confirmed"),IF($Q561="HOLD","DO NOT DELETE — HOLD (Charlie review)",IF($Q561="KEEP","DO NOT DELETE — KEEP",IF(ISNUMBER(SEARCH("REVIEW",$Q561)),"DO NOT DELETE — REVIEW pending",$S561))))</f>
        <v>DO NOT DELETE — REVIEW pending</v>
      </c>
      <c r="Q561" t="str" cm="1">
        <f t="array" ref="Q561">_xlfn.IFS(AND($A561="thg-beauty",ISNUMBER(SEARCH("liveramp",$C561))),"DELETE",$A561="agile-bonbon-662",_xlfn.IFS(LEFT($G561,9)="Tranche 1","DELETE",$C561="Sessions_Level_1_All_Sites","KEEP",ISNUMBER(--$C561),"REVIEW — UA raw logs",$C561="Emag_Reporting","KEEP",$C561="Nutrition_Data_Archived_Tables","KEEP",$C561="EU_Data","KEEP",TRUE,"REVIEW"),OR($A561="thg-influencer",$A561="thg-ingenuity",$A561="thg-central-marketing",$A561="thg-seoclarity"),"HOLD",TRUE,"")</f>
        <v>REVIEW</v>
      </c>
      <c r="R561" t="str" cm="1">
        <f t="array" ref="R561">_xlfn.IFS(AND($A561="thg-beauty",ISNUMBER(SEARCH("liveramp",$C561))),"thg-beauty Liveramp dataset — confirmed safe to delete",$A561="agile-bonbon-662",_xlfn.IFS(LEFT($G561,9)="Tranche 1","Tranche 1: cleared",$C561="Sessions_Level_1_All_Sites","Downstream aggregation of UA raw logs — keep if raw tables go",ISNUMBER(--$C561),"UA raw site logs (account ID) — keep pending audit-retention check",$C561="Emag_Reporting","Legacy but likely needed",$C561="Nutrition_Data_Archived_Tables","Worth keeping",$C561="EU_Data","Static lookup tables — scripts still reference (smoke-test risk)",TRUE,"Review"),OR($A561="thg-influencer",$A561="thg-ingenuity",$A561="thg-central-marketing",$A561="thg-seoclarity"),"HOLD — Charlie Stringer to review before deletion",TRUE,"")</f>
        <v>Review</v>
      </c>
      <c r="S561" t="s">
        <v>1624</v>
      </c>
    </row>
    <row r="562" spans="1:19" ht="76.5" hidden="1">
      <c r="A562" t="s">
        <v>89</v>
      </c>
      <c r="B562" t="s">
        <v>1619</v>
      </c>
      <c r="C562" t="s">
        <v>2891</v>
      </c>
      <c r="D562" s="2" t="s">
        <v>1621</v>
      </c>
      <c r="E562">
        <v>5.01</v>
      </c>
      <c r="F562">
        <v>0.1</v>
      </c>
      <c r="G562" t="s">
        <v>79</v>
      </c>
      <c r="H562" t="s">
        <v>81</v>
      </c>
      <c r="I562">
        <v>0</v>
      </c>
      <c r="J562">
        <v>0</v>
      </c>
      <c r="K562" s="5">
        <v>46197.396488495368</v>
      </c>
      <c r="L562" s="5">
        <v>46197.376891481479</v>
      </c>
      <c r="M562" s="2" t="s">
        <v>2892</v>
      </c>
      <c r="N562" s="2" t="s">
        <v>2893</v>
      </c>
      <c r="O562" s="5">
        <v>46197.376983923612</v>
      </c>
      <c r="P562" t="str">
        <f>IF($Q562="DELETE",IF($S562="CONFIRMED: NO MODS &gt; 1YR","CONFIRMED: NO MODS &gt; 1YR","DO NOT DELETE — not defensibly confirmed"),IF($Q562="HOLD","DO NOT DELETE — HOLD (Charlie review)",IF($Q562="KEEP","DO NOT DELETE — KEEP",IF(ISNUMBER(SEARCH("REVIEW",$Q562)),"DO NOT DELETE — REVIEW pending",$S562))))</f>
        <v>DO NOT DELETE — REVIEW pending</v>
      </c>
      <c r="Q562" t="str" cm="1">
        <f t="array" ref="Q562">_xlfn.IFS(AND($A562="thg-beauty",ISNUMBER(SEARCH("liveramp",$C562))),"DELETE",$A562="agile-bonbon-662",_xlfn.IFS(LEFT($G562,9)="Tranche 1","DELETE",$C562="Sessions_Level_1_All_Sites","KEEP",ISNUMBER(--$C562),"REVIEW — UA raw logs",$C562="Emag_Reporting","KEEP",$C562="Nutrition_Data_Archived_Tables","KEEP",$C562="EU_Data","KEEP",TRUE,"REVIEW"),OR($A562="thg-influencer",$A562="thg-ingenuity",$A562="thg-central-marketing",$A562="thg-seoclarity"),"HOLD",TRUE,"")</f>
        <v>REVIEW</v>
      </c>
      <c r="R562" t="str" cm="1">
        <f t="array" ref="R562">_xlfn.IFS(AND($A562="thg-beauty",ISNUMBER(SEARCH("liveramp",$C562))),"thg-beauty Liveramp dataset — confirmed safe to delete",$A562="agile-bonbon-662",_xlfn.IFS(LEFT($G562,9)="Tranche 1","Tranche 1: cleared",$C562="Sessions_Level_1_All_Sites","Downstream aggregation of UA raw logs — keep if raw tables go",ISNUMBER(--$C562),"UA raw site logs (account ID) — keep pending audit-retention check",$C562="Emag_Reporting","Legacy but likely needed",$C562="Nutrition_Data_Archived_Tables","Worth keeping",$C562="EU_Data","Static lookup tables — scripts still reference (smoke-test risk)",TRUE,"Review"),OR($A562="thg-influencer",$A562="thg-ingenuity",$A562="thg-central-marketing",$A562="thg-seoclarity"),"HOLD — Charlie Stringer to review before deletion",TRUE,"")</f>
        <v>Review</v>
      </c>
      <c r="S562" t="s">
        <v>1624</v>
      </c>
    </row>
    <row r="563" spans="1:19" ht="76.5" hidden="1">
      <c r="A563" t="s">
        <v>35</v>
      </c>
      <c r="B563" t="s">
        <v>1619</v>
      </c>
      <c r="C563" t="s">
        <v>2894</v>
      </c>
      <c r="D563" s="2" t="s">
        <v>1621</v>
      </c>
      <c r="E563">
        <v>4.99</v>
      </c>
      <c r="F563">
        <v>0.1</v>
      </c>
      <c r="G563" t="s">
        <v>79</v>
      </c>
      <c r="H563" t="s">
        <v>81</v>
      </c>
      <c r="I563">
        <v>0</v>
      </c>
      <c r="J563">
        <v>299</v>
      </c>
      <c r="K563" s="5">
        <v>46197.445732037027</v>
      </c>
      <c r="M563" s="2" t="s">
        <v>2895</v>
      </c>
      <c r="N563" s="2" t="s">
        <v>1701</v>
      </c>
      <c r="O563" s="5">
        <v>45897.959636238433</v>
      </c>
      <c r="P563" t="str">
        <f>IF($Q563="DELETE",IF($S563="CONFIRMED: NO MODS &gt; 1YR","CONFIRMED: NO MODS &gt; 1YR","DO NOT DELETE — not defensibly confirmed"),IF($Q563="HOLD","DO NOT DELETE — HOLD (Charlie review)",IF($Q563="KEEP","DO NOT DELETE — KEEP",IF(ISNUMBER(SEARCH("REVIEW",$Q563)),"DO NOT DELETE — REVIEW pending",$S563))))</f>
        <v>DO NOT DELETE — HOLD (Charlie review)</v>
      </c>
      <c r="Q563" t="str" cm="1">
        <f t="array" ref="Q563">_xlfn.IFS(AND($A563="thg-beauty",ISNUMBER(SEARCH("liveramp",$C563))),"DELETE",$A563="agile-bonbon-662",_xlfn.IFS(LEFT($G563,9)="Tranche 1","DELETE",$C563="Sessions_Level_1_All_Sites","KEEP",ISNUMBER(--$C563),"REVIEW — UA raw logs",$C563="Emag_Reporting","KEEP",$C563="Nutrition_Data_Archived_Tables","KEEP",$C563="EU_Data","KEEP",TRUE,"REVIEW"),OR($A563="thg-influencer",$A563="thg-ingenuity",$A563="thg-central-marketing",$A563="thg-seoclarity"),"HOLD",TRUE,"")</f>
        <v>HOLD</v>
      </c>
      <c r="R563" t="str" cm="1">
        <f t="array" ref="R563">_xlfn.IFS(AND($A563="thg-beauty",ISNUMBER(SEARCH("liveramp",$C563))),"thg-beauty Liveramp dataset — confirmed safe to delete",$A563="agile-bonbon-662",_xlfn.IFS(LEFT($G563,9)="Tranche 1","Tranche 1: cleared",$C563="Sessions_Level_1_All_Sites","Downstream aggregation of UA raw logs — keep if raw tables go",ISNUMBER(--$C563),"UA raw site logs (account ID) — keep pending audit-retention check",$C563="Emag_Reporting","Legacy but likely needed",$C563="Nutrition_Data_Archived_Tables","Worth keeping",$C563="EU_Data","Static lookup tables — scripts still reference (smoke-test risk)",TRUE,"Review"),OR($A563="thg-influencer",$A563="thg-ingenuity",$A563="thg-central-marketing",$A563="thg-seoclarity"),"HOLD — Charlie Stringer to review before deletion",TRUE,"")</f>
        <v>HOLD — Charlie Stringer to review before deletion</v>
      </c>
      <c r="S563" t="s">
        <v>1624</v>
      </c>
    </row>
    <row r="564" spans="1:19" ht="76.5" hidden="1">
      <c r="A564" t="s">
        <v>1907</v>
      </c>
      <c r="B564" t="s">
        <v>1724</v>
      </c>
      <c r="C564" t="s">
        <v>2896</v>
      </c>
      <c r="D564" s="2" t="s">
        <v>2897</v>
      </c>
      <c r="E564">
        <v>4.7300000000000004</v>
      </c>
      <c r="F564">
        <v>0.09</v>
      </c>
      <c r="G564" t="s">
        <v>79</v>
      </c>
      <c r="H564" t="s">
        <v>81</v>
      </c>
      <c r="I564">
        <v>0</v>
      </c>
      <c r="J564">
        <v>0</v>
      </c>
      <c r="K564" s="5">
        <v>46161.403246168979</v>
      </c>
      <c r="M564" s="2" t="s">
        <v>2898</v>
      </c>
      <c r="N564" s="2" t="s">
        <v>1701</v>
      </c>
      <c r="O564" s="5">
        <v>46197.454296145843</v>
      </c>
      <c r="P564" t="str">
        <f>IF($Q564="DELETE",IF($S564="CONFIRMED: NO MODS &gt; 1YR","CONFIRMED: NO MODS &gt; 1YR","DO NOT DELETE — not defensibly confirmed"),IF($Q564="HOLD","DO NOT DELETE — HOLD (Charlie review)",IF($Q564="KEEP","DO NOT DELETE — KEEP",IF(ISNUMBER(SEARCH("REVIEW",$Q564)),"DO NOT DELETE — REVIEW pending",$S564))))</f>
        <v>CONFIRMED: NO MODS &gt; 1YR</v>
      </c>
      <c r="Q564" t="str" cm="1">
        <f t="array" ref="Q564">_xlfn.IFS(AND($A564="thg-beauty",ISNUMBER(SEARCH("liveramp",$C564))),"DELETE",$A564="agile-bonbon-662",_xlfn.IFS(LEFT($G564,9)="Tranche 1","DELETE",$C564="Sessions_Level_1_All_Sites","KEEP",ISNUMBER(--$C564),"REVIEW — UA raw logs",$C564="Emag_Reporting","KEEP",$C564="Nutrition_Data_Archived_Tables","KEEP",$C564="EU_Data","KEEP",TRUE,"REVIEW"),OR($A564="thg-influencer",$A564="thg-ingenuity",$A564="thg-central-marketing",$A564="thg-seoclarity"),"HOLD",TRUE,"")</f>
        <v/>
      </c>
      <c r="R564" t="str" cm="1">
        <f t="array" ref="R564">_xlfn.IFS(AND($A564="thg-beauty",ISNUMBER(SEARCH("liveramp",$C564))),"thg-beauty Liveramp dataset — confirmed safe to delete",$A564="agile-bonbon-662",_xlfn.IFS(LEFT($G564,9)="Tranche 1","Tranche 1: cleared",$C564="Sessions_Level_1_All_Sites","Downstream aggregation of UA raw logs — keep if raw tables go",ISNUMBER(--$C564),"UA raw site logs (account ID) — keep pending audit-retention check",$C564="Emag_Reporting","Legacy but likely needed",$C564="Nutrition_Data_Archived_Tables","Worth keeping",$C564="EU_Data","Static lookup tables — scripts still reference (smoke-test risk)",TRUE,"Review"),OR($A564="thg-influencer",$A564="thg-ingenuity",$A564="thg-central-marketing",$A564="thg-seoclarity"),"HOLD — Charlie Stringer to review before deletion",TRUE,"")</f>
        <v/>
      </c>
      <c r="S564" t="s">
        <v>1624</v>
      </c>
    </row>
    <row r="565" spans="1:19" ht="76.5" hidden="1">
      <c r="A565" t="s">
        <v>38</v>
      </c>
      <c r="B565" t="s">
        <v>1619</v>
      </c>
      <c r="C565" t="s">
        <v>2899</v>
      </c>
      <c r="D565" s="2" t="s">
        <v>1621</v>
      </c>
      <c r="E565">
        <v>4.7300000000000004</v>
      </c>
      <c r="F565">
        <v>0.09</v>
      </c>
      <c r="G565" t="s">
        <v>79</v>
      </c>
      <c r="H565" t="s">
        <v>81</v>
      </c>
      <c r="I565">
        <v>0</v>
      </c>
      <c r="J565">
        <v>0</v>
      </c>
      <c r="L565" s="5">
        <v>46196.982396712963</v>
      </c>
      <c r="M565" s="2" t="s">
        <v>1715</v>
      </c>
      <c r="N565" s="2" t="s">
        <v>2900</v>
      </c>
      <c r="O565" s="5">
        <v>46196.982443483786</v>
      </c>
      <c r="P565" t="str">
        <f>IF($Q565="DELETE",IF($S565="CONFIRMED: NO MODS &gt; 1YR","CONFIRMED: NO MODS &gt; 1YR","DO NOT DELETE — not defensibly confirmed"),IF($Q565="HOLD","DO NOT DELETE — HOLD (Charlie review)",IF($Q565="KEEP","DO NOT DELETE — KEEP",IF(ISNUMBER(SEARCH("REVIEW",$Q565)),"DO NOT DELETE — REVIEW pending",$S565))))</f>
        <v>DO NOT DELETE — HOLD (Charlie review)</v>
      </c>
      <c r="Q565" t="str" cm="1">
        <f t="array" ref="Q565">_xlfn.IFS(AND($A565="thg-beauty",ISNUMBER(SEARCH("liveramp",$C565))),"DELETE",$A565="agile-bonbon-662",_xlfn.IFS(LEFT($G565,9)="Tranche 1","DELETE",$C565="Sessions_Level_1_All_Sites","KEEP",ISNUMBER(--$C565),"REVIEW — UA raw logs",$C565="Emag_Reporting","KEEP",$C565="Nutrition_Data_Archived_Tables","KEEP",$C565="EU_Data","KEEP",TRUE,"REVIEW"),OR($A565="thg-influencer",$A565="thg-ingenuity",$A565="thg-central-marketing",$A565="thg-seoclarity"),"HOLD",TRUE,"")</f>
        <v>HOLD</v>
      </c>
      <c r="R565" t="str" cm="1">
        <f t="array" ref="R565">_xlfn.IFS(AND($A565="thg-beauty",ISNUMBER(SEARCH("liveramp",$C565))),"thg-beauty Liveramp dataset — confirmed safe to delete",$A565="agile-bonbon-662",_xlfn.IFS(LEFT($G565,9)="Tranche 1","Tranche 1: cleared",$C565="Sessions_Level_1_All_Sites","Downstream aggregation of UA raw logs — keep if raw tables go",ISNUMBER(--$C565),"UA raw site logs (account ID) — keep pending audit-retention check",$C565="Emag_Reporting","Legacy but likely needed",$C565="Nutrition_Data_Archived_Tables","Worth keeping",$C565="EU_Data","Static lookup tables — scripts still reference (smoke-test risk)",TRUE,"Review"),OR($A565="thg-influencer",$A565="thg-ingenuity",$A565="thg-central-marketing",$A565="thg-seoclarity"),"HOLD — Charlie Stringer to review before deletion",TRUE,"")</f>
        <v>HOLD — Charlie Stringer to review before deletion</v>
      </c>
      <c r="S565" t="s">
        <v>1624</v>
      </c>
    </row>
    <row r="566" spans="1:19" ht="76.5" hidden="1">
      <c r="A566" t="s">
        <v>35</v>
      </c>
      <c r="B566" t="s">
        <v>1619</v>
      </c>
      <c r="C566" t="s">
        <v>2901</v>
      </c>
      <c r="D566" s="2" t="s">
        <v>1621</v>
      </c>
      <c r="E566">
        <v>4.33</v>
      </c>
      <c r="F566">
        <v>0.09</v>
      </c>
      <c r="G566" t="s">
        <v>79</v>
      </c>
      <c r="H566" t="s">
        <v>81</v>
      </c>
      <c r="I566">
        <v>0</v>
      </c>
      <c r="J566">
        <v>0</v>
      </c>
      <c r="L566" s="5">
        <v>46197.126902164353</v>
      </c>
      <c r="M566" s="2" t="s">
        <v>1715</v>
      </c>
      <c r="N566" s="2" t="s">
        <v>2902</v>
      </c>
      <c r="O566" s="5">
        <v>46197.126995590283</v>
      </c>
      <c r="P566" t="str">
        <f>IF($Q566="DELETE",IF($S566="CONFIRMED: NO MODS &gt; 1YR","CONFIRMED: NO MODS &gt; 1YR","DO NOT DELETE — not defensibly confirmed"),IF($Q566="HOLD","DO NOT DELETE — HOLD (Charlie review)",IF($Q566="KEEP","DO NOT DELETE — KEEP",IF(ISNUMBER(SEARCH("REVIEW",$Q566)),"DO NOT DELETE — REVIEW pending",$S566))))</f>
        <v>DO NOT DELETE — HOLD (Charlie review)</v>
      </c>
      <c r="Q566" t="str" cm="1">
        <f t="array" ref="Q566">_xlfn.IFS(AND($A566="thg-beauty",ISNUMBER(SEARCH("liveramp",$C566))),"DELETE",$A566="agile-bonbon-662",_xlfn.IFS(LEFT($G566,9)="Tranche 1","DELETE",$C566="Sessions_Level_1_All_Sites","KEEP",ISNUMBER(--$C566),"REVIEW — UA raw logs",$C566="Emag_Reporting","KEEP",$C566="Nutrition_Data_Archived_Tables","KEEP",$C566="EU_Data","KEEP",TRUE,"REVIEW"),OR($A566="thg-influencer",$A566="thg-ingenuity",$A566="thg-central-marketing",$A566="thg-seoclarity"),"HOLD",TRUE,"")</f>
        <v>HOLD</v>
      </c>
      <c r="R566" t="str" cm="1">
        <f t="array" ref="R566">_xlfn.IFS(AND($A566="thg-beauty",ISNUMBER(SEARCH("liveramp",$C566))),"thg-beauty Liveramp dataset — confirmed safe to delete",$A566="agile-bonbon-662",_xlfn.IFS(LEFT($G566,9)="Tranche 1","Tranche 1: cleared",$C566="Sessions_Level_1_All_Sites","Downstream aggregation of UA raw logs — keep if raw tables go",ISNUMBER(--$C566),"UA raw site logs (account ID) — keep pending audit-retention check",$C566="Emag_Reporting","Legacy but likely needed",$C566="Nutrition_Data_Archived_Tables","Worth keeping",$C566="EU_Data","Static lookup tables — scripts still reference (smoke-test risk)",TRUE,"Review"),OR($A566="thg-influencer",$A566="thg-ingenuity",$A566="thg-central-marketing",$A566="thg-seoclarity"),"HOLD — Charlie Stringer to review before deletion",TRUE,"")</f>
        <v>HOLD — Charlie Stringer to review before deletion</v>
      </c>
      <c r="S566" t="s">
        <v>1624</v>
      </c>
    </row>
    <row r="567" spans="1:19" hidden="1">
      <c r="A567" t="s">
        <v>2093</v>
      </c>
      <c r="B567" t="s">
        <v>1724</v>
      </c>
      <c r="C567" t="s">
        <v>2903</v>
      </c>
      <c r="D567" s="2" t="s">
        <v>1621</v>
      </c>
      <c r="E567">
        <v>4.3</v>
      </c>
      <c r="F567">
        <v>0.09</v>
      </c>
      <c r="G567" t="s">
        <v>79</v>
      </c>
      <c r="H567" t="s">
        <v>81</v>
      </c>
      <c r="I567">
        <v>0</v>
      </c>
      <c r="J567">
        <v>0</v>
      </c>
      <c r="M567" s="2" t="s">
        <v>1715</v>
      </c>
      <c r="N567" s="2" t="s">
        <v>1701</v>
      </c>
      <c r="O567" s="5">
        <v>46197.41933409722</v>
      </c>
      <c r="P567" t="str">
        <f>IF($Q567="DELETE",IF($S567="CONFIRMED: NO MODS &gt; 1YR","CONFIRMED: NO MODS &gt; 1YR","DO NOT DELETE — not defensibly confirmed"),IF($Q567="HOLD","DO NOT DELETE — HOLD (Charlie review)",IF($Q567="KEEP","DO NOT DELETE — KEEP",IF(ISNUMBER(SEARCH("REVIEW",$Q567)),"DO NOT DELETE — REVIEW pending",$S567))))</f>
        <v>CONFIRMED: NO MODS &gt; 1YR</v>
      </c>
      <c r="Q567" t="str" cm="1">
        <f t="array" ref="Q567">_xlfn.IFS(AND($A567="thg-beauty",ISNUMBER(SEARCH("liveramp",$C567))),"DELETE",$A567="agile-bonbon-662",_xlfn.IFS(LEFT($G567,9)="Tranche 1","DELETE",$C567="Sessions_Level_1_All_Sites","KEEP",ISNUMBER(--$C567),"REVIEW — UA raw logs",$C567="Emag_Reporting","KEEP",$C567="Nutrition_Data_Archived_Tables","KEEP",$C567="EU_Data","KEEP",TRUE,"REVIEW"),OR($A567="thg-influencer",$A567="thg-ingenuity",$A567="thg-central-marketing",$A567="thg-seoclarity"),"HOLD",TRUE,"")</f>
        <v/>
      </c>
      <c r="R567" t="str" cm="1">
        <f t="array" ref="R567">_xlfn.IFS(AND($A567="thg-beauty",ISNUMBER(SEARCH("liveramp",$C567))),"thg-beauty Liveramp dataset — confirmed safe to delete",$A567="agile-bonbon-662",_xlfn.IFS(LEFT($G567,9)="Tranche 1","Tranche 1: cleared",$C567="Sessions_Level_1_All_Sites","Downstream aggregation of UA raw logs — keep if raw tables go",ISNUMBER(--$C567),"UA raw site logs (account ID) — keep pending audit-retention check",$C567="Emag_Reporting","Legacy but likely needed",$C567="Nutrition_Data_Archived_Tables","Worth keeping",$C567="EU_Data","Static lookup tables — scripts still reference (smoke-test risk)",TRUE,"Review"),OR($A567="thg-influencer",$A567="thg-ingenuity",$A567="thg-central-marketing",$A567="thg-seoclarity"),"HOLD — Charlie Stringer to review before deletion",TRUE,"")</f>
        <v/>
      </c>
      <c r="S567" t="s">
        <v>1624</v>
      </c>
    </row>
    <row r="568" spans="1:19" ht="60.75" hidden="1">
      <c r="A568" t="s">
        <v>38</v>
      </c>
      <c r="B568" t="s">
        <v>1724</v>
      </c>
      <c r="C568" t="s">
        <v>2904</v>
      </c>
      <c r="D568" s="2" t="s">
        <v>1621</v>
      </c>
      <c r="E568">
        <v>3.97</v>
      </c>
      <c r="F568">
        <v>0.08</v>
      </c>
      <c r="G568" t="s">
        <v>79</v>
      </c>
      <c r="H568" t="s">
        <v>81</v>
      </c>
      <c r="I568">
        <v>0</v>
      </c>
      <c r="J568">
        <v>0</v>
      </c>
      <c r="K568" s="5">
        <v>46091.727787986107</v>
      </c>
      <c r="M568" s="2" t="s">
        <v>2905</v>
      </c>
      <c r="N568" s="2" t="s">
        <v>1701</v>
      </c>
      <c r="O568" s="5">
        <v>46197.007961423609</v>
      </c>
      <c r="P568" t="str">
        <f>IF($Q568="DELETE",IF($S568="CONFIRMED: NO MODS &gt; 1YR","CONFIRMED: NO MODS &gt; 1YR","DO NOT DELETE — not defensibly confirmed"),IF($Q568="HOLD","DO NOT DELETE — HOLD (Charlie review)",IF($Q568="KEEP","DO NOT DELETE — KEEP",IF(ISNUMBER(SEARCH("REVIEW",$Q568)),"DO NOT DELETE — REVIEW pending",$S568))))</f>
        <v>DO NOT DELETE — HOLD (Charlie review)</v>
      </c>
      <c r="Q568" t="str" cm="1">
        <f t="array" ref="Q568">_xlfn.IFS(AND($A568="thg-beauty",ISNUMBER(SEARCH("liveramp",$C568))),"DELETE",$A568="agile-bonbon-662",_xlfn.IFS(LEFT($G568,9)="Tranche 1","DELETE",$C568="Sessions_Level_1_All_Sites","KEEP",ISNUMBER(--$C568),"REVIEW — UA raw logs",$C568="Emag_Reporting","KEEP",$C568="Nutrition_Data_Archived_Tables","KEEP",$C568="EU_Data","KEEP",TRUE,"REVIEW"),OR($A568="thg-influencer",$A568="thg-ingenuity",$A568="thg-central-marketing",$A568="thg-seoclarity"),"HOLD",TRUE,"")</f>
        <v>HOLD</v>
      </c>
      <c r="R568" t="str" cm="1">
        <f t="array" ref="R568">_xlfn.IFS(AND($A568="thg-beauty",ISNUMBER(SEARCH("liveramp",$C568))),"thg-beauty Liveramp dataset — confirmed safe to delete",$A568="agile-bonbon-662",_xlfn.IFS(LEFT($G568,9)="Tranche 1","Tranche 1: cleared",$C568="Sessions_Level_1_All_Sites","Downstream aggregation of UA raw logs — keep if raw tables go",ISNUMBER(--$C568),"UA raw site logs (account ID) — keep pending audit-retention check",$C568="Emag_Reporting","Legacy but likely needed",$C568="Nutrition_Data_Archived_Tables","Worth keeping",$C568="EU_Data","Static lookup tables — scripts still reference (smoke-test risk)",TRUE,"Review"),OR($A568="thg-influencer",$A568="thg-ingenuity",$A568="thg-central-marketing",$A568="thg-seoclarity"),"HOLD — Charlie Stringer to review before deletion",TRUE,"")</f>
        <v>HOLD — Charlie Stringer to review before deletion</v>
      </c>
      <c r="S568" t="s">
        <v>1624</v>
      </c>
    </row>
    <row r="569" spans="1:19" ht="76.5" hidden="1">
      <c r="A569" t="s">
        <v>38</v>
      </c>
      <c r="B569" t="s">
        <v>1619</v>
      </c>
      <c r="C569" t="s">
        <v>2904</v>
      </c>
      <c r="D569" s="2" t="s">
        <v>1621</v>
      </c>
      <c r="E569">
        <v>3.97</v>
      </c>
      <c r="F569">
        <v>0.08</v>
      </c>
      <c r="G569" t="s">
        <v>79</v>
      </c>
      <c r="H569" t="s">
        <v>81</v>
      </c>
      <c r="I569">
        <v>0</v>
      </c>
      <c r="J569">
        <v>0</v>
      </c>
      <c r="K569" s="5">
        <v>46197.214161782409</v>
      </c>
      <c r="L569" s="5">
        <v>46197.007584085652</v>
      </c>
      <c r="M569" s="2" t="s">
        <v>2906</v>
      </c>
      <c r="N569" s="2" t="s">
        <v>2907</v>
      </c>
      <c r="O569" s="5">
        <v>46197.007961423609</v>
      </c>
      <c r="P569" t="str">
        <f>IF($Q569="DELETE",IF($S569="CONFIRMED: NO MODS &gt; 1YR","CONFIRMED: NO MODS &gt; 1YR","DO NOT DELETE — not defensibly confirmed"),IF($Q569="HOLD","DO NOT DELETE — HOLD (Charlie review)",IF($Q569="KEEP","DO NOT DELETE — KEEP",IF(ISNUMBER(SEARCH("REVIEW",$Q569)),"DO NOT DELETE — REVIEW pending",$S569))))</f>
        <v>DO NOT DELETE — HOLD (Charlie review)</v>
      </c>
      <c r="Q569" t="str" cm="1">
        <f t="array" ref="Q569">_xlfn.IFS(AND($A569="thg-beauty",ISNUMBER(SEARCH("liveramp",$C569))),"DELETE",$A569="agile-bonbon-662",_xlfn.IFS(LEFT($G569,9)="Tranche 1","DELETE",$C569="Sessions_Level_1_All_Sites","KEEP",ISNUMBER(--$C569),"REVIEW — UA raw logs",$C569="Emag_Reporting","KEEP",$C569="Nutrition_Data_Archived_Tables","KEEP",$C569="EU_Data","KEEP",TRUE,"REVIEW"),OR($A569="thg-influencer",$A569="thg-ingenuity",$A569="thg-central-marketing",$A569="thg-seoclarity"),"HOLD",TRUE,"")</f>
        <v>HOLD</v>
      </c>
      <c r="R569" t="str" cm="1">
        <f t="array" ref="R569">_xlfn.IFS(AND($A569="thg-beauty",ISNUMBER(SEARCH("liveramp",$C569))),"thg-beauty Liveramp dataset — confirmed safe to delete",$A569="agile-bonbon-662",_xlfn.IFS(LEFT($G569,9)="Tranche 1","Tranche 1: cleared",$C569="Sessions_Level_1_All_Sites","Downstream aggregation of UA raw logs — keep if raw tables go",ISNUMBER(--$C569),"UA raw site logs (account ID) — keep pending audit-retention check",$C569="Emag_Reporting","Legacy but likely needed",$C569="Nutrition_Data_Archived_Tables","Worth keeping",$C569="EU_Data","Static lookup tables — scripts still reference (smoke-test risk)",TRUE,"Review"),OR($A569="thg-influencer",$A569="thg-ingenuity",$A569="thg-central-marketing",$A569="thg-seoclarity"),"HOLD — Charlie Stringer to review before deletion",TRUE,"")</f>
        <v>HOLD — Charlie Stringer to review before deletion</v>
      </c>
      <c r="S569" t="s">
        <v>1624</v>
      </c>
    </row>
    <row r="570" spans="1:19" ht="76.5" hidden="1">
      <c r="A570" t="s">
        <v>89</v>
      </c>
      <c r="B570" t="s">
        <v>1619</v>
      </c>
      <c r="C570" t="s">
        <v>2908</v>
      </c>
      <c r="D570" s="2" t="s">
        <v>1621</v>
      </c>
      <c r="E570">
        <v>3.82</v>
      </c>
      <c r="F570">
        <v>0.08</v>
      </c>
      <c r="G570" t="s">
        <v>79</v>
      </c>
      <c r="H570" t="s">
        <v>81</v>
      </c>
      <c r="I570">
        <v>0</v>
      </c>
      <c r="J570">
        <v>0</v>
      </c>
      <c r="K570" s="5">
        <v>46197.356175011577</v>
      </c>
      <c r="L570" s="5">
        <v>46197.438347418982</v>
      </c>
      <c r="M570" s="2" t="s">
        <v>2909</v>
      </c>
      <c r="N570" s="2" t="s">
        <v>2910</v>
      </c>
      <c r="O570" s="5">
        <v>46197.438370706019</v>
      </c>
      <c r="P570" t="str">
        <f>IF($Q570="DELETE",IF($S570="CONFIRMED: NO MODS &gt; 1YR","CONFIRMED: NO MODS &gt; 1YR","DO NOT DELETE — not defensibly confirmed"),IF($Q570="HOLD","DO NOT DELETE — HOLD (Charlie review)",IF($Q570="KEEP","DO NOT DELETE — KEEP",IF(ISNUMBER(SEARCH("REVIEW",$Q570)),"DO NOT DELETE — REVIEW pending",$S570))))</f>
        <v>DO NOT DELETE — REVIEW pending</v>
      </c>
      <c r="Q570" t="str" cm="1">
        <f t="array" ref="Q570">_xlfn.IFS(AND($A570="thg-beauty",ISNUMBER(SEARCH("liveramp",$C570))),"DELETE",$A570="agile-bonbon-662",_xlfn.IFS(LEFT($G570,9)="Tranche 1","DELETE",$C570="Sessions_Level_1_All_Sites","KEEP",ISNUMBER(--$C570),"REVIEW — UA raw logs",$C570="Emag_Reporting","KEEP",$C570="Nutrition_Data_Archived_Tables","KEEP",$C570="EU_Data","KEEP",TRUE,"REVIEW"),OR($A570="thg-influencer",$A570="thg-ingenuity",$A570="thg-central-marketing",$A570="thg-seoclarity"),"HOLD",TRUE,"")</f>
        <v>REVIEW</v>
      </c>
      <c r="R570" t="str" cm="1">
        <f t="array" ref="R570">_xlfn.IFS(AND($A570="thg-beauty",ISNUMBER(SEARCH("liveramp",$C570))),"thg-beauty Liveramp dataset — confirmed safe to delete",$A570="agile-bonbon-662",_xlfn.IFS(LEFT($G570,9)="Tranche 1","Tranche 1: cleared",$C570="Sessions_Level_1_All_Sites","Downstream aggregation of UA raw logs — keep if raw tables go",ISNUMBER(--$C570),"UA raw site logs (account ID) — keep pending audit-retention check",$C570="Emag_Reporting","Legacy but likely needed",$C570="Nutrition_Data_Archived_Tables","Worth keeping",$C570="EU_Data","Static lookup tables — scripts still reference (smoke-test risk)",TRUE,"Review"),OR($A570="thg-influencer",$A570="thg-ingenuity",$A570="thg-central-marketing",$A570="thg-seoclarity"),"HOLD — Charlie Stringer to review before deletion",TRUE,"")</f>
        <v>Review</v>
      </c>
      <c r="S570" t="s">
        <v>1624</v>
      </c>
    </row>
    <row r="571" spans="1:19" ht="76.5" hidden="1">
      <c r="A571" t="s">
        <v>89</v>
      </c>
      <c r="B571" t="s">
        <v>1619</v>
      </c>
      <c r="C571" t="s">
        <v>2911</v>
      </c>
      <c r="D571" s="2" t="s">
        <v>1621</v>
      </c>
      <c r="E571">
        <v>3.74</v>
      </c>
      <c r="F571">
        <v>7.0000000000000007E-2</v>
      </c>
      <c r="G571" t="s">
        <v>79</v>
      </c>
      <c r="H571" t="s">
        <v>81</v>
      </c>
      <c r="I571">
        <v>0</v>
      </c>
      <c r="J571">
        <v>0</v>
      </c>
      <c r="K571" s="5">
        <v>46196.60704855324</v>
      </c>
      <c r="L571" s="5">
        <v>46196.544668356481</v>
      </c>
      <c r="M571" s="2" t="s">
        <v>2912</v>
      </c>
      <c r="N571" s="2" t="s">
        <v>2913</v>
      </c>
      <c r="O571" s="5">
        <v>46196.544793842593</v>
      </c>
      <c r="P571" t="str">
        <f>IF($Q571="DELETE",IF($S571="CONFIRMED: NO MODS &gt; 1YR","CONFIRMED: NO MODS &gt; 1YR","DO NOT DELETE — not defensibly confirmed"),IF($Q571="HOLD","DO NOT DELETE — HOLD (Charlie review)",IF($Q571="KEEP","DO NOT DELETE — KEEP",IF(ISNUMBER(SEARCH("REVIEW",$Q571)),"DO NOT DELETE — REVIEW pending",$S571))))</f>
        <v>DO NOT DELETE — REVIEW pending</v>
      </c>
      <c r="Q571" t="str" cm="1">
        <f t="array" ref="Q571">_xlfn.IFS(AND($A571="thg-beauty",ISNUMBER(SEARCH("liveramp",$C571))),"DELETE",$A571="agile-bonbon-662",_xlfn.IFS(LEFT($G571,9)="Tranche 1","DELETE",$C571="Sessions_Level_1_All_Sites","KEEP",ISNUMBER(--$C571),"REVIEW — UA raw logs",$C571="Emag_Reporting","KEEP",$C571="Nutrition_Data_Archived_Tables","KEEP",$C571="EU_Data","KEEP",TRUE,"REVIEW"),OR($A571="thg-influencer",$A571="thg-ingenuity",$A571="thg-central-marketing",$A571="thg-seoclarity"),"HOLD",TRUE,"")</f>
        <v>REVIEW</v>
      </c>
      <c r="R571" t="str" cm="1">
        <f t="array" ref="R571">_xlfn.IFS(AND($A571="thg-beauty",ISNUMBER(SEARCH("liveramp",$C571))),"thg-beauty Liveramp dataset — confirmed safe to delete",$A571="agile-bonbon-662",_xlfn.IFS(LEFT($G571,9)="Tranche 1","Tranche 1: cleared",$C571="Sessions_Level_1_All_Sites","Downstream aggregation of UA raw logs — keep if raw tables go",ISNUMBER(--$C571),"UA raw site logs (account ID) — keep pending audit-retention check",$C571="Emag_Reporting","Legacy but likely needed",$C571="Nutrition_Data_Archived_Tables","Worth keeping",$C571="EU_Data","Static lookup tables — scripts still reference (smoke-test risk)",TRUE,"Review"),OR($A571="thg-influencer",$A571="thg-ingenuity",$A571="thg-central-marketing",$A571="thg-seoclarity"),"HOLD — Charlie Stringer to review before deletion",TRUE,"")</f>
        <v>Review</v>
      </c>
      <c r="S571" t="s">
        <v>1624</v>
      </c>
    </row>
    <row r="572" spans="1:19" ht="76.5" hidden="1">
      <c r="A572" t="s">
        <v>1471</v>
      </c>
      <c r="B572" t="s">
        <v>1619</v>
      </c>
      <c r="C572" t="s">
        <v>2914</v>
      </c>
      <c r="D572" s="2" t="s">
        <v>1621</v>
      </c>
      <c r="E572">
        <v>3.01</v>
      </c>
      <c r="F572">
        <v>0.06</v>
      </c>
      <c r="G572" t="s">
        <v>79</v>
      </c>
      <c r="H572" t="s">
        <v>81</v>
      </c>
      <c r="I572">
        <v>0</v>
      </c>
      <c r="J572">
        <v>0</v>
      </c>
      <c r="K572" s="5">
        <v>46197.435893703703</v>
      </c>
      <c r="L572" s="5">
        <v>46197.435893703703</v>
      </c>
      <c r="M572" s="2" t="s">
        <v>2915</v>
      </c>
      <c r="N572" s="2" t="s">
        <v>2915</v>
      </c>
      <c r="O572" s="5">
        <v>46197.452395405089</v>
      </c>
      <c r="P572" t="str">
        <f>IF($Q572="DELETE",IF($S572="CONFIRMED: NO MODS &gt; 1YR","CONFIRMED: NO MODS &gt; 1YR","DO NOT DELETE — not defensibly confirmed"),IF($Q572="HOLD","DO NOT DELETE — HOLD (Charlie review)",IF($Q572="KEEP","DO NOT DELETE — KEEP",IF(ISNUMBER(SEARCH("REVIEW",$Q572)),"DO NOT DELETE — REVIEW pending",$S572))))</f>
        <v>CONFIRMED: NO MODS &gt; 1YR</v>
      </c>
      <c r="Q572" t="str" cm="1">
        <f t="array" ref="Q572">_xlfn.IFS(AND($A572="thg-beauty",ISNUMBER(SEARCH("liveramp",$C572))),"DELETE",$A572="agile-bonbon-662",_xlfn.IFS(LEFT($G572,9)="Tranche 1","DELETE",$C572="Sessions_Level_1_All_Sites","KEEP",ISNUMBER(--$C572),"REVIEW — UA raw logs",$C572="Emag_Reporting","KEEP",$C572="Nutrition_Data_Archived_Tables","KEEP",$C572="EU_Data","KEEP",TRUE,"REVIEW"),OR($A572="thg-influencer",$A572="thg-ingenuity",$A572="thg-central-marketing",$A572="thg-seoclarity"),"HOLD",TRUE,"")</f>
        <v/>
      </c>
      <c r="R572" t="str" cm="1">
        <f t="array" ref="R572">_xlfn.IFS(AND($A572="thg-beauty",ISNUMBER(SEARCH("liveramp",$C572))),"thg-beauty Liveramp dataset — confirmed safe to delete",$A572="agile-bonbon-662",_xlfn.IFS(LEFT($G572,9)="Tranche 1","Tranche 1: cleared",$C572="Sessions_Level_1_All_Sites","Downstream aggregation of UA raw logs — keep if raw tables go",ISNUMBER(--$C572),"UA raw site logs (account ID) — keep pending audit-retention check",$C572="Emag_Reporting","Legacy but likely needed",$C572="Nutrition_Data_Archived_Tables","Worth keeping",$C572="EU_Data","Static lookup tables — scripts still reference (smoke-test risk)",TRUE,"Review"),OR($A572="thg-influencer",$A572="thg-ingenuity",$A572="thg-central-marketing",$A572="thg-seoclarity"),"HOLD — Charlie Stringer to review before deletion",TRUE,"")</f>
        <v/>
      </c>
      <c r="S572" t="s">
        <v>1624</v>
      </c>
    </row>
    <row r="573" spans="1:19" ht="76.5" hidden="1">
      <c r="A573" t="s">
        <v>89</v>
      </c>
      <c r="B573" t="s">
        <v>1619</v>
      </c>
      <c r="C573" t="s">
        <v>2916</v>
      </c>
      <c r="D573" s="2" t="s">
        <v>1621</v>
      </c>
      <c r="E573">
        <v>2.96</v>
      </c>
      <c r="F573">
        <v>0.06</v>
      </c>
      <c r="G573" t="s">
        <v>79</v>
      </c>
      <c r="H573" t="s">
        <v>81</v>
      </c>
      <c r="I573">
        <v>0</v>
      </c>
      <c r="J573">
        <v>0</v>
      </c>
      <c r="K573" s="5">
        <v>46164.513607824083</v>
      </c>
      <c r="L573" s="5">
        <v>46197.212201527778</v>
      </c>
      <c r="M573" s="2" t="s">
        <v>2917</v>
      </c>
      <c r="N573" s="2" t="s">
        <v>2918</v>
      </c>
      <c r="O573" s="5">
        <v>46197.212219097222</v>
      </c>
      <c r="P573" t="str">
        <f>IF($Q573="DELETE",IF($S573="CONFIRMED: NO MODS &gt; 1YR","CONFIRMED: NO MODS &gt; 1YR","DO NOT DELETE — not defensibly confirmed"),IF($Q573="HOLD","DO NOT DELETE — HOLD (Charlie review)",IF($Q573="KEEP","DO NOT DELETE — KEEP",IF(ISNUMBER(SEARCH("REVIEW",$Q573)),"DO NOT DELETE — REVIEW pending",$S573))))</f>
        <v>DO NOT DELETE — REVIEW pending</v>
      </c>
      <c r="Q573" t="str" cm="1">
        <f t="array" ref="Q573">_xlfn.IFS(AND($A573="thg-beauty",ISNUMBER(SEARCH("liveramp",$C573))),"DELETE",$A573="agile-bonbon-662",_xlfn.IFS(LEFT($G573,9)="Tranche 1","DELETE",$C573="Sessions_Level_1_All_Sites","KEEP",ISNUMBER(--$C573),"REVIEW — UA raw logs",$C573="Emag_Reporting","KEEP",$C573="Nutrition_Data_Archived_Tables","KEEP",$C573="EU_Data","KEEP",TRUE,"REVIEW"),OR($A573="thg-influencer",$A573="thg-ingenuity",$A573="thg-central-marketing",$A573="thg-seoclarity"),"HOLD",TRUE,"")</f>
        <v>REVIEW</v>
      </c>
      <c r="R573" t="str" cm="1">
        <f t="array" ref="R573">_xlfn.IFS(AND($A573="thg-beauty",ISNUMBER(SEARCH("liveramp",$C573))),"thg-beauty Liveramp dataset — confirmed safe to delete",$A573="agile-bonbon-662",_xlfn.IFS(LEFT($G573,9)="Tranche 1","Tranche 1: cleared",$C573="Sessions_Level_1_All_Sites","Downstream aggregation of UA raw logs — keep if raw tables go",ISNUMBER(--$C573),"UA raw site logs (account ID) — keep pending audit-retention check",$C573="Emag_Reporting","Legacy but likely needed",$C573="Nutrition_Data_Archived_Tables","Worth keeping",$C573="EU_Data","Static lookup tables — scripts still reference (smoke-test risk)",TRUE,"Review"),OR($A573="thg-influencer",$A573="thg-ingenuity",$A573="thg-central-marketing",$A573="thg-seoclarity"),"HOLD — Charlie Stringer to review before deletion",TRUE,"")</f>
        <v>Review</v>
      </c>
      <c r="S573" t="s">
        <v>1624</v>
      </c>
    </row>
    <row r="574" spans="1:19" ht="76.5" hidden="1">
      <c r="A574" t="s">
        <v>38</v>
      </c>
      <c r="B574" t="s">
        <v>1619</v>
      </c>
      <c r="C574" t="s">
        <v>2919</v>
      </c>
      <c r="D574" s="2" t="s">
        <v>1621</v>
      </c>
      <c r="E574">
        <v>2.93</v>
      </c>
      <c r="F574">
        <v>0.06</v>
      </c>
      <c r="G574" t="s">
        <v>79</v>
      </c>
      <c r="H574" t="s">
        <v>81</v>
      </c>
      <c r="I574">
        <v>0</v>
      </c>
      <c r="J574">
        <v>0</v>
      </c>
      <c r="K574" s="5">
        <v>46197.419950185184</v>
      </c>
      <c r="L574" s="5">
        <v>46197.387570243052</v>
      </c>
      <c r="M574" s="2" t="s">
        <v>2709</v>
      </c>
      <c r="N574" s="2" t="s">
        <v>2920</v>
      </c>
      <c r="O574" s="5">
        <v>46197.415924768517</v>
      </c>
      <c r="P574" t="str">
        <f>IF($Q574="DELETE",IF($S574="CONFIRMED: NO MODS &gt; 1YR","CONFIRMED: NO MODS &gt; 1YR","DO NOT DELETE — not defensibly confirmed"),IF($Q574="HOLD","DO NOT DELETE — HOLD (Charlie review)",IF($Q574="KEEP","DO NOT DELETE — KEEP",IF(ISNUMBER(SEARCH("REVIEW",$Q574)),"DO NOT DELETE — REVIEW pending",$S574))))</f>
        <v>DO NOT DELETE — HOLD (Charlie review)</v>
      </c>
      <c r="Q574" t="str" cm="1">
        <f t="array" ref="Q574">_xlfn.IFS(AND($A574="thg-beauty",ISNUMBER(SEARCH("liveramp",$C574))),"DELETE",$A574="agile-bonbon-662",_xlfn.IFS(LEFT($G574,9)="Tranche 1","DELETE",$C574="Sessions_Level_1_All_Sites","KEEP",ISNUMBER(--$C574),"REVIEW — UA raw logs",$C574="Emag_Reporting","KEEP",$C574="Nutrition_Data_Archived_Tables","KEEP",$C574="EU_Data","KEEP",TRUE,"REVIEW"),OR($A574="thg-influencer",$A574="thg-ingenuity",$A574="thg-central-marketing",$A574="thg-seoclarity"),"HOLD",TRUE,"")</f>
        <v>HOLD</v>
      </c>
      <c r="R574" t="str" cm="1">
        <f t="array" ref="R574">_xlfn.IFS(AND($A574="thg-beauty",ISNUMBER(SEARCH("liveramp",$C574))),"thg-beauty Liveramp dataset — confirmed safe to delete",$A574="agile-bonbon-662",_xlfn.IFS(LEFT($G574,9)="Tranche 1","Tranche 1: cleared",$C574="Sessions_Level_1_All_Sites","Downstream aggregation of UA raw logs — keep if raw tables go",ISNUMBER(--$C574),"UA raw site logs (account ID) — keep pending audit-retention check",$C574="Emag_Reporting","Legacy but likely needed",$C574="Nutrition_Data_Archived_Tables","Worth keeping",$C574="EU_Data","Static lookup tables — scripts still reference (smoke-test risk)",TRUE,"Review"),OR($A574="thg-influencer",$A574="thg-ingenuity",$A574="thg-central-marketing",$A574="thg-seoclarity"),"HOLD — Charlie Stringer to review before deletion",TRUE,"")</f>
        <v>HOLD — Charlie Stringer to review before deletion</v>
      </c>
      <c r="S574" t="s">
        <v>1624</v>
      </c>
    </row>
    <row r="575" spans="1:19" ht="76.5" hidden="1">
      <c r="A575" t="s">
        <v>35</v>
      </c>
      <c r="B575" t="s">
        <v>1619</v>
      </c>
      <c r="C575" t="s">
        <v>2921</v>
      </c>
      <c r="D575" s="2" t="s">
        <v>1621</v>
      </c>
      <c r="E575">
        <v>2.72</v>
      </c>
      <c r="F575">
        <v>0.05</v>
      </c>
      <c r="G575" t="s">
        <v>79</v>
      </c>
      <c r="H575" t="s">
        <v>81</v>
      </c>
      <c r="I575">
        <v>0</v>
      </c>
      <c r="J575">
        <v>0</v>
      </c>
      <c r="K575" s="5">
        <v>46197.446039328701</v>
      </c>
      <c r="L575" s="5">
        <v>46197.417228090279</v>
      </c>
      <c r="M575" s="2" t="s">
        <v>2922</v>
      </c>
      <c r="N575" s="2" t="s">
        <v>2923</v>
      </c>
      <c r="O575" s="5">
        <v>46197.417282905088</v>
      </c>
      <c r="P575" t="str">
        <f>IF($Q575="DELETE",IF($S575="CONFIRMED: NO MODS &gt; 1YR","CONFIRMED: NO MODS &gt; 1YR","DO NOT DELETE — not defensibly confirmed"),IF($Q575="HOLD","DO NOT DELETE — HOLD (Charlie review)",IF($Q575="KEEP","DO NOT DELETE — KEEP",IF(ISNUMBER(SEARCH("REVIEW",$Q575)),"DO NOT DELETE — REVIEW pending",$S575))))</f>
        <v>DO NOT DELETE — HOLD (Charlie review)</v>
      </c>
      <c r="Q575" t="str" cm="1">
        <f t="array" ref="Q575">_xlfn.IFS(AND($A575="thg-beauty",ISNUMBER(SEARCH("liveramp",$C575))),"DELETE",$A575="agile-bonbon-662",_xlfn.IFS(LEFT($G575,9)="Tranche 1","DELETE",$C575="Sessions_Level_1_All_Sites","KEEP",ISNUMBER(--$C575),"REVIEW — UA raw logs",$C575="Emag_Reporting","KEEP",$C575="Nutrition_Data_Archived_Tables","KEEP",$C575="EU_Data","KEEP",TRUE,"REVIEW"),OR($A575="thg-influencer",$A575="thg-ingenuity",$A575="thg-central-marketing",$A575="thg-seoclarity"),"HOLD",TRUE,"")</f>
        <v>HOLD</v>
      </c>
      <c r="R575" t="str" cm="1">
        <f t="array" ref="R575">_xlfn.IFS(AND($A575="thg-beauty",ISNUMBER(SEARCH("liveramp",$C575))),"thg-beauty Liveramp dataset — confirmed safe to delete",$A575="agile-bonbon-662",_xlfn.IFS(LEFT($G575,9)="Tranche 1","Tranche 1: cleared",$C575="Sessions_Level_1_All_Sites","Downstream aggregation of UA raw logs — keep if raw tables go",ISNUMBER(--$C575),"UA raw site logs (account ID) — keep pending audit-retention check",$C575="Emag_Reporting","Legacy but likely needed",$C575="Nutrition_Data_Archived_Tables","Worth keeping",$C575="EU_Data","Static lookup tables — scripts still reference (smoke-test risk)",TRUE,"Review"),OR($A575="thg-influencer",$A575="thg-ingenuity",$A575="thg-central-marketing",$A575="thg-seoclarity"),"HOLD — Charlie Stringer to review before deletion",TRUE,"")</f>
        <v>HOLD — Charlie Stringer to review before deletion</v>
      </c>
      <c r="S575" t="s">
        <v>1624</v>
      </c>
    </row>
    <row r="576" spans="1:19" ht="76.5" hidden="1">
      <c r="A576" t="s">
        <v>91</v>
      </c>
      <c r="B576" t="s">
        <v>1619</v>
      </c>
      <c r="C576" t="s">
        <v>2853</v>
      </c>
      <c r="D576" s="2" t="s">
        <v>1621</v>
      </c>
      <c r="E576">
        <v>2.69</v>
      </c>
      <c r="F576">
        <v>0.05</v>
      </c>
      <c r="G576" t="s">
        <v>79</v>
      </c>
      <c r="H576" t="s">
        <v>81</v>
      </c>
      <c r="I576">
        <v>0</v>
      </c>
      <c r="J576">
        <v>0</v>
      </c>
      <c r="K576" s="5">
        <v>46141.414653449072</v>
      </c>
      <c r="M576" s="2" t="s">
        <v>2924</v>
      </c>
      <c r="N576" s="2" t="s">
        <v>1701</v>
      </c>
      <c r="O576" s="5">
        <v>46197.443121863427</v>
      </c>
      <c r="P576" t="str">
        <f>IF($Q576="DELETE",IF($S576="CONFIRMED: NO MODS &gt; 1YR","CONFIRMED: NO MODS &gt; 1YR","DO NOT DELETE — not defensibly confirmed"),IF($Q576="HOLD","DO NOT DELETE — HOLD (Charlie review)",IF($Q576="KEEP","DO NOT DELETE — KEEP",IF(ISNUMBER(SEARCH("REVIEW",$Q576)),"DO NOT DELETE — REVIEW pending",$S576))))</f>
        <v>CONFIRMED: NO MODS &gt; 1YR</v>
      </c>
      <c r="Q576" t="str" cm="1">
        <f t="array" ref="Q576">_xlfn.IFS(AND($A576="thg-beauty",ISNUMBER(SEARCH("liveramp",$C576))),"DELETE",$A576="agile-bonbon-662",_xlfn.IFS(LEFT($G576,9)="Tranche 1","DELETE",$C576="Sessions_Level_1_All_Sites","KEEP",ISNUMBER(--$C576),"REVIEW — UA raw logs",$C576="Emag_Reporting","KEEP",$C576="Nutrition_Data_Archived_Tables","KEEP",$C576="EU_Data","KEEP",TRUE,"REVIEW"),OR($A576="thg-influencer",$A576="thg-ingenuity",$A576="thg-central-marketing",$A576="thg-seoclarity"),"HOLD",TRUE,"")</f>
        <v/>
      </c>
      <c r="R576" t="str" cm="1">
        <f t="array" ref="R576">_xlfn.IFS(AND($A576="thg-beauty",ISNUMBER(SEARCH("liveramp",$C576))),"thg-beauty Liveramp dataset — confirmed safe to delete",$A576="agile-bonbon-662",_xlfn.IFS(LEFT($G576,9)="Tranche 1","Tranche 1: cleared",$C576="Sessions_Level_1_All_Sites","Downstream aggregation of UA raw logs — keep if raw tables go",ISNUMBER(--$C576),"UA raw site logs (account ID) — keep pending audit-retention check",$C576="Emag_Reporting","Legacy but likely needed",$C576="Nutrition_Data_Archived_Tables","Worth keeping",$C576="EU_Data","Static lookup tables — scripts still reference (smoke-test risk)",TRUE,"Review"),OR($A576="thg-influencer",$A576="thg-ingenuity",$A576="thg-central-marketing",$A576="thg-seoclarity"),"HOLD — Charlie Stringer to review before deletion",TRUE,"")</f>
        <v/>
      </c>
      <c r="S576" t="s">
        <v>1624</v>
      </c>
    </row>
    <row r="577" spans="1:19" ht="76.5" hidden="1">
      <c r="A577" t="s">
        <v>89</v>
      </c>
      <c r="B577" t="s">
        <v>1619</v>
      </c>
      <c r="C577" t="s">
        <v>2925</v>
      </c>
      <c r="D577" s="2" t="s">
        <v>1621</v>
      </c>
      <c r="E577">
        <v>2.5099999999999998</v>
      </c>
      <c r="F577">
        <v>0.05</v>
      </c>
      <c r="G577" t="s">
        <v>79</v>
      </c>
      <c r="H577" t="s">
        <v>81</v>
      </c>
      <c r="I577">
        <v>0</v>
      </c>
      <c r="J577">
        <v>331</v>
      </c>
      <c r="K577" s="5">
        <v>46197.334400069441</v>
      </c>
      <c r="M577" s="2" t="s">
        <v>2926</v>
      </c>
      <c r="N577" s="2" t="s">
        <v>1701</v>
      </c>
      <c r="O577" s="5">
        <v>45866.022065300916</v>
      </c>
      <c r="P577" t="str">
        <f>IF($Q577="DELETE",IF($S577="CONFIRMED: NO MODS &gt; 1YR","CONFIRMED: NO MODS &gt; 1YR","DO NOT DELETE — not defensibly confirmed"),IF($Q577="HOLD","DO NOT DELETE — HOLD (Charlie review)",IF($Q577="KEEP","DO NOT DELETE — KEEP",IF(ISNUMBER(SEARCH("REVIEW",$Q577)),"DO NOT DELETE — REVIEW pending",$S577))))</f>
        <v>DO NOT DELETE — REVIEW pending</v>
      </c>
      <c r="Q577" t="str" cm="1">
        <f t="array" ref="Q577">_xlfn.IFS(AND($A577="thg-beauty",ISNUMBER(SEARCH("liveramp",$C577))),"DELETE",$A577="agile-bonbon-662",_xlfn.IFS(LEFT($G577,9)="Tranche 1","DELETE",$C577="Sessions_Level_1_All_Sites","KEEP",ISNUMBER(--$C577),"REVIEW — UA raw logs",$C577="Emag_Reporting","KEEP",$C577="Nutrition_Data_Archived_Tables","KEEP",$C577="EU_Data","KEEP",TRUE,"REVIEW"),OR($A577="thg-influencer",$A577="thg-ingenuity",$A577="thg-central-marketing",$A577="thg-seoclarity"),"HOLD",TRUE,"")</f>
        <v>REVIEW</v>
      </c>
      <c r="R577" t="str" cm="1">
        <f t="array" ref="R577">_xlfn.IFS(AND($A577="thg-beauty",ISNUMBER(SEARCH("liveramp",$C577))),"thg-beauty Liveramp dataset — confirmed safe to delete",$A577="agile-bonbon-662",_xlfn.IFS(LEFT($G577,9)="Tranche 1","Tranche 1: cleared",$C577="Sessions_Level_1_All_Sites","Downstream aggregation of UA raw logs — keep if raw tables go",ISNUMBER(--$C577),"UA raw site logs (account ID) — keep pending audit-retention check",$C577="Emag_Reporting","Legacy but likely needed",$C577="Nutrition_Data_Archived_Tables","Worth keeping",$C577="EU_Data","Static lookup tables — scripts still reference (smoke-test risk)",TRUE,"Review"),OR($A577="thg-influencer",$A577="thg-ingenuity",$A577="thg-central-marketing",$A577="thg-seoclarity"),"HOLD — Charlie Stringer to review before deletion",TRUE,"")</f>
        <v>Review</v>
      </c>
      <c r="S577" t="s">
        <v>1624</v>
      </c>
    </row>
    <row r="578" spans="1:19" ht="76.5" hidden="1">
      <c r="A578" t="s">
        <v>38</v>
      </c>
      <c r="B578" t="s">
        <v>1619</v>
      </c>
      <c r="C578" t="s">
        <v>967</v>
      </c>
      <c r="D578" s="2" t="s">
        <v>1621</v>
      </c>
      <c r="E578">
        <v>2.3199999999999998</v>
      </c>
      <c r="F578">
        <v>0.05</v>
      </c>
      <c r="G578" t="s">
        <v>79</v>
      </c>
      <c r="H578" t="s">
        <v>81</v>
      </c>
      <c r="I578">
        <v>0</v>
      </c>
      <c r="J578">
        <v>0</v>
      </c>
      <c r="L578" s="5">
        <v>46197.101284930563</v>
      </c>
      <c r="M578" s="2" t="s">
        <v>1715</v>
      </c>
      <c r="N578" s="2" t="s">
        <v>2927</v>
      </c>
      <c r="O578" s="5">
        <v>46197.10129810185</v>
      </c>
      <c r="P578" t="str">
        <f>IF($Q578="DELETE",IF($S578="CONFIRMED: NO MODS &gt; 1YR","CONFIRMED: NO MODS &gt; 1YR","DO NOT DELETE — not defensibly confirmed"),IF($Q578="HOLD","DO NOT DELETE — HOLD (Charlie review)",IF($Q578="KEEP","DO NOT DELETE — KEEP",IF(ISNUMBER(SEARCH("REVIEW",$Q578)),"DO NOT DELETE — REVIEW pending",$S578))))</f>
        <v>DO NOT DELETE — HOLD (Charlie review)</v>
      </c>
      <c r="Q578" t="str" cm="1">
        <f t="array" ref="Q578">_xlfn.IFS(AND($A578="thg-beauty",ISNUMBER(SEARCH("liveramp",$C578))),"DELETE",$A578="agile-bonbon-662",_xlfn.IFS(LEFT($G578,9)="Tranche 1","DELETE",$C578="Sessions_Level_1_All_Sites","KEEP",ISNUMBER(--$C578),"REVIEW — UA raw logs",$C578="Emag_Reporting","KEEP",$C578="Nutrition_Data_Archived_Tables","KEEP",$C578="EU_Data","KEEP",TRUE,"REVIEW"),OR($A578="thg-influencer",$A578="thg-ingenuity",$A578="thg-central-marketing",$A578="thg-seoclarity"),"HOLD",TRUE,"")</f>
        <v>HOLD</v>
      </c>
      <c r="R578" t="str" cm="1">
        <f t="array" ref="R578">_xlfn.IFS(AND($A578="thg-beauty",ISNUMBER(SEARCH("liveramp",$C578))),"thg-beauty Liveramp dataset — confirmed safe to delete",$A578="agile-bonbon-662",_xlfn.IFS(LEFT($G578,9)="Tranche 1","Tranche 1: cleared",$C578="Sessions_Level_1_All_Sites","Downstream aggregation of UA raw logs — keep if raw tables go",ISNUMBER(--$C578),"UA raw site logs (account ID) — keep pending audit-retention check",$C578="Emag_Reporting","Legacy but likely needed",$C578="Nutrition_Data_Archived_Tables","Worth keeping",$C578="EU_Data","Static lookup tables — scripts still reference (smoke-test risk)",TRUE,"Review"),OR($A578="thg-influencer",$A578="thg-ingenuity",$A578="thg-central-marketing",$A578="thg-seoclarity"),"HOLD — Charlie Stringer to review before deletion",TRUE,"")</f>
        <v>HOLD — Charlie Stringer to review before deletion</v>
      </c>
      <c r="S578" t="s">
        <v>1624</v>
      </c>
    </row>
    <row r="579" spans="1:19" ht="76.5" hidden="1">
      <c r="A579" t="s">
        <v>38</v>
      </c>
      <c r="B579" t="s">
        <v>1619</v>
      </c>
      <c r="C579" t="s">
        <v>2928</v>
      </c>
      <c r="D579" s="2" t="s">
        <v>1621</v>
      </c>
      <c r="E579">
        <v>2.2599999999999998</v>
      </c>
      <c r="F579">
        <v>0.05</v>
      </c>
      <c r="G579" t="s">
        <v>79</v>
      </c>
      <c r="H579" t="s">
        <v>81</v>
      </c>
      <c r="I579">
        <v>0</v>
      </c>
      <c r="J579">
        <v>0</v>
      </c>
      <c r="K579" s="5">
        <v>46197.418555949072</v>
      </c>
      <c r="L579" s="5">
        <v>46197.416774398152</v>
      </c>
      <c r="M579" s="2" t="s">
        <v>2929</v>
      </c>
      <c r="N579" s="2" t="s">
        <v>2930</v>
      </c>
      <c r="O579" s="5">
        <v>46197.416821770843</v>
      </c>
      <c r="P579" t="str">
        <f>IF($Q579="DELETE",IF($S579="CONFIRMED: NO MODS &gt; 1YR","CONFIRMED: NO MODS &gt; 1YR","DO NOT DELETE — not defensibly confirmed"),IF($Q579="HOLD","DO NOT DELETE — HOLD (Charlie review)",IF($Q579="KEEP","DO NOT DELETE — KEEP",IF(ISNUMBER(SEARCH("REVIEW",$Q579)),"DO NOT DELETE — REVIEW pending",$S579))))</f>
        <v>DO NOT DELETE — HOLD (Charlie review)</v>
      </c>
      <c r="Q579" t="str" cm="1">
        <f t="array" ref="Q579">_xlfn.IFS(AND($A579="thg-beauty",ISNUMBER(SEARCH("liveramp",$C579))),"DELETE",$A579="agile-bonbon-662",_xlfn.IFS(LEFT($G579,9)="Tranche 1","DELETE",$C579="Sessions_Level_1_All_Sites","KEEP",ISNUMBER(--$C579),"REVIEW — UA raw logs",$C579="Emag_Reporting","KEEP",$C579="Nutrition_Data_Archived_Tables","KEEP",$C579="EU_Data","KEEP",TRUE,"REVIEW"),OR($A579="thg-influencer",$A579="thg-ingenuity",$A579="thg-central-marketing",$A579="thg-seoclarity"),"HOLD",TRUE,"")</f>
        <v>HOLD</v>
      </c>
      <c r="R579" t="str" cm="1">
        <f t="array" ref="R579">_xlfn.IFS(AND($A579="thg-beauty",ISNUMBER(SEARCH("liveramp",$C579))),"thg-beauty Liveramp dataset — confirmed safe to delete",$A579="agile-bonbon-662",_xlfn.IFS(LEFT($G579,9)="Tranche 1","Tranche 1: cleared",$C579="Sessions_Level_1_All_Sites","Downstream aggregation of UA raw logs — keep if raw tables go",ISNUMBER(--$C579),"UA raw site logs (account ID) — keep pending audit-retention check",$C579="Emag_Reporting","Legacy but likely needed",$C579="Nutrition_Data_Archived_Tables","Worth keeping",$C579="EU_Data","Static lookup tables — scripts still reference (smoke-test risk)",TRUE,"Review"),OR($A579="thg-influencer",$A579="thg-ingenuity",$A579="thg-central-marketing",$A579="thg-seoclarity"),"HOLD — Charlie Stringer to review before deletion",TRUE,"")</f>
        <v>HOLD — Charlie Stringer to review before deletion</v>
      </c>
      <c r="S579" t="s">
        <v>1624</v>
      </c>
    </row>
    <row r="580" spans="1:19" ht="76.5" hidden="1">
      <c r="A580" t="s">
        <v>1749</v>
      </c>
      <c r="B580" t="s">
        <v>1724</v>
      </c>
      <c r="C580" t="s">
        <v>2931</v>
      </c>
      <c r="D580" s="2" t="s">
        <v>1621</v>
      </c>
      <c r="E580">
        <v>2.2400000000000002</v>
      </c>
      <c r="F580">
        <v>0.04</v>
      </c>
      <c r="G580" t="s">
        <v>79</v>
      </c>
      <c r="H580" t="s">
        <v>81</v>
      </c>
      <c r="I580">
        <v>0</v>
      </c>
      <c r="J580">
        <v>0</v>
      </c>
      <c r="K580" s="5">
        <v>46196.820516180553</v>
      </c>
      <c r="L580" s="5">
        <v>46196.803737812501</v>
      </c>
      <c r="M580" s="2" t="s">
        <v>2932</v>
      </c>
      <c r="N580" s="2" t="s">
        <v>2933</v>
      </c>
      <c r="O580" s="5">
        <v>46196.803913680553</v>
      </c>
      <c r="P580" t="str">
        <f>IF($Q580="DELETE",IF($S580="CONFIRMED: NO MODS &gt; 1YR","CONFIRMED: NO MODS &gt; 1YR","DO NOT DELETE — not defensibly confirmed"),IF($Q580="HOLD","DO NOT DELETE — HOLD (Charlie review)",IF($Q580="KEEP","DO NOT DELETE — KEEP",IF(ISNUMBER(SEARCH("REVIEW",$Q580)),"DO NOT DELETE — REVIEW pending",$S580))))</f>
        <v>CONFIRMED: NO MODS &gt; 1YR</v>
      </c>
      <c r="Q580" t="str" cm="1">
        <f t="array" ref="Q580">_xlfn.IFS(AND($A580="thg-beauty",ISNUMBER(SEARCH("liveramp",$C580))),"DELETE",$A580="agile-bonbon-662",_xlfn.IFS(LEFT($G580,9)="Tranche 1","DELETE",$C580="Sessions_Level_1_All_Sites","KEEP",ISNUMBER(--$C580),"REVIEW — UA raw logs",$C580="Emag_Reporting","KEEP",$C580="Nutrition_Data_Archived_Tables","KEEP",$C580="EU_Data","KEEP",TRUE,"REVIEW"),OR($A580="thg-influencer",$A580="thg-ingenuity",$A580="thg-central-marketing",$A580="thg-seoclarity"),"HOLD",TRUE,"")</f>
        <v/>
      </c>
      <c r="R580" t="str" cm="1">
        <f t="array" ref="R580">_xlfn.IFS(AND($A580="thg-beauty",ISNUMBER(SEARCH("liveramp",$C580))),"thg-beauty Liveramp dataset — confirmed safe to delete",$A580="agile-bonbon-662",_xlfn.IFS(LEFT($G580,9)="Tranche 1","Tranche 1: cleared",$C580="Sessions_Level_1_All_Sites","Downstream aggregation of UA raw logs — keep if raw tables go",ISNUMBER(--$C580),"UA raw site logs (account ID) — keep pending audit-retention check",$C580="Emag_Reporting","Legacy but likely needed",$C580="Nutrition_Data_Archived_Tables","Worth keeping",$C580="EU_Data","Static lookup tables — scripts still reference (smoke-test risk)",TRUE,"Review"),OR($A580="thg-influencer",$A580="thg-ingenuity",$A580="thg-central-marketing",$A580="thg-seoclarity"),"HOLD — Charlie Stringer to review before deletion",TRUE,"")</f>
        <v/>
      </c>
      <c r="S580" t="s">
        <v>1624</v>
      </c>
    </row>
    <row r="581" spans="1:19" ht="76.5" hidden="1">
      <c r="A581" t="s">
        <v>35</v>
      </c>
      <c r="B581" t="s">
        <v>1619</v>
      </c>
      <c r="C581" t="s">
        <v>2934</v>
      </c>
      <c r="D581" s="2" t="s">
        <v>1621</v>
      </c>
      <c r="E581">
        <v>2.23</v>
      </c>
      <c r="F581">
        <v>0.04</v>
      </c>
      <c r="G581" t="s">
        <v>79</v>
      </c>
      <c r="H581" t="s">
        <v>81</v>
      </c>
      <c r="I581">
        <v>0</v>
      </c>
      <c r="J581">
        <v>0</v>
      </c>
      <c r="K581" s="5">
        <v>46197.446527824082</v>
      </c>
      <c r="L581" s="5">
        <v>46197.446527824082</v>
      </c>
      <c r="M581" s="2" t="s">
        <v>2935</v>
      </c>
      <c r="N581" s="2" t="s">
        <v>2936</v>
      </c>
      <c r="O581" s="5">
        <v>46197.446549398148</v>
      </c>
      <c r="P581" t="str">
        <f>IF($Q581="DELETE",IF($S581="CONFIRMED: NO MODS &gt; 1YR","CONFIRMED: NO MODS &gt; 1YR","DO NOT DELETE — not defensibly confirmed"),IF($Q581="HOLD","DO NOT DELETE — HOLD (Charlie review)",IF($Q581="KEEP","DO NOT DELETE — KEEP",IF(ISNUMBER(SEARCH("REVIEW",$Q581)),"DO NOT DELETE — REVIEW pending",$S581))))</f>
        <v>DO NOT DELETE — HOLD (Charlie review)</v>
      </c>
      <c r="Q581" t="str" cm="1">
        <f t="array" ref="Q581">_xlfn.IFS(AND($A581="thg-beauty",ISNUMBER(SEARCH("liveramp",$C581))),"DELETE",$A581="agile-bonbon-662",_xlfn.IFS(LEFT($G581,9)="Tranche 1","DELETE",$C581="Sessions_Level_1_All_Sites","KEEP",ISNUMBER(--$C581),"REVIEW — UA raw logs",$C581="Emag_Reporting","KEEP",$C581="Nutrition_Data_Archived_Tables","KEEP",$C581="EU_Data","KEEP",TRUE,"REVIEW"),OR($A581="thg-influencer",$A581="thg-ingenuity",$A581="thg-central-marketing",$A581="thg-seoclarity"),"HOLD",TRUE,"")</f>
        <v>HOLD</v>
      </c>
      <c r="R581" t="str" cm="1">
        <f t="array" ref="R581">_xlfn.IFS(AND($A581="thg-beauty",ISNUMBER(SEARCH("liveramp",$C581))),"thg-beauty Liveramp dataset — confirmed safe to delete",$A581="agile-bonbon-662",_xlfn.IFS(LEFT($G581,9)="Tranche 1","Tranche 1: cleared",$C581="Sessions_Level_1_All_Sites","Downstream aggregation of UA raw logs — keep if raw tables go",ISNUMBER(--$C581),"UA raw site logs (account ID) — keep pending audit-retention check",$C581="Emag_Reporting","Legacy but likely needed",$C581="Nutrition_Data_Archived_Tables","Worth keeping",$C581="EU_Data","Static lookup tables — scripts still reference (smoke-test risk)",TRUE,"Review"),OR($A581="thg-influencer",$A581="thg-ingenuity",$A581="thg-central-marketing",$A581="thg-seoclarity"),"HOLD — Charlie Stringer to review before deletion",TRUE,"")</f>
        <v>HOLD — Charlie Stringer to review before deletion</v>
      </c>
      <c r="S581" t="s">
        <v>1624</v>
      </c>
    </row>
    <row r="582" spans="1:19" ht="45.75" hidden="1">
      <c r="A582" t="s">
        <v>89</v>
      </c>
      <c r="B582" t="s">
        <v>1619</v>
      </c>
      <c r="C582" t="s">
        <v>2937</v>
      </c>
      <c r="D582" s="2" t="s">
        <v>1621</v>
      </c>
      <c r="E582">
        <v>2.2200000000000002</v>
      </c>
      <c r="F582">
        <v>0.04</v>
      </c>
      <c r="G582" t="s">
        <v>79</v>
      </c>
      <c r="H582" t="s">
        <v>81</v>
      </c>
      <c r="I582">
        <v>0</v>
      </c>
      <c r="J582">
        <v>0</v>
      </c>
      <c r="K582" s="5">
        <v>46161.606924386571</v>
      </c>
      <c r="M582" s="2" t="s">
        <v>2060</v>
      </c>
      <c r="N582" s="2" t="s">
        <v>1701</v>
      </c>
      <c r="O582" s="5">
        <v>46197.451854733787</v>
      </c>
      <c r="P582" t="str">
        <f>IF($Q582="DELETE",IF($S582="CONFIRMED: NO MODS &gt; 1YR","CONFIRMED: NO MODS &gt; 1YR","DO NOT DELETE — not defensibly confirmed"),IF($Q582="HOLD","DO NOT DELETE — HOLD (Charlie review)",IF($Q582="KEEP","DO NOT DELETE — KEEP",IF(ISNUMBER(SEARCH("REVIEW",$Q582)),"DO NOT DELETE — REVIEW pending",$S582))))</f>
        <v>DO NOT DELETE — REVIEW pending</v>
      </c>
      <c r="Q582" t="str" cm="1">
        <f t="array" ref="Q582">_xlfn.IFS(AND($A582="thg-beauty",ISNUMBER(SEARCH("liveramp",$C582))),"DELETE",$A582="agile-bonbon-662",_xlfn.IFS(LEFT($G582,9)="Tranche 1","DELETE",$C582="Sessions_Level_1_All_Sites","KEEP",ISNUMBER(--$C582),"REVIEW — UA raw logs",$C582="Emag_Reporting","KEEP",$C582="Nutrition_Data_Archived_Tables","KEEP",$C582="EU_Data","KEEP",TRUE,"REVIEW"),OR($A582="thg-influencer",$A582="thg-ingenuity",$A582="thg-central-marketing",$A582="thg-seoclarity"),"HOLD",TRUE,"")</f>
        <v>REVIEW</v>
      </c>
      <c r="R582" t="str" cm="1">
        <f t="array" ref="R582">_xlfn.IFS(AND($A582="thg-beauty",ISNUMBER(SEARCH("liveramp",$C582))),"thg-beauty Liveramp dataset — confirmed safe to delete",$A582="agile-bonbon-662",_xlfn.IFS(LEFT($G582,9)="Tranche 1","Tranche 1: cleared",$C582="Sessions_Level_1_All_Sites","Downstream aggregation of UA raw logs — keep if raw tables go",ISNUMBER(--$C582),"UA raw site logs (account ID) — keep pending audit-retention check",$C582="Emag_Reporting","Legacy but likely needed",$C582="Nutrition_Data_Archived_Tables","Worth keeping",$C582="EU_Data","Static lookup tables — scripts still reference (smoke-test risk)",TRUE,"Review"),OR($A582="thg-influencer",$A582="thg-ingenuity",$A582="thg-central-marketing",$A582="thg-seoclarity"),"HOLD — Charlie Stringer to review before deletion",TRUE,"")</f>
        <v>Review</v>
      </c>
      <c r="S582" t="s">
        <v>1624</v>
      </c>
    </row>
    <row r="583" spans="1:19" ht="76.5" hidden="1">
      <c r="A583" t="s">
        <v>38</v>
      </c>
      <c r="B583" t="s">
        <v>1619</v>
      </c>
      <c r="C583" t="s">
        <v>2938</v>
      </c>
      <c r="D583" s="2" t="s">
        <v>1621</v>
      </c>
      <c r="E583">
        <v>2.2200000000000002</v>
      </c>
      <c r="F583">
        <v>0.04</v>
      </c>
      <c r="G583" t="s">
        <v>79</v>
      </c>
      <c r="H583" t="s">
        <v>81</v>
      </c>
      <c r="I583">
        <v>0</v>
      </c>
      <c r="J583">
        <v>0</v>
      </c>
      <c r="K583" s="5">
        <v>46197.335367581021</v>
      </c>
      <c r="L583" s="5">
        <v>46197.328153182869</v>
      </c>
      <c r="M583" s="2" t="s">
        <v>2939</v>
      </c>
      <c r="N583" s="2" t="s">
        <v>2940</v>
      </c>
      <c r="O583" s="5">
        <v>46197.328199699077</v>
      </c>
      <c r="P583" t="str">
        <f>IF($Q583="DELETE",IF($S583="CONFIRMED: NO MODS &gt; 1YR","CONFIRMED: NO MODS &gt; 1YR","DO NOT DELETE — not defensibly confirmed"),IF($Q583="HOLD","DO NOT DELETE — HOLD (Charlie review)",IF($Q583="KEEP","DO NOT DELETE — KEEP",IF(ISNUMBER(SEARCH("REVIEW",$Q583)),"DO NOT DELETE — REVIEW pending",$S583))))</f>
        <v>DO NOT DELETE — HOLD (Charlie review)</v>
      </c>
      <c r="Q583" t="str" cm="1">
        <f t="array" ref="Q583">_xlfn.IFS(AND($A583="thg-beauty",ISNUMBER(SEARCH("liveramp",$C583))),"DELETE",$A583="agile-bonbon-662",_xlfn.IFS(LEFT($G583,9)="Tranche 1","DELETE",$C583="Sessions_Level_1_All_Sites","KEEP",ISNUMBER(--$C583),"REVIEW — UA raw logs",$C583="Emag_Reporting","KEEP",$C583="Nutrition_Data_Archived_Tables","KEEP",$C583="EU_Data","KEEP",TRUE,"REVIEW"),OR($A583="thg-influencer",$A583="thg-ingenuity",$A583="thg-central-marketing",$A583="thg-seoclarity"),"HOLD",TRUE,"")</f>
        <v>HOLD</v>
      </c>
      <c r="R583" t="str" cm="1">
        <f t="array" ref="R583">_xlfn.IFS(AND($A583="thg-beauty",ISNUMBER(SEARCH("liveramp",$C583))),"thg-beauty Liveramp dataset — confirmed safe to delete",$A583="agile-bonbon-662",_xlfn.IFS(LEFT($G583,9)="Tranche 1","Tranche 1: cleared",$C583="Sessions_Level_1_All_Sites","Downstream aggregation of UA raw logs — keep if raw tables go",ISNUMBER(--$C583),"UA raw site logs (account ID) — keep pending audit-retention check",$C583="Emag_Reporting","Legacy but likely needed",$C583="Nutrition_Data_Archived_Tables","Worth keeping",$C583="EU_Data","Static lookup tables — scripts still reference (smoke-test risk)",TRUE,"Review"),OR($A583="thg-influencer",$A583="thg-ingenuity",$A583="thg-central-marketing",$A583="thg-seoclarity"),"HOLD — Charlie Stringer to review before deletion",TRUE,"")</f>
        <v>HOLD — Charlie Stringer to review before deletion</v>
      </c>
      <c r="S583" t="s">
        <v>1624</v>
      </c>
    </row>
    <row r="584" spans="1:19" ht="76.5" hidden="1">
      <c r="A584" t="s">
        <v>39</v>
      </c>
      <c r="B584" t="s">
        <v>1619</v>
      </c>
      <c r="C584" t="s">
        <v>2941</v>
      </c>
      <c r="D584" s="2" t="s">
        <v>1621</v>
      </c>
      <c r="E584">
        <v>2.2000000000000002</v>
      </c>
      <c r="F584">
        <v>0.04</v>
      </c>
      <c r="G584" t="s">
        <v>79</v>
      </c>
      <c r="H584" t="s">
        <v>81</v>
      </c>
      <c r="I584">
        <v>0</v>
      </c>
      <c r="J584">
        <v>65</v>
      </c>
      <c r="K584" s="5">
        <v>46197.135447361114</v>
      </c>
      <c r="L584" s="5">
        <v>46132.037746504633</v>
      </c>
      <c r="M584" s="2" t="s">
        <v>2942</v>
      </c>
      <c r="N584" s="2" t="s">
        <v>2943</v>
      </c>
      <c r="O584" s="5">
        <v>46132.037765590278</v>
      </c>
      <c r="P584" t="str">
        <f>IF($Q584="DELETE",IF($S584="CONFIRMED: NO MODS &gt; 1YR","CONFIRMED: NO MODS &gt; 1YR","DO NOT DELETE — not defensibly confirmed"),IF($Q584="HOLD","DO NOT DELETE — HOLD (Charlie review)",IF($Q584="KEEP","DO NOT DELETE — KEEP",IF(ISNUMBER(SEARCH("REVIEW",$Q584)),"DO NOT DELETE — REVIEW pending",$S584))))</f>
        <v>DO NOT DELETE — HOLD (Charlie review)</v>
      </c>
      <c r="Q584" t="str" cm="1">
        <f t="array" ref="Q584">_xlfn.IFS(AND($A584="thg-beauty",ISNUMBER(SEARCH("liveramp",$C584))),"DELETE",$A584="agile-bonbon-662",_xlfn.IFS(LEFT($G584,9)="Tranche 1","DELETE",$C584="Sessions_Level_1_All_Sites","KEEP",ISNUMBER(--$C584),"REVIEW — UA raw logs",$C584="Emag_Reporting","KEEP",$C584="Nutrition_Data_Archived_Tables","KEEP",$C584="EU_Data","KEEP",TRUE,"REVIEW"),OR($A584="thg-influencer",$A584="thg-ingenuity",$A584="thg-central-marketing",$A584="thg-seoclarity"),"HOLD",TRUE,"")</f>
        <v>HOLD</v>
      </c>
      <c r="R584" t="str" cm="1">
        <f t="array" ref="R584">_xlfn.IFS(AND($A584="thg-beauty",ISNUMBER(SEARCH("liveramp",$C584))),"thg-beauty Liveramp dataset — confirmed safe to delete",$A584="agile-bonbon-662",_xlfn.IFS(LEFT($G584,9)="Tranche 1","Tranche 1: cleared",$C584="Sessions_Level_1_All_Sites","Downstream aggregation of UA raw logs — keep if raw tables go",ISNUMBER(--$C584),"UA raw site logs (account ID) — keep pending audit-retention check",$C584="Emag_Reporting","Legacy but likely needed",$C584="Nutrition_Data_Archived_Tables","Worth keeping",$C584="EU_Data","Static lookup tables — scripts still reference (smoke-test risk)",TRUE,"Review"),OR($A584="thg-influencer",$A584="thg-ingenuity",$A584="thg-central-marketing",$A584="thg-seoclarity"),"HOLD — Charlie Stringer to review before deletion",TRUE,"")</f>
        <v>HOLD — Charlie Stringer to review before deletion</v>
      </c>
      <c r="S584" t="s">
        <v>1624</v>
      </c>
    </row>
    <row r="585" spans="1:19" ht="76.5" hidden="1">
      <c r="A585" t="s">
        <v>90</v>
      </c>
      <c r="B585" t="s">
        <v>1619</v>
      </c>
      <c r="C585" t="s">
        <v>2944</v>
      </c>
      <c r="D585" s="2" t="s">
        <v>1621</v>
      </c>
      <c r="E585">
        <v>2.06</v>
      </c>
      <c r="F585">
        <v>0.04</v>
      </c>
      <c r="G585" t="s">
        <v>79</v>
      </c>
      <c r="H585" t="s">
        <v>81</v>
      </c>
      <c r="I585">
        <v>0</v>
      </c>
      <c r="J585">
        <v>0</v>
      </c>
      <c r="K585" s="5">
        <v>46197.250480983799</v>
      </c>
      <c r="L585" s="5">
        <v>46197.250480983799</v>
      </c>
      <c r="M585" s="2" t="s">
        <v>2945</v>
      </c>
      <c r="N585" s="2" t="s">
        <v>2945</v>
      </c>
      <c r="O585" s="5">
        <v>46197.250553043981</v>
      </c>
      <c r="P585" t="str">
        <f>IF($Q585="DELETE",IF($S585="CONFIRMED: NO MODS &gt; 1YR","CONFIRMED: NO MODS &gt; 1YR","DO NOT DELETE — not defensibly confirmed"),IF($Q585="HOLD","DO NOT DELETE — HOLD (Charlie review)",IF($Q585="KEEP","DO NOT DELETE — KEEP",IF(ISNUMBER(SEARCH("REVIEW",$Q585)),"DO NOT DELETE — REVIEW pending",$S585))))</f>
        <v>CONFIRMED: NO MODS &gt; 1YR</v>
      </c>
      <c r="Q585" t="str" cm="1">
        <f t="array" ref="Q585">_xlfn.IFS(AND($A585="thg-beauty",ISNUMBER(SEARCH("liveramp",$C585))),"DELETE",$A585="agile-bonbon-662",_xlfn.IFS(LEFT($G585,9)="Tranche 1","DELETE",$C585="Sessions_Level_1_All_Sites","KEEP",ISNUMBER(--$C585),"REVIEW — UA raw logs",$C585="Emag_Reporting","KEEP",$C585="Nutrition_Data_Archived_Tables","KEEP",$C585="EU_Data","KEEP",TRUE,"REVIEW"),OR($A585="thg-influencer",$A585="thg-ingenuity",$A585="thg-central-marketing",$A585="thg-seoclarity"),"HOLD",TRUE,"")</f>
        <v/>
      </c>
      <c r="R585" t="str" cm="1">
        <f t="array" ref="R585">_xlfn.IFS(AND($A585="thg-beauty",ISNUMBER(SEARCH("liveramp",$C585))),"thg-beauty Liveramp dataset — confirmed safe to delete",$A585="agile-bonbon-662",_xlfn.IFS(LEFT($G585,9)="Tranche 1","Tranche 1: cleared",$C585="Sessions_Level_1_All_Sites","Downstream aggregation of UA raw logs — keep if raw tables go",ISNUMBER(--$C585),"UA raw site logs (account ID) — keep pending audit-retention check",$C585="Emag_Reporting","Legacy but likely needed",$C585="Nutrition_Data_Archived_Tables","Worth keeping",$C585="EU_Data","Static lookup tables — scripts still reference (smoke-test risk)",TRUE,"Review"),OR($A585="thg-influencer",$A585="thg-ingenuity",$A585="thg-central-marketing",$A585="thg-seoclarity"),"HOLD — Charlie Stringer to review before deletion",TRUE,"")</f>
        <v/>
      </c>
      <c r="S585" t="s">
        <v>1624</v>
      </c>
    </row>
    <row r="586" spans="1:19" ht="76.5" hidden="1">
      <c r="A586" t="s">
        <v>38</v>
      </c>
      <c r="B586" t="s">
        <v>1619</v>
      </c>
      <c r="C586" t="s">
        <v>2946</v>
      </c>
      <c r="D586" s="2" t="s">
        <v>1621</v>
      </c>
      <c r="E586">
        <v>2.0499999999999998</v>
      </c>
      <c r="F586">
        <v>0.04</v>
      </c>
      <c r="G586" t="s">
        <v>79</v>
      </c>
      <c r="H586" t="s">
        <v>81</v>
      </c>
      <c r="I586">
        <v>0</v>
      </c>
      <c r="J586">
        <v>0</v>
      </c>
      <c r="K586" s="5">
        <v>46197.431035335649</v>
      </c>
      <c r="L586" s="5">
        <v>46197.431035335649</v>
      </c>
      <c r="M586" s="2" t="s">
        <v>2947</v>
      </c>
      <c r="N586" s="2" t="s">
        <v>2771</v>
      </c>
      <c r="O586" s="5">
        <v>46197.431897418981</v>
      </c>
      <c r="P586" t="str">
        <f>IF($Q586="DELETE",IF($S586="CONFIRMED: NO MODS &gt; 1YR","CONFIRMED: NO MODS &gt; 1YR","DO NOT DELETE — not defensibly confirmed"),IF($Q586="HOLD","DO NOT DELETE — HOLD (Charlie review)",IF($Q586="KEEP","DO NOT DELETE — KEEP",IF(ISNUMBER(SEARCH("REVIEW",$Q586)),"DO NOT DELETE — REVIEW pending",$S586))))</f>
        <v>DO NOT DELETE — HOLD (Charlie review)</v>
      </c>
      <c r="Q586" t="str" cm="1">
        <f t="array" ref="Q586">_xlfn.IFS(AND($A586="thg-beauty",ISNUMBER(SEARCH("liveramp",$C586))),"DELETE",$A586="agile-bonbon-662",_xlfn.IFS(LEFT($G586,9)="Tranche 1","DELETE",$C586="Sessions_Level_1_All_Sites","KEEP",ISNUMBER(--$C586),"REVIEW — UA raw logs",$C586="Emag_Reporting","KEEP",$C586="Nutrition_Data_Archived_Tables","KEEP",$C586="EU_Data","KEEP",TRUE,"REVIEW"),OR($A586="thg-influencer",$A586="thg-ingenuity",$A586="thg-central-marketing",$A586="thg-seoclarity"),"HOLD",TRUE,"")</f>
        <v>HOLD</v>
      </c>
      <c r="R586" t="str" cm="1">
        <f t="array" ref="R586">_xlfn.IFS(AND($A586="thg-beauty",ISNUMBER(SEARCH("liveramp",$C586))),"thg-beauty Liveramp dataset — confirmed safe to delete",$A586="agile-bonbon-662",_xlfn.IFS(LEFT($G586,9)="Tranche 1","Tranche 1: cleared",$C586="Sessions_Level_1_All_Sites","Downstream aggregation of UA raw logs — keep if raw tables go",ISNUMBER(--$C586),"UA raw site logs (account ID) — keep pending audit-retention check",$C586="Emag_Reporting","Legacy but likely needed",$C586="Nutrition_Data_Archived_Tables","Worth keeping",$C586="EU_Data","Static lookup tables — scripts still reference (smoke-test risk)",TRUE,"Review"),OR($A586="thg-influencer",$A586="thg-ingenuity",$A586="thg-central-marketing",$A586="thg-seoclarity"),"HOLD — Charlie Stringer to review before deletion",TRUE,"")</f>
        <v>HOLD — Charlie Stringer to review before deletion</v>
      </c>
      <c r="S586" t="s">
        <v>1624</v>
      </c>
    </row>
    <row r="587" spans="1:19" ht="76.5" hidden="1">
      <c r="A587" t="s">
        <v>89</v>
      </c>
      <c r="B587" t="s">
        <v>1619</v>
      </c>
      <c r="C587" t="s">
        <v>2948</v>
      </c>
      <c r="D587" s="2" t="s">
        <v>1621</v>
      </c>
      <c r="E587">
        <v>2.04</v>
      </c>
      <c r="F587">
        <v>0.04</v>
      </c>
      <c r="G587" t="s">
        <v>79</v>
      </c>
      <c r="H587" t="s">
        <v>81</v>
      </c>
      <c r="I587">
        <v>0</v>
      </c>
      <c r="J587">
        <v>0</v>
      </c>
      <c r="K587" s="5">
        <v>46197.305629872688</v>
      </c>
      <c r="L587" s="5">
        <v>46197.007813229167</v>
      </c>
      <c r="M587" s="2" t="s">
        <v>2949</v>
      </c>
      <c r="N587" s="2" t="s">
        <v>2950</v>
      </c>
      <c r="O587" s="5">
        <v>46197.007874768518</v>
      </c>
      <c r="P587" t="str">
        <f>IF($Q587="DELETE",IF($S587="CONFIRMED: NO MODS &gt; 1YR","CONFIRMED: NO MODS &gt; 1YR","DO NOT DELETE — not defensibly confirmed"),IF($Q587="HOLD","DO NOT DELETE — HOLD (Charlie review)",IF($Q587="KEEP","DO NOT DELETE — KEEP",IF(ISNUMBER(SEARCH("REVIEW",$Q587)),"DO NOT DELETE — REVIEW pending",$S587))))</f>
        <v>DO NOT DELETE — REVIEW pending</v>
      </c>
      <c r="Q587" t="str" cm="1">
        <f t="array" ref="Q587">_xlfn.IFS(AND($A587="thg-beauty",ISNUMBER(SEARCH("liveramp",$C587))),"DELETE",$A587="agile-bonbon-662",_xlfn.IFS(LEFT($G587,9)="Tranche 1","DELETE",$C587="Sessions_Level_1_All_Sites","KEEP",ISNUMBER(--$C587),"REVIEW — UA raw logs",$C587="Emag_Reporting","KEEP",$C587="Nutrition_Data_Archived_Tables","KEEP",$C587="EU_Data","KEEP",TRUE,"REVIEW"),OR($A587="thg-influencer",$A587="thg-ingenuity",$A587="thg-central-marketing",$A587="thg-seoclarity"),"HOLD",TRUE,"")</f>
        <v>REVIEW</v>
      </c>
      <c r="R587" t="str" cm="1">
        <f t="array" ref="R587">_xlfn.IFS(AND($A587="thg-beauty",ISNUMBER(SEARCH("liveramp",$C587))),"thg-beauty Liveramp dataset — confirmed safe to delete",$A587="agile-bonbon-662",_xlfn.IFS(LEFT($G587,9)="Tranche 1","Tranche 1: cleared",$C587="Sessions_Level_1_All_Sites","Downstream aggregation of UA raw logs — keep if raw tables go",ISNUMBER(--$C587),"UA raw site logs (account ID) — keep pending audit-retention check",$C587="Emag_Reporting","Legacy but likely needed",$C587="Nutrition_Data_Archived_Tables","Worth keeping",$C587="EU_Data","Static lookup tables — scripts still reference (smoke-test risk)",TRUE,"Review"),OR($A587="thg-influencer",$A587="thg-ingenuity",$A587="thg-central-marketing",$A587="thg-seoclarity"),"HOLD — Charlie Stringer to review before deletion",TRUE,"")</f>
        <v>Review</v>
      </c>
      <c r="S587" t="s">
        <v>1624</v>
      </c>
    </row>
    <row r="588" spans="1:19" ht="76.5" hidden="1">
      <c r="A588" t="s">
        <v>90</v>
      </c>
      <c r="B588" t="s">
        <v>1619</v>
      </c>
      <c r="C588" t="s">
        <v>2951</v>
      </c>
      <c r="D588" s="2" t="s">
        <v>1621</v>
      </c>
      <c r="E588">
        <v>1.92</v>
      </c>
      <c r="F588">
        <v>0.04</v>
      </c>
      <c r="G588" t="s">
        <v>79</v>
      </c>
      <c r="H588" t="s">
        <v>81</v>
      </c>
      <c r="I588">
        <v>0</v>
      </c>
      <c r="J588">
        <v>0</v>
      </c>
      <c r="K588" s="5">
        <v>46197.451390254631</v>
      </c>
      <c r="L588" s="5">
        <v>46197.125140821758</v>
      </c>
      <c r="M588" s="2" t="s">
        <v>2952</v>
      </c>
      <c r="N588" s="2" t="s">
        <v>2953</v>
      </c>
      <c r="O588" s="5">
        <v>46197.125240381953</v>
      </c>
      <c r="P588" t="str">
        <f>IF($Q588="DELETE",IF($S588="CONFIRMED: NO MODS &gt; 1YR","CONFIRMED: NO MODS &gt; 1YR","DO NOT DELETE — not defensibly confirmed"),IF($Q588="HOLD","DO NOT DELETE — HOLD (Charlie review)",IF($Q588="KEEP","DO NOT DELETE — KEEP",IF(ISNUMBER(SEARCH("REVIEW",$Q588)),"DO NOT DELETE — REVIEW pending",$S588))))</f>
        <v>CONFIRMED: NO MODS &gt; 1YR</v>
      </c>
      <c r="Q588" t="str" cm="1">
        <f t="array" ref="Q588">_xlfn.IFS(AND($A588="thg-beauty",ISNUMBER(SEARCH("liveramp",$C588))),"DELETE",$A588="agile-bonbon-662",_xlfn.IFS(LEFT($G588,9)="Tranche 1","DELETE",$C588="Sessions_Level_1_All_Sites","KEEP",ISNUMBER(--$C588),"REVIEW — UA raw logs",$C588="Emag_Reporting","KEEP",$C588="Nutrition_Data_Archived_Tables","KEEP",$C588="EU_Data","KEEP",TRUE,"REVIEW"),OR($A588="thg-influencer",$A588="thg-ingenuity",$A588="thg-central-marketing",$A588="thg-seoclarity"),"HOLD",TRUE,"")</f>
        <v/>
      </c>
      <c r="R588" t="str" cm="1">
        <f t="array" ref="R588">_xlfn.IFS(AND($A588="thg-beauty",ISNUMBER(SEARCH("liveramp",$C588))),"thg-beauty Liveramp dataset — confirmed safe to delete",$A588="agile-bonbon-662",_xlfn.IFS(LEFT($G588,9)="Tranche 1","Tranche 1: cleared",$C588="Sessions_Level_1_All_Sites","Downstream aggregation of UA raw logs — keep if raw tables go",ISNUMBER(--$C588),"UA raw site logs (account ID) — keep pending audit-retention check",$C588="Emag_Reporting","Legacy but likely needed",$C588="Nutrition_Data_Archived_Tables","Worth keeping",$C588="EU_Data","Static lookup tables — scripts still reference (smoke-test risk)",TRUE,"Review"),OR($A588="thg-influencer",$A588="thg-ingenuity",$A588="thg-central-marketing",$A588="thg-seoclarity"),"HOLD — Charlie Stringer to review before deletion",TRUE,"")</f>
        <v/>
      </c>
      <c r="S588" t="s">
        <v>1624</v>
      </c>
    </row>
    <row r="589" spans="1:19" ht="76.5" hidden="1">
      <c r="A589" t="s">
        <v>39</v>
      </c>
      <c r="B589" t="s">
        <v>1619</v>
      </c>
      <c r="C589" t="s">
        <v>2079</v>
      </c>
      <c r="D589" s="2" t="s">
        <v>1621</v>
      </c>
      <c r="E589">
        <v>1.92</v>
      </c>
      <c r="F589">
        <v>0.04</v>
      </c>
      <c r="G589" t="s">
        <v>79</v>
      </c>
      <c r="H589" t="s">
        <v>81</v>
      </c>
      <c r="I589">
        <v>0</v>
      </c>
      <c r="J589">
        <v>0</v>
      </c>
      <c r="K589" s="5">
        <v>46197.43278920139</v>
      </c>
      <c r="L589" s="5">
        <v>46197.43278920139</v>
      </c>
      <c r="M589" s="2" t="s">
        <v>2954</v>
      </c>
      <c r="N589" s="2" t="s">
        <v>2955</v>
      </c>
      <c r="O589" s="5">
        <v>46197.433119583337</v>
      </c>
      <c r="P589" t="str">
        <f>IF($Q589="DELETE",IF($S589="CONFIRMED: NO MODS &gt; 1YR","CONFIRMED: NO MODS &gt; 1YR","DO NOT DELETE — not defensibly confirmed"),IF($Q589="HOLD","DO NOT DELETE — HOLD (Charlie review)",IF($Q589="KEEP","DO NOT DELETE — KEEP",IF(ISNUMBER(SEARCH("REVIEW",$Q589)),"DO NOT DELETE — REVIEW pending",$S589))))</f>
        <v>DO NOT DELETE — HOLD (Charlie review)</v>
      </c>
      <c r="Q589" t="str" cm="1">
        <f t="array" ref="Q589">_xlfn.IFS(AND($A589="thg-beauty",ISNUMBER(SEARCH("liveramp",$C589))),"DELETE",$A589="agile-bonbon-662",_xlfn.IFS(LEFT($G589,9)="Tranche 1","DELETE",$C589="Sessions_Level_1_All_Sites","KEEP",ISNUMBER(--$C589),"REVIEW — UA raw logs",$C589="Emag_Reporting","KEEP",$C589="Nutrition_Data_Archived_Tables","KEEP",$C589="EU_Data","KEEP",TRUE,"REVIEW"),OR($A589="thg-influencer",$A589="thg-ingenuity",$A589="thg-central-marketing",$A589="thg-seoclarity"),"HOLD",TRUE,"")</f>
        <v>HOLD</v>
      </c>
      <c r="R589" t="str" cm="1">
        <f t="array" ref="R589">_xlfn.IFS(AND($A589="thg-beauty",ISNUMBER(SEARCH("liveramp",$C589))),"thg-beauty Liveramp dataset — confirmed safe to delete",$A589="agile-bonbon-662",_xlfn.IFS(LEFT($G589,9)="Tranche 1","Tranche 1: cleared",$C589="Sessions_Level_1_All_Sites","Downstream aggregation of UA raw logs — keep if raw tables go",ISNUMBER(--$C589),"UA raw site logs (account ID) — keep pending audit-retention check",$C589="Emag_Reporting","Legacy but likely needed",$C589="Nutrition_Data_Archived_Tables","Worth keeping",$C589="EU_Data","Static lookup tables — scripts still reference (smoke-test risk)",TRUE,"Review"),OR($A589="thg-influencer",$A589="thg-ingenuity",$A589="thg-central-marketing",$A589="thg-seoclarity"),"HOLD — Charlie Stringer to review before deletion",TRUE,"")</f>
        <v>HOLD — Charlie Stringer to review before deletion</v>
      </c>
      <c r="S589" t="s">
        <v>1624</v>
      </c>
    </row>
    <row r="590" spans="1:19" ht="76.5" hidden="1">
      <c r="A590" t="s">
        <v>35</v>
      </c>
      <c r="B590" t="s">
        <v>1619</v>
      </c>
      <c r="C590" t="s">
        <v>2956</v>
      </c>
      <c r="D590" s="2" t="s">
        <v>1621</v>
      </c>
      <c r="E590">
        <v>1.72</v>
      </c>
      <c r="F590">
        <v>0.03</v>
      </c>
      <c r="G590" t="s">
        <v>79</v>
      </c>
      <c r="H590" t="s">
        <v>81</v>
      </c>
      <c r="I590">
        <v>0</v>
      </c>
      <c r="J590">
        <v>0</v>
      </c>
      <c r="K590" s="5">
        <v>46197.417395578697</v>
      </c>
      <c r="L590" s="5">
        <v>46197.088856631941</v>
      </c>
      <c r="M590" s="2" t="s">
        <v>2686</v>
      </c>
      <c r="N590" s="2" t="s">
        <v>2957</v>
      </c>
      <c r="O590" s="5">
        <v>46197.089397314812</v>
      </c>
      <c r="P590" t="str">
        <f>IF($Q590="DELETE",IF($S590="CONFIRMED: NO MODS &gt; 1YR","CONFIRMED: NO MODS &gt; 1YR","DO NOT DELETE — not defensibly confirmed"),IF($Q590="HOLD","DO NOT DELETE — HOLD (Charlie review)",IF($Q590="KEEP","DO NOT DELETE — KEEP",IF(ISNUMBER(SEARCH("REVIEW",$Q590)),"DO NOT DELETE — REVIEW pending",$S590))))</f>
        <v>DO NOT DELETE — HOLD (Charlie review)</v>
      </c>
      <c r="Q590" t="str" cm="1">
        <f t="array" ref="Q590">_xlfn.IFS(AND($A590="thg-beauty",ISNUMBER(SEARCH("liveramp",$C590))),"DELETE",$A590="agile-bonbon-662",_xlfn.IFS(LEFT($G590,9)="Tranche 1","DELETE",$C590="Sessions_Level_1_All_Sites","KEEP",ISNUMBER(--$C590),"REVIEW — UA raw logs",$C590="Emag_Reporting","KEEP",$C590="Nutrition_Data_Archived_Tables","KEEP",$C590="EU_Data","KEEP",TRUE,"REVIEW"),OR($A590="thg-influencer",$A590="thg-ingenuity",$A590="thg-central-marketing",$A590="thg-seoclarity"),"HOLD",TRUE,"")</f>
        <v>HOLD</v>
      </c>
      <c r="R590" t="str" cm="1">
        <f t="array" ref="R590">_xlfn.IFS(AND($A590="thg-beauty",ISNUMBER(SEARCH("liveramp",$C590))),"thg-beauty Liveramp dataset — confirmed safe to delete",$A590="agile-bonbon-662",_xlfn.IFS(LEFT($G590,9)="Tranche 1","Tranche 1: cleared",$C590="Sessions_Level_1_All_Sites","Downstream aggregation of UA raw logs — keep if raw tables go",ISNUMBER(--$C590),"UA raw site logs (account ID) — keep pending audit-retention check",$C590="Emag_Reporting","Legacy but likely needed",$C590="Nutrition_Data_Archived_Tables","Worth keeping",$C590="EU_Data","Static lookup tables — scripts still reference (smoke-test risk)",TRUE,"Review"),OR($A590="thg-influencer",$A590="thg-ingenuity",$A590="thg-central-marketing",$A590="thg-seoclarity"),"HOLD — Charlie Stringer to review before deletion",TRUE,"")</f>
        <v>HOLD — Charlie Stringer to review before deletion</v>
      </c>
      <c r="S590" t="s">
        <v>1624</v>
      </c>
    </row>
    <row r="591" spans="1:19" ht="76.5" hidden="1">
      <c r="A591" t="s">
        <v>89</v>
      </c>
      <c r="B591" t="s">
        <v>1619</v>
      </c>
      <c r="C591" t="s">
        <v>2958</v>
      </c>
      <c r="D591" s="2" t="s">
        <v>1621</v>
      </c>
      <c r="E591">
        <v>1.61</v>
      </c>
      <c r="F591">
        <v>0.03</v>
      </c>
      <c r="G591" t="s">
        <v>79</v>
      </c>
      <c r="H591" t="s">
        <v>81</v>
      </c>
      <c r="I591">
        <v>0</v>
      </c>
      <c r="J591">
        <v>0</v>
      </c>
      <c r="K591" s="5">
        <v>46197.012741539351</v>
      </c>
      <c r="L591" s="5">
        <v>46197.014919398149</v>
      </c>
      <c r="M591" s="2" t="s">
        <v>2959</v>
      </c>
      <c r="N591" s="2" t="s">
        <v>2960</v>
      </c>
      <c r="O591" s="5">
        <v>46197.014935810177</v>
      </c>
      <c r="P591" t="str">
        <f>IF($Q591="DELETE",IF($S591="CONFIRMED: NO MODS &gt; 1YR","CONFIRMED: NO MODS &gt; 1YR","DO NOT DELETE — not defensibly confirmed"),IF($Q591="HOLD","DO NOT DELETE — HOLD (Charlie review)",IF($Q591="KEEP","DO NOT DELETE — KEEP",IF(ISNUMBER(SEARCH("REVIEW",$Q591)),"DO NOT DELETE — REVIEW pending",$S591))))</f>
        <v>DO NOT DELETE — REVIEW pending</v>
      </c>
      <c r="Q591" t="str" cm="1">
        <f t="array" ref="Q591">_xlfn.IFS(AND($A591="thg-beauty",ISNUMBER(SEARCH("liveramp",$C591))),"DELETE",$A591="agile-bonbon-662",_xlfn.IFS(LEFT($G591,9)="Tranche 1","DELETE",$C591="Sessions_Level_1_All_Sites","KEEP",ISNUMBER(--$C591),"REVIEW — UA raw logs",$C591="Emag_Reporting","KEEP",$C591="Nutrition_Data_Archived_Tables","KEEP",$C591="EU_Data","KEEP",TRUE,"REVIEW"),OR($A591="thg-influencer",$A591="thg-ingenuity",$A591="thg-central-marketing",$A591="thg-seoclarity"),"HOLD",TRUE,"")</f>
        <v>REVIEW</v>
      </c>
      <c r="R591" t="str" cm="1">
        <f t="array" ref="R591">_xlfn.IFS(AND($A591="thg-beauty",ISNUMBER(SEARCH("liveramp",$C591))),"thg-beauty Liveramp dataset — confirmed safe to delete",$A591="agile-bonbon-662",_xlfn.IFS(LEFT($G591,9)="Tranche 1","Tranche 1: cleared",$C591="Sessions_Level_1_All_Sites","Downstream aggregation of UA raw logs — keep if raw tables go",ISNUMBER(--$C591),"UA raw site logs (account ID) — keep pending audit-retention check",$C591="Emag_Reporting","Legacy but likely needed",$C591="Nutrition_Data_Archived_Tables","Worth keeping",$C591="EU_Data","Static lookup tables — scripts still reference (smoke-test risk)",TRUE,"Review"),OR($A591="thg-influencer",$A591="thg-ingenuity",$A591="thg-central-marketing",$A591="thg-seoclarity"),"HOLD — Charlie Stringer to review before deletion",TRUE,"")</f>
        <v>Review</v>
      </c>
      <c r="S591" t="s">
        <v>1624</v>
      </c>
    </row>
    <row r="592" spans="1:19" ht="76.5" hidden="1">
      <c r="A592" t="s">
        <v>89</v>
      </c>
      <c r="B592" t="s">
        <v>1619</v>
      </c>
      <c r="C592" t="s">
        <v>2961</v>
      </c>
      <c r="D592" s="2" t="s">
        <v>1621</v>
      </c>
      <c r="E592">
        <v>1.55</v>
      </c>
      <c r="F592">
        <v>0.03</v>
      </c>
      <c r="G592" t="s">
        <v>79</v>
      </c>
      <c r="H592" t="s">
        <v>81</v>
      </c>
      <c r="I592">
        <v>0</v>
      </c>
      <c r="J592">
        <v>0</v>
      </c>
      <c r="K592" s="5">
        <v>46197.211832523149</v>
      </c>
      <c r="L592" s="5">
        <v>46197.211832523149</v>
      </c>
      <c r="M592" s="2" t="s">
        <v>2962</v>
      </c>
      <c r="N592" s="2" t="s">
        <v>2962</v>
      </c>
      <c r="O592" s="5">
        <v>46197.213321192132</v>
      </c>
      <c r="P592" t="str">
        <f>IF($Q592="DELETE",IF($S592="CONFIRMED: NO MODS &gt; 1YR","CONFIRMED: NO MODS &gt; 1YR","DO NOT DELETE — not defensibly confirmed"),IF($Q592="HOLD","DO NOT DELETE — HOLD (Charlie review)",IF($Q592="KEEP","DO NOT DELETE — KEEP",IF(ISNUMBER(SEARCH("REVIEW",$Q592)),"DO NOT DELETE — REVIEW pending",$S592))))</f>
        <v>DO NOT DELETE — REVIEW pending</v>
      </c>
      <c r="Q592" t="str" cm="1">
        <f t="array" ref="Q592">_xlfn.IFS(AND($A592="thg-beauty",ISNUMBER(SEARCH("liveramp",$C592))),"DELETE",$A592="agile-bonbon-662",_xlfn.IFS(LEFT($G592,9)="Tranche 1","DELETE",$C592="Sessions_Level_1_All_Sites","KEEP",ISNUMBER(--$C592),"REVIEW — UA raw logs",$C592="Emag_Reporting","KEEP",$C592="Nutrition_Data_Archived_Tables","KEEP",$C592="EU_Data","KEEP",TRUE,"REVIEW"),OR($A592="thg-influencer",$A592="thg-ingenuity",$A592="thg-central-marketing",$A592="thg-seoclarity"),"HOLD",TRUE,"")</f>
        <v>REVIEW</v>
      </c>
      <c r="R592" t="str" cm="1">
        <f t="array" ref="R592">_xlfn.IFS(AND($A592="thg-beauty",ISNUMBER(SEARCH("liveramp",$C592))),"thg-beauty Liveramp dataset — confirmed safe to delete",$A592="agile-bonbon-662",_xlfn.IFS(LEFT($G592,9)="Tranche 1","Tranche 1: cleared",$C592="Sessions_Level_1_All_Sites","Downstream aggregation of UA raw logs — keep if raw tables go",ISNUMBER(--$C592),"UA raw site logs (account ID) — keep pending audit-retention check",$C592="Emag_Reporting","Legacy but likely needed",$C592="Nutrition_Data_Archived_Tables","Worth keeping",$C592="EU_Data","Static lookup tables — scripts still reference (smoke-test risk)",TRUE,"Review"),OR($A592="thg-influencer",$A592="thg-ingenuity",$A592="thg-central-marketing",$A592="thg-seoclarity"),"HOLD — Charlie Stringer to review before deletion",TRUE,"")</f>
        <v>Review</v>
      </c>
      <c r="S592" t="s">
        <v>1624</v>
      </c>
    </row>
    <row r="593" spans="1:19" ht="76.5" hidden="1">
      <c r="A593" t="s">
        <v>92</v>
      </c>
      <c r="B593" t="s">
        <v>1619</v>
      </c>
      <c r="C593" t="s">
        <v>2963</v>
      </c>
      <c r="D593" s="2" t="s">
        <v>1621</v>
      </c>
      <c r="E593">
        <v>0.17</v>
      </c>
      <c r="F593">
        <v>0</v>
      </c>
      <c r="G593" t="s">
        <v>79</v>
      </c>
      <c r="H593" t="s">
        <v>81</v>
      </c>
      <c r="I593">
        <v>92</v>
      </c>
      <c r="J593">
        <v>92</v>
      </c>
      <c r="K593" s="5">
        <v>46105.438112245371</v>
      </c>
      <c r="L593" s="5">
        <v>46105.438112245371</v>
      </c>
      <c r="M593" s="2" t="s">
        <v>2964</v>
      </c>
      <c r="N593" s="2" t="s">
        <v>2964</v>
      </c>
      <c r="O593" s="5">
        <v>46105.438140925929</v>
      </c>
      <c r="P593" t="str">
        <f>IF($Q593="DELETE",IF($S593="CONFIRMED: NO MODS &gt; 1YR","CONFIRMED: NO MODS &gt; 1YR","DO NOT DELETE — not defensibly confirmed"),IF($Q593="HOLD","DO NOT DELETE — HOLD (Charlie review)",IF($Q593="KEEP","DO NOT DELETE — KEEP",IF(ISNUMBER(SEARCH("REVIEW",$Q593)),"DO NOT DELETE — REVIEW pending",$S593))))</f>
        <v>CONFIRMED: NO MODS &gt; 1YR</v>
      </c>
      <c r="Q593" t="str" cm="1">
        <f t="array" ref="Q593">_xlfn.IFS(AND($A593="thg-beauty",ISNUMBER(SEARCH("liveramp",$C593))),"DELETE",$A593="agile-bonbon-662",_xlfn.IFS(LEFT($G593,9)="Tranche 1","DELETE",$C593="Sessions_Level_1_All_Sites","KEEP",ISNUMBER(--$C593),"REVIEW — UA raw logs",$C593="Emag_Reporting","KEEP",$C593="Nutrition_Data_Archived_Tables","KEEP",$C593="EU_Data","KEEP",TRUE,"REVIEW"),OR($A593="thg-influencer",$A593="thg-ingenuity",$A593="thg-central-marketing",$A593="thg-seoclarity"),"HOLD",TRUE,"")</f>
        <v/>
      </c>
      <c r="R593" t="str" cm="1">
        <f t="array" ref="R593">_xlfn.IFS(AND($A593="thg-beauty",ISNUMBER(SEARCH("liveramp",$C593))),"thg-beauty Liveramp dataset — confirmed safe to delete",$A593="agile-bonbon-662",_xlfn.IFS(LEFT($G593,9)="Tranche 1","Tranche 1: cleared",$C593="Sessions_Level_1_All_Sites","Downstream aggregation of UA raw logs — keep if raw tables go",ISNUMBER(--$C593),"UA raw site logs (account ID) — keep pending audit-retention check",$C593="Emag_Reporting","Legacy but likely needed",$C593="Nutrition_Data_Archived_Tables","Worth keeping",$C593="EU_Data","Static lookup tables — scripts still reference (smoke-test risk)",TRUE,"Review"),OR($A593="thg-influencer",$A593="thg-ingenuity",$A593="thg-central-marketing",$A593="thg-seoclarity"),"HOLD — Charlie Stringer to review before deletion",TRUE,"")</f>
        <v/>
      </c>
      <c r="S593" t="s">
        <v>1624</v>
      </c>
    </row>
    <row r="594" spans="1:19" ht="76.5" hidden="1">
      <c r="A594" t="s">
        <v>92</v>
      </c>
      <c r="B594" t="s">
        <v>1619</v>
      </c>
      <c r="C594" t="s">
        <v>2965</v>
      </c>
      <c r="D594" s="2" t="s">
        <v>1621</v>
      </c>
      <c r="E594">
        <v>0</v>
      </c>
      <c r="F594">
        <v>0</v>
      </c>
      <c r="G594" t="s">
        <v>79</v>
      </c>
      <c r="H594" t="s">
        <v>81</v>
      </c>
      <c r="I594">
        <v>84</v>
      </c>
      <c r="J594">
        <v>85</v>
      </c>
      <c r="K594" s="5">
        <v>46113.338002094897</v>
      </c>
      <c r="L594" s="5">
        <v>46112.430840983798</v>
      </c>
      <c r="M594" s="2" t="s">
        <v>2966</v>
      </c>
      <c r="N594" s="2" t="s">
        <v>2967</v>
      </c>
      <c r="O594" s="5">
        <v>46112.430879502317</v>
      </c>
      <c r="P594" t="str">
        <f>IF($Q594="DELETE",IF($S594="CONFIRMED: NO MODS &gt; 1YR","CONFIRMED: NO MODS &gt; 1YR","DO NOT DELETE — not defensibly confirmed"),IF($Q594="HOLD","DO NOT DELETE — HOLD (Charlie review)",IF($Q594="KEEP","DO NOT DELETE — KEEP",IF(ISNUMBER(SEARCH("REVIEW",$Q594)),"DO NOT DELETE — REVIEW pending",$S594))))</f>
        <v>CONFIRMED: NO MODS &gt; 1YR</v>
      </c>
      <c r="Q594" t="str" cm="1">
        <f t="array" ref="Q594">_xlfn.IFS(AND($A594="thg-beauty",ISNUMBER(SEARCH("liveramp",$C594))),"DELETE",$A594="agile-bonbon-662",_xlfn.IFS(LEFT($G594,9)="Tranche 1","DELETE",$C594="Sessions_Level_1_All_Sites","KEEP",ISNUMBER(--$C594),"REVIEW — UA raw logs",$C594="Emag_Reporting","KEEP",$C594="Nutrition_Data_Archived_Tables","KEEP",$C594="EU_Data","KEEP",TRUE,"REVIEW"),OR($A594="thg-influencer",$A594="thg-ingenuity",$A594="thg-central-marketing",$A594="thg-seoclarity"),"HOLD",TRUE,"")</f>
        <v/>
      </c>
      <c r="R594" t="str" cm="1">
        <f t="array" ref="R594">_xlfn.IFS(AND($A594="thg-beauty",ISNUMBER(SEARCH("liveramp",$C594))),"thg-beauty Liveramp dataset — confirmed safe to delete",$A594="agile-bonbon-662",_xlfn.IFS(LEFT($G594,9)="Tranche 1","Tranche 1: cleared",$C594="Sessions_Level_1_All_Sites","Downstream aggregation of UA raw logs — keep if raw tables go",ISNUMBER(--$C594),"UA raw site logs (account ID) — keep pending audit-retention check",$C594="Emag_Reporting","Legacy but likely needed",$C594="Nutrition_Data_Archived_Tables","Worth keeping",$C594="EU_Data","Static lookup tables — scripts still reference (smoke-test risk)",TRUE,"Review"),OR($A594="thg-influencer",$A594="thg-ingenuity",$A594="thg-central-marketing",$A594="thg-seoclarity"),"HOLD — Charlie Stringer to review before deletion",TRUE,"")</f>
        <v/>
      </c>
      <c r="S594" t="s">
        <v>1624</v>
      </c>
    </row>
    <row r="595" spans="1:19" ht="76.5" hidden="1">
      <c r="A595" t="s">
        <v>89</v>
      </c>
      <c r="B595" t="s">
        <v>1619</v>
      </c>
      <c r="C595" t="s">
        <v>2153</v>
      </c>
      <c r="D595" s="2" t="s">
        <v>1621</v>
      </c>
      <c r="E595">
        <v>1.27</v>
      </c>
      <c r="F595">
        <v>0.03</v>
      </c>
      <c r="G595" t="s">
        <v>79</v>
      </c>
      <c r="H595" t="s">
        <v>81</v>
      </c>
      <c r="I595">
        <v>0</v>
      </c>
      <c r="J595">
        <v>0</v>
      </c>
      <c r="K595" s="5">
        <v>46197.272232708332</v>
      </c>
      <c r="L595" s="5">
        <v>46197.166828240741</v>
      </c>
      <c r="M595" s="2" t="s">
        <v>2968</v>
      </c>
      <c r="N595" s="2" t="s">
        <v>2969</v>
      </c>
      <c r="O595" s="5">
        <v>46197.167438483797</v>
      </c>
      <c r="P595" t="str">
        <f>IF($Q595="DELETE",IF($S595="CONFIRMED: NO MODS &gt; 1YR","CONFIRMED: NO MODS &gt; 1YR","DO NOT DELETE — not defensibly confirmed"),IF($Q595="HOLD","DO NOT DELETE — HOLD (Charlie review)",IF($Q595="KEEP","DO NOT DELETE — KEEP",IF(ISNUMBER(SEARCH("REVIEW",$Q595)),"DO NOT DELETE — REVIEW pending",$S595))))</f>
        <v>DO NOT DELETE — REVIEW pending</v>
      </c>
      <c r="Q595" t="str" cm="1">
        <f t="array" ref="Q595">_xlfn.IFS(AND($A595="thg-beauty",ISNUMBER(SEARCH("liveramp",$C595))),"DELETE",$A595="agile-bonbon-662",_xlfn.IFS(LEFT($G595,9)="Tranche 1","DELETE",$C595="Sessions_Level_1_All_Sites","KEEP",ISNUMBER(--$C595),"REVIEW — UA raw logs",$C595="Emag_Reporting","KEEP",$C595="Nutrition_Data_Archived_Tables","KEEP",$C595="EU_Data","KEEP",TRUE,"REVIEW"),OR($A595="thg-influencer",$A595="thg-ingenuity",$A595="thg-central-marketing",$A595="thg-seoclarity"),"HOLD",TRUE,"")</f>
        <v>REVIEW</v>
      </c>
      <c r="R595" t="str" cm="1">
        <f t="array" ref="R595">_xlfn.IFS(AND($A595="thg-beauty",ISNUMBER(SEARCH("liveramp",$C595))),"thg-beauty Liveramp dataset — confirmed safe to delete",$A595="agile-bonbon-662",_xlfn.IFS(LEFT($G595,9)="Tranche 1","Tranche 1: cleared",$C595="Sessions_Level_1_All_Sites","Downstream aggregation of UA raw logs — keep if raw tables go",ISNUMBER(--$C595),"UA raw site logs (account ID) — keep pending audit-retention check",$C595="Emag_Reporting","Legacy but likely needed",$C595="Nutrition_Data_Archived_Tables","Worth keeping",$C595="EU_Data","Static lookup tables — scripts still reference (smoke-test risk)",TRUE,"Review"),OR($A595="thg-influencer",$A595="thg-ingenuity",$A595="thg-central-marketing",$A595="thg-seoclarity"),"HOLD — Charlie Stringer to review before deletion",TRUE,"")</f>
        <v>Review</v>
      </c>
      <c r="S595" t="s">
        <v>1624</v>
      </c>
    </row>
    <row r="596" spans="1:19" ht="76.5" hidden="1">
      <c r="A596" t="s">
        <v>38</v>
      </c>
      <c r="B596" t="s">
        <v>1619</v>
      </c>
      <c r="C596" t="s">
        <v>2970</v>
      </c>
      <c r="D596" s="2" t="s">
        <v>1621</v>
      </c>
      <c r="E596">
        <v>1.27</v>
      </c>
      <c r="F596">
        <v>0.03</v>
      </c>
      <c r="G596" t="s">
        <v>79</v>
      </c>
      <c r="H596" t="s">
        <v>81</v>
      </c>
      <c r="I596">
        <v>0</v>
      </c>
      <c r="J596">
        <v>0</v>
      </c>
      <c r="L596" s="5">
        <v>46197.209054317129</v>
      </c>
      <c r="M596" s="2" t="s">
        <v>1715</v>
      </c>
      <c r="N596" s="2" t="s">
        <v>2971</v>
      </c>
      <c r="O596" s="5">
        <v>46197.209096192128</v>
      </c>
      <c r="P596" t="str">
        <f>IF($Q596="DELETE",IF($S596="CONFIRMED: NO MODS &gt; 1YR","CONFIRMED: NO MODS &gt; 1YR","DO NOT DELETE — not defensibly confirmed"),IF($Q596="HOLD","DO NOT DELETE — HOLD (Charlie review)",IF($Q596="KEEP","DO NOT DELETE — KEEP",IF(ISNUMBER(SEARCH("REVIEW",$Q596)),"DO NOT DELETE — REVIEW pending",$S596))))</f>
        <v>DO NOT DELETE — HOLD (Charlie review)</v>
      </c>
      <c r="Q596" t="str" cm="1">
        <f t="array" ref="Q596">_xlfn.IFS(AND($A596="thg-beauty",ISNUMBER(SEARCH("liveramp",$C596))),"DELETE",$A596="agile-bonbon-662",_xlfn.IFS(LEFT($G596,9)="Tranche 1","DELETE",$C596="Sessions_Level_1_All_Sites","KEEP",ISNUMBER(--$C596),"REVIEW — UA raw logs",$C596="Emag_Reporting","KEEP",$C596="Nutrition_Data_Archived_Tables","KEEP",$C596="EU_Data","KEEP",TRUE,"REVIEW"),OR($A596="thg-influencer",$A596="thg-ingenuity",$A596="thg-central-marketing",$A596="thg-seoclarity"),"HOLD",TRUE,"")</f>
        <v>HOLD</v>
      </c>
      <c r="R596" t="str" cm="1">
        <f t="array" ref="R596">_xlfn.IFS(AND($A596="thg-beauty",ISNUMBER(SEARCH("liveramp",$C596))),"thg-beauty Liveramp dataset — confirmed safe to delete",$A596="agile-bonbon-662",_xlfn.IFS(LEFT($G596,9)="Tranche 1","Tranche 1: cleared",$C596="Sessions_Level_1_All_Sites","Downstream aggregation of UA raw logs — keep if raw tables go",ISNUMBER(--$C596),"UA raw site logs (account ID) — keep pending audit-retention check",$C596="Emag_Reporting","Legacy but likely needed",$C596="Nutrition_Data_Archived_Tables","Worth keeping",$C596="EU_Data","Static lookup tables — scripts still reference (smoke-test risk)",TRUE,"Review"),OR($A596="thg-influencer",$A596="thg-ingenuity",$A596="thg-central-marketing",$A596="thg-seoclarity"),"HOLD — Charlie Stringer to review before deletion",TRUE,"")</f>
        <v>HOLD — Charlie Stringer to review before deletion</v>
      </c>
      <c r="S596" t="s">
        <v>1624</v>
      </c>
    </row>
    <row r="597" spans="1:19" ht="76.5" hidden="1">
      <c r="A597" t="s">
        <v>89</v>
      </c>
      <c r="B597" t="s">
        <v>1619</v>
      </c>
      <c r="C597" t="s">
        <v>2972</v>
      </c>
      <c r="D597" s="2" t="s">
        <v>1621</v>
      </c>
      <c r="E597">
        <v>1.0900000000000001</v>
      </c>
      <c r="F597">
        <v>0.02</v>
      </c>
      <c r="G597" t="s">
        <v>79</v>
      </c>
      <c r="H597" t="s">
        <v>81</v>
      </c>
      <c r="I597">
        <v>0</v>
      </c>
      <c r="J597">
        <v>0</v>
      </c>
      <c r="K597" s="5">
        <v>46197.12985834491</v>
      </c>
      <c r="L597" s="5">
        <v>46197.046164872692</v>
      </c>
      <c r="M597" s="2" t="s">
        <v>2973</v>
      </c>
      <c r="N597" s="2" t="s">
        <v>2974</v>
      </c>
      <c r="O597" s="5">
        <v>46197.046182708327</v>
      </c>
      <c r="P597" t="str">
        <f>IF($Q597="DELETE",IF($S597="CONFIRMED: NO MODS &gt; 1YR","CONFIRMED: NO MODS &gt; 1YR","DO NOT DELETE — not defensibly confirmed"),IF($Q597="HOLD","DO NOT DELETE — HOLD (Charlie review)",IF($Q597="KEEP","DO NOT DELETE — KEEP",IF(ISNUMBER(SEARCH("REVIEW",$Q597)),"DO NOT DELETE — REVIEW pending",$S597))))</f>
        <v>DO NOT DELETE — REVIEW pending</v>
      </c>
      <c r="Q597" t="str" cm="1">
        <f t="array" ref="Q597">_xlfn.IFS(AND($A597="thg-beauty",ISNUMBER(SEARCH("liveramp",$C597))),"DELETE",$A597="agile-bonbon-662",_xlfn.IFS(LEFT($G597,9)="Tranche 1","DELETE",$C597="Sessions_Level_1_All_Sites","KEEP",ISNUMBER(--$C597),"REVIEW — UA raw logs",$C597="Emag_Reporting","KEEP",$C597="Nutrition_Data_Archived_Tables","KEEP",$C597="EU_Data","KEEP",TRUE,"REVIEW"),OR($A597="thg-influencer",$A597="thg-ingenuity",$A597="thg-central-marketing",$A597="thg-seoclarity"),"HOLD",TRUE,"")</f>
        <v>REVIEW</v>
      </c>
      <c r="R597" t="str" cm="1">
        <f t="array" ref="R597">_xlfn.IFS(AND($A597="thg-beauty",ISNUMBER(SEARCH("liveramp",$C597))),"thg-beauty Liveramp dataset — confirmed safe to delete",$A597="agile-bonbon-662",_xlfn.IFS(LEFT($G597,9)="Tranche 1","Tranche 1: cleared",$C597="Sessions_Level_1_All_Sites","Downstream aggregation of UA raw logs — keep if raw tables go",ISNUMBER(--$C597),"UA raw site logs (account ID) — keep pending audit-retention check",$C597="Emag_Reporting","Legacy but likely needed",$C597="Nutrition_Data_Archived_Tables","Worth keeping",$C597="EU_Data","Static lookup tables — scripts still reference (smoke-test risk)",TRUE,"Review"),OR($A597="thg-influencer",$A597="thg-ingenuity",$A597="thg-central-marketing",$A597="thg-seoclarity"),"HOLD — Charlie Stringer to review before deletion",TRUE,"")</f>
        <v>Review</v>
      </c>
      <c r="S597" t="s">
        <v>1624</v>
      </c>
    </row>
    <row r="598" spans="1:19" ht="76.5" hidden="1">
      <c r="A598" t="s">
        <v>92</v>
      </c>
      <c r="B598" t="s">
        <v>1619</v>
      </c>
      <c r="C598" t="s">
        <v>2975</v>
      </c>
      <c r="D598" s="2" t="s">
        <v>1621</v>
      </c>
      <c r="E598">
        <v>7.0000000000000007E-2</v>
      </c>
      <c r="F598">
        <v>0</v>
      </c>
      <c r="G598" t="s">
        <v>79</v>
      </c>
      <c r="H598" t="s">
        <v>81</v>
      </c>
      <c r="I598">
        <v>68</v>
      </c>
      <c r="J598">
        <v>250</v>
      </c>
      <c r="K598" s="5">
        <v>46129.418174421298</v>
      </c>
      <c r="M598" s="2" t="s">
        <v>2976</v>
      </c>
      <c r="N598" s="2" t="s">
        <v>1701</v>
      </c>
      <c r="O598" s="5">
        <v>45947.375112592592</v>
      </c>
      <c r="P598" t="str">
        <f>IF($Q598="DELETE",IF($S598="CONFIRMED: NO MODS &gt; 1YR","CONFIRMED: NO MODS &gt; 1YR","DO NOT DELETE — not defensibly confirmed"),IF($Q598="HOLD","DO NOT DELETE — HOLD (Charlie review)",IF($Q598="KEEP","DO NOT DELETE — KEEP",IF(ISNUMBER(SEARCH("REVIEW",$Q598)),"DO NOT DELETE — REVIEW pending",$S598))))</f>
        <v>CONFIRMED: NO MODS &gt; 1YR</v>
      </c>
      <c r="Q598" t="str" cm="1">
        <f t="array" ref="Q598">_xlfn.IFS(AND($A598="thg-beauty",ISNUMBER(SEARCH("liveramp",$C598))),"DELETE",$A598="agile-bonbon-662",_xlfn.IFS(LEFT($G598,9)="Tranche 1","DELETE",$C598="Sessions_Level_1_All_Sites","KEEP",ISNUMBER(--$C598),"REVIEW — UA raw logs",$C598="Emag_Reporting","KEEP",$C598="Nutrition_Data_Archived_Tables","KEEP",$C598="EU_Data","KEEP",TRUE,"REVIEW"),OR($A598="thg-influencer",$A598="thg-ingenuity",$A598="thg-central-marketing",$A598="thg-seoclarity"),"HOLD",TRUE,"")</f>
        <v/>
      </c>
      <c r="R598" t="str" cm="1">
        <f t="array" ref="R598">_xlfn.IFS(AND($A598="thg-beauty",ISNUMBER(SEARCH("liveramp",$C598))),"thg-beauty Liveramp dataset — confirmed safe to delete",$A598="agile-bonbon-662",_xlfn.IFS(LEFT($G598,9)="Tranche 1","Tranche 1: cleared",$C598="Sessions_Level_1_All_Sites","Downstream aggregation of UA raw logs — keep if raw tables go",ISNUMBER(--$C598),"UA raw site logs (account ID) — keep pending audit-retention check",$C598="Emag_Reporting","Legacy but likely needed",$C598="Nutrition_Data_Archived_Tables","Worth keeping",$C598="EU_Data","Static lookup tables — scripts still reference (smoke-test risk)",TRUE,"Review"),OR($A598="thg-influencer",$A598="thg-ingenuity",$A598="thg-central-marketing",$A598="thg-seoclarity"),"HOLD — Charlie Stringer to review before deletion",TRUE,"")</f>
        <v/>
      </c>
      <c r="S598" t="s">
        <v>1624</v>
      </c>
    </row>
    <row r="599" spans="1:19" ht="76.5" hidden="1">
      <c r="A599" t="s">
        <v>89</v>
      </c>
      <c r="B599" t="s">
        <v>1619</v>
      </c>
      <c r="C599" t="s">
        <v>2977</v>
      </c>
      <c r="D599" s="2" t="s">
        <v>1621</v>
      </c>
      <c r="E599">
        <v>1.05</v>
      </c>
      <c r="F599">
        <v>0.02</v>
      </c>
      <c r="G599" t="s">
        <v>79</v>
      </c>
      <c r="H599" t="s">
        <v>81</v>
      </c>
      <c r="I599">
        <v>0</v>
      </c>
      <c r="J599">
        <v>0</v>
      </c>
      <c r="K599" s="5">
        <v>46197.255115960637</v>
      </c>
      <c r="L599" s="5">
        <v>46197.052344942131</v>
      </c>
      <c r="M599" s="2" t="s">
        <v>2978</v>
      </c>
      <c r="N599" s="2" t="s">
        <v>2979</v>
      </c>
      <c r="O599" s="5">
        <v>46197.0523850463</v>
      </c>
      <c r="P599" t="str">
        <f>IF($Q599="DELETE",IF($S599="CONFIRMED: NO MODS &gt; 1YR","CONFIRMED: NO MODS &gt; 1YR","DO NOT DELETE — not defensibly confirmed"),IF($Q599="HOLD","DO NOT DELETE — HOLD (Charlie review)",IF($Q599="KEEP","DO NOT DELETE — KEEP",IF(ISNUMBER(SEARCH("REVIEW",$Q599)),"DO NOT DELETE — REVIEW pending",$S599))))</f>
        <v>DO NOT DELETE — REVIEW pending</v>
      </c>
      <c r="Q599" t="str" cm="1">
        <f t="array" ref="Q599">_xlfn.IFS(AND($A599="thg-beauty",ISNUMBER(SEARCH("liveramp",$C599))),"DELETE",$A599="agile-bonbon-662",_xlfn.IFS(LEFT($G599,9)="Tranche 1","DELETE",$C599="Sessions_Level_1_All_Sites","KEEP",ISNUMBER(--$C599),"REVIEW — UA raw logs",$C599="Emag_Reporting","KEEP",$C599="Nutrition_Data_Archived_Tables","KEEP",$C599="EU_Data","KEEP",TRUE,"REVIEW"),OR($A599="thg-influencer",$A599="thg-ingenuity",$A599="thg-central-marketing",$A599="thg-seoclarity"),"HOLD",TRUE,"")</f>
        <v>REVIEW</v>
      </c>
      <c r="R599" t="str" cm="1">
        <f t="array" ref="R599">_xlfn.IFS(AND($A599="thg-beauty",ISNUMBER(SEARCH("liveramp",$C599))),"thg-beauty Liveramp dataset — confirmed safe to delete",$A599="agile-bonbon-662",_xlfn.IFS(LEFT($G599,9)="Tranche 1","Tranche 1: cleared",$C599="Sessions_Level_1_All_Sites","Downstream aggregation of UA raw logs — keep if raw tables go",ISNUMBER(--$C599),"UA raw site logs (account ID) — keep pending audit-retention check",$C599="Emag_Reporting","Legacy but likely needed",$C599="Nutrition_Data_Archived_Tables","Worth keeping",$C599="EU_Data","Static lookup tables — scripts still reference (smoke-test risk)",TRUE,"Review"),OR($A599="thg-influencer",$A599="thg-ingenuity",$A599="thg-central-marketing",$A599="thg-seoclarity"),"HOLD — Charlie Stringer to review before deletion",TRUE,"")</f>
        <v>Review</v>
      </c>
      <c r="S599" t="s">
        <v>1624</v>
      </c>
    </row>
    <row r="600" spans="1:19" ht="76.5" hidden="1">
      <c r="A600" t="s">
        <v>38</v>
      </c>
      <c r="B600" t="s">
        <v>1619</v>
      </c>
      <c r="C600" t="s">
        <v>2980</v>
      </c>
      <c r="D600" s="2" t="s">
        <v>1621</v>
      </c>
      <c r="E600">
        <v>0.96</v>
      </c>
      <c r="F600">
        <v>0.02</v>
      </c>
      <c r="G600" t="s">
        <v>79</v>
      </c>
      <c r="H600" t="s">
        <v>81</v>
      </c>
      <c r="I600">
        <v>0</v>
      </c>
      <c r="J600">
        <v>0</v>
      </c>
      <c r="K600" s="5">
        <v>46196.50237091435</v>
      </c>
      <c r="L600" s="5">
        <v>46196.487348819443</v>
      </c>
      <c r="M600" s="2" t="s">
        <v>2981</v>
      </c>
      <c r="N600" s="2" t="s">
        <v>2982</v>
      </c>
      <c r="O600" s="5">
        <v>46196.48738929398</v>
      </c>
      <c r="P600" t="str">
        <f>IF($Q600="DELETE",IF($S600="CONFIRMED: NO MODS &gt; 1YR","CONFIRMED: NO MODS &gt; 1YR","DO NOT DELETE — not defensibly confirmed"),IF($Q600="HOLD","DO NOT DELETE — HOLD (Charlie review)",IF($Q600="KEEP","DO NOT DELETE — KEEP",IF(ISNUMBER(SEARCH("REVIEW",$Q600)),"DO NOT DELETE — REVIEW pending",$S600))))</f>
        <v>DO NOT DELETE — HOLD (Charlie review)</v>
      </c>
      <c r="Q600" t="str" cm="1">
        <f t="array" ref="Q600">_xlfn.IFS(AND($A600="thg-beauty",ISNUMBER(SEARCH("liveramp",$C600))),"DELETE",$A600="agile-bonbon-662",_xlfn.IFS(LEFT($G600,9)="Tranche 1","DELETE",$C600="Sessions_Level_1_All_Sites","KEEP",ISNUMBER(--$C600),"REVIEW — UA raw logs",$C600="Emag_Reporting","KEEP",$C600="Nutrition_Data_Archived_Tables","KEEP",$C600="EU_Data","KEEP",TRUE,"REVIEW"),OR($A600="thg-influencer",$A600="thg-ingenuity",$A600="thg-central-marketing",$A600="thg-seoclarity"),"HOLD",TRUE,"")</f>
        <v>HOLD</v>
      </c>
      <c r="R600" t="str" cm="1">
        <f t="array" ref="R600">_xlfn.IFS(AND($A600="thg-beauty",ISNUMBER(SEARCH("liveramp",$C600))),"thg-beauty Liveramp dataset — confirmed safe to delete",$A600="agile-bonbon-662",_xlfn.IFS(LEFT($G600,9)="Tranche 1","Tranche 1: cleared",$C600="Sessions_Level_1_All_Sites","Downstream aggregation of UA raw logs — keep if raw tables go",ISNUMBER(--$C600),"UA raw site logs (account ID) — keep pending audit-retention check",$C600="Emag_Reporting","Legacy but likely needed",$C600="Nutrition_Data_Archived_Tables","Worth keeping",$C600="EU_Data","Static lookup tables — scripts still reference (smoke-test risk)",TRUE,"Review"),OR($A600="thg-influencer",$A600="thg-ingenuity",$A600="thg-central-marketing",$A600="thg-seoclarity"),"HOLD — Charlie Stringer to review before deletion",TRUE,"")</f>
        <v>HOLD — Charlie Stringer to review before deletion</v>
      </c>
      <c r="S600" t="s">
        <v>1624</v>
      </c>
    </row>
    <row r="601" spans="1:19" ht="76.5" hidden="1">
      <c r="A601" t="s">
        <v>89</v>
      </c>
      <c r="B601" t="s">
        <v>1619</v>
      </c>
      <c r="C601" t="s">
        <v>2983</v>
      </c>
      <c r="D601" s="2" t="s">
        <v>1621</v>
      </c>
      <c r="E601">
        <v>0.92</v>
      </c>
      <c r="F601">
        <v>0.02</v>
      </c>
      <c r="G601" t="s">
        <v>79</v>
      </c>
      <c r="H601" t="s">
        <v>81</v>
      </c>
      <c r="I601">
        <v>0</v>
      </c>
      <c r="J601">
        <v>0</v>
      </c>
      <c r="K601" s="5">
        <v>46197.306989803241</v>
      </c>
      <c r="L601" s="5">
        <v>46197.305660972219</v>
      </c>
      <c r="M601" s="2" t="s">
        <v>2984</v>
      </c>
      <c r="N601" s="2" t="s">
        <v>2985</v>
      </c>
      <c r="O601" s="5">
        <v>46197.305801006944</v>
      </c>
      <c r="P601" t="str">
        <f>IF($Q601="DELETE",IF($S601="CONFIRMED: NO MODS &gt; 1YR","CONFIRMED: NO MODS &gt; 1YR","DO NOT DELETE — not defensibly confirmed"),IF($Q601="HOLD","DO NOT DELETE — HOLD (Charlie review)",IF($Q601="KEEP","DO NOT DELETE — KEEP",IF(ISNUMBER(SEARCH("REVIEW",$Q601)),"DO NOT DELETE — REVIEW pending",$S601))))</f>
        <v>DO NOT DELETE — REVIEW pending</v>
      </c>
      <c r="Q601" t="str" cm="1">
        <f t="array" ref="Q601">_xlfn.IFS(AND($A601="thg-beauty",ISNUMBER(SEARCH("liveramp",$C601))),"DELETE",$A601="agile-bonbon-662",_xlfn.IFS(LEFT($G601,9)="Tranche 1","DELETE",$C601="Sessions_Level_1_All_Sites","KEEP",ISNUMBER(--$C601),"REVIEW — UA raw logs",$C601="Emag_Reporting","KEEP",$C601="Nutrition_Data_Archived_Tables","KEEP",$C601="EU_Data","KEEP",TRUE,"REVIEW"),OR($A601="thg-influencer",$A601="thg-ingenuity",$A601="thg-central-marketing",$A601="thg-seoclarity"),"HOLD",TRUE,"")</f>
        <v>REVIEW</v>
      </c>
      <c r="R601" t="str" cm="1">
        <f t="array" ref="R601">_xlfn.IFS(AND($A601="thg-beauty",ISNUMBER(SEARCH("liveramp",$C601))),"thg-beauty Liveramp dataset — confirmed safe to delete",$A601="agile-bonbon-662",_xlfn.IFS(LEFT($G601,9)="Tranche 1","Tranche 1: cleared",$C601="Sessions_Level_1_All_Sites","Downstream aggregation of UA raw logs — keep if raw tables go",ISNUMBER(--$C601),"UA raw site logs (account ID) — keep pending audit-retention check",$C601="Emag_Reporting","Legacy but likely needed",$C601="Nutrition_Data_Archived_Tables","Worth keeping",$C601="EU_Data","Static lookup tables — scripts still reference (smoke-test risk)",TRUE,"Review"),OR($A601="thg-influencer",$A601="thg-ingenuity",$A601="thg-central-marketing",$A601="thg-seoclarity"),"HOLD — Charlie Stringer to review before deletion",TRUE,"")</f>
        <v>Review</v>
      </c>
      <c r="S601" t="s">
        <v>1624</v>
      </c>
    </row>
    <row r="602" spans="1:19" ht="76.5" hidden="1">
      <c r="A602" t="s">
        <v>35</v>
      </c>
      <c r="B602" t="s">
        <v>1619</v>
      </c>
      <c r="C602" t="s">
        <v>2986</v>
      </c>
      <c r="D602" s="2" t="s">
        <v>1621</v>
      </c>
      <c r="E602">
        <v>0.89</v>
      </c>
      <c r="F602">
        <v>0.02</v>
      </c>
      <c r="G602" t="s">
        <v>79</v>
      </c>
      <c r="H602" t="s">
        <v>81</v>
      </c>
      <c r="I602">
        <v>0</v>
      </c>
      <c r="J602">
        <v>0</v>
      </c>
      <c r="K602" s="5">
        <v>46197.444785798609</v>
      </c>
      <c r="L602" s="5">
        <v>46197.054304351848</v>
      </c>
      <c r="M602" s="2" t="s">
        <v>2987</v>
      </c>
      <c r="N602" s="2" t="s">
        <v>2988</v>
      </c>
      <c r="O602" s="5">
        <v>46197.054709386583</v>
      </c>
      <c r="P602" t="str">
        <f>IF($Q602="DELETE",IF($S602="CONFIRMED: NO MODS &gt; 1YR","CONFIRMED: NO MODS &gt; 1YR","DO NOT DELETE — not defensibly confirmed"),IF($Q602="HOLD","DO NOT DELETE — HOLD (Charlie review)",IF($Q602="KEEP","DO NOT DELETE — KEEP",IF(ISNUMBER(SEARCH("REVIEW",$Q602)),"DO NOT DELETE — REVIEW pending",$S602))))</f>
        <v>DO NOT DELETE — HOLD (Charlie review)</v>
      </c>
      <c r="Q602" t="str" cm="1">
        <f t="array" ref="Q602">_xlfn.IFS(AND($A602="thg-beauty",ISNUMBER(SEARCH("liveramp",$C602))),"DELETE",$A602="agile-bonbon-662",_xlfn.IFS(LEFT($G602,9)="Tranche 1","DELETE",$C602="Sessions_Level_1_All_Sites","KEEP",ISNUMBER(--$C602),"REVIEW — UA raw logs",$C602="Emag_Reporting","KEEP",$C602="Nutrition_Data_Archived_Tables","KEEP",$C602="EU_Data","KEEP",TRUE,"REVIEW"),OR($A602="thg-influencer",$A602="thg-ingenuity",$A602="thg-central-marketing",$A602="thg-seoclarity"),"HOLD",TRUE,"")</f>
        <v>HOLD</v>
      </c>
      <c r="R602" t="str" cm="1">
        <f t="array" ref="R602">_xlfn.IFS(AND($A602="thg-beauty",ISNUMBER(SEARCH("liveramp",$C602))),"thg-beauty Liveramp dataset — confirmed safe to delete",$A602="agile-bonbon-662",_xlfn.IFS(LEFT($G602,9)="Tranche 1","Tranche 1: cleared",$C602="Sessions_Level_1_All_Sites","Downstream aggregation of UA raw logs — keep if raw tables go",ISNUMBER(--$C602),"UA raw site logs (account ID) — keep pending audit-retention check",$C602="Emag_Reporting","Legacy but likely needed",$C602="Nutrition_Data_Archived_Tables","Worth keeping",$C602="EU_Data","Static lookup tables — scripts still reference (smoke-test risk)",TRUE,"Review"),OR($A602="thg-influencer",$A602="thg-ingenuity",$A602="thg-central-marketing",$A602="thg-seoclarity"),"HOLD — Charlie Stringer to review before deletion",TRUE,"")</f>
        <v>HOLD — Charlie Stringer to review before deletion</v>
      </c>
      <c r="S602" t="s">
        <v>1624</v>
      </c>
    </row>
    <row r="603" spans="1:19" ht="76.5" hidden="1">
      <c r="A603" t="s">
        <v>38</v>
      </c>
      <c r="B603" t="s">
        <v>1619</v>
      </c>
      <c r="C603" t="s">
        <v>2989</v>
      </c>
      <c r="D603" s="2" t="s">
        <v>1621</v>
      </c>
      <c r="E603">
        <v>0.86</v>
      </c>
      <c r="F603">
        <v>0.02</v>
      </c>
      <c r="G603" t="s">
        <v>79</v>
      </c>
      <c r="H603" t="s">
        <v>81</v>
      </c>
      <c r="I603">
        <v>0</v>
      </c>
      <c r="J603">
        <v>0</v>
      </c>
      <c r="K603" s="5">
        <v>46197.419120972219</v>
      </c>
      <c r="L603" s="5">
        <v>46197.381328090283</v>
      </c>
      <c r="M603" s="2" t="s">
        <v>2726</v>
      </c>
      <c r="N603" s="2" t="s">
        <v>2990</v>
      </c>
      <c r="O603" s="5">
        <v>46197.381377708327</v>
      </c>
      <c r="P603" t="str">
        <f>IF($Q603="DELETE",IF($S603="CONFIRMED: NO MODS &gt; 1YR","CONFIRMED: NO MODS &gt; 1YR","DO NOT DELETE — not defensibly confirmed"),IF($Q603="HOLD","DO NOT DELETE — HOLD (Charlie review)",IF($Q603="KEEP","DO NOT DELETE — KEEP",IF(ISNUMBER(SEARCH("REVIEW",$Q603)),"DO NOT DELETE — REVIEW pending",$S603))))</f>
        <v>DO NOT DELETE — HOLD (Charlie review)</v>
      </c>
      <c r="Q603" t="str" cm="1">
        <f t="array" ref="Q603">_xlfn.IFS(AND($A603="thg-beauty",ISNUMBER(SEARCH("liveramp",$C603))),"DELETE",$A603="agile-bonbon-662",_xlfn.IFS(LEFT($G603,9)="Tranche 1","DELETE",$C603="Sessions_Level_1_All_Sites","KEEP",ISNUMBER(--$C603),"REVIEW — UA raw logs",$C603="Emag_Reporting","KEEP",$C603="Nutrition_Data_Archived_Tables","KEEP",$C603="EU_Data","KEEP",TRUE,"REVIEW"),OR($A603="thg-influencer",$A603="thg-ingenuity",$A603="thg-central-marketing",$A603="thg-seoclarity"),"HOLD",TRUE,"")</f>
        <v>HOLD</v>
      </c>
      <c r="R603" t="str" cm="1">
        <f t="array" ref="R603">_xlfn.IFS(AND($A603="thg-beauty",ISNUMBER(SEARCH("liveramp",$C603))),"thg-beauty Liveramp dataset — confirmed safe to delete",$A603="agile-bonbon-662",_xlfn.IFS(LEFT($G603,9)="Tranche 1","Tranche 1: cleared",$C603="Sessions_Level_1_All_Sites","Downstream aggregation of UA raw logs — keep if raw tables go",ISNUMBER(--$C603),"UA raw site logs (account ID) — keep pending audit-retention check",$C603="Emag_Reporting","Legacy but likely needed",$C603="Nutrition_Data_Archived_Tables","Worth keeping",$C603="EU_Data","Static lookup tables — scripts still reference (smoke-test risk)",TRUE,"Review"),OR($A603="thg-influencer",$A603="thg-ingenuity",$A603="thg-central-marketing",$A603="thg-seoclarity"),"HOLD — Charlie Stringer to review before deletion",TRUE,"")</f>
        <v>HOLD — Charlie Stringer to review before deletion</v>
      </c>
      <c r="S603" t="s">
        <v>1624</v>
      </c>
    </row>
    <row r="604" spans="1:19" ht="76.5" hidden="1">
      <c r="A604" t="s">
        <v>38</v>
      </c>
      <c r="B604" t="s">
        <v>1619</v>
      </c>
      <c r="C604" t="s">
        <v>2991</v>
      </c>
      <c r="D604" s="2" t="s">
        <v>1621</v>
      </c>
      <c r="E604">
        <v>0.82</v>
      </c>
      <c r="F604">
        <v>0.02</v>
      </c>
      <c r="G604" t="s">
        <v>79</v>
      </c>
      <c r="H604" t="s">
        <v>81</v>
      </c>
      <c r="I604">
        <v>0</v>
      </c>
      <c r="J604">
        <v>0</v>
      </c>
      <c r="L604" s="5">
        <v>46197.315853807871</v>
      </c>
      <c r="M604" s="2" t="s">
        <v>1715</v>
      </c>
      <c r="N604" s="2" t="s">
        <v>2992</v>
      </c>
      <c r="O604" s="5">
        <v>46197.315898553243</v>
      </c>
      <c r="P604" t="str">
        <f>IF($Q604="DELETE",IF($S604="CONFIRMED: NO MODS &gt; 1YR","CONFIRMED: NO MODS &gt; 1YR","DO NOT DELETE — not defensibly confirmed"),IF($Q604="HOLD","DO NOT DELETE — HOLD (Charlie review)",IF($Q604="KEEP","DO NOT DELETE — KEEP",IF(ISNUMBER(SEARCH("REVIEW",$Q604)),"DO NOT DELETE — REVIEW pending",$S604))))</f>
        <v>DO NOT DELETE — HOLD (Charlie review)</v>
      </c>
      <c r="Q604" t="str" cm="1">
        <f t="array" ref="Q604">_xlfn.IFS(AND($A604="thg-beauty",ISNUMBER(SEARCH("liveramp",$C604))),"DELETE",$A604="agile-bonbon-662",_xlfn.IFS(LEFT($G604,9)="Tranche 1","DELETE",$C604="Sessions_Level_1_All_Sites","KEEP",ISNUMBER(--$C604),"REVIEW — UA raw logs",$C604="Emag_Reporting","KEEP",$C604="Nutrition_Data_Archived_Tables","KEEP",$C604="EU_Data","KEEP",TRUE,"REVIEW"),OR($A604="thg-influencer",$A604="thg-ingenuity",$A604="thg-central-marketing",$A604="thg-seoclarity"),"HOLD",TRUE,"")</f>
        <v>HOLD</v>
      </c>
      <c r="R604" t="str" cm="1">
        <f t="array" ref="R604">_xlfn.IFS(AND($A604="thg-beauty",ISNUMBER(SEARCH("liveramp",$C604))),"thg-beauty Liveramp dataset — confirmed safe to delete",$A604="agile-bonbon-662",_xlfn.IFS(LEFT($G604,9)="Tranche 1","Tranche 1: cleared",$C604="Sessions_Level_1_All_Sites","Downstream aggregation of UA raw logs — keep if raw tables go",ISNUMBER(--$C604),"UA raw site logs (account ID) — keep pending audit-retention check",$C604="Emag_Reporting","Legacy but likely needed",$C604="Nutrition_Data_Archived_Tables","Worth keeping",$C604="EU_Data","Static lookup tables — scripts still reference (smoke-test risk)",TRUE,"Review"),OR($A604="thg-influencer",$A604="thg-ingenuity",$A604="thg-central-marketing",$A604="thg-seoclarity"),"HOLD — Charlie Stringer to review before deletion",TRUE,"")</f>
        <v>HOLD — Charlie Stringer to review before deletion</v>
      </c>
      <c r="S604" t="s">
        <v>1624</v>
      </c>
    </row>
    <row r="605" spans="1:19" ht="76.5" hidden="1">
      <c r="A605" t="s">
        <v>89</v>
      </c>
      <c r="B605" t="s">
        <v>1619</v>
      </c>
      <c r="C605" t="s">
        <v>2993</v>
      </c>
      <c r="D605" s="2" t="s">
        <v>1621</v>
      </c>
      <c r="E605">
        <v>0.81</v>
      </c>
      <c r="F605">
        <v>0.02</v>
      </c>
      <c r="G605" t="s">
        <v>79</v>
      </c>
      <c r="H605" t="s">
        <v>81</v>
      </c>
      <c r="I605">
        <v>0</v>
      </c>
      <c r="J605">
        <v>0</v>
      </c>
      <c r="K605" s="5">
        <v>46197.338505798609</v>
      </c>
      <c r="L605" s="5">
        <v>46197.236204918983</v>
      </c>
      <c r="M605" s="2" t="s">
        <v>2994</v>
      </c>
      <c r="N605" s="2" t="s">
        <v>2995</v>
      </c>
      <c r="O605" s="5">
        <v>46197.236229027767</v>
      </c>
      <c r="P605" t="str">
        <f>IF($Q605="DELETE",IF($S605="CONFIRMED: NO MODS &gt; 1YR","CONFIRMED: NO MODS &gt; 1YR","DO NOT DELETE — not defensibly confirmed"),IF($Q605="HOLD","DO NOT DELETE — HOLD (Charlie review)",IF($Q605="KEEP","DO NOT DELETE — KEEP",IF(ISNUMBER(SEARCH("REVIEW",$Q605)),"DO NOT DELETE — REVIEW pending",$S605))))</f>
        <v>DO NOT DELETE — REVIEW pending</v>
      </c>
      <c r="Q605" t="str" cm="1">
        <f t="array" ref="Q605">_xlfn.IFS(AND($A605="thg-beauty",ISNUMBER(SEARCH("liveramp",$C605))),"DELETE",$A605="agile-bonbon-662",_xlfn.IFS(LEFT($G605,9)="Tranche 1","DELETE",$C605="Sessions_Level_1_All_Sites","KEEP",ISNUMBER(--$C605),"REVIEW — UA raw logs",$C605="Emag_Reporting","KEEP",$C605="Nutrition_Data_Archived_Tables","KEEP",$C605="EU_Data","KEEP",TRUE,"REVIEW"),OR($A605="thg-influencer",$A605="thg-ingenuity",$A605="thg-central-marketing",$A605="thg-seoclarity"),"HOLD",TRUE,"")</f>
        <v>REVIEW</v>
      </c>
      <c r="R605" t="str" cm="1">
        <f t="array" ref="R605">_xlfn.IFS(AND($A605="thg-beauty",ISNUMBER(SEARCH("liveramp",$C605))),"thg-beauty Liveramp dataset — confirmed safe to delete",$A605="agile-bonbon-662",_xlfn.IFS(LEFT($G605,9)="Tranche 1","Tranche 1: cleared",$C605="Sessions_Level_1_All_Sites","Downstream aggregation of UA raw logs — keep if raw tables go",ISNUMBER(--$C605),"UA raw site logs (account ID) — keep pending audit-retention check",$C605="Emag_Reporting","Legacy but likely needed",$C605="Nutrition_Data_Archived_Tables","Worth keeping",$C605="EU_Data","Static lookup tables — scripts still reference (smoke-test risk)",TRUE,"Review"),OR($A605="thg-influencer",$A605="thg-ingenuity",$A605="thg-central-marketing",$A605="thg-seoclarity"),"HOLD — Charlie Stringer to review before deletion",TRUE,"")</f>
        <v>Review</v>
      </c>
      <c r="S605" t="s">
        <v>1624</v>
      </c>
    </row>
    <row r="606" spans="1:19" ht="76.5" hidden="1">
      <c r="A606" t="s">
        <v>38</v>
      </c>
      <c r="B606" t="s">
        <v>1619</v>
      </c>
      <c r="C606" t="s">
        <v>2996</v>
      </c>
      <c r="D606" s="2" t="s">
        <v>1621</v>
      </c>
      <c r="E606">
        <v>0.7</v>
      </c>
      <c r="F606">
        <v>0.01</v>
      </c>
      <c r="G606" t="s">
        <v>79</v>
      </c>
      <c r="H606" t="s">
        <v>81</v>
      </c>
      <c r="I606">
        <v>0</v>
      </c>
      <c r="J606">
        <v>0</v>
      </c>
      <c r="K606" s="5">
        <v>46196.585516388892</v>
      </c>
      <c r="L606" s="5">
        <v>46197.427081550923</v>
      </c>
      <c r="M606" s="2" t="s">
        <v>2997</v>
      </c>
      <c r="N606" s="2" t="s">
        <v>2998</v>
      </c>
      <c r="O606" s="5">
        <v>46197.427129317133</v>
      </c>
      <c r="P606" t="str">
        <f>IF($Q606="DELETE",IF($S606="CONFIRMED: NO MODS &gt; 1YR","CONFIRMED: NO MODS &gt; 1YR","DO NOT DELETE — not defensibly confirmed"),IF($Q606="HOLD","DO NOT DELETE — HOLD (Charlie review)",IF($Q606="KEEP","DO NOT DELETE — KEEP",IF(ISNUMBER(SEARCH("REVIEW",$Q606)),"DO NOT DELETE — REVIEW pending",$S606))))</f>
        <v>DO NOT DELETE — HOLD (Charlie review)</v>
      </c>
      <c r="Q606" t="str" cm="1">
        <f t="array" ref="Q606">_xlfn.IFS(AND($A606="thg-beauty",ISNUMBER(SEARCH("liveramp",$C606))),"DELETE",$A606="agile-bonbon-662",_xlfn.IFS(LEFT($G606,9)="Tranche 1","DELETE",$C606="Sessions_Level_1_All_Sites","KEEP",ISNUMBER(--$C606),"REVIEW — UA raw logs",$C606="Emag_Reporting","KEEP",$C606="Nutrition_Data_Archived_Tables","KEEP",$C606="EU_Data","KEEP",TRUE,"REVIEW"),OR($A606="thg-influencer",$A606="thg-ingenuity",$A606="thg-central-marketing",$A606="thg-seoclarity"),"HOLD",TRUE,"")</f>
        <v>HOLD</v>
      </c>
      <c r="R606" t="str" cm="1">
        <f t="array" ref="R606">_xlfn.IFS(AND($A606="thg-beauty",ISNUMBER(SEARCH("liveramp",$C606))),"thg-beauty Liveramp dataset — confirmed safe to delete",$A606="agile-bonbon-662",_xlfn.IFS(LEFT($G606,9)="Tranche 1","Tranche 1: cleared",$C606="Sessions_Level_1_All_Sites","Downstream aggregation of UA raw logs — keep if raw tables go",ISNUMBER(--$C606),"UA raw site logs (account ID) — keep pending audit-retention check",$C606="Emag_Reporting","Legacy but likely needed",$C606="Nutrition_Data_Archived_Tables","Worth keeping",$C606="EU_Data","Static lookup tables — scripts still reference (smoke-test risk)",TRUE,"Review"),OR($A606="thg-influencer",$A606="thg-ingenuity",$A606="thg-central-marketing",$A606="thg-seoclarity"),"HOLD — Charlie Stringer to review before deletion",TRUE,"")</f>
        <v>HOLD — Charlie Stringer to review before deletion</v>
      </c>
      <c r="S606" t="s">
        <v>1624</v>
      </c>
    </row>
    <row r="607" spans="1:19" ht="76.5" hidden="1">
      <c r="A607" t="s">
        <v>38</v>
      </c>
      <c r="B607" t="s">
        <v>1619</v>
      </c>
      <c r="C607" t="s">
        <v>1877</v>
      </c>
      <c r="D607" s="2" t="s">
        <v>1621</v>
      </c>
      <c r="E607">
        <v>0.69</v>
      </c>
      <c r="F607">
        <v>0.01</v>
      </c>
      <c r="G607" t="s">
        <v>79</v>
      </c>
      <c r="H607" t="s">
        <v>81</v>
      </c>
      <c r="I607">
        <v>0</v>
      </c>
      <c r="J607">
        <v>0</v>
      </c>
      <c r="K607" s="5">
        <v>46197.419998194448</v>
      </c>
      <c r="L607" s="5">
        <v>46197.419950185184</v>
      </c>
      <c r="M607" s="2" t="s">
        <v>2999</v>
      </c>
      <c r="N607" s="2" t="s">
        <v>2999</v>
      </c>
      <c r="O607" s="5">
        <v>46197.419990752307</v>
      </c>
      <c r="P607" t="str">
        <f>IF($Q607="DELETE",IF($S607="CONFIRMED: NO MODS &gt; 1YR","CONFIRMED: NO MODS &gt; 1YR","DO NOT DELETE — not defensibly confirmed"),IF($Q607="HOLD","DO NOT DELETE — HOLD (Charlie review)",IF($Q607="KEEP","DO NOT DELETE — KEEP",IF(ISNUMBER(SEARCH("REVIEW",$Q607)),"DO NOT DELETE — REVIEW pending",$S607))))</f>
        <v>DO NOT DELETE — HOLD (Charlie review)</v>
      </c>
      <c r="Q607" t="str" cm="1">
        <f t="array" ref="Q607">_xlfn.IFS(AND($A607="thg-beauty",ISNUMBER(SEARCH("liveramp",$C607))),"DELETE",$A607="agile-bonbon-662",_xlfn.IFS(LEFT($G607,9)="Tranche 1","DELETE",$C607="Sessions_Level_1_All_Sites","KEEP",ISNUMBER(--$C607),"REVIEW — UA raw logs",$C607="Emag_Reporting","KEEP",$C607="Nutrition_Data_Archived_Tables","KEEP",$C607="EU_Data","KEEP",TRUE,"REVIEW"),OR($A607="thg-influencer",$A607="thg-ingenuity",$A607="thg-central-marketing",$A607="thg-seoclarity"),"HOLD",TRUE,"")</f>
        <v>HOLD</v>
      </c>
      <c r="R607" t="str" cm="1">
        <f t="array" ref="R607">_xlfn.IFS(AND($A607="thg-beauty",ISNUMBER(SEARCH("liveramp",$C607))),"thg-beauty Liveramp dataset — confirmed safe to delete",$A607="agile-bonbon-662",_xlfn.IFS(LEFT($G607,9)="Tranche 1","Tranche 1: cleared",$C607="Sessions_Level_1_All_Sites","Downstream aggregation of UA raw logs — keep if raw tables go",ISNUMBER(--$C607),"UA raw site logs (account ID) — keep pending audit-retention check",$C607="Emag_Reporting","Legacy but likely needed",$C607="Nutrition_Data_Archived_Tables","Worth keeping",$C607="EU_Data","Static lookup tables — scripts still reference (smoke-test risk)",TRUE,"Review"),OR($A607="thg-influencer",$A607="thg-ingenuity",$A607="thg-central-marketing",$A607="thg-seoclarity"),"HOLD — Charlie Stringer to review before deletion",TRUE,"")</f>
        <v>HOLD — Charlie Stringer to review before deletion</v>
      </c>
      <c r="S607" t="s">
        <v>1624</v>
      </c>
    </row>
    <row r="608" spans="1:19" ht="76.5" hidden="1">
      <c r="A608" t="s">
        <v>89</v>
      </c>
      <c r="B608" t="s">
        <v>1619</v>
      </c>
      <c r="C608" t="s">
        <v>3000</v>
      </c>
      <c r="D608" s="2" t="s">
        <v>1621</v>
      </c>
      <c r="E608">
        <v>0.66</v>
      </c>
      <c r="F608">
        <v>0.01</v>
      </c>
      <c r="G608" t="s">
        <v>79</v>
      </c>
      <c r="H608" t="s">
        <v>81</v>
      </c>
      <c r="I608">
        <v>0</v>
      </c>
      <c r="J608">
        <v>0</v>
      </c>
      <c r="K608" s="5">
        <v>46161.617250578704</v>
      </c>
      <c r="L608" s="5">
        <v>46197.449605821763</v>
      </c>
      <c r="M608" s="2" t="s">
        <v>3001</v>
      </c>
      <c r="N608" s="2" t="s">
        <v>3002</v>
      </c>
      <c r="O608" s="5">
        <v>46197.449629583331</v>
      </c>
      <c r="P608" t="str">
        <f>IF($Q608="DELETE",IF($S608="CONFIRMED: NO MODS &gt; 1YR","CONFIRMED: NO MODS &gt; 1YR","DO NOT DELETE — not defensibly confirmed"),IF($Q608="HOLD","DO NOT DELETE — HOLD (Charlie review)",IF($Q608="KEEP","DO NOT DELETE — KEEP",IF(ISNUMBER(SEARCH("REVIEW",$Q608)),"DO NOT DELETE — REVIEW pending",$S608))))</f>
        <v>DO NOT DELETE — REVIEW pending</v>
      </c>
      <c r="Q608" t="str" cm="1">
        <f t="array" ref="Q608">_xlfn.IFS(AND($A608="thg-beauty",ISNUMBER(SEARCH("liveramp",$C608))),"DELETE",$A608="agile-bonbon-662",_xlfn.IFS(LEFT($G608,9)="Tranche 1","DELETE",$C608="Sessions_Level_1_All_Sites","KEEP",ISNUMBER(--$C608),"REVIEW — UA raw logs",$C608="Emag_Reporting","KEEP",$C608="Nutrition_Data_Archived_Tables","KEEP",$C608="EU_Data","KEEP",TRUE,"REVIEW"),OR($A608="thg-influencer",$A608="thg-ingenuity",$A608="thg-central-marketing",$A608="thg-seoclarity"),"HOLD",TRUE,"")</f>
        <v>REVIEW</v>
      </c>
      <c r="R608" t="str" cm="1">
        <f t="array" ref="R608">_xlfn.IFS(AND($A608="thg-beauty",ISNUMBER(SEARCH("liveramp",$C608))),"thg-beauty Liveramp dataset — confirmed safe to delete",$A608="agile-bonbon-662",_xlfn.IFS(LEFT($G608,9)="Tranche 1","Tranche 1: cleared",$C608="Sessions_Level_1_All_Sites","Downstream aggregation of UA raw logs — keep if raw tables go",ISNUMBER(--$C608),"UA raw site logs (account ID) — keep pending audit-retention check",$C608="Emag_Reporting","Legacy but likely needed",$C608="Nutrition_Data_Archived_Tables","Worth keeping",$C608="EU_Data","Static lookup tables — scripts still reference (smoke-test risk)",TRUE,"Review"),OR($A608="thg-influencer",$A608="thg-ingenuity",$A608="thg-central-marketing",$A608="thg-seoclarity"),"HOLD — Charlie Stringer to review before deletion",TRUE,"")</f>
        <v>Review</v>
      </c>
      <c r="S608" t="s">
        <v>1624</v>
      </c>
    </row>
    <row r="609" spans="1:19" ht="76.5" hidden="1">
      <c r="A609" t="s">
        <v>93</v>
      </c>
      <c r="B609" t="s">
        <v>1724</v>
      </c>
      <c r="C609" t="s">
        <v>3003</v>
      </c>
      <c r="D609" s="2" t="s">
        <v>2191</v>
      </c>
      <c r="E609">
        <v>0.59</v>
      </c>
      <c r="F609">
        <v>0.01</v>
      </c>
      <c r="G609" t="s">
        <v>79</v>
      </c>
      <c r="H609" t="s">
        <v>81</v>
      </c>
      <c r="I609">
        <v>0</v>
      </c>
      <c r="J609">
        <v>0</v>
      </c>
      <c r="K609" s="5">
        <v>46197.453513032407</v>
      </c>
      <c r="L609" s="5">
        <v>46161.779486967593</v>
      </c>
      <c r="M609" s="2" t="s">
        <v>3004</v>
      </c>
      <c r="N609" s="2" t="s">
        <v>3005</v>
      </c>
      <c r="O609" s="5">
        <v>46197.439073541667</v>
      </c>
      <c r="P609" t="str">
        <f>IF($Q609="DELETE",IF($S609="CONFIRMED: NO MODS &gt; 1YR","CONFIRMED: NO MODS &gt; 1YR","DO NOT DELETE — not defensibly confirmed"),IF($Q609="HOLD","DO NOT DELETE — HOLD (Charlie review)",IF($Q609="KEEP","DO NOT DELETE — KEEP",IF(ISNUMBER(SEARCH("REVIEW",$Q609)),"DO NOT DELETE — REVIEW pending",$S609))))</f>
        <v>CONFIRMED: NO MODS &gt; 1YR</v>
      </c>
      <c r="Q609" t="str" cm="1">
        <f t="array" ref="Q609">_xlfn.IFS(AND($A609="thg-beauty",ISNUMBER(SEARCH("liveramp",$C609))),"DELETE",$A609="agile-bonbon-662",_xlfn.IFS(LEFT($G609,9)="Tranche 1","DELETE",$C609="Sessions_Level_1_All_Sites","KEEP",ISNUMBER(--$C609),"REVIEW — UA raw logs",$C609="Emag_Reporting","KEEP",$C609="Nutrition_Data_Archived_Tables","KEEP",$C609="EU_Data","KEEP",TRUE,"REVIEW"),OR($A609="thg-influencer",$A609="thg-ingenuity",$A609="thg-central-marketing",$A609="thg-seoclarity"),"HOLD",TRUE,"")</f>
        <v/>
      </c>
      <c r="R609" t="str" cm="1">
        <f t="array" ref="R609">_xlfn.IFS(AND($A609="thg-beauty",ISNUMBER(SEARCH("liveramp",$C609))),"thg-beauty Liveramp dataset — confirmed safe to delete",$A609="agile-bonbon-662",_xlfn.IFS(LEFT($G609,9)="Tranche 1","Tranche 1: cleared",$C609="Sessions_Level_1_All_Sites","Downstream aggregation of UA raw logs — keep if raw tables go",ISNUMBER(--$C609),"UA raw site logs (account ID) — keep pending audit-retention check",$C609="Emag_Reporting","Legacy but likely needed",$C609="Nutrition_Data_Archived_Tables","Worth keeping",$C609="EU_Data","Static lookup tables — scripts still reference (smoke-test risk)",TRUE,"Review"),OR($A609="thg-influencer",$A609="thg-ingenuity",$A609="thg-central-marketing",$A609="thg-seoclarity"),"HOLD — Charlie Stringer to review before deletion",TRUE,"")</f>
        <v/>
      </c>
      <c r="S609" t="s">
        <v>1624</v>
      </c>
    </row>
    <row r="610" spans="1:19" ht="76.5" hidden="1">
      <c r="A610" t="s">
        <v>35</v>
      </c>
      <c r="B610" t="s">
        <v>1619</v>
      </c>
      <c r="C610" t="s">
        <v>3006</v>
      </c>
      <c r="D610" s="2" t="s">
        <v>1621</v>
      </c>
      <c r="E610">
        <v>0.57999999999999996</v>
      </c>
      <c r="F610">
        <v>0.01</v>
      </c>
      <c r="G610" t="s">
        <v>79</v>
      </c>
      <c r="H610" t="s">
        <v>81</v>
      </c>
      <c r="I610">
        <v>0</v>
      </c>
      <c r="J610">
        <v>35</v>
      </c>
      <c r="K610" s="5">
        <v>46197.417395578697</v>
      </c>
      <c r="L610" s="5">
        <v>46161.730618229158</v>
      </c>
      <c r="M610" s="2" t="s">
        <v>2686</v>
      </c>
      <c r="N610" s="2" t="s">
        <v>3007</v>
      </c>
      <c r="O610" s="5">
        <v>46161.730608449077</v>
      </c>
      <c r="P610" t="str">
        <f>IF($Q610="DELETE",IF($S610="CONFIRMED: NO MODS &gt; 1YR","CONFIRMED: NO MODS &gt; 1YR","DO NOT DELETE — not defensibly confirmed"),IF($Q610="HOLD","DO NOT DELETE — HOLD (Charlie review)",IF($Q610="KEEP","DO NOT DELETE — KEEP",IF(ISNUMBER(SEARCH("REVIEW",$Q610)),"DO NOT DELETE — REVIEW pending",$S610))))</f>
        <v>DO NOT DELETE — HOLD (Charlie review)</v>
      </c>
      <c r="Q610" t="str" cm="1">
        <f t="array" ref="Q610">_xlfn.IFS(AND($A610="thg-beauty",ISNUMBER(SEARCH("liveramp",$C610))),"DELETE",$A610="agile-bonbon-662",_xlfn.IFS(LEFT($G610,9)="Tranche 1","DELETE",$C610="Sessions_Level_1_All_Sites","KEEP",ISNUMBER(--$C610),"REVIEW — UA raw logs",$C610="Emag_Reporting","KEEP",$C610="Nutrition_Data_Archived_Tables","KEEP",$C610="EU_Data","KEEP",TRUE,"REVIEW"),OR($A610="thg-influencer",$A610="thg-ingenuity",$A610="thg-central-marketing",$A610="thg-seoclarity"),"HOLD",TRUE,"")</f>
        <v>HOLD</v>
      </c>
      <c r="R610" t="str" cm="1">
        <f t="array" ref="R610">_xlfn.IFS(AND($A610="thg-beauty",ISNUMBER(SEARCH("liveramp",$C610))),"thg-beauty Liveramp dataset — confirmed safe to delete",$A610="agile-bonbon-662",_xlfn.IFS(LEFT($G610,9)="Tranche 1","Tranche 1: cleared",$C610="Sessions_Level_1_All_Sites","Downstream aggregation of UA raw logs — keep if raw tables go",ISNUMBER(--$C610),"UA raw site logs (account ID) — keep pending audit-retention check",$C610="Emag_Reporting","Legacy but likely needed",$C610="Nutrition_Data_Archived_Tables","Worth keeping",$C610="EU_Data","Static lookup tables — scripts still reference (smoke-test risk)",TRUE,"Review"),OR($A610="thg-influencer",$A610="thg-ingenuity",$A610="thg-central-marketing",$A610="thg-seoclarity"),"HOLD — Charlie Stringer to review before deletion",TRUE,"")</f>
        <v>HOLD — Charlie Stringer to review before deletion</v>
      </c>
      <c r="S610" t="s">
        <v>1624</v>
      </c>
    </row>
    <row r="611" spans="1:19" ht="76.5" hidden="1">
      <c r="A611" t="s">
        <v>39</v>
      </c>
      <c r="B611" t="s">
        <v>1619</v>
      </c>
      <c r="C611" t="s">
        <v>667</v>
      </c>
      <c r="D611" s="2" t="s">
        <v>1621</v>
      </c>
      <c r="E611">
        <v>0.52</v>
      </c>
      <c r="F611">
        <v>0.01</v>
      </c>
      <c r="G611" t="s">
        <v>79</v>
      </c>
      <c r="H611" t="s">
        <v>81</v>
      </c>
      <c r="I611">
        <v>0</v>
      </c>
      <c r="J611">
        <v>0</v>
      </c>
      <c r="K611" s="5">
        <v>46197.441602893523</v>
      </c>
      <c r="L611" s="5">
        <v>46197.002252534723</v>
      </c>
      <c r="M611" s="2" t="s">
        <v>3008</v>
      </c>
      <c r="N611" s="2" t="s">
        <v>3009</v>
      </c>
      <c r="O611" s="5">
        <v>46197.002267002317</v>
      </c>
      <c r="P611" t="str">
        <f>IF($Q611="DELETE",IF($S611="CONFIRMED: NO MODS &gt; 1YR","CONFIRMED: NO MODS &gt; 1YR","DO NOT DELETE — not defensibly confirmed"),IF($Q611="HOLD","DO NOT DELETE — HOLD (Charlie review)",IF($Q611="KEEP","DO NOT DELETE — KEEP",IF(ISNUMBER(SEARCH("REVIEW",$Q611)),"DO NOT DELETE — REVIEW pending",$S611))))</f>
        <v>DO NOT DELETE — HOLD (Charlie review)</v>
      </c>
      <c r="Q611" t="str" cm="1">
        <f t="array" ref="Q611">_xlfn.IFS(AND($A611="thg-beauty",ISNUMBER(SEARCH("liveramp",$C611))),"DELETE",$A611="agile-bonbon-662",_xlfn.IFS(LEFT($G611,9)="Tranche 1","DELETE",$C611="Sessions_Level_1_All_Sites","KEEP",ISNUMBER(--$C611),"REVIEW — UA raw logs",$C611="Emag_Reporting","KEEP",$C611="Nutrition_Data_Archived_Tables","KEEP",$C611="EU_Data","KEEP",TRUE,"REVIEW"),OR($A611="thg-influencer",$A611="thg-ingenuity",$A611="thg-central-marketing",$A611="thg-seoclarity"),"HOLD",TRUE,"")</f>
        <v>HOLD</v>
      </c>
      <c r="R611" t="str" cm="1">
        <f t="array" ref="R611">_xlfn.IFS(AND($A611="thg-beauty",ISNUMBER(SEARCH("liveramp",$C611))),"thg-beauty Liveramp dataset — confirmed safe to delete",$A611="agile-bonbon-662",_xlfn.IFS(LEFT($G611,9)="Tranche 1","Tranche 1: cleared",$C611="Sessions_Level_1_All_Sites","Downstream aggregation of UA raw logs — keep if raw tables go",ISNUMBER(--$C611),"UA raw site logs (account ID) — keep pending audit-retention check",$C611="Emag_Reporting","Legacy but likely needed",$C611="Nutrition_Data_Archived_Tables","Worth keeping",$C611="EU_Data","Static lookup tables — scripts still reference (smoke-test risk)",TRUE,"Review"),OR($A611="thg-influencer",$A611="thg-ingenuity",$A611="thg-central-marketing",$A611="thg-seoclarity"),"HOLD — Charlie Stringer to review before deletion",TRUE,"")</f>
        <v>HOLD — Charlie Stringer to review before deletion</v>
      </c>
      <c r="S611" t="s">
        <v>1624</v>
      </c>
    </row>
    <row r="612" spans="1:19" ht="76.5" hidden="1">
      <c r="A612" t="s">
        <v>1738</v>
      </c>
      <c r="B612" t="s">
        <v>1724</v>
      </c>
      <c r="C612" t="s">
        <v>3010</v>
      </c>
      <c r="D612" s="2" t="s">
        <v>1621</v>
      </c>
      <c r="E612">
        <v>0.52</v>
      </c>
      <c r="F612">
        <v>0.01</v>
      </c>
      <c r="G612" t="s">
        <v>79</v>
      </c>
      <c r="H612" t="s">
        <v>81</v>
      </c>
      <c r="I612">
        <v>0</v>
      </c>
      <c r="J612">
        <v>292</v>
      </c>
      <c r="K612" s="5">
        <v>46197.421002847223</v>
      </c>
      <c r="M612" s="2" t="s">
        <v>3011</v>
      </c>
      <c r="N612" s="2" t="s">
        <v>1701</v>
      </c>
      <c r="O612" s="5">
        <v>45904.601737893521</v>
      </c>
      <c r="P612" t="str">
        <f>IF($Q612="DELETE",IF($S612="CONFIRMED: NO MODS &gt; 1YR","CONFIRMED: NO MODS &gt; 1YR","DO NOT DELETE — not defensibly confirmed"),IF($Q612="HOLD","DO NOT DELETE — HOLD (Charlie review)",IF($Q612="KEEP","DO NOT DELETE — KEEP",IF(ISNUMBER(SEARCH("REVIEW",$Q612)),"DO NOT DELETE — REVIEW pending",$S612))))</f>
        <v>CONFIRMED: NO MODS &gt; 1YR</v>
      </c>
      <c r="Q612" t="str" cm="1">
        <f t="array" ref="Q612">_xlfn.IFS(AND($A612="thg-beauty",ISNUMBER(SEARCH("liveramp",$C612))),"DELETE",$A612="agile-bonbon-662",_xlfn.IFS(LEFT($G612,9)="Tranche 1","DELETE",$C612="Sessions_Level_1_All_Sites","KEEP",ISNUMBER(--$C612),"REVIEW — UA raw logs",$C612="Emag_Reporting","KEEP",$C612="Nutrition_Data_Archived_Tables","KEEP",$C612="EU_Data","KEEP",TRUE,"REVIEW"),OR($A612="thg-influencer",$A612="thg-ingenuity",$A612="thg-central-marketing",$A612="thg-seoclarity"),"HOLD",TRUE,"")</f>
        <v/>
      </c>
      <c r="R612" t="str" cm="1">
        <f t="array" ref="R612">_xlfn.IFS(AND($A612="thg-beauty",ISNUMBER(SEARCH("liveramp",$C612))),"thg-beauty Liveramp dataset — confirmed safe to delete",$A612="agile-bonbon-662",_xlfn.IFS(LEFT($G612,9)="Tranche 1","Tranche 1: cleared",$C612="Sessions_Level_1_All_Sites","Downstream aggregation of UA raw logs — keep if raw tables go",ISNUMBER(--$C612),"UA raw site logs (account ID) — keep pending audit-retention check",$C612="Emag_Reporting","Legacy but likely needed",$C612="Nutrition_Data_Archived_Tables","Worth keeping",$C612="EU_Data","Static lookup tables — scripts still reference (smoke-test risk)",TRUE,"Review"),OR($A612="thg-influencer",$A612="thg-ingenuity",$A612="thg-central-marketing",$A612="thg-seoclarity"),"HOLD — Charlie Stringer to review before deletion",TRUE,"")</f>
        <v/>
      </c>
      <c r="S612" t="s">
        <v>1624</v>
      </c>
    </row>
    <row r="613" spans="1:19" ht="76.5" hidden="1">
      <c r="A613" t="s">
        <v>89</v>
      </c>
      <c r="B613" t="s">
        <v>1619</v>
      </c>
      <c r="C613" t="s">
        <v>3012</v>
      </c>
      <c r="D613" s="2" t="s">
        <v>1621</v>
      </c>
      <c r="E613">
        <v>0.51</v>
      </c>
      <c r="F613">
        <v>0.01</v>
      </c>
      <c r="G613" t="s">
        <v>79</v>
      </c>
      <c r="H613" t="s">
        <v>81</v>
      </c>
      <c r="I613">
        <v>0</v>
      </c>
      <c r="J613">
        <v>0</v>
      </c>
      <c r="K613" s="5">
        <v>46196.965663958334</v>
      </c>
      <c r="L613" s="5">
        <v>46196.966661493047</v>
      </c>
      <c r="M613" s="2" t="s">
        <v>3013</v>
      </c>
      <c r="N613" s="2" t="s">
        <v>3014</v>
      </c>
      <c r="O613" s="5">
        <v>46196.966676655087</v>
      </c>
      <c r="P613" t="str">
        <f>IF($Q613="DELETE",IF($S613="CONFIRMED: NO MODS &gt; 1YR","CONFIRMED: NO MODS &gt; 1YR","DO NOT DELETE — not defensibly confirmed"),IF($Q613="HOLD","DO NOT DELETE — HOLD (Charlie review)",IF($Q613="KEEP","DO NOT DELETE — KEEP",IF(ISNUMBER(SEARCH("REVIEW",$Q613)),"DO NOT DELETE — REVIEW pending",$S613))))</f>
        <v>DO NOT DELETE — REVIEW pending</v>
      </c>
      <c r="Q613" t="str" cm="1">
        <f t="array" ref="Q613">_xlfn.IFS(AND($A613="thg-beauty",ISNUMBER(SEARCH("liveramp",$C613))),"DELETE",$A613="agile-bonbon-662",_xlfn.IFS(LEFT($G613,9)="Tranche 1","DELETE",$C613="Sessions_Level_1_All_Sites","KEEP",ISNUMBER(--$C613),"REVIEW — UA raw logs",$C613="Emag_Reporting","KEEP",$C613="Nutrition_Data_Archived_Tables","KEEP",$C613="EU_Data","KEEP",TRUE,"REVIEW"),OR($A613="thg-influencer",$A613="thg-ingenuity",$A613="thg-central-marketing",$A613="thg-seoclarity"),"HOLD",TRUE,"")</f>
        <v>REVIEW</v>
      </c>
      <c r="R613" t="str" cm="1">
        <f t="array" ref="R613">_xlfn.IFS(AND($A613="thg-beauty",ISNUMBER(SEARCH("liveramp",$C613))),"thg-beauty Liveramp dataset — confirmed safe to delete",$A613="agile-bonbon-662",_xlfn.IFS(LEFT($G613,9)="Tranche 1","Tranche 1: cleared",$C613="Sessions_Level_1_All_Sites","Downstream aggregation of UA raw logs — keep if raw tables go",ISNUMBER(--$C613),"UA raw site logs (account ID) — keep pending audit-retention check",$C613="Emag_Reporting","Legacy but likely needed",$C613="Nutrition_Data_Archived_Tables","Worth keeping",$C613="EU_Data","Static lookup tables — scripts still reference (smoke-test risk)",TRUE,"Review"),OR($A613="thg-influencer",$A613="thg-ingenuity",$A613="thg-central-marketing",$A613="thg-seoclarity"),"HOLD — Charlie Stringer to review before deletion",TRUE,"")</f>
        <v>Review</v>
      </c>
      <c r="S613" t="s">
        <v>1624</v>
      </c>
    </row>
    <row r="614" spans="1:19" ht="76.5" hidden="1">
      <c r="A614" t="s">
        <v>38</v>
      </c>
      <c r="B614" t="s">
        <v>1619</v>
      </c>
      <c r="C614" t="s">
        <v>3015</v>
      </c>
      <c r="D614" s="2" t="s">
        <v>1621</v>
      </c>
      <c r="E614">
        <v>0.48</v>
      </c>
      <c r="F614">
        <v>0.01</v>
      </c>
      <c r="G614" t="s">
        <v>79</v>
      </c>
      <c r="H614" t="s">
        <v>81</v>
      </c>
      <c r="I614">
        <v>0</v>
      </c>
      <c r="J614">
        <v>0</v>
      </c>
      <c r="K614" s="5">
        <v>46075.222192951391</v>
      </c>
      <c r="L614" s="5">
        <v>46196.973306504631</v>
      </c>
      <c r="M614" s="2" t="s">
        <v>3016</v>
      </c>
      <c r="N614" s="2" t="s">
        <v>3017</v>
      </c>
      <c r="O614" s="5">
        <v>46196.973343275473</v>
      </c>
      <c r="P614" t="str">
        <f>IF($Q614="DELETE",IF($S614="CONFIRMED: NO MODS &gt; 1YR","CONFIRMED: NO MODS &gt; 1YR","DO NOT DELETE — not defensibly confirmed"),IF($Q614="HOLD","DO NOT DELETE — HOLD (Charlie review)",IF($Q614="KEEP","DO NOT DELETE — KEEP",IF(ISNUMBER(SEARCH("REVIEW",$Q614)),"DO NOT DELETE — REVIEW pending",$S614))))</f>
        <v>DO NOT DELETE — HOLD (Charlie review)</v>
      </c>
      <c r="Q614" t="str" cm="1">
        <f t="array" ref="Q614">_xlfn.IFS(AND($A614="thg-beauty",ISNUMBER(SEARCH("liveramp",$C614))),"DELETE",$A614="agile-bonbon-662",_xlfn.IFS(LEFT($G614,9)="Tranche 1","DELETE",$C614="Sessions_Level_1_All_Sites","KEEP",ISNUMBER(--$C614),"REVIEW — UA raw logs",$C614="Emag_Reporting","KEEP",$C614="Nutrition_Data_Archived_Tables","KEEP",$C614="EU_Data","KEEP",TRUE,"REVIEW"),OR($A614="thg-influencer",$A614="thg-ingenuity",$A614="thg-central-marketing",$A614="thg-seoclarity"),"HOLD",TRUE,"")</f>
        <v>HOLD</v>
      </c>
      <c r="R614" t="str" cm="1">
        <f t="array" ref="R614">_xlfn.IFS(AND($A614="thg-beauty",ISNUMBER(SEARCH("liveramp",$C614))),"thg-beauty Liveramp dataset — confirmed safe to delete",$A614="agile-bonbon-662",_xlfn.IFS(LEFT($G614,9)="Tranche 1","Tranche 1: cleared",$C614="Sessions_Level_1_All_Sites","Downstream aggregation of UA raw logs — keep if raw tables go",ISNUMBER(--$C614),"UA raw site logs (account ID) — keep pending audit-retention check",$C614="Emag_Reporting","Legacy but likely needed",$C614="Nutrition_Data_Archived_Tables","Worth keeping",$C614="EU_Data","Static lookup tables — scripts still reference (smoke-test risk)",TRUE,"Review"),OR($A614="thg-influencer",$A614="thg-ingenuity",$A614="thg-central-marketing",$A614="thg-seoclarity"),"HOLD — Charlie Stringer to review before deletion",TRUE,"")</f>
        <v>HOLD — Charlie Stringer to review before deletion</v>
      </c>
      <c r="S614" t="s">
        <v>1624</v>
      </c>
    </row>
    <row r="615" spans="1:19" ht="76.5" hidden="1">
      <c r="A615" t="s">
        <v>2513</v>
      </c>
      <c r="B615" t="s">
        <v>1619</v>
      </c>
      <c r="C615" t="s">
        <v>3018</v>
      </c>
      <c r="D615" s="2" t="s">
        <v>1621</v>
      </c>
      <c r="E615">
        <v>0.48</v>
      </c>
      <c r="F615">
        <v>0.01</v>
      </c>
      <c r="G615" t="s">
        <v>79</v>
      </c>
      <c r="H615" t="s">
        <v>81</v>
      </c>
      <c r="I615">
        <v>0</v>
      </c>
      <c r="J615">
        <v>0</v>
      </c>
      <c r="K615" s="5">
        <v>46197.156398854167</v>
      </c>
      <c r="L615" s="5">
        <v>46197.202738125001</v>
      </c>
      <c r="M615" s="2" t="s">
        <v>3019</v>
      </c>
      <c r="N615" s="2" t="s">
        <v>3020</v>
      </c>
      <c r="O615" s="5">
        <v>46197.203085590278</v>
      </c>
      <c r="P615" t="str">
        <f>IF($Q615="DELETE",IF($S615="CONFIRMED: NO MODS &gt; 1YR","CONFIRMED: NO MODS &gt; 1YR","DO NOT DELETE — not defensibly confirmed"),IF($Q615="HOLD","DO NOT DELETE — HOLD (Charlie review)",IF($Q615="KEEP","DO NOT DELETE — KEEP",IF(ISNUMBER(SEARCH("REVIEW",$Q615)),"DO NOT DELETE — REVIEW pending",$S615))))</f>
        <v>CONFIRMED: NO MODS &gt; 1YR</v>
      </c>
      <c r="Q615" t="str" cm="1">
        <f t="array" ref="Q615">_xlfn.IFS(AND($A615="thg-beauty",ISNUMBER(SEARCH("liveramp",$C615))),"DELETE",$A615="agile-bonbon-662",_xlfn.IFS(LEFT($G615,9)="Tranche 1","DELETE",$C615="Sessions_Level_1_All_Sites","KEEP",ISNUMBER(--$C615),"REVIEW — UA raw logs",$C615="Emag_Reporting","KEEP",$C615="Nutrition_Data_Archived_Tables","KEEP",$C615="EU_Data","KEEP",TRUE,"REVIEW"),OR($A615="thg-influencer",$A615="thg-ingenuity",$A615="thg-central-marketing",$A615="thg-seoclarity"),"HOLD",TRUE,"")</f>
        <v/>
      </c>
      <c r="R615" t="str" cm="1">
        <f t="array" ref="R615">_xlfn.IFS(AND($A615="thg-beauty",ISNUMBER(SEARCH("liveramp",$C615))),"thg-beauty Liveramp dataset — confirmed safe to delete",$A615="agile-bonbon-662",_xlfn.IFS(LEFT($G615,9)="Tranche 1","Tranche 1: cleared",$C615="Sessions_Level_1_All_Sites","Downstream aggregation of UA raw logs — keep if raw tables go",ISNUMBER(--$C615),"UA raw site logs (account ID) — keep pending audit-retention check",$C615="Emag_Reporting","Legacy but likely needed",$C615="Nutrition_Data_Archived_Tables","Worth keeping",$C615="EU_Data","Static lookup tables — scripts still reference (smoke-test risk)",TRUE,"Review"),OR($A615="thg-influencer",$A615="thg-ingenuity",$A615="thg-central-marketing",$A615="thg-seoclarity"),"HOLD — Charlie Stringer to review before deletion",TRUE,"")</f>
        <v/>
      </c>
      <c r="S615" t="s">
        <v>1624</v>
      </c>
    </row>
    <row r="616" spans="1:19" ht="30.75" hidden="1">
      <c r="A616" t="s">
        <v>92</v>
      </c>
      <c r="B616" t="s">
        <v>1619</v>
      </c>
      <c r="C616" t="s">
        <v>3021</v>
      </c>
      <c r="D616" s="2" t="s">
        <v>1621</v>
      </c>
      <c r="E616">
        <v>0</v>
      </c>
      <c r="F616">
        <v>0</v>
      </c>
      <c r="G616" t="s">
        <v>79</v>
      </c>
      <c r="H616" t="s">
        <v>81</v>
      </c>
      <c r="I616">
        <v>62</v>
      </c>
      <c r="K616" s="5">
        <v>46134.632152002312</v>
      </c>
      <c r="L616" s="5">
        <v>46134.632209710653</v>
      </c>
      <c r="M616" s="2" t="s">
        <v>3022</v>
      </c>
      <c r="N616" s="2" t="s">
        <v>3023</v>
      </c>
      <c r="P616" t="str">
        <f>IF($Q616="DELETE",IF($S616="CONFIRMED: NO MODS &gt; 1YR","CONFIRMED: NO MODS &gt; 1YR","DO NOT DELETE — not defensibly confirmed"),IF($Q616="HOLD","DO NOT DELETE — HOLD (Charlie review)",IF($Q616="KEEP","DO NOT DELETE — KEEP",IF(ISNUMBER(SEARCH("REVIEW",$Q616)),"DO NOT DELETE — REVIEW pending",$S616))))</f>
        <v>CONFIRMED: NO MODS &gt; 1YR</v>
      </c>
      <c r="Q616" t="str" cm="1">
        <f t="array" ref="Q616">_xlfn.IFS(AND($A616="thg-beauty",ISNUMBER(SEARCH("liveramp",$C616))),"DELETE",$A616="agile-bonbon-662",_xlfn.IFS(LEFT($G616,9)="Tranche 1","DELETE",$C616="Sessions_Level_1_All_Sites","KEEP",ISNUMBER(--$C616),"REVIEW — UA raw logs",$C616="Emag_Reporting","KEEP",$C616="Nutrition_Data_Archived_Tables","KEEP",$C616="EU_Data","KEEP",TRUE,"REVIEW"),OR($A616="thg-influencer",$A616="thg-ingenuity",$A616="thg-central-marketing",$A616="thg-seoclarity"),"HOLD",TRUE,"")</f>
        <v/>
      </c>
      <c r="R616" t="str" cm="1">
        <f t="array" ref="R616">_xlfn.IFS(AND($A616="thg-beauty",ISNUMBER(SEARCH("liveramp",$C616))),"thg-beauty Liveramp dataset — confirmed safe to delete",$A616="agile-bonbon-662",_xlfn.IFS(LEFT($G616,9)="Tranche 1","Tranche 1: cleared",$C616="Sessions_Level_1_All_Sites","Downstream aggregation of UA raw logs — keep if raw tables go",ISNUMBER(--$C616),"UA raw site logs (account ID) — keep pending audit-retention check",$C616="Emag_Reporting","Legacy but likely needed",$C616="Nutrition_Data_Archived_Tables","Worth keeping",$C616="EU_Data","Static lookup tables — scripts still reference (smoke-test risk)",TRUE,"Review"),OR($A616="thg-influencer",$A616="thg-ingenuity",$A616="thg-central-marketing",$A616="thg-seoclarity"),"HOLD — Charlie Stringer to review before deletion",TRUE,"")</f>
        <v/>
      </c>
      <c r="S616" t="s">
        <v>1624</v>
      </c>
    </row>
    <row r="617" spans="1:19" ht="76.5" hidden="1">
      <c r="A617" t="s">
        <v>89</v>
      </c>
      <c r="B617" t="s">
        <v>1619</v>
      </c>
      <c r="C617" t="s">
        <v>3024</v>
      </c>
      <c r="D617" s="2" t="s">
        <v>1621</v>
      </c>
      <c r="E617">
        <v>0.42</v>
      </c>
      <c r="F617">
        <v>0.01</v>
      </c>
      <c r="G617" t="s">
        <v>79</v>
      </c>
      <c r="H617" t="s">
        <v>81</v>
      </c>
      <c r="I617">
        <v>0</v>
      </c>
      <c r="J617">
        <v>0</v>
      </c>
      <c r="K617" s="5">
        <v>46197.27837349537</v>
      </c>
      <c r="L617" s="5">
        <v>46197.218789074082</v>
      </c>
      <c r="M617" s="2" t="s">
        <v>3025</v>
      </c>
      <c r="N617" s="2" t="s">
        <v>3026</v>
      </c>
      <c r="O617" s="5">
        <v>46197.218861284717</v>
      </c>
      <c r="P617" t="str">
        <f>IF($Q617="DELETE",IF($S617="CONFIRMED: NO MODS &gt; 1YR","CONFIRMED: NO MODS &gt; 1YR","DO NOT DELETE — not defensibly confirmed"),IF($Q617="HOLD","DO NOT DELETE — HOLD (Charlie review)",IF($Q617="KEEP","DO NOT DELETE — KEEP",IF(ISNUMBER(SEARCH("REVIEW",$Q617)),"DO NOT DELETE — REVIEW pending",$S617))))</f>
        <v>DO NOT DELETE — REVIEW pending</v>
      </c>
      <c r="Q617" t="str" cm="1">
        <f t="array" ref="Q617">_xlfn.IFS(AND($A617="thg-beauty",ISNUMBER(SEARCH("liveramp",$C617))),"DELETE",$A617="agile-bonbon-662",_xlfn.IFS(LEFT($G617,9)="Tranche 1","DELETE",$C617="Sessions_Level_1_All_Sites","KEEP",ISNUMBER(--$C617),"REVIEW — UA raw logs",$C617="Emag_Reporting","KEEP",$C617="Nutrition_Data_Archived_Tables","KEEP",$C617="EU_Data","KEEP",TRUE,"REVIEW"),OR($A617="thg-influencer",$A617="thg-ingenuity",$A617="thg-central-marketing",$A617="thg-seoclarity"),"HOLD",TRUE,"")</f>
        <v>REVIEW</v>
      </c>
      <c r="R617" t="str" cm="1">
        <f t="array" ref="R617">_xlfn.IFS(AND($A617="thg-beauty",ISNUMBER(SEARCH("liveramp",$C617))),"thg-beauty Liveramp dataset — confirmed safe to delete",$A617="agile-bonbon-662",_xlfn.IFS(LEFT($G617,9)="Tranche 1","Tranche 1: cleared",$C617="Sessions_Level_1_All_Sites","Downstream aggregation of UA raw logs — keep if raw tables go",ISNUMBER(--$C617),"UA raw site logs (account ID) — keep pending audit-retention check",$C617="Emag_Reporting","Legacy but likely needed",$C617="Nutrition_Data_Archived_Tables","Worth keeping",$C617="EU_Data","Static lookup tables — scripts still reference (smoke-test risk)",TRUE,"Review"),OR($A617="thg-influencer",$A617="thg-ingenuity",$A617="thg-central-marketing",$A617="thg-seoclarity"),"HOLD — Charlie Stringer to review before deletion",TRUE,"")</f>
        <v>Review</v>
      </c>
      <c r="S617" t="s">
        <v>1624</v>
      </c>
    </row>
    <row r="618" spans="1:19" ht="76.5" hidden="1">
      <c r="A618" t="s">
        <v>38</v>
      </c>
      <c r="B618" t="s">
        <v>1619</v>
      </c>
      <c r="C618" t="s">
        <v>3027</v>
      </c>
      <c r="D618" s="2" t="s">
        <v>1621</v>
      </c>
      <c r="E618">
        <v>0.41</v>
      </c>
      <c r="F618">
        <v>0.01</v>
      </c>
      <c r="G618" t="s">
        <v>79</v>
      </c>
      <c r="H618" t="s">
        <v>81</v>
      </c>
      <c r="I618">
        <v>0</v>
      </c>
      <c r="J618">
        <v>0</v>
      </c>
      <c r="K618" s="5">
        <v>46197.430919340281</v>
      </c>
      <c r="L618" s="5">
        <v>46197.430919340281</v>
      </c>
      <c r="M618" s="2" t="s">
        <v>2947</v>
      </c>
      <c r="N618" s="2" t="s">
        <v>3028</v>
      </c>
      <c r="O618" s="5">
        <v>46197.431990925928</v>
      </c>
      <c r="P618" t="str">
        <f>IF($Q618="DELETE",IF($S618="CONFIRMED: NO MODS &gt; 1YR","CONFIRMED: NO MODS &gt; 1YR","DO NOT DELETE — not defensibly confirmed"),IF($Q618="HOLD","DO NOT DELETE — HOLD (Charlie review)",IF($Q618="KEEP","DO NOT DELETE — KEEP",IF(ISNUMBER(SEARCH("REVIEW",$Q618)),"DO NOT DELETE — REVIEW pending",$S618))))</f>
        <v>DO NOT DELETE — HOLD (Charlie review)</v>
      </c>
      <c r="Q618" t="str" cm="1">
        <f t="array" ref="Q618">_xlfn.IFS(AND($A618="thg-beauty",ISNUMBER(SEARCH("liveramp",$C618))),"DELETE",$A618="agile-bonbon-662",_xlfn.IFS(LEFT($G618,9)="Tranche 1","DELETE",$C618="Sessions_Level_1_All_Sites","KEEP",ISNUMBER(--$C618),"REVIEW — UA raw logs",$C618="Emag_Reporting","KEEP",$C618="Nutrition_Data_Archived_Tables","KEEP",$C618="EU_Data","KEEP",TRUE,"REVIEW"),OR($A618="thg-influencer",$A618="thg-ingenuity",$A618="thg-central-marketing",$A618="thg-seoclarity"),"HOLD",TRUE,"")</f>
        <v>HOLD</v>
      </c>
      <c r="R618" t="str" cm="1">
        <f t="array" ref="R618">_xlfn.IFS(AND($A618="thg-beauty",ISNUMBER(SEARCH("liveramp",$C618))),"thg-beauty Liveramp dataset — confirmed safe to delete",$A618="agile-bonbon-662",_xlfn.IFS(LEFT($G618,9)="Tranche 1","Tranche 1: cleared",$C618="Sessions_Level_1_All_Sites","Downstream aggregation of UA raw logs — keep if raw tables go",ISNUMBER(--$C618),"UA raw site logs (account ID) — keep pending audit-retention check",$C618="Emag_Reporting","Legacy but likely needed",$C618="Nutrition_Data_Archived_Tables","Worth keeping",$C618="EU_Data","Static lookup tables — scripts still reference (smoke-test risk)",TRUE,"Review"),OR($A618="thg-influencer",$A618="thg-ingenuity",$A618="thg-central-marketing",$A618="thg-seoclarity"),"HOLD — Charlie Stringer to review before deletion",TRUE,"")</f>
        <v>HOLD — Charlie Stringer to review before deletion</v>
      </c>
      <c r="S618" t="s">
        <v>1624</v>
      </c>
    </row>
    <row r="619" spans="1:19" ht="76.5" hidden="1">
      <c r="A619" t="s">
        <v>39</v>
      </c>
      <c r="B619" t="s">
        <v>1619</v>
      </c>
      <c r="C619" t="s">
        <v>2034</v>
      </c>
      <c r="D619" s="2" t="s">
        <v>1621</v>
      </c>
      <c r="E619">
        <v>0.36</v>
      </c>
      <c r="F619">
        <v>0.01</v>
      </c>
      <c r="G619" t="s">
        <v>79</v>
      </c>
      <c r="H619" t="s">
        <v>81</v>
      </c>
      <c r="I619">
        <v>0</v>
      </c>
      <c r="J619">
        <v>272</v>
      </c>
      <c r="K619" s="5">
        <v>46197.434883796297</v>
      </c>
      <c r="M619" s="2" t="s">
        <v>3029</v>
      </c>
      <c r="N619" s="2" t="s">
        <v>1701</v>
      </c>
      <c r="O619" s="5">
        <v>45925.010886550917</v>
      </c>
      <c r="P619" t="str">
        <f>IF($Q619="DELETE",IF($S619="CONFIRMED: NO MODS &gt; 1YR","CONFIRMED: NO MODS &gt; 1YR","DO NOT DELETE — not defensibly confirmed"),IF($Q619="HOLD","DO NOT DELETE — HOLD (Charlie review)",IF($Q619="KEEP","DO NOT DELETE — KEEP",IF(ISNUMBER(SEARCH("REVIEW",$Q619)),"DO NOT DELETE — REVIEW pending",$S619))))</f>
        <v>DO NOT DELETE — HOLD (Charlie review)</v>
      </c>
      <c r="Q619" t="str" cm="1">
        <f t="array" ref="Q619">_xlfn.IFS(AND($A619="thg-beauty",ISNUMBER(SEARCH("liveramp",$C619))),"DELETE",$A619="agile-bonbon-662",_xlfn.IFS(LEFT($G619,9)="Tranche 1","DELETE",$C619="Sessions_Level_1_All_Sites","KEEP",ISNUMBER(--$C619),"REVIEW — UA raw logs",$C619="Emag_Reporting","KEEP",$C619="Nutrition_Data_Archived_Tables","KEEP",$C619="EU_Data","KEEP",TRUE,"REVIEW"),OR($A619="thg-influencer",$A619="thg-ingenuity",$A619="thg-central-marketing",$A619="thg-seoclarity"),"HOLD",TRUE,"")</f>
        <v>HOLD</v>
      </c>
      <c r="R619" t="str" cm="1">
        <f t="array" ref="R619">_xlfn.IFS(AND($A619="thg-beauty",ISNUMBER(SEARCH("liveramp",$C619))),"thg-beauty Liveramp dataset — confirmed safe to delete",$A619="agile-bonbon-662",_xlfn.IFS(LEFT($G619,9)="Tranche 1","Tranche 1: cleared",$C619="Sessions_Level_1_All_Sites","Downstream aggregation of UA raw logs — keep if raw tables go",ISNUMBER(--$C619),"UA raw site logs (account ID) — keep pending audit-retention check",$C619="Emag_Reporting","Legacy but likely needed",$C619="Nutrition_Data_Archived_Tables","Worth keeping",$C619="EU_Data","Static lookup tables — scripts still reference (smoke-test risk)",TRUE,"Review"),OR($A619="thg-influencer",$A619="thg-ingenuity",$A619="thg-central-marketing",$A619="thg-seoclarity"),"HOLD — Charlie Stringer to review before deletion",TRUE,"")</f>
        <v>HOLD — Charlie Stringer to review before deletion</v>
      </c>
      <c r="S619" t="s">
        <v>1624</v>
      </c>
    </row>
    <row r="620" spans="1:19" ht="76.5" hidden="1">
      <c r="A620" t="s">
        <v>38</v>
      </c>
      <c r="B620" t="s">
        <v>1619</v>
      </c>
      <c r="C620" t="s">
        <v>2793</v>
      </c>
      <c r="D620" s="2" t="s">
        <v>1621</v>
      </c>
      <c r="E620">
        <v>0.34</v>
      </c>
      <c r="F620">
        <v>0.01</v>
      </c>
      <c r="G620" t="s">
        <v>79</v>
      </c>
      <c r="H620" t="s">
        <v>81</v>
      </c>
      <c r="I620">
        <v>0</v>
      </c>
      <c r="J620">
        <v>0</v>
      </c>
      <c r="L620" s="5">
        <v>46197.021766388891</v>
      </c>
      <c r="M620" s="2" t="s">
        <v>1715</v>
      </c>
      <c r="N620" s="2" t="s">
        <v>3030</v>
      </c>
      <c r="O620" s="5">
        <v>46197.021782650459</v>
      </c>
      <c r="P620" t="str">
        <f>IF($Q620="DELETE",IF($S620="CONFIRMED: NO MODS &gt; 1YR","CONFIRMED: NO MODS &gt; 1YR","DO NOT DELETE — not defensibly confirmed"),IF($Q620="HOLD","DO NOT DELETE — HOLD (Charlie review)",IF($Q620="KEEP","DO NOT DELETE — KEEP",IF(ISNUMBER(SEARCH("REVIEW",$Q620)),"DO NOT DELETE — REVIEW pending",$S620))))</f>
        <v>DO NOT DELETE — HOLD (Charlie review)</v>
      </c>
      <c r="Q620" t="str" cm="1">
        <f t="array" ref="Q620">_xlfn.IFS(AND($A620="thg-beauty",ISNUMBER(SEARCH("liveramp",$C620))),"DELETE",$A620="agile-bonbon-662",_xlfn.IFS(LEFT($G620,9)="Tranche 1","DELETE",$C620="Sessions_Level_1_All_Sites","KEEP",ISNUMBER(--$C620),"REVIEW — UA raw logs",$C620="Emag_Reporting","KEEP",$C620="Nutrition_Data_Archived_Tables","KEEP",$C620="EU_Data","KEEP",TRUE,"REVIEW"),OR($A620="thg-influencer",$A620="thg-ingenuity",$A620="thg-central-marketing",$A620="thg-seoclarity"),"HOLD",TRUE,"")</f>
        <v>HOLD</v>
      </c>
      <c r="R620" t="str" cm="1">
        <f t="array" ref="R620">_xlfn.IFS(AND($A620="thg-beauty",ISNUMBER(SEARCH("liveramp",$C620))),"thg-beauty Liveramp dataset — confirmed safe to delete",$A620="agile-bonbon-662",_xlfn.IFS(LEFT($G620,9)="Tranche 1","Tranche 1: cleared",$C620="Sessions_Level_1_All_Sites","Downstream aggregation of UA raw logs — keep if raw tables go",ISNUMBER(--$C620),"UA raw site logs (account ID) — keep pending audit-retention check",$C620="Emag_Reporting","Legacy but likely needed",$C620="Nutrition_Data_Archived_Tables","Worth keeping",$C620="EU_Data","Static lookup tables — scripts still reference (smoke-test risk)",TRUE,"Review"),OR($A620="thg-influencer",$A620="thg-ingenuity",$A620="thg-central-marketing",$A620="thg-seoclarity"),"HOLD — Charlie Stringer to review before deletion",TRUE,"")</f>
        <v>HOLD — Charlie Stringer to review before deletion</v>
      </c>
      <c r="S620" t="s">
        <v>1624</v>
      </c>
    </row>
    <row r="621" spans="1:19" ht="76.5" hidden="1">
      <c r="A621" t="s">
        <v>92</v>
      </c>
      <c r="B621" t="s">
        <v>1619</v>
      </c>
      <c r="C621" t="s">
        <v>3031</v>
      </c>
      <c r="D621" s="2" t="s">
        <v>1621</v>
      </c>
      <c r="E621">
        <v>0</v>
      </c>
      <c r="F621">
        <v>0</v>
      </c>
      <c r="G621" t="s">
        <v>79</v>
      </c>
      <c r="H621" t="s">
        <v>81</v>
      </c>
      <c r="I621">
        <v>9</v>
      </c>
      <c r="J621">
        <v>23</v>
      </c>
      <c r="K621" s="5">
        <v>46188.391964722221</v>
      </c>
      <c r="L621" s="5">
        <v>46174.208369560183</v>
      </c>
      <c r="M621" s="2" t="s">
        <v>3032</v>
      </c>
      <c r="N621" s="2" t="s">
        <v>3033</v>
      </c>
      <c r="O621" s="5">
        <v>46174.237973819443</v>
      </c>
      <c r="P621" t="str">
        <f>IF($Q621="DELETE",IF($S621="CONFIRMED: NO MODS &gt; 1YR","CONFIRMED: NO MODS &gt; 1YR","DO NOT DELETE — not defensibly confirmed"),IF($Q621="HOLD","DO NOT DELETE — HOLD (Charlie review)",IF($Q621="KEEP","DO NOT DELETE — KEEP",IF(ISNUMBER(SEARCH("REVIEW",$Q621)),"DO NOT DELETE — REVIEW pending",$S621))))</f>
        <v>CONFIRMED: NO MODS &gt; 1YR</v>
      </c>
      <c r="Q621" t="str" cm="1">
        <f t="array" ref="Q621">_xlfn.IFS(AND($A621="thg-beauty",ISNUMBER(SEARCH("liveramp",$C621))),"DELETE",$A621="agile-bonbon-662",_xlfn.IFS(LEFT($G621,9)="Tranche 1","DELETE",$C621="Sessions_Level_1_All_Sites","KEEP",ISNUMBER(--$C621),"REVIEW — UA raw logs",$C621="Emag_Reporting","KEEP",$C621="Nutrition_Data_Archived_Tables","KEEP",$C621="EU_Data","KEEP",TRUE,"REVIEW"),OR($A621="thg-influencer",$A621="thg-ingenuity",$A621="thg-central-marketing",$A621="thg-seoclarity"),"HOLD",TRUE,"")</f>
        <v/>
      </c>
      <c r="R621" t="str" cm="1">
        <f t="array" ref="R621">_xlfn.IFS(AND($A621="thg-beauty",ISNUMBER(SEARCH("liveramp",$C621))),"thg-beauty Liveramp dataset — confirmed safe to delete",$A621="agile-bonbon-662",_xlfn.IFS(LEFT($G621,9)="Tranche 1","Tranche 1: cleared",$C621="Sessions_Level_1_All_Sites","Downstream aggregation of UA raw logs — keep if raw tables go",ISNUMBER(--$C621),"UA raw site logs (account ID) — keep pending audit-retention check",$C621="Emag_Reporting","Legacy but likely needed",$C621="Nutrition_Data_Archived_Tables","Worth keeping",$C621="EU_Data","Static lookup tables — scripts still reference (smoke-test risk)",TRUE,"Review"),OR($A621="thg-influencer",$A621="thg-ingenuity",$A621="thg-central-marketing",$A621="thg-seoclarity"),"HOLD — Charlie Stringer to review before deletion",TRUE,"")</f>
        <v/>
      </c>
      <c r="S621" t="s">
        <v>1624</v>
      </c>
    </row>
    <row r="622" spans="1:19" ht="76.5" hidden="1">
      <c r="A622" t="s">
        <v>93</v>
      </c>
      <c r="B622" t="s">
        <v>1619</v>
      </c>
      <c r="C622" t="s">
        <v>3034</v>
      </c>
      <c r="D622" s="2" t="s">
        <v>3035</v>
      </c>
      <c r="E622">
        <v>0.31</v>
      </c>
      <c r="F622">
        <v>0.01</v>
      </c>
      <c r="G622" t="s">
        <v>79</v>
      </c>
      <c r="H622" t="s">
        <v>81</v>
      </c>
      <c r="I622">
        <v>0</v>
      </c>
      <c r="J622">
        <v>4</v>
      </c>
      <c r="K622" s="5">
        <v>46197.428119432872</v>
      </c>
      <c r="L622" s="5">
        <v>46192.474882592593</v>
      </c>
      <c r="M622" s="2" t="s">
        <v>3036</v>
      </c>
      <c r="N622" s="2" t="s">
        <v>3037</v>
      </c>
      <c r="O622" s="5">
        <v>46192.475280520834</v>
      </c>
      <c r="P622" t="str">
        <f>IF($Q622="DELETE",IF($S622="CONFIRMED: NO MODS &gt; 1YR","CONFIRMED: NO MODS &gt; 1YR","DO NOT DELETE — not defensibly confirmed"),IF($Q622="HOLD","DO NOT DELETE — HOLD (Charlie review)",IF($Q622="KEEP","DO NOT DELETE — KEEP",IF(ISNUMBER(SEARCH("REVIEW",$Q622)),"DO NOT DELETE — REVIEW pending",$S622))))</f>
        <v>CONFIRMED: NO MODS &gt; 1YR</v>
      </c>
      <c r="Q622" t="str" cm="1">
        <f t="array" ref="Q622">_xlfn.IFS(AND($A622="thg-beauty",ISNUMBER(SEARCH("liveramp",$C622))),"DELETE",$A622="agile-bonbon-662",_xlfn.IFS(LEFT($G622,9)="Tranche 1","DELETE",$C622="Sessions_Level_1_All_Sites","KEEP",ISNUMBER(--$C622),"REVIEW — UA raw logs",$C622="Emag_Reporting","KEEP",$C622="Nutrition_Data_Archived_Tables","KEEP",$C622="EU_Data","KEEP",TRUE,"REVIEW"),OR($A622="thg-influencer",$A622="thg-ingenuity",$A622="thg-central-marketing",$A622="thg-seoclarity"),"HOLD",TRUE,"")</f>
        <v/>
      </c>
      <c r="R622" t="str" cm="1">
        <f t="array" ref="R622">_xlfn.IFS(AND($A622="thg-beauty",ISNUMBER(SEARCH("liveramp",$C622))),"thg-beauty Liveramp dataset — confirmed safe to delete",$A622="agile-bonbon-662",_xlfn.IFS(LEFT($G622,9)="Tranche 1","Tranche 1: cleared",$C622="Sessions_Level_1_All_Sites","Downstream aggregation of UA raw logs — keep if raw tables go",ISNUMBER(--$C622),"UA raw site logs (account ID) — keep pending audit-retention check",$C622="Emag_Reporting","Legacy but likely needed",$C622="Nutrition_Data_Archived_Tables","Worth keeping",$C622="EU_Data","Static lookup tables — scripts still reference (smoke-test risk)",TRUE,"Review"),OR($A622="thg-influencer",$A622="thg-ingenuity",$A622="thg-central-marketing",$A622="thg-seoclarity"),"HOLD — Charlie Stringer to review before deletion",TRUE,"")</f>
        <v/>
      </c>
      <c r="S622" t="s">
        <v>1624</v>
      </c>
    </row>
    <row r="623" spans="1:19" ht="76.5" hidden="1">
      <c r="A623" t="s">
        <v>2513</v>
      </c>
      <c r="B623" t="s">
        <v>1619</v>
      </c>
      <c r="C623" t="s">
        <v>3038</v>
      </c>
      <c r="D623" s="2" t="s">
        <v>1621</v>
      </c>
      <c r="E623">
        <v>0.31</v>
      </c>
      <c r="F623">
        <v>0.01</v>
      </c>
      <c r="G623" t="s">
        <v>79</v>
      </c>
      <c r="H623" t="s">
        <v>81</v>
      </c>
      <c r="I623">
        <v>0</v>
      </c>
      <c r="J623">
        <v>0</v>
      </c>
      <c r="K623" s="5">
        <v>46093.708977361108</v>
      </c>
      <c r="L623" s="5">
        <v>46197.127282789363</v>
      </c>
      <c r="M623" s="2" t="s">
        <v>3039</v>
      </c>
      <c r="N623" s="2" t="s">
        <v>3040</v>
      </c>
      <c r="O623" s="5">
        <v>46197.127302962966</v>
      </c>
      <c r="P623" t="str">
        <f>IF($Q623="DELETE",IF($S623="CONFIRMED: NO MODS &gt; 1YR","CONFIRMED: NO MODS &gt; 1YR","DO NOT DELETE — not defensibly confirmed"),IF($Q623="HOLD","DO NOT DELETE — HOLD (Charlie review)",IF($Q623="KEEP","DO NOT DELETE — KEEP",IF(ISNUMBER(SEARCH("REVIEW",$Q623)),"DO NOT DELETE — REVIEW pending",$S623))))</f>
        <v>REVIEW</v>
      </c>
      <c r="Q623" t="str" cm="1">
        <f t="array" ref="Q623">_xlfn.IFS(AND($A623="thg-beauty",ISNUMBER(SEARCH("liveramp",$C623))),"DELETE",$A623="agile-bonbon-662",_xlfn.IFS(LEFT($G623,9)="Tranche 1","DELETE",$C623="Sessions_Level_1_All_Sites","KEEP",ISNUMBER(--$C623),"REVIEW — UA raw logs",$C623="Emag_Reporting","KEEP",$C623="Nutrition_Data_Archived_Tables","KEEP",$C623="EU_Data","KEEP",TRUE,"REVIEW"),OR($A623="thg-influencer",$A623="thg-ingenuity",$A623="thg-central-marketing",$A623="thg-seoclarity"),"HOLD",TRUE,"")</f>
        <v/>
      </c>
      <c r="R623" t="str" cm="1">
        <f t="array" ref="R623">_xlfn.IFS(AND($A623="thg-beauty",ISNUMBER(SEARCH("liveramp",$C623))),"thg-beauty Liveramp dataset — confirmed safe to delete",$A623="agile-bonbon-662",_xlfn.IFS(LEFT($G623,9)="Tranche 1","Tranche 1: cleared",$C623="Sessions_Level_1_All_Sites","Downstream aggregation of UA raw logs — keep if raw tables go",ISNUMBER(--$C623),"UA raw site logs (account ID) — keep pending audit-retention check",$C623="Emag_Reporting","Legacy but likely needed",$C623="Nutrition_Data_Archived_Tables","Worth keeping",$C623="EU_Data","Static lookup tables — scripts still reference (smoke-test risk)",TRUE,"Review"),OR($A623="thg-influencer",$A623="thg-ingenuity",$A623="thg-central-marketing",$A623="thg-seoclarity"),"HOLD — Charlie Stringer to review before deletion",TRUE,"")</f>
        <v/>
      </c>
      <c r="S623" t="s">
        <v>1631</v>
      </c>
    </row>
    <row r="624" spans="1:19" ht="76.5" hidden="1">
      <c r="A624" t="s">
        <v>1471</v>
      </c>
      <c r="B624" t="s">
        <v>1619</v>
      </c>
      <c r="C624" t="s">
        <v>3041</v>
      </c>
      <c r="D624" s="2" t="s">
        <v>1621</v>
      </c>
      <c r="E624">
        <v>0.28000000000000003</v>
      </c>
      <c r="F624">
        <v>0.01</v>
      </c>
      <c r="G624" t="s">
        <v>79</v>
      </c>
      <c r="H624" t="s">
        <v>81</v>
      </c>
      <c r="I624">
        <v>0</v>
      </c>
      <c r="J624">
        <v>0</v>
      </c>
      <c r="K624" s="5">
        <v>46197.432746064813</v>
      </c>
      <c r="L624" s="5">
        <v>46197.432746064813</v>
      </c>
      <c r="M624" s="2" t="s">
        <v>3042</v>
      </c>
      <c r="N624" s="2" t="s">
        <v>3043</v>
      </c>
      <c r="O624" s="5">
        <v>46197.454257187499</v>
      </c>
      <c r="P624" t="str">
        <f>IF($Q624="DELETE",IF($S624="CONFIRMED: NO MODS &gt; 1YR","CONFIRMED: NO MODS &gt; 1YR","DO NOT DELETE — not defensibly confirmed"),IF($Q624="HOLD","DO NOT DELETE — HOLD (Charlie review)",IF($Q624="KEEP","DO NOT DELETE — KEEP",IF(ISNUMBER(SEARCH("REVIEW",$Q624)),"DO NOT DELETE — REVIEW pending",$S624))))</f>
        <v>REVIEW</v>
      </c>
      <c r="Q624" t="str" cm="1">
        <f t="array" ref="Q624">_xlfn.IFS(AND($A624="thg-beauty",ISNUMBER(SEARCH("liveramp",$C624))),"DELETE",$A624="agile-bonbon-662",_xlfn.IFS(LEFT($G624,9)="Tranche 1","DELETE",$C624="Sessions_Level_1_All_Sites","KEEP",ISNUMBER(--$C624),"REVIEW — UA raw logs",$C624="Emag_Reporting","KEEP",$C624="Nutrition_Data_Archived_Tables","KEEP",$C624="EU_Data","KEEP",TRUE,"REVIEW"),OR($A624="thg-influencer",$A624="thg-ingenuity",$A624="thg-central-marketing",$A624="thg-seoclarity"),"HOLD",TRUE,"")</f>
        <v/>
      </c>
      <c r="R624" t="str" cm="1">
        <f t="array" ref="R624">_xlfn.IFS(AND($A624="thg-beauty",ISNUMBER(SEARCH("liveramp",$C624))),"thg-beauty Liveramp dataset — confirmed safe to delete",$A624="agile-bonbon-662",_xlfn.IFS(LEFT($G624,9)="Tranche 1","Tranche 1: cleared",$C624="Sessions_Level_1_All_Sites","Downstream aggregation of UA raw logs — keep if raw tables go",ISNUMBER(--$C624),"UA raw site logs (account ID) — keep pending audit-retention check",$C624="Emag_Reporting","Legacy but likely needed",$C624="Nutrition_Data_Archived_Tables","Worth keeping",$C624="EU_Data","Static lookup tables — scripts still reference (smoke-test risk)",TRUE,"Review"),OR($A624="thg-influencer",$A624="thg-ingenuity",$A624="thg-central-marketing",$A624="thg-seoclarity"),"HOLD — Charlie Stringer to review before deletion",TRUE,"")</f>
        <v/>
      </c>
      <c r="S624" t="s">
        <v>1631</v>
      </c>
    </row>
    <row r="625" spans="1:19" ht="76.5" hidden="1">
      <c r="A625" t="s">
        <v>92</v>
      </c>
      <c r="B625" t="s">
        <v>1619</v>
      </c>
      <c r="C625" t="s">
        <v>3044</v>
      </c>
      <c r="D625" s="2" t="s">
        <v>1621</v>
      </c>
      <c r="E625">
        <v>0</v>
      </c>
      <c r="F625">
        <v>0</v>
      </c>
      <c r="G625" t="s">
        <v>79</v>
      </c>
      <c r="H625" t="s">
        <v>81</v>
      </c>
      <c r="I625">
        <v>2</v>
      </c>
      <c r="J625">
        <v>2</v>
      </c>
      <c r="K625" s="5">
        <v>46195.396256817126</v>
      </c>
      <c r="L625" s="5">
        <v>46195.396256817126</v>
      </c>
      <c r="M625" s="2" t="s">
        <v>3045</v>
      </c>
      <c r="N625" s="2" t="s">
        <v>3046</v>
      </c>
      <c r="O625" s="5">
        <v>46195.396290891207</v>
      </c>
      <c r="P625" t="str">
        <f>IF($Q625="DELETE",IF($S625="CONFIRMED: NO MODS &gt; 1YR","CONFIRMED: NO MODS &gt; 1YR","DO NOT DELETE — not defensibly confirmed"),IF($Q625="HOLD","DO NOT DELETE — HOLD (Charlie review)",IF($Q625="KEEP","DO NOT DELETE — KEEP",IF(ISNUMBER(SEARCH("REVIEW",$Q625)),"DO NOT DELETE — REVIEW pending",$S625))))</f>
        <v>REVIEW</v>
      </c>
      <c r="Q625" t="str" cm="1">
        <f t="array" ref="Q625">_xlfn.IFS(AND($A625="thg-beauty",ISNUMBER(SEARCH("liveramp",$C625))),"DELETE",$A625="agile-bonbon-662",_xlfn.IFS(LEFT($G625,9)="Tranche 1","DELETE",$C625="Sessions_Level_1_All_Sites","KEEP",ISNUMBER(--$C625),"REVIEW — UA raw logs",$C625="Emag_Reporting","KEEP",$C625="Nutrition_Data_Archived_Tables","KEEP",$C625="EU_Data","KEEP",TRUE,"REVIEW"),OR($A625="thg-influencer",$A625="thg-ingenuity",$A625="thg-central-marketing",$A625="thg-seoclarity"),"HOLD",TRUE,"")</f>
        <v/>
      </c>
      <c r="R625" t="str" cm="1">
        <f t="array" ref="R625">_xlfn.IFS(AND($A625="thg-beauty",ISNUMBER(SEARCH("liveramp",$C625))),"thg-beauty Liveramp dataset — confirmed safe to delete",$A625="agile-bonbon-662",_xlfn.IFS(LEFT($G625,9)="Tranche 1","Tranche 1: cleared",$C625="Sessions_Level_1_All_Sites","Downstream aggregation of UA raw logs — keep if raw tables go",ISNUMBER(--$C625),"UA raw site logs (account ID) — keep pending audit-retention check",$C625="Emag_Reporting","Legacy but likely needed",$C625="Nutrition_Data_Archived_Tables","Worth keeping",$C625="EU_Data","Static lookup tables — scripts still reference (smoke-test risk)",TRUE,"Review"),OR($A625="thg-influencer",$A625="thg-ingenuity",$A625="thg-central-marketing",$A625="thg-seoclarity"),"HOLD — Charlie Stringer to review before deletion",TRUE,"")</f>
        <v/>
      </c>
      <c r="S625" t="s">
        <v>1631</v>
      </c>
    </row>
    <row r="626" spans="1:19" ht="76.5" hidden="1">
      <c r="A626" t="s">
        <v>35</v>
      </c>
      <c r="B626" t="s">
        <v>1619</v>
      </c>
      <c r="C626" t="s">
        <v>3047</v>
      </c>
      <c r="D626" s="2" t="s">
        <v>1621</v>
      </c>
      <c r="E626">
        <v>0.23</v>
      </c>
      <c r="F626">
        <v>0</v>
      </c>
      <c r="G626" t="s">
        <v>79</v>
      </c>
      <c r="H626" t="s">
        <v>81</v>
      </c>
      <c r="I626">
        <v>0</v>
      </c>
      <c r="J626">
        <v>0</v>
      </c>
      <c r="K626" s="5">
        <v>46197.117552291667</v>
      </c>
      <c r="L626" s="5">
        <v>46196.98622702546</v>
      </c>
      <c r="M626" s="2" t="s">
        <v>3048</v>
      </c>
      <c r="N626" s="2" t="s">
        <v>3049</v>
      </c>
      <c r="O626" s="5">
        <v>46196.986243090279</v>
      </c>
      <c r="P626" t="str">
        <f>IF($Q626="DELETE",IF($S626="CONFIRMED: NO MODS &gt; 1YR","CONFIRMED: NO MODS &gt; 1YR","DO NOT DELETE — not defensibly confirmed"),IF($Q626="HOLD","DO NOT DELETE — HOLD (Charlie review)",IF($Q626="KEEP","DO NOT DELETE — KEEP",IF(ISNUMBER(SEARCH("REVIEW",$Q626)),"DO NOT DELETE — REVIEW pending",$S626))))</f>
        <v>DO NOT DELETE — HOLD (Charlie review)</v>
      </c>
      <c r="Q626" t="str" cm="1">
        <f t="array" ref="Q626">_xlfn.IFS(AND($A626="thg-beauty",ISNUMBER(SEARCH("liveramp",$C626))),"DELETE",$A626="agile-bonbon-662",_xlfn.IFS(LEFT($G626,9)="Tranche 1","DELETE",$C626="Sessions_Level_1_All_Sites","KEEP",ISNUMBER(--$C626),"REVIEW — UA raw logs",$C626="Emag_Reporting","KEEP",$C626="Nutrition_Data_Archived_Tables","KEEP",$C626="EU_Data","KEEP",TRUE,"REVIEW"),OR($A626="thg-influencer",$A626="thg-ingenuity",$A626="thg-central-marketing",$A626="thg-seoclarity"),"HOLD",TRUE,"")</f>
        <v>HOLD</v>
      </c>
      <c r="R626" t="str" cm="1">
        <f t="array" ref="R626">_xlfn.IFS(AND($A626="thg-beauty",ISNUMBER(SEARCH("liveramp",$C626))),"thg-beauty Liveramp dataset — confirmed safe to delete",$A626="agile-bonbon-662",_xlfn.IFS(LEFT($G626,9)="Tranche 1","Tranche 1: cleared",$C626="Sessions_Level_1_All_Sites","Downstream aggregation of UA raw logs — keep if raw tables go",ISNUMBER(--$C626),"UA raw site logs (account ID) — keep pending audit-retention check",$C626="Emag_Reporting","Legacy but likely needed",$C626="Nutrition_Data_Archived_Tables","Worth keeping",$C626="EU_Data","Static lookup tables — scripts still reference (smoke-test risk)",TRUE,"Review"),OR($A626="thg-influencer",$A626="thg-ingenuity",$A626="thg-central-marketing",$A626="thg-seoclarity"),"HOLD — Charlie Stringer to review before deletion",TRUE,"")</f>
        <v>HOLD — Charlie Stringer to review before deletion</v>
      </c>
      <c r="S626" t="s">
        <v>1631</v>
      </c>
    </row>
    <row r="627" spans="1:19" ht="76.5" hidden="1">
      <c r="A627" t="s">
        <v>93</v>
      </c>
      <c r="B627" t="s">
        <v>1724</v>
      </c>
      <c r="C627" t="s">
        <v>3050</v>
      </c>
      <c r="D627" s="2" t="s">
        <v>3051</v>
      </c>
      <c r="E627">
        <v>0.22</v>
      </c>
      <c r="F627">
        <v>0</v>
      </c>
      <c r="G627" t="s">
        <v>79</v>
      </c>
      <c r="H627" t="s">
        <v>81</v>
      </c>
      <c r="I627">
        <v>0</v>
      </c>
      <c r="J627">
        <v>0</v>
      </c>
      <c r="K627" s="5">
        <v>46196.822245034717</v>
      </c>
      <c r="L627" s="5">
        <v>46195.448965497693</v>
      </c>
      <c r="M627" s="2" t="s">
        <v>3052</v>
      </c>
      <c r="N627" s="2" t="s">
        <v>3053</v>
      </c>
      <c r="O627" s="5">
        <v>46197.411203414347</v>
      </c>
      <c r="P627" t="str">
        <f>IF($Q627="DELETE",IF($S627="CONFIRMED: NO MODS &gt; 1YR","CONFIRMED: NO MODS &gt; 1YR","DO NOT DELETE — not defensibly confirmed"),IF($Q627="HOLD","DO NOT DELETE — HOLD (Charlie review)",IF($Q627="KEEP","DO NOT DELETE — KEEP",IF(ISNUMBER(SEARCH("REVIEW",$Q627)),"DO NOT DELETE — REVIEW pending",$S627))))</f>
        <v>REVIEW</v>
      </c>
      <c r="Q627" t="str" cm="1">
        <f t="array" ref="Q627">_xlfn.IFS(AND($A627="thg-beauty",ISNUMBER(SEARCH("liveramp",$C627))),"DELETE",$A627="agile-bonbon-662",_xlfn.IFS(LEFT($G627,9)="Tranche 1","DELETE",$C627="Sessions_Level_1_All_Sites","KEEP",ISNUMBER(--$C627),"REVIEW — UA raw logs",$C627="Emag_Reporting","KEEP",$C627="Nutrition_Data_Archived_Tables","KEEP",$C627="EU_Data","KEEP",TRUE,"REVIEW"),OR($A627="thg-influencer",$A627="thg-ingenuity",$A627="thg-central-marketing",$A627="thg-seoclarity"),"HOLD",TRUE,"")</f>
        <v/>
      </c>
      <c r="R627" t="str" cm="1">
        <f t="array" ref="R627">_xlfn.IFS(AND($A627="thg-beauty",ISNUMBER(SEARCH("liveramp",$C627))),"thg-beauty Liveramp dataset — confirmed safe to delete",$A627="agile-bonbon-662",_xlfn.IFS(LEFT($G627,9)="Tranche 1","Tranche 1: cleared",$C627="Sessions_Level_1_All_Sites","Downstream aggregation of UA raw logs — keep if raw tables go",ISNUMBER(--$C627),"UA raw site logs (account ID) — keep pending audit-retention check",$C627="Emag_Reporting","Legacy but likely needed",$C627="Nutrition_Data_Archived_Tables","Worth keeping",$C627="EU_Data","Static lookup tables — scripts still reference (smoke-test risk)",TRUE,"Review"),OR($A627="thg-influencer",$A627="thg-ingenuity",$A627="thg-central-marketing",$A627="thg-seoclarity"),"HOLD — Charlie Stringer to review before deletion",TRUE,"")</f>
        <v/>
      </c>
      <c r="S627" t="s">
        <v>1631</v>
      </c>
    </row>
    <row r="628" spans="1:19" ht="76.5" hidden="1">
      <c r="A628" t="s">
        <v>89</v>
      </c>
      <c r="B628" t="s">
        <v>1619</v>
      </c>
      <c r="C628" t="s">
        <v>3054</v>
      </c>
      <c r="D628" s="2" t="s">
        <v>1621</v>
      </c>
      <c r="E628">
        <v>0.19</v>
      </c>
      <c r="F628">
        <v>0</v>
      </c>
      <c r="G628" t="s">
        <v>79</v>
      </c>
      <c r="H628" t="s">
        <v>81</v>
      </c>
      <c r="I628">
        <v>0</v>
      </c>
      <c r="J628">
        <v>0</v>
      </c>
      <c r="K628" s="5">
        <v>46161.603980324071</v>
      </c>
      <c r="L628" s="5">
        <v>46197.062649421299</v>
      </c>
      <c r="M628" s="2" t="s">
        <v>1994</v>
      </c>
      <c r="N628" s="2" t="s">
        <v>3055</v>
      </c>
      <c r="O628" s="5">
        <v>46197.062942893521</v>
      </c>
      <c r="P628" t="str">
        <f>IF($Q628="DELETE",IF($S628="CONFIRMED: NO MODS &gt; 1YR","CONFIRMED: NO MODS &gt; 1YR","DO NOT DELETE — not defensibly confirmed"),IF($Q628="HOLD","DO NOT DELETE — HOLD (Charlie review)",IF($Q628="KEEP","DO NOT DELETE — KEEP",IF(ISNUMBER(SEARCH("REVIEW",$Q628)),"DO NOT DELETE — REVIEW pending",$S628))))</f>
        <v>DO NOT DELETE — REVIEW pending</v>
      </c>
      <c r="Q628" t="str" cm="1">
        <f t="array" ref="Q628">_xlfn.IFS(AND($A628="thg-beauty",ISNUMBER(SEARCH("liveramp",$C628))),"DELETE",$A628="agile-bonbon-662",_xlfn.IFS(LEFT($G628,9)="Tranche 1","DELETE",$C628="Sessions_Level_1_All_Sites","KEEP",ISNUMBER(--$C628),"REVIEW — UA raw logs",$C628="Emag_Reporting","KEEP",$C628="Nutrition_Data_Archived_Tables","KEEP",$C628="EU_Data","KEEP",TRUE,"REVIEW"),OR($A628="thg-influencer",$A628="thg-ingenuity",$A628="thg-central-marketing",$A628="thg-seoclarity"),"HOLD",TRUE,"")</f>
        <v>REVIEW</v>
      </c>
      <c r="R628" t="str" cm="1">
        <f t="array" ref="R628">_xlfn.IFS(AND($A628="thg-beauty",ISNUMBER(SEARCH("liveramp",$C628))),"thg-beauty Liveramp dataset — confirmed safe to delete",$A628="agile-bonbon-662",_xlfn.IFS(LEFT($G628,9)="Tranche 1","Tranche 1: cleared",$C628="Sessions_Level_1_All_Sites","Downstream aggregation of UA raw logs — keep if raw tables go",ISNUMBER(--$C628),"UA raw site logs (account ID) — keep pending audit-retention check",$C628="Emag_Reporting","Legacy but likely needed",$C628="Nutrition_Data_Archived_Tables","Worth keeping",$C628="EU_Data","Static lookup tables — scripts still reference (smoke-test risk)",TRUE,"Review"),OR($A628="thg-influencer",$A628="thg-ingenuity",$A628="thg-central-marketing",$A628="thg-seoclarity"),"HOLD — Charlie Stringer to review before deletion",TRUE,"")</f>
        <v>Review</v>
      </c>
      <c r="S628" t="s">
        <v>1631</v>
      </c>
    </row>
    <row r="629" spans="1:19" ht="76.5" hidden="1">
      <c r="A629" t="s">
        <v>89</v>
      </c>
      <c r="B629" t="s">
        <v>1619</v>
      </c>
      <c r="C629" t="s">
        <v>1878</v>
      </c>
      <c r="D629" s="2" t="s">
        <v>1621</v>
      </c>
      <c r="E629">
        <v>0.19</v>
      </c>
      <c r="F629">
        <v>0</v>
      </c>
      <c r="G629" t="s">
        <v>79</v>
      </c>
      <c r="H629" t="s">
        <v>81</v>
      </c>
      <c r="I629">
        <v>0</v>
      </c>
      <c r="J629">
        <v>0</v>
      </c>
      <c r="K629" s="5">
        <v>46161.622762800929</v>
      </c>
      <c r="M629" s="2" t="s">
        <v>3056</v>
      </c>
      <c r="N629" s="2" t="s">
        <v>1701</v>
      </c>
      <c r="O629" s="5">
        <v>46197.45218310185</v>
      </c>
      <c r="P629" t="str">
        <f>IF($Q629="DELETE",IF($S629="CONFIRMED: NO MODS &gt; 1YR","CONFIRMED: NO MODS &gt; 1YR","DO NOT DELETE — not defensibly confirmed"),IF($Q629="HOLD","DO NOT DELETE — HOLD (Charlie review)",IF($Q629="KEEP","DO NOT DELETE — KEEP",IF(ISNUMBER(SEARCH("REVIEW",$Q629)),"DO NOT DELETE — REVIEW pending",$S629))))</f>
        <v>DO NOT DELETE — REVIEW pending</v>
      </c>
      <c r="Q629" t="str" cm="1">
        <f t="array" ref="Q629">_xlfn.IFS(AND($A629="thg-beauty",ISNUMBER(SEARCH("liveramp",$C629))),"DELETE",$A629="agile-bonbon-662",_xlfn.IFS(LEFT($G629,9)="Tranche 1","DELETE",$C629="Sessions_Level_1_All_Sites","KEEP",ISNUMBER(--$C629),"REVIEW — UA raw logs",$C629="Emag_Reporting","KEEP",$C629="Nutrition_Data_Archived_Tables","KEEP",$C629="EU_Data","KEEP",TRUE,"REVIEW"),OR($A629="thg-influencer",$A629="thg-ingenuity",$A629="thg-central-marketing",$A629="thg-seoclarity"),"HOLD",TRUE,"")</f>
        <v>REVIEW</v>
      </c>
      <c r="R629" t="str" cm="1">
        <f t="array" ref="R629">_xlfn.IFS(AND($A629="thg-beauty",ISNUMBER(SEARCH("liveramp",$C629))),"thg-beauty Liveramp dataset — confirmed safe to delete",$A629="agile-bonbon-662",_xlfn.IFS(LEFT($G629,9)="Tranche 1","Tranche 1: cleared",$C629="Sessions_Level_1_All_Sites","Downstream aggregation of UA raw logs — keep if raw tables go",ISNUMBER(--$C629),"UA raw site logs (account ID) — keep pending audit-retention check",$C629="Emag_Reporting","Legacy but likely needed",$C629="Nutrition_Data_Archived_Tables","Worth keeping",$C629="EU_Data","Static lookup tables — scripts still reference (smoke-test risk)",TRUE,"Review"),OR($A629="thg-influencer",$A629="thg-ingenuity",$A629="thg-central-marketing",$A629="thg-seoclarity"),"HOLD — Charlie Stringer to review before deletion",TRUE,"")</f>
        <v>Review</v>
      </c>
      <c r="S629" t="s">
        <v>1631</v>
      </c>
    </row>
    <row r="630" spans="1:19" ht="76.5" hidden="1">
      <c r="A630" t="s">
        <v>39</v>
      </c>
      <c r="B630" t="s">
        <v>1619</v>
      </c>
      <c r="C630" t="s">
        <v>3054</v>
      </c>
      <c r="D630" s="2" t="s">
        <v>1621</v>
      </c>
      <c r="E630">
        <v>0.19</v>
      </c>
      <c r="F630">
        <v>0</v>
      </c>
      <c r="G630" t="s">
        <v>79</v>
      </c>
      <c r="H630" t="s">
        <v>81</v>
      </c>
      <c r="I630">
        <v>0</v>
      </c>
      <c r="J630">
        <v>0</v>
      </c>
      <c r="K630" s="5">
        <v>46197.226117523147</v>
      </c>
      <c r="L630" s="5">
        <v>46197.22617559028</v>
      </c>
      <c r="M630" s="2" t="s">
        <v>3057</v>
      </c>
      <c r="N630" s="2" t="s">
        <v>3058</v>
      </c>
      <c r="O630" s="5">
        <v>46197.226210231478</v>
      </c>
      <c r="P630" t="str">
        <f>IF($Q630="DELETE",IF($S630="CONFIRMED: NO MODS &gt; 1YR","CONFIRMED: NO MODS &gt; 1YR","DO NOT DELETE — not defensibly confirmed"),IF($Q630="HOLD","DO NOT DELETE — HOLD (Charlie review)",IF($Q630="KEEP","DO NOT DELETE — KEEP",IF(ISNUMBER(SEARCH("REVIEW",$Q630)),"DO NOT DELETE — REVIEW pending",$S630))))</f>
        <v>DO NOT DELETE — HOLD (Charlie review)</v>
      </c>
      <c r="Q630" t="str" cm="1">
        <f t="array" ref="Q630">_xlfn.IFS(AND($A630="thg-beauty",ISNUMBER(SEARCH("liveramp",$C630))),"DELETE",$A630="agile-bonbon-662",_xlfn.IFS(LEFT($G630,9)="Tranche 1","DELETE",$C630="Sessions_Level_1_All_Sites","KEEP",ISNUMBER(--$C630),"REVIEW — UA raw logs",$C630="Emag_Reporting","KEEP",$C630="Nutrition_Data_Archived_Tables","KEEP",$C630="EU_Data","KEEP",TRUE,"REVIEW"),OR($A630="thg-influencer",$A630="thg-ingenuity",$A630="thg-central-marketing",$A630="thg-seoclarity"),"HOLD",TRUE,"")</f>
        <v>HOLD</v>
      </c>
      <c r="R630" t="str" cm="1">
        <f t="array" ref="R630">_xlfn.IFS(AND($A630="thg-beauty",ISNUMBER(SEARCH("liveramp",$C630))),"thg-beauty Liveramp dataset — confirmed safe to delete",$A630="agile-bonbon-662",_xlfn.IFS(LEFT($G630,9)="Tranche 1","Tranche 1: cleared",$C630="Sessions_Level_1_All_Sites","Downstream aggregation of UA raw logs — keep if raw tables go",ISNUMBER(--$C630),"UA raw site logs (account ID) — keep pending audit-retention check",$C630="Emag_Reporting","Legacy but likely needed",$C630="Nutrition_Data_Archived_Tables","Worth keeping",$C630="EU_Data","Static lookup tables — scripts still reference (smoke-test risk)",TRUE,"Review"),OR($A630="thg-influencer",$A630="thg-ingenuity",$A630="thg-central-marketing",$A630="thg-seoclarity"),"HOLD — Charlie Stringer to review before deletion",TRUE,"")</f>
        <v>HOLD — Charlie Stringer to review before deletion</v>
      </c>
      <c r="S630" t="s">
        <v>1631</v>
      </c>
    </row>
    <row r="631" spans="1:19" ht="76.5" hidden="1">
      <c r="A631" t="s">
        <v>92</v>
      </c>
      <c r="B631" t="s">
        <v>1619</v>
      </c>
      <c r="C631" t="s">
        <v>3059</v>
      </c>
      <c r="D631" s="2" t="s">
        <v>1621</v>
      </c>
      <c r="E631">
        <v>0.19</v>
      </c>
      <c r="F631">
        <v>0</v>
      </c>
      <c r="G631" t="s">
        <v>79</v>
      </c>
      <c r="H631" t="s">
        <v>81</v>
      </c>
      <c r="I631">
        <v>0</v>
      </c>
      <c r="J631">
        <v>0</v>
      </c>
      <c r="K631" s="5">
        <v>46197.39650959491</v>
      </c>
      <c r="L631" s="5">
        <v>46197.39650959491</v>
      </c>
      <c r="M631" s="2" t="s">
        <v>2124</v>
      </c>
      <c r="N631" s="2" t="s">
        <v>2124</v>
      </c>
      <c r="O631" s="5">
        <v>46197.396528668978</v>
      </c>
      <c r="P631" t="str">
        <f>IF($Q631="DELETE",IF($S631="CONFIRMED: NO MODS &gt; 1YR","CONFIRMED: NO MODS &gt; 1YR","DO NOT DELETE — not defensibly confirmed"),IF($Q631="HOLD","DO NOT DELETE — HOLD (Charlie review)",IF($Q631="KEEP","DO NOT DELETE — KEEP",IF(ISNUMBER(SEARCH("REVIEW",$Q631)),"DO NOT DELETE — REVIEW pending",$S631))))</f>
        <v>REVIEW</v>
      </c>
      <c r="Q631" t="str" cm="1">
        <f t="array" ref="Q631">_xlfn.IFS(AND($A631="thg-beauty",ISNUMBER(SEARCH("liveramp",$C631))),"DELETE",$A631="agile-bonbon-662",_xlfn.IFS(LEFT($G631,9)="Tranche 1","DELETE",$C631="Sessions_Level_1_All_Sites","KEEP",ISNUMBER(--$C631),"REVIEW — UA raw logs",$C631="Emag_Reporting","KEEP",$C631="Nutrition_Data_Archived_Tables","KEEP",$C631="EU_Data","KEEP",TRUE,"REVIEW"),OR($A631="thg-influencer",$A631="thg-ingenuity",$A631="thg-central-marketing",$A631="thg-seoclarity"),"HOLD",TRUE,"")</f>
        <v/>
      </c>
      <c r="R631" t="str" cm="1">
        <f t="array" ref="R631">_xlfn.IFS(AND($A631="thg-beauty",ISNUMBER(SEARCH("liveramp",$C631))),"thg-beauty Liveramp dataset — confirmed safe to delete",$A631="agile-bonbon-662",_xlfn.IFS(LEFT($G631,9)="Tranche 1","Tranche 1: cleared",$C631="Sessions_Level_1_All_Sites","Downstream aggregation of UA raw logs — keep if raw tables go",ISNUMBER(--$C631),"UA raw site logs (account ID) — keep pending audit-retention check",$C631="Emag_Reporting","Legacy but likely needed",$C631="Nutrition_Data_Archived_Tables","Worth keeping",$C631="EU_Data","Static lookup tables — scripts still reference (smoke-test risk)",TRUE,"Review"),OR($A631="thg-influencer",$A631="thg-ingenuity",$A631="thg-central-marketing",$A631="thg-seoclarity"),"HOLD — Charlie Stringer to review before deletion",TRUE,"")</f>
        <v/>
      </c>
      <c r="S631" t="s">
        <v>1631</v>
      </c>
    </row>
    <row r="632" spans="1:19" ht="76.5" hidden="1">
      <c r="A632" t="s">
        <v>89</v>
      </c>
      <c r="B632" t="s">
        <v>1619</v>
      </c>
      <c r="C632" t="s">
        <v>2146</v>
      </c>
      <c r="D632" s="2" t="s">
        <v>1621</v>
      </c>
      <c r="E632">
        <v>0.18</v>
      </c>
      <c r="F632">
        <v>0</v>
      </c>
      <c r="G632" t="s">
        <v>79</v>
      </c>
      <c r="H632" t="s">
        <v>81</v>
      </c>
      <c r="I632">
        <v>0</v>
      </c>
      <c r="J632">
        <v>0</v>
      </c>
      <c r="K632" s="5">
        <v>46161.622808981483</v>
      </c>
      <c r="M632" s="2" t="s">
        <v>3060</v>
      </c>
      <c r="N632" s="2" t="s">
        <v>1701</v>
      </c>
      <c r="O632" s="5">
        <v>46197.446802500002</v>
      </c>
      <c r="P632" t="str">
        <f>IF($Q632="DELETE",IF($S632="CONFIRMED: NO MODS &gt; 1YR","CONFIRMED: NO MODS &gt; 1YR","DO NOT DELETE — not defensibly confirmed"),IF($Q632="HOLD","DO NOT DELETE — HOLD (Charlie review)",IF($Q632="KEEP","DO NOT DELETE — KEEP",IF(ISNUMBER(SEARCH("REVIEW",$Q632)),"DO NOT DELETE — REVIEW pending",$S632))))</f>
        <v>DO NOT DELETE — REVIEW pending</v>
      </c>
      <c r="Q632" t="str" cm="1">
        <f t="array" ref="Q632">_xlfn.IFS(AND($A632="thg-beauty",ISNUMBER(SEARCH("liveramp",$C632))),"DELETE",$A632="agile-bonbon-662",_xlfn.IFS(LEFT($G632,9)="Tranche 1","DELETE",$C632="Sessions_Level_1_All_Sites","KEEP",ISNUMBER(--$C632),"REVIEW — UA raw logs",$C632="Emag_Reporting","KEEP",$C632="Nutrition_Data_Archived_Tables","KEEP",$C632="EU_Data","KEEP",TRUE,"REVIEW"),OR($A632="thg-influencer",$A632="thg-ingenuity",$A632="thg-central-marketing",$A632="thg-seoclarity"),"HOLD",TRUE,"")</f>
        <v>REVIEW</v>
      </c>
      <c r="R632" t="str" cm="1">
        <f t="array" ref="R632">_xlfn.IFS(AND($A632="thg-beauty",ISNUMBER(SEARCH("liveramp",$C632))),"thg-beauty Liveramp dataset — confirmed safe to delete",$A632="agile-bonbon-662",_xlfn.IFS(LEFT($G632,9)="Tranche 1","Tranche 1: cleared",$C632="Sessions_Level_1_All_Sites","Downstream aggregation of UA raw logs — keep if raw tables go",ISNUMBER(--$C632),"UA raw site logs (account ID) — keep pending audit-retention check",$C632="Emag_Reporting","Legacy but likely needed",$C632="Nutrition_Data_Archived_Tables","Worth keeping",$C632="EU_Data","Static lookup tables — scripts still reference (smoke-test risk)",TRUE,"Review"),OR($A632="thg-influencer",$A632="thg-ingenuity",$A632="thg-central-marketing",$A632="thg-seoclarity"),"HOLD — Charlie Stringer to review before deletion",TRUE,"")</f>
        <v>Review</v>
      </c>
      <c r="S632" t="s">
        <v>1631</v>
      </c>
    </row>
    <row r="633" spans="1:19" ht="76.5" hidden="1">
      <c r="A633" t="s">
        <v>92</v>
      </c>
      <c r="B633" t="s">
        <v>1619</v>
      </c>
      <c r="C633" t="s">
        <v>3061</v>
      </c>
      <c r="D633" s="2" t="s">
        <v>1621</v>
      </c>
      <c r="E633">
        <v>0.18</v>
      </c>
      <c r="F633">
        <v>0</v>
      </c>
      <c r="G633" t="s">
        <v>79</v>
      </c>
      <c r="H633" t="s">
        <v>81</v>
      </c>
      <c r="I633">
        <v>0</v>
      </c>
      <c r="J633">
        <v>0</v>
      </c>
      <c r="K633" s="5">
        <v>46197.229571886572</v>
      </c>
      <c r="L633" s="5">
        <v>46197.229571886572</v>
      </c>
      <c r="M633" s="2" t="s">
        <v>3062</v>
      </c>
      <c r="N633" s="2" t="s">
        <v>3062</v>
      </c>
      <c r="O633" s="5">
        <v>46197.229678425923</v>
      </c>
      <c r="P633" t="str">
        <f>IF($Q633="DELETE",IF($S633="CONFIRMED: NO MODS &gt; 1YR","CONFIRMED: NO MODS &gt; 1YR","DO NOT DELETE — not defensibly confirmed"),IF($Q633="HOLD","DO NOT DELETE — HOLD (Charlie review)",IF($Q633="KEEP","DO NOT DELETE — KEEP",IF(ISNUMBER(SEARCH("REVIEW",$Q633)),"DO NOT DELETE — REVIEW pending",$S633))))</f>
        <v>REVIEW</v>
      </c>
      <c r="Q633" t="str" cm="1">
        <f t="array" ref="Q633">_xlfn.IFS(AND($A633="thg-beauty",ISNUMBER(SEARCH("liveramp",$C633))),"DELETE",$A633="agile-bonbon-662",_xlfn.IFS(LEFT($G633,9)="Tranche 1","DELETE",$C633="Sessions_Level_1_All_Sites","KEEP",ISNUMBER(--$C633),"REVIEW — UA raw logs",$C633="Emag_Reporting","KEEP",$C633="Nutrition_Data_Archived_Tables","KEEP",$C633="EU_Data","KEEP",TRUE,"REVIEW"),OR($A633="thg-influencer",$A633="thg-ingenuity",$A633="thg-central-marketing",$A633="thg-seoclarity"),"HOLD",TRUE,"")</f>
        <v/>
      </c>
      <c r="R633" t="str" cm="1">
        <f t="array" ref="R633">_xlfn.IFS(AND($A633="thg-beauty",ISNUMBER(SEARCH("liveramp",$C633))),"thg-beauty Liveramp dataset — confirmed safe to delete",$A633="agile-bonbon-662",_xlfn.IFS(LEFT($G633,9)="Tranche 1","Tranche 1: cleared",$C633="Sessions_Level_1_All_Sites","Downstream aggregation of UA raw logs — keep if raw tables go",ISNUMBER(--$C633),"UA raw site logs (account ID) — keep pending audit-retention check",$C633="Emag_Reporting","Legacy but likely needed",$C633="Nutrition_Data_Archived_Tables","Worth keeping",$C633="EU_Data","Static lookup tables — scripts still reference (smoke-test risk)",TRUE,"Review"),OR($A633="thg-influencer",$A633="thg-ingenuity",$A633="thg-central-marketing",$A633="thg-seoclarity"),"HOLD — Charlie Stringer to review before deletion",TRUE,"")</f>
        <v/>
      </c>
      <c r="S633" t="s">
        <v>1631</v>
      </c>
    </row>
    <row r="634" spans="1:19" ht="76.5" hidden="1">
      <c r="A634" t="s">
        <v>89</v>
      </c>
      <c r="B634" t="s">
        <v>1619</v>
      </c>
      <c r="C634" t="s">
        <v>3063</v>
      </c>
      <c r="D634" s="2" t="s">
        <v>1621</v>
      </c>
      <c r="E634">
        <v>0.16</v>
      </c>
      <c r="F634">
        <v>0</v>
      </c>
      <c r="G634" t="s">
        <v>79</v>
      </c>
      <c r="H634" t="s">
        <v>81</v>
      </c>
      <c r="I634">
        <v>0</v>
      </c>
      <c r="J634">
        <v>0</v>
      </c>
      <c r="K634" s="5">
        <v>46197.166834988428</v>
      </c>
      <c r="L634" s="5">
        <v>46197.166834988428</v>
      </c>
      <c r="M634" s="2" t="s">
        <v>3064</v>
      </c>
      <c r="N634" s="2" t="s">
        <v>3065</v>
      </c>
      <c r="O634" s="5">
        <v>46197.166984212963</v>
      </c>
      <c r="P634" t="str">
        <f>IF($Q634="DELETE",IF($S634="CONFIRMED: NO MODS &gt; 1YR","CONFIRMED: NO MODS &gt; 1YR","DO NOT DELETE — not defensibly confirmed"),IF($Q634="HOLD","DO NOT DELETE — HOLD (Charlie review)",IF($Q634="KEEP","DO NOT DELETE — KEEP",IF(ISNUMBER(SEARCH("REVIEW",$Q634)),"DO NOT DELETE — REVIEW pending",$S634))))</f>
        <v>DO NOT DELETE — REVIEW pending</v>
      </c>
      <c r="Q634" t="str" cm="1">
        <f t="array" ref="Q634">_xlfn.IFS(AND($A634="thg-beauty",ISNUMBER(SEARCH("liveramp",$C634))),"DELETE",$A634="agile-bonbon-662",_xlfn.IFS(LEFT($G634,9)="Tranche 1","DELETE",$C634="Sessions_Level_1_All_Sites","KEEP",ISNUMBER(--$C634),"REVIEW — UA raw logs",$C634="Emag_Reporting","KEEP",$C634="Nutrition_Data_Archived_Tables","KEEP",$C634="EU_Data","KEEP",TRUE,"REVIEW"),OR($A634="thg-influencer",$A634="thg-ingenuity",$A634="thg-central-marketing",$A634="thg-seoclarity"),"HOLD",TRUE,"")</f>
        <v>REVIEW</v>
      </c>
      <c r="R634" t="str" cm="1">
        <f t="array" ref="R634">_xlfn.IFS(AND($A634="thg-beauty",ISNUMBER(SEARCH("liveramp",$C634))),"thg-beauty Liveramp dataset — confirmed safe to delete",$A634="agile-bonbon-662",_xlfn.IFS(LEFT($G634,9)="Tranche 1","Tranche 1: cleared",$C634="Sessions_Level_1_All_Sites","Downstream aggregation of UA raw logs — keep if raw tables go",ISNUMBER(--$C634),"UA raw site logs (account ID) — keep pending audit-retention check",$C634="Emag_Reporting","Legacy but likely needed",$C634="Nutrition_Data_Archived_Tables","Worth keeping",$C634="EU_Data","Static lookup tables — scripts still reference (smoke-test risk)",TRUE,"Review"),OR($A634="thg-influencer",$A634="thg-ingenuity",$A634="thg-central-marketing",$A634="thg-seoclarity"),"HOLD — Charlie Stringer to review before deletion",TRUE,"")</f>
        <v>Review</v>
      </c>
      <c r="S634" t="s">
        <v>1631</v>
      </c>
    </row>
    <row r="635" spans="1:19" ht="76.5" hidden="1">
      <c r="A635" t="s">
        <v>92</v>
      </c>
      <c r="B635" t="s">
        <v>1619</v>
      </c>
      <c r="C635" t="s">
        <v>3066</v>
      </c>
      <c r="D635" s="2" t="s">
        <v>1621</v>
      </c>
      <c r="E635">
        <v>0.15</v>
      </c>
      <c r="F635">
        <v>0</v>
      </c>
      <c r="G635" t="s">
        <v>79</v>
      </c>
      <c r="H635" t="s">
        <v>81</v>
      </c>
      <c r="I635">
        <v>0</v>
      </c>
      <c r="J635">
        <v>0</v>
      </c>
      <c r="K635" s="5">
        <v>46197.407207662043</v>
      </c>
      <c r="L635" s="5">
        <v>46197.119186990742</v>
      </c>
      <c r="M635" s="2" t="s">
        <v>3067</v>
      </c>
      <c r="N635" s="2" t="s">
        <v>3068</v>
      </c>
      <c r="O635" s="5">
        <v>46197.119789236109</v>
      </c>
      <c r="P635" t="str">
        <f>IF($Q635="DELETE",IF($S635="CONFIRMED: NO MODS &gt; 1YR","CONFIRMED: NO MODS &gt; 1YR","DO NOT DELETE — not defensibly confirmed"),IF($Q635="HOLD","DO NOT DELETE — HOLD (Charlie review)",IF($Q635="KEEP","DO NOT DELETE — KEEP",IF(ISNUMBER(SEARCH("REVIEW",$Q635)),"DO NOT DELETE — REVIEW pending",$S635))))</f>
        <v>REVIEW</v>
      </c>
      <c r="Q635" t="str" cm="1">
        <f t="array" ref="Q635">_xlfn.IFS(AND($A635="thg-beauty",ISNUMBER(SEARCH("liveramp",$C635))),"DELETE",$A635="agile-bonbon-662",_xlfn.IFS(LEFT($G635,9)="Tranche 1","DELETE",$C635="Sessions_Level_1_All_Sites","KEEP",ISNUMBER(--$C635),"REVIEW — UA raw logs",$C635="Emag_Reporting","KEEP",$C635="Nutrition_Data_Archived_Tables","KEEP",$C635="EU_Data","KEEP",TRUE,"REVIEW"),OR($A635="thg-influencer",$A635="thg-ingenuity",$A635="thg-central-marketing",$A635="thg-seoclarity"),"HOLD",TRUE,"")</f>
        <v/>
      </c>
      <c r="R635" t="str" cm="1">
        <f t="array" ref="R635">_xlfn.IFS(AND($A635="thg-beauty",ISNUMBER(SEARCH("liveramp",$C635))),"thg-beauty Liveramp dataset — confirmed safe to delete",$A635="agile-bonbon-662",_xlfn.IFS(LEFT($G635,9)="Tranche 1","Tranche 1: cleared",$C635="Sessions_Level_1_All_Sites","Downstream aggregation of UA raw logs — keep if raw tables go",ISNUMBER(--$C635),"UA raw site logs (account ID) — keep pending audit-retention check",$C635="Emag_Reporting","Legacy but likely needed",$C635="Nutrition_Data_Archived_Tables","Worth keeping",$C635="EU_Data","Static lookup tables — scripts still reference (smoke-test risk)",TRUE,"Review"),OR($A635="thg-influencer",$A635="thg-ingenuity",$A635="thg-central-marketing",$A635="thg-seoclarity"),"HOLD — Charlie Stringer to review before deletion",TRUE,"")</f>
        <v/>
      </c>
      <c r="S635" t="s">
        <v>1631</v>
      </c>
    </row>
    <row r="636" spans="1:19" hidden="1">
      <c r="A636" t="s">
        <v>1702</v>
      </c>
      <c r="B636" t="s">
        <v>1619</v>
      </c>
      <c r="C636" t="s">
        <v>2188</v>
      </c>
      <c r="D636" s="2" t="s">
        <v>1621</v>
      </c>
      <c r="E636">
        <v>0.15</v>
      </c>
      <c r="F636">
        <v>0</v>
      </c>
      <c r="G636" t="s">
        <v>79</v>
      </c>
      <c r="H636" t="s">
        <v>81</v>
      </c>
      <c r="I636">
        <v>0</v>
      </c>
      <c r="J636">
        <v>0</v>
      </c>
      <c r="M636" s="2" t="s">
        <v>1715</v>
      </c>
      <c r="N636" s="2" t="s">
        <v>1701</v>
      </c>
      <c r="O636" s="5">
        <v>46196.592926562502</v>
      </c>
      <c r="P636" t="str">
        <f>IF($Q636="DELETE",IF($S636="CONFIRMED: NO MODS &gt; 1YR","CONFIRMED: NO MODS &gt; 1YR","DO NOT DELETE — not defensibly confirmed"),IF($Q636="HOLD","DO NOT DELETE — HOLD (Charlie review)",IF($Q636="KEEP","DO NOT DELETE — KEEP",IF(ISNUMBER(SEARCH("REVIEW",$Q636)),"DO NOT DELETE — REVIEW pending",$S636))))</f>
        <v>REVIEW</v>
      </c>
      <c r="Q636" t="str" cm="1">
        <f t="array" ref="Q636">_xlfn.IFS(AND($A636="thg-beauty",ISNUMBER(SEARCH("liveramp",$C636))),"DELETE",$A636="agile-bonbon-662",_xlfn.IFS(LEFT($G636,9)="Tranche 1","DELETE",$C636="Sessions_Level_1_All_Sites","KEEP",ISNUMBER(--$C636),"REVIEW — UA raw logs",$C636="Emag_Reporting","KEEP",$C636="Nutrition_Data_Archived_Tables","KEEP",$C636="EU_Data","KEEP",TRUE,"REVIEW"),OR($A636="thg-influencer",$A636="thg-ingenuity",$A636="thg-central-marketing",$A636="thg-seoclarity"),"HOLD",TRUE,"")</f>
        <v/>
      </c>
      <c r="R636" t="str" cm="1">
        <f t="array" ref="R636">_xlfn.IFS(AND($A636="thg-beauty",ISNUMBER(SEARCH("liveramp",$C636))),"thg-beauty Liveramp dataset — confirmed safe to delete",$A636="agile-bonbon-662",_xlfn.IFS(LEFT($G636,9)="Tranche 1","Tranche 1: cleared",$C636="Sessions_Level_1_All_Sites","Downstream aggregation of UA raw logs — keep if raw tables go",ISNUMBER(--$C636),"UA raw site logs (account ID) — keep pending audit-retention check",$C636="Emag_Reporting","Legacy but likely needed",$C636="Nutrition_Data_Archived_Tables","Worth keeping",$C636="EU_Data","Static lookup tables — scripts still reference (smoke-test risk)",TRUE,"Review"),OR($A636="thg-influencer",$A636="thg-ingenuity",$A636="thg-central-marketing",$A636="thg-seoclarity"),"HOLD — Charlie Stringer to review before deletion",TRUE,"")</f>
        <v/>
      </c>
      <c r="S636" t="s">
        <v>1631</v>
      </c>
    </row>
    <row r="637" spans="1:19" ht="76.5" hidden="1">
      <c r="A637" t="s">
        <v>90</v>
      </c>
      <c r="B637" t="s">
        <v>1619</v>
      </c>
      <c r="C637" t="s">
        <v>3069</v>
      </c>
      <c r="D637" s="2" t="s">
        <v>1621</v>
      </c>
      <c r="E637">
        <v>0.13</v>
      </c>
      <c r="F637">
        <v>0</v>
      </c>
      <c r="G637" t="s">
        <v>79</v>
      </c>
      <c r="H637" t="s">
        <v>81</v>
      </c>
      <c r="I637">
        <v>0</v>
      </c>
      <c r="J637">
        <v>0</v>
      </c>
      <c r="K637" s="5">
        <v>46141.387186192129</v>
      </c>
      <c r="L637" s="5">
        <v>46196.527861736111</v>
      </c>
      <c r="M637" s="2" t="s">
        <v>1807</v>
      </c>
      <c r="N637" s="2" t="s">
        <v>3070</v>
      </c>
      <c r="O637" s="5">
        <v>46196.527884895833</v>
      </c>
      <c r="P637" t="str">
        <f>IF($Q637="DELETE",IF($S637="CONFIRMED: NO MODS &gt; 1YR","CONFIRMED: NO MODS &gt; 1YR","DO NOT DELETE — not defensibly confirmed"),IF($Q637="HOLD","DO NOT DELETE — HOLD (Charlie review)",IF($Q637="KEEP","DO NOT DELETE — KEEP",IF(ISNUMBER(SEARCH("REVIEW",$Q637)),"DO NOT DELETE — REVIEW pending",$S637))))</f>
        <v>REVIEW</v>
      </c>
      <c r="Q637" t="str" cm="1">
        <f t="array" ref="Q637">_xlfn.IFS(AND($A637="thg-beauty",ISNUMBER(SEARCH("liveramp",$C637))),"DELETE",$A637="agile-bonbon-662",_xlfn.IFS(LEFT($G637,9)="Tranche 1","DELETE",$C637="Sessions_Level_1_All_Sites","KEEP",ISNUMBER(--$C637),"REVIEW — UA raw logs",$C637="Emag_Reporting","KEEP",$C637="Nutrition_Data_Archived_Tables","KEEP",$C637="EU_Data","KEEP",TRUE,"REVIEW"),OR($A637="thg-influencer",$A637="thg-ingenuity",$A637="thg-central-marketing",$A637="thg-seoclarity"),"HOLD",TRUE,"")</f>
        <v/>
      </c>
      <c r="R637" t="str" cm="1">
        <f t="array" ref="R637">_xlfn.IFS(AND($A637="thg-beauty",ISNUMBER(SEARCH("liveramp",$C637))),"thg-beauty Liveramp dataset — confirmed safe to delete",$A637="agile-bonbon-662",_xlfn.IFS(LEFT($G637,9)="Tranche 1","Tranche 1: cleared",$C637="Sessions_Level_1_All_Sites","Downstream aggregation of UA raw logs — keep if raw tables go",ISNUMBER(--$C637),"UA raw site logs (account ID) — keep pending audit-retention check",$C637="Emag_Reporting","Legacy but likely needed",$C637="Nutrition_Data_Archived_Tables","Worth keeping",$C637="EU_Data","Static lookup tables — scripts still reference (smoke-test risk)",TRUE,"Review"),OR($A637="thg-influencer",$A637="thg-ingenuity",$A637="thg-central-marketing",$A637="thg-seoclarity"),"HOLD — Charlie Stringer to review before deletion",TRUE,"")</f>
        <v/>
      </c>
      <c r="S637" t="s">
        <v>1631</v>
      </c>
    </row>
    <row r="638" spans="1:19" ht="76.5" hidden="1">
      <c r="A638" t="s">
        <v>92</v>
      </c>
      <c r="B638" t="s">
        <v>1619</v>
      </c>
      <c r="C638" t="s">
        <v>3071</v>
      </c>
      <c r="D638" s="2" t="s">
        <v>1621</v>
      </c>
      <c r="E638">
        <v>0.13</v>
      </c>
      <c r="F638">
        <v>0</v>
      </c>
      <c r="G638" t="s">
        <v>79</v>
      </c>
      <c r="H638" t="s">
        <v>81</v>
      </c>
      <c r="I638">
        <v>0</v>
      </c>
      <c r="J638">
        <v>0</v>
      </c>
      <c r="K638" s="5">
        <v>46197.293424131953</v>
      </c>
      <c r="L638" s="5">
        <v>46197.11922792824</v>
      </c>
      <c r="M638" s="2" t="s">
        <v>3072</v>
      </c>
      <c r="N638" s="2" t="s">
        <v>3073</v>
      </c>
      <c r="O638" s="5">
        <v>46197.119733333333</v>
      </c>
      <c r="P638" t="str">
        <f>IF($Q638="DELETE",IF($S638="CONFIRMED: NO MODS &gt; 1YR","CONFIRMED: NO MODS &gt; 1YR","DO NOT DELETE — not defensibly confirmed"),IF($Q638="HOLD","DO NOT DELETE — HOLD (Charlie review)",IF($Q638="KEEP","DO NOT DELETE — KEEP",IF(ISNUMBER(SEARCH("REVIEW",$Q638)),"DO NOT DELETE — REVIEW pending",$S638))))</f>
        <v>REVIEW</v>
      </c>
      <c r="Q638" t="str" cm="1">
        <f t="array" ref="Q638">_xlfn.IFS(AND($A638="thg-beauty",ISNUMBER(SEARCH("liveramp",$C638))),"DELETE",$A638="agile-bonbon-662",_xlfn.IFS(LEFT($G638,9)="Tranche 1","DELETE",$C638="Sessions_Level_1_All_Sites","KEEP",ISNUMBER(--$C638),"REVIEW — UA raw logs",$C638="Emag_Reporting","KEEP",$C638="Nutrition_Data_Archived_Tables","KEEP",$C638="EU_Data","KEEP",TRUE,"REVIEW"),OR($A638="thg-influencer",$A638="thg-ingenuity",$A638="thg-central-marketing",$A638="thg-seoclarity"),"HOLD",TRUE,"")</f>
        <v/>
      </c>
      <c r="R638" t="str" cm="1">
        <f t="array" ref="R638">_xlfn.IFS(AND($A638="thg-beauty",ISNUMBER(SEARCH("liveramp",$C638))),"thg-beauty Liveramp dataset — confirmed safe to delete",$A638="agile-bonbon-662",_xlfn.IFS(LEFT($G638,9)="Tranche 1","Tranche 1: cleared",$C638="Sessions_Level_1_All_Sites","Downstream aggregation of UA raw logs — keep if raw tables go",ISNUMBER(--$C638),"UA raw site logs (account ID) — keep pending audit-retention check",$C638="Emag_Reporting","Legacy but likely needed",$C638="Nutrition_Data_Archived_Tables","Worth keeping",$C638="EU_Data","Static lookup tables — scripts still reference (smoke-test risk)",TRUE,"Review"),OR($A638="thg-influencer",$A638="thg-ingenuity",$A638="thg-central-marketing",$A638="thg-seoclarity"),"HOLD — Charlie Stringer to review before deletion",TRUE,"")</f>
        <v/>
      </c>
      <c r="S638" t="s">
        <v>1631</v>
      </c>
    </row>
    <row r="639" spans="1:19" ht="76.5" hidden="1">
      <c r="A639" t="s">
        <v>35</v>
      </c>
      <c r="B639" t="s">
        <v>1619</v>
      </c>
      <c r="C639" t="s">
        <v>3074</v>
      </c>
      <c r="D639" s="2" t="s">
        <v>1621</v>
      </c>
      <c r="E639">
        <v>0.13</v>
      </c>
      <c r="F639">
        <v>0</v>
      </c>
      <c r="G639" t="s">
        <v>79</v>
      </c>
      <c r="H639" t="s">
        <v>81</v>
      </c>
      <c r="I639">
        <v>0</v>
      </c>
      <c r="J639">
        <v>0</v>
      </c>
      <c r="L639" s="5">
        <v>46197.103044062504</v>
      </c>
      <c r="M639" s="2" t="s">
        <v>1715</v>
      </c>
      <c r="N639" s="2" t="s">
        <v>3075</v>
      </c>
      <c r="O639" s="5">
        <v>46197.103187488428</v>
      </c>
      <c r="P639" t="str">
        <f>IF($Q639="DELETE",IF($S639="CONFIRMED: NO MODS &gt; 1YR","CONFIRMED: NO MODS &gt; 1YR","DO NOT DELETE — not defensibly confirmed"),IF($Q639="HOLD","DO NOT DELETE — HOLD (Charlie review)",IF($Q639="KEEP","DO NOT DELETE — KEEP",IF(ISNUMBER(SEARCH("REVIEW",$Q639)),"DO NOT DELETE — REVIEW pending",$S639))))</f>
        <v>DO NOT DELETE — HOLD (Charlie review)</v>
      </c>
      <c r="Q639" t="str" cm="1">
        <f t="array" ref="Q639">_xlfn.IFS(AND($A639="thg-beauty",ISNUMBER(SEARCH("liveramp",$C639))),"DELETE",$A639="agile-bonbon-662",_xlfn.IFS(LEFT($G639,9)="Tranche 1","DELETE",$C639="Sessions_Level_1_All_Sites","KEEP",ISNUMBER(--$C639),"REVIEW — UA raw logs",$C639="Emag_Reporting","KEEP",$C639="Nutrition_Data_Archived_Tables","KEEP",$C639="EU_Data","KEEP",TRUE,"REVIEW"),OR($A639="thg-influencer",$A639="thg-ingenuity",$A639="thg-central-marketing",$A639="thg-seoclarity"),"HOLD",TRUE,"")</f>
        <v>HOLD</v>
      </c>
      <c r="R639" t="str" cm="1">
        <f t="array" ref="R639">_xlfn.IFS(AND($A639="thg-beauty",ISNUMBER(SEARCH("liveramp",$C639))),"thg-beauty Liveramp dataset — confirmed safe to delete",$A639="agile-bonbon-662",_xlfn.IFS(LEFT($G639,9)="Tranche 1","Tranche 1: cleared",$C639="Sessions_Level_1_All_Sites","Downstream aggregation of UA raw logs — keep if raw tables go",ISNUMBER(--$C639),"UA raw site logs (account ID) — keep pending audit-retention check",$C639="Emag_Reporting","Legacy but likely needed",$C639="Nutrition_Data_Archived_Tables","Worth keeping",$C639="EU_Data","Static lookup tables — scripts still reference (smoke-test risk)",TRUE,"Review"),OR($A639="thg-influencer",$A639="thg-ingenuity",$A639="thg-central-marketing",$A639="thg-seoclarity"),"HOLD — Charlie Stringer to review before deletion",TRUE,"")</f>
        <v>HOLD — Charlie Stringer to review before deletion</v>
      </c>
      <c r="S639" t="s">
        <v>1631</v>
      </c>
    </row>
    <row r="640" spans="1:19" ht="76.5" hidden="1">
      <c r="A640" t="s">
        <v>35</v>
      </c>
      <c r="B640" t="s">
        <v>1619</v>
      </c>
      <c r="C640" t="s">
        <v>3076</v>
      </c>
      <c r="D640" s="2" t="s">
        <v>1621</v>
      </c>
      <c r="E640">
        <v>0.12</v>
      </c>
      <c r="F640">
        <v>0</v>
      </c>
      <c r="G640" t="s">
        <v>79</v>
      </c>
      <c r="H640" t="s">
        <v>81</v>
      </c>
      <c r="I640">
        <v>0</v>
      </c>
      <c r="J640">
        <v>0</v>
      </c>
      <c r="K640" s="5">
        <v>46197.118751284717</v>
      </c>
      <c r="L640" s="5">
        <v>46197.419449814814</v>
      </c>
      <c r="M640" s="2" t="s">
        <v>3077</v>
      </c>
      <c r="N640" s="2" t="s">
        <v>3078</v>
      </c>
      <c r="O640" s="5">
        <v>46197.419473530092</v>
      </c>
      <c r="P640" t="str">
        <f>IF($Q640="DELETE",IF($S640="CONFIRMED: NO MODS &gt; 1YR","CONFIRMED: NO MODS &gt; 1YR","DO NOT DELETE — not defensibly confirmed"),IF($Q640="HOLD","DO NOT DELETE — HOLD (Charlie review)",IF($Q640="KEEP","DO NOT DELETE — KEEP",IF(ISNUMBER(SEARCH("REVIEW",$Q640)),"DO NOT DELETE — REVIEW pending",$S640))))</f>
        <v>DO NOT DELETE — HOLD (Charlie review)</v>
      </c>
      <c r="Q640" t="str" cm="1">
        <f t="array" ref="Q640">_xlfn.IFS(AND($A640="thg-beauty",ISNUMBER(SEARCH("liveramp",$C640))),"DELETE",$A640="agile-bonbon-662",_xlfn.IFS(LEFT($G640,9)="Tranche 1","DELETE",$C640="Sessions_Level_1_All_Sites","KEEP",ISNUMBER(--$C640),"REVIEW — UA raw logs",$C640="Emag_Reporting","KEEP",$C640="Nutrition_Data_Archived_Tables","KEEP",$C640="EU_Data","KEEP",TRUE,"REVIEW"),OR($A640="thg-influencer",$A640="thg-ingenuity",$A640="thg-central-marketing",$A640="thg-seoclarity"),"HOLD",TRUE,"")</f>
        <v>HOLD</v>
      </c>
      <c r="R640" t="str" cm="1">
        <f t="array" ref="R640">_xlfn.IFS(AND($A640="thg-beauty",ISNUMBER(SEARCH("liveramp",$C640))),"thg-beauty Liveramp dataset — confirmed safe to delete",$A640="agile-bonbon-662",_xlfn.IFS(LEFT($G640,9)="Tranche 1","Tranche 1: cleared",$C640="Sessions_Level_1_All_Sites","Downstream aggregation of UA raw logs — keep if raw tables go",ISNUMBER(--$C640),"UA raw site logs (account ID) — keep pending audit-retention check",$C640="Emag_Reporting","Legacy but likely needed",$C640="Nutrition_Data_Archived_Tables","Worth keeping",$C640="EU_Data","Static lookup tables — scripts still reference (smoke-test risk)",TRUE,"Review"),OR($A640="thg-influencer",$A640="thg-ingenuity",$A640="thg-central-marketing",$A640="thg-seoclarity"),"HOLD — Charlie Stringer to review before deletion",TRUE,"")</f>
        <v>HOLD — Charlie Stringer to review before deletion</v>
      </c>
      <c r="S640" t="s">
        <v>1631</v>
      </c>
    </row>
    <row r="641" spans="1:19" ht="76.5" hidden="1">
      <c r="A641" t="s">
        <v>89</v>
      </c>
      <c r="B641" t="s">
        <v>1619</v>
      </c>
      <c r="C641" t="s">
        <v>3079</v>
      </c>
      <c r="D641" s="2" t="s">
        <v>1621</v>
      </c>
      <c r="E641">
        <v>0.11</v>
      </c>
      <c r="F641">
        <v>0</v>
      </c>
      <c r="G641" t="s">
        <v>79</v>
      </c>
      <c r="H641" t="s">
        <v>81</v>
      </c>
      <c r="I641">
        <v>0</v>
      </c>
      <c r="J641">
        <v>0</v>
      </c>
      <c r="K641" s="5">
        <v>46196.262415555553</v>
      </c>
      <c r="L641" s="5">
        <v>46197.198406921299</v>
      </c>
      <c r="M641" s="2" t="s">
        <v>3080</v>
      </c>
      <c r="N641" s="2" t="s">
        <v>3081</v>
      </c>
      <c r="O641" s="5">
        <v>46197.198458981482</v>
      </c>
      <c r="P641" t="str">
        <f>IF($Q641="DELETE",IF($S641="CONFIRMED: NO MODS &gt; 1YR","CONFIRMED: NO MODS &gt; 1YR","DO NOT DELETE — not defensibly confirmed"),IF($Q641="HOLD","DO NOT DELETE — HOLD (Charlie review)",IF($Q641="KEEP","DO NOT DELETE — KEEP",IF(ISNUMBER(SEARCH("REVIEW",$Q641)),"DO NOT DELETE — REVIEW pending",$S641))))</f>
        <v>DO NOT DELETE — REVIEW pending</v>
      </c>
      <c r="Q641" t="str" cm="1">
        <f t="array" ref="Q641">_xlfn.IFS(AND($A641="thg-beauty",ISNUMBER(SEARCH("liveramp",$C641))),"DELETE",$A641="agile-bonbon-662",_xlfn.IFS(LEFT($G641,9)="Tranche 1","DELETE",$C641="Sessions_Level_1_All_Sites","KEEP",ISNUMBER(--$C641),"REVIEW — UA raw logs",$C641="Emag_Reporting","KEEP",$C641="Nutrition_Data_Archived_Tables","KEEP",$C641="EU_Data","KEEP",TRUE,"REVIEW"),OR($A641="thg-influencer",$A641="thg-ingenuity",$A641="thg-central-marketing",$A641="thg-seoclarity"),"HOLD",TRUE,"")</f>
        <v>REVIEW</v>
      </c>
      <c r="R641" t="str" cm="1">
        <f t="array" ref="R641">_xlfn.IFS(AND($A641="thg-beauty",ISNUMBER(SEARCH("liveramp",$C641))),"thg-beauty Liveramp dataset — confirmed safe to delete",$A641="agile-bonbon-662",_xlfn.IFS(LEFT($G641,9)="Tranche 1","Tranche 1: cleared",$C641="Sessions_Level_1_All_Sites","Downstream aggregation of UA raw logs — keep if raw tables go",ISNUMBER(--$C641),"UA raw site logs (account ID) — keep pending audit-retention check",$C641="Emag_Reporting","Legacy but likely needed",$C641="Nutrition_Data_Archived_Tables","Worth keeping",$C641="EU_Data","Static lookup tables — scripts still reference (smoke-test risk)",TRUE,"Review"),OR($A641="thg-influencer",$A641="thg-ingenuity",$A641="thg-central-marketing",$A641="thg-seoclarity"),"HOLD — Charlie Stringer to review before deletion",TRUE,"")</f>
        <v>Review</v>
      </c>
      <c r="S641" t="s">
        <v>1631</v>
      </c>
    </row>
    <row r="642" spans="1:19" ht="76.5" hidden="1">
      <c r="A642" t="s">
        <v>89</v>
      </c>
      <c r="B642" t="s">
        <v>1619</v>
      </c>
      <c r="C642" t="s">
        <v>3082</v>
      </c>
      <c r="D642" s="2" t="s">
        <v>1621</v>
      </c>
      <c r="E642">
        <v>0.11</v>
      </c>
      <c r="F642">
        <v>0</v>
      </c>
      <c r="G642" t="s">
        <v>79</v>
      </c>
      <c r="H642" t="s">
        <v>81</v>
      </c>
      <c r="I642">
        <v>0</v>
      </c>
      <c r="J642">
        <v>0</v>
      </c>
      <c r="K642" s="5">
        <v>46197.417627256953</v>
      </c>
      <c r="L642" s="5">
        <v>46197.39188599537</v>
      </c>
      <c r="M642" s="2" t="s">
        <v>3083</v>
      </c>
      <c r="N642" s="2" t="s">
        <v>3084</v>
      </c>
      <c r="O642" s="5">
        <v>46197.39196760417</v>
      </c>
      <c r="P642" t="str">
        <f>IF($Q642="DELETE",IF($S642="CONFIRMED: NO MODS &gt; 1YR","CONFIRMED: NO MODS &gt; 1YR","DO NOT DELETE — not defensibly confirmed"),IF($Q642="HOLD","DO NOT DELETE — HOLD (Charlie review)",IF($Q642="KEEP","DO NOT DELETE — KEEP",IF(ISNUMBER(SEARCH("REVIEW",$Q642)),"DO NOT DELETE — REVIEW pending",$S642))))</f>
        <v>DO NOT DELETE — REVIEW pending</v>
      </c>
      <c r="Q642" t="str" cm="1">
        <f t="array" ref="Q642">_xlfn.IFS(AND($A642="thg-beauty",ISNUMBER(SEARCH("liveramp",$C642))),"DELETE",$A642="agile-bonbon-662",_xlfn.IFS(LEFT($G642,9)="Tranche 1","DELETE",$C642="Sessions_Level_1_All_Sites","KEEP",ISNUMBER(--$C642),"REVIEW — UA raw logs",$C642="Emag_Reporting","KEEP",$C642="Nutrition_Data_Archived_Tables","KEEP",$C642="EU_Data","KEEP",TRUE,"REVIEW"),OR($A642="thg-influencer",$A642="thg-ingenuity",$A642="thg-central-marketing",$A642="thg-seoclarity"),"HOLD",TRUE,"")</f>
        <v>REVIEW</v>
      </c>
      <c r="R642" t="str" cm="1">
        <f t="array" ref="R642">_xlfn.IFS(AND($A642="thg-beauty",ISNUMBER(SEARCH("liveramp",$C642))),"thg-beauty Liveramp dataset — confirmed safe to delete",$A642="agile-bonbon-662",_xlfn.IFS(LEFT($G642,9)="Tranche 1","Tranche 1: cleared",$C642="Sessions_Level_1_All_Sites","Downstream aggregation of UA raw logs — keep if raw tables go",ISNUMBER(--$C642),"UA raw site logs (account ID) — keep pending audit-retention check",$C642="Emag_Reporting","Legacy but likely needed",$C642="Nutrition_Data_Archived_Tables","Worth keeping",$C642="EU_Data","Static lookup tables — scripts still reference (smoke-test risk)",TRUE,"Review"),OR($A642="thg-influencer",$A642="thg-ingenuity",$A642="thg-central-marketing",$A642="thg-seoclarity"),"HOLD — Charlie Stringer to review before deletion",TRUE,"")</f>
        <v>Review</v>
      </c>
      <c r="S642" t="s">
        <v>1631</v>
      </c>
    </row>
    <row r="643" spans="1:19" ht="76.5" hidden="1">
      <c r="A643" t="s">
        <v>91</v>
      </c>
      <c r="B643" t="s">
        <v>1619</v>
      </c>
      <c r="C643" t="s">
        <v>2239</v>
      </c>
      <c r="E643">
        <v>0.11</v>
      </c>
      <c r="F643">
        <v>0</v>
      </c>
      <c r="G643" t="s">
        <v>79</v>
      </c>
      <c r="H643" t="s">
        <v>81</v>
      </c>
      <c r="I643">
        <v>0</v>
      </c>
      <c r="J643">
        <v>0</v>
      </c>
      <c r="K643" s="5">
        <v>46197.451748032407</v>
      </c>
      <c r="L643" s="5">
        <v>46144.340898263887</v>
      </c>
      <c r="M643" s="2" t="s">
        <v>3085</v>
      </c>
      <c r="N643" s="2" t="s">
        <v>3086</v>
      </c>
      <c r="O643" s="5">
        <v>46197.433595092603</v>
      </c>
      <c r="P643" t="str">
        <f>IF($Q643="DELETE",IF($S643="CONFIRMED: NO MODS &gt; 1YR","CONFIRMED: NO MODS &gt; 1YR","DO NOT DELETE — not defensibly confirmed"),IF($Q643="HOLD","DO NOT DELETE — HOLD (Charlie review)",IF($Q643="KEEP","DO NOT DELETE — KEEP",IF(ISNUMBER(SEARCH("REVIEW",$Q643)),"DO NOT DELETE — REVIEW pending",$S643))))</f>
        <v>REVIEW</v>
      </c>
      <c r="Q643" t="str" cm="1">
        <f t="array" ref="Q643">_xlfn.IFS(AND($A643="thg-beauty",ISNUMBER(SEARCH("liveramp",$C643))),"DELETE",$A643="agile-bonbon-662",_xlfn.IFS(LEFT($G643,9)="Tranche 1","DELETE",$C643="Sessions_Level_1_All_Sites","KEEP",ISNUMBER(--$C643),"REVIEW — UA raw logs",$C643="Emag_Reporting","KEEP",$C643="Nutrition_Data_Archived_Tables","KEEP",$C643="EU_Data","KEEP",TRUE,"REVIEW"),OR($A643="thg-influencer",$A643="thg-ingenuity",$A643="thg-central-marketing",$A643="thg-seoclarity"),"HOLD",TRUE,"")</f>
        <v/>
      </c>
      <c r="R643" t="str" cm="1">
        <f t="array" ref="R643">_xlfn.IFS(AND($A643="thg-beauty",ISNUMBER(SEARCH("liveramp",$C643))),"thg-beauty Liveramp dataset — confirmed safe to delete",$A643="agile-bonbon-662",_xlfn.IFS(LEFT($G643,9)="Tranche 1","Tranche 1: cleared",$C643="Sessions_Level_1_All_Sites","Downstream aggregation of UA raw logs — keep if raw tables go",ISNUMBER(--$C643),"UA raw site logs (account ID) — keep pending audit-retention check",$C643="Emag_Reporting","Legacy but likely needed",$C643="Nutrition_Data_Archived_Tables","Worth keeping",$C643="EU_Data","Static lookup tables — scripts still reference (smoke-test risk)",TRUE,"Review"),OR($A643="thg-influencer",$A643="thg-ingenuity",$A643="thg-central-marketing",$A643="thg-seoclarity"),"HOLD — Charlie Stringer to review before deletion",TRUE,"")</f>
        <v/>
      </c>
      <c r="S643" t="s">
        <v>1631</v>
      </c>
    </row>
    <row r="644" spans="1:19" hidden="1">
      <c r="A644" t="s">
        <v>39</v>
      </c>
      <c r="B644" t="s">
        <v>1724</v>
      </c>
      <c r="C644" t="s">
        <v>3087</v>
      </c>
      <c r="D644" s="2" t="s">
        <v>1621</v>
      </c>
      <c r="E644">
        <v>0.11</v>
      </c>
      <c r="F644">
        <v>0</v>
      </c>
      <c r="G644" t="s">
        <v>79</v>
      </c>
      <c r="H644" t="s">
        <v>81</v>
      </c>
      <c r="I644">
        <v>0</v>
      </c>
      <c r="J644">
        <v>0</v>
      </c>
      <c r="M644" s="2" t="s">
        <v>1715</v>
      </c>
      <c r="N644" s="2" t="s">
        <v>1701</v>
      </c>
      <c r="O644" s="5">
        <v>46197.434166608793</v>
      </c>
      <c r="P644" t="str">
        <f>IF($Q644="DELETE",IF($S644="CONFIRMED: NO MODS &gt; 1YR","CONFIRMED: NO MODS &gt; 1YR","DO NOT DELETE — not defensibly confirmed"),IF($Q644="HOLD","DO NOT DELETE — HOLD (Charlie review)",IF($Q644="KEEP","DO NOT DELETE — KEEP",IF(ISNUMBER(SEARCH("REVIEW",$Q644)),"DO NOT DELETE — REVIEW pending",$S644))))</f>
        <v>DO NOT DELETE — HOLD (Charlie review)</v>
      </c>
      <c r="Q644" t="str" cm="1">
        <f t="array" ref="Q644">_xlfn.IFS(AND($A644="thg-beauty",ISNUMBER(SEARCH("liveramp",$C644))),"DELETE",$A644="agile-bonbon-662",_xlfn.IFS(LEFT($G644,9)="Tranche 1","DELETE",$C644="Sessions_Level_1_All_Sites","KEEP",ISNUMBER(--$C644),"REVIEW — UA raw logs",$C644="Emag_Reporting","KEEP",$C644="Nutrition_Data_Archived_Tables","KEEP",$C644="EU_Data","KEEP",TRUE,"REVIEW"),OR($A644="thg-influencer",$A644="thg-ingenuity",$A644="thg-central-marketing",$A644="thg-seoclarity"),"HOLD",TRUE,"")</f>
        <v>HOLD</v>
      </c>
      <c r="R644" t="str" cm="1">
        <f t="array" ref="R644">_xlfn.IFS(AND($A644="thg-beauty",ISNUMBER(SEARCH("liveramp",$C644))),"thg-beauty Liveramp dataset — confirmed safe to delete",$A644="agile-bonbon-662",_xlfn.IFS(LEFT($G644,9)="Tranche 1","Tranche 1: cleared",$C644="Sessions_Level_1_All_Sites","Downstream aggregation of UA raw logs — keep if raw tables go",ISNUMBER(--$C644),"UA raw site logs (account ID) — keep pending audit-retention check",$C644="Emag_Reporting","Legacy but likely needed",$C644="Nutrition_Data_Archived_Tables","Worth keeping",$C644="EU_Data","Static lookup tables — scripts still reference (smoke-test risk)",TRUE,"Review"),OR($A644="thg-influencer",$A644="thg-ingenuity",$A644="thg-central-marketing",$A644="thg-seoclarity"),"HOLD — Charlie Stringer to review before deletion",TRUE,"")</f>
        <v>HOLD — Charlie Stringer to review before deletion</v>
      </c>
      <c r="S644" t="s">
        <v>1631</v>
      </c>
    </row>
    <row r="645" spans="1:19" ht="76.5" hidden="1">
      <c r="A645" t="s">
        <v>39</v>
      </c>
      <c r="B645" t="s">
        <v>1619</v>
      </c>
      <c r="C645" t="s">
        <v>3087</v>
      </c>
      <c r="D645" s="2" t="s">
        <v>1621</v>
      </c>
      <c r="E645">
        <v>0.11</v>
      </c>
      <c r="F645">
        <v>0</v>
      </c>
      <c r="G645" t="s">
        <v>79</v>
      </c>
      <c r="H645" t="s">
        <v>81</v>
      </c>
      <c r="I645">
        <v>0</v>
      </c>
      <c r="J645">
        <v>0</v>
      </c>
      <c r="K645" s="5">
        <v>46197.434883796297</v>
      </c>
      <c r="L645" s="5">
        <v>46197.434144317129</v>
      </c>
      <c r="M645" s="2" t="s">
        <v>3088</v>
      </c>
      <c r="N645" s="2" t="s">
        <v>3089</v>
      </c>
      <c r="O645" s="5">
        <v>46197.434166608793</v>
      </c>
      <c r="P645" t="str">
        <f>IF($Q645="DELETE",IF($S645="CONFIRMED: NO MODS &gt; 1YR","CONFIRMED: NO MODS &gt; 1YR","DO NOT DELETE — not defensibly confirmed"),IF($Q645="HOLD","DO NOT DELETE — HOLD (Charlie review)",IF($Q645="KEEP","DO NOT DELETE — KEEP",IF(ISNUMBER(SEARCH("REVIEW",$Q645)),"DO NOT DELETE — REVIEW pending",$S645))))</f>
        <v>DO NOT DELETE — HOLD (Charlie review)</v>
      </c>
      <c r="Q645" t="str" cm="1">
        <f t="array" ref="Q645">_xlfn.IFS(AND($A645="thg-beauty",ISNUMBER(SEARCH("liveramp",$C645))),"DELETE",$A645="agile-bonbon-662",_xlfn.IFS(LEFT($G645,9)="Tranche 1","DELETE",$C645="Sessions_Level_1_All_Sites","KEEP",ISNUMBER(--$C645),"REVIEW — UA raw logs",$C645="Emag_Reporting","KEEP",$C645="Nutrition_Data_Archived_Tables","KEEP",$C645="EU_Data","KEEP",TRUE,"REVIEW"),OR($A645="thg-influencer",$A645="thg-ingenuity",$A645="thg-central-marketing",$A645="thg-seoclarity"),"HOLD",TRUE,"")</f>
        <v>HOLD</v>
      </c>
      <c r="R645" t="str" cm="1">
        <f t="array" ref="R645">_xlfn.IFS(AND($A645="thg-beauty",ISNUMBER(SEARCH("liveramp",$C645))),"thg-beauty Liveramp dataset — confirmed safe to delete",$A645="agile-bonbon-662",_xlfn.IFS(LEFT($G645,9)="Tranche 1","Tranche 1: cleared",$C645="Sessions_Level_1_All_Sites","Downstream aggregation of UA raw logs — keep if raw tables go",ISNUMBER(--$C645),"UA raw site logs (account ID) — keep pending audit-retention check",$C645="Emag_Reporting","Legacy but likely needed",$C645="Nutrition_Data_Archived_Tables","Worth keeping",$C645="EU_Data","Static lookup tables — scripts still reference (smoke-test risk)",TRUE,"Review"),OR($A645="thg-influencer",$A645="thg-ingenuity",$A645="thg-central-marketing",$A645="thg-seoclarity"),"HOLD — Charlie Stringer to review before deletion",TRUE,"")</f>
        <v>HOLD — Charlie Stringer to review before deletion</v>
      </c>
      <c r="S645" t="s">
        <v>1631</v>
      </c>
    </row>
    <row r="646" spans="1:19" ht="76.5" hidden="1">
      <c r="A646" t="s">
        <v>1907</v>
      </c>
      <c r="B646" t="s">
        <v>1724</v>
      </c>
      <c r="C646" t="s">
        <v>3090</v>
      </c>
      <c r="D646" s="2" t="s">
        <v>3091</v>
      </c>
      <c r="E646">
        <v>0.11</v>
      </c>
      <c r="F646">
        <v>0</v>
      </c>
      <c r="G646" t="s">
        <v>79</v>
      </c>
      <c r="H646" t="s">
        <v>81</v>
      </c>
      <c r="I646">
        <v>0</v>
      </c>
      <c r="J646">
        <v>0</v>
      </c>
      <c r="K646" s="5">
        <v>46056.562219224543</v>
      </c>
      <c r="M646" s="2" t="s">
        <v>3092</v>
      </c>
      <c r="N646" s="2" t="s">
        <v>1701</v>
      </c>
      <c r="O646" s="5">
        <v>46197.334168831017</v>
      </c>
      <c r="P646" t="str">
        <f>IF($Q646="DELETE",IF($S646="CONFIRMED: NO MODS &gt; 1YR","CONFIRMED: NO MODS &gt; 1YR","DO NOT DELETE — not defensibly confirmed"),IF($Q646="HOLD","DO NOT DELETE — HOLD (Charlie review)",IF($Q646="KEEP","DO NOT DELETE — KEEP",IF(ISNUMBER(SEARCH("REVIEW",$Q646)),"DO NOT DELETE — REVIEW pending",$S646))))</f>
        <v>REVIEW</v>
      </c>
      <c r="Q646" t="str" cm="1">
        <f t="array" ref="Q646">_xlfn.IFS(AND($A646="thg-beauty",ISNUMBER(SEARCH("liveramp",$C646))),"DELETE",$A646="agile-bonbon-662",_xlfn.IFS(LEFT($G646,9)="Tranche 1","DELETE",$C646="Sessions_Level_1_All_Sites","KEEP",ISNUMBER(--$C646),"REVIEW — UA raw logs",$C646="Emag_Reporting","KEEP",$C646="Nutrition_Data_Archived_Tables","KEEP",$C646="EU_Data","KEEP",TRUE,"REVIEW"),OR($A646="thg-influencer",$A646="thg-ingenuity",$A646="thg-central-marketing",$A646="thg-seoclarity"),"HOLD",TRUE,"")</f>
        <v/>
      </c>
      <c r="R646" t="str" cm="1">
        <f t="array" ref="R646">_xlfn.IFS(AND($A646="thg-beauty",ISNUMBER(SEARCH("liveramp",$C646))),"thg-beauty Liveramp dataset — confirmed safe to delete",$A646="agile-bonbon-662",_xlfn.IFS(LEFT($G646,9)="Tranche 1","Tranche 1: cleared",$C646="Sessions_Level_1_All_Sites","Downstream aggregation of UA raw logs — keep if raw tables go",ISNUMBER(--$C646),"UA raw site logs (account ID) — keep pending audit-retention check",$C646="Emag_Reporting","Legacy but likely needed",$C646="Nutrition_Data_Archived_Tables","Worth keeping",$C646="EU_Data","Static lookup tables — scripts still reference (smoke-test risk)",TRUE,"Review"),OR($A646="thg-influencer",$A646="thg-ingenuity",$A646="thg-central-marketing",$A646="thg-seoclarity"),"HOLD — Charlie Stringer to review before deletion",TRUE,"")</f>
        <v/>
      </c>
      <c r="S646" t="s">
        <v>1631</v>
      </c>
    </row>
    <row r="647" spans="1:19" ht="76.5" hidden="1">
      <c r="A647" t="s">
        <v>1768</v>
      </c>
      <c r="B647" t="s">
        <v>1619</v>
      </c>
      <c r="C647" t="s">
        <v>1696</v>
      </c>
      <c r="D647" s="2" t="s">
        <v>1621</v>
      </c>
      <c r="E647">
        <v>0.11</v>
      </c>
      <c r="F647">
        <v>0</v>
      </c>
      <c r="G647" t="s">
        <v>79</v>
      </c>
      <c r="H647" t="s">
        <v>81</v>
      </c>
      <c r="I647">
        <v>0</v>
      </c>
      <c r="J647">
        <v>0</v>
      </c>
      <c r="L647" s="5">
        <v>46197.127298449072</v>
      </c>
      <c r="M647" s="2" t="s">
        <v>1715</v>
      </c>
      <c r="N647" s="2" t="s">
        <v>3093</v>
      </c>
      <c r="O647" s="5">
        <v>46197.127316064812</v>
      </c>
      <c r="P647" t="str">
        <f>IF($Q647="DELETE",IF($S647="CONFIRMED: NO MODS &gt; 1YR","CONFIRMED: NO MODS &gt; 1YR","DO NOT DELETE — not defensibly confirmed"),IF($Q647="HOLD","DO NOT DELETE — HOLD (Charlie review)",IF($Q647="KEEP","DO NOT DELETE — KEEP",IF(ISNUMBER(SEARCH("REVIEW",$Q647)),"DO NOT DELETE — REVIEW pending",$S647))))</f>
        <v>REVIEW</v>
      </c>
      <c r="Q647" t="str" cm="1">
        <f t="array" ref="Q647">_xlfn.IFS(AND($A647="thg-beauty",ISNUMBER(SEARCH("liveramp",$C647))),"DELETE",$A647="agile-bonbon-662",_xlfn.IFS(LEFT($G647,9)="Tranche 1","DELETE",$C647="Sessions_Level_1_All_Sites","KEEP",ISNUMBER(--$C647),"REVIEW — UA raw logs",$C647="Emag_Reporting","KEEP",$C647="Nutrition_Data_Archived_Tables","KEEP",$C647="EU_Data","KEEP",TRUE,"REVIEW"),OR($A647="thg-influencer",$A647="thg-ingenuity",$A647="thg-central-marketing",$A647="thg-seoclarity"),"HOLD",TRUE,"")</f>
        <v/>
      </c>
      <c r="R647" t="str" cm="1">
        <f t="array" ref="R647">_xlfn.IFS(AND($A647="thg-beauty",ISNUMBER(SEARCH("liveramp",$C647))),"thg-beauty Liveramp dataset — confirmed safe to delete",$A647="agile-bonbon-662",_xlfn.IFS(LEFT($G647,9)="Tranche 1","Tranche 1: cleared",$C647="Sessions_Level_1_All_Sites","Downstream aggregation of UA raw logs — keep if raw tables go",ISNUMBER(--$C647),"UA raw site logs (account ID) — keep pending audit-retention check",$C647="Emag_Reporting","Legacy but likely needed",$C647="Nutrition_Data_Archived_Tables","Worth keeping",$C647="EU_Data","Static lookup tables — scripts still reference (smoke-test risk)",TRUE,"Review"),OR($A647="thg-influencer",$A647="thg-ingenuity",$A647="thg-central-marketing",$A647="thg-seoclarity"),"HOLD — Charlie Stringer to review before deletion",TRUE,"")</f>
        <v/>
      </c>
      <c r="S647" t="s">
        <v>1631</v>
      </c>
    </row>
    <row r="648" spans="1:19" ht="76.5" hidden="1">
      <c r="A648" t="s">
        <v>89</v>
      </c>
      <c r="B648" t="s">
        <v>1619</v>
      </c>
      <c r="C648" t="s">
        <v>3094</v>
      </c>
      <c r="D648" s="2" t="s">
        <v>1621</v>
      </c>
      <c r="E648">
        <v>0.1</v>
      </c>
      <c r="F648">
        <v>0</v>
      </c>
      <c r="G648" t="s">
        <v>79</v>
      </c>
      <c r="H648" t="s">
        <v>81</v>
      </c>
      <c r="I648">
        <v>0</v>
      </c>
      <c r="J648">
        <v>352</v>
      </c>
      <c r="K648" s="5">
        <v>46197.261134641201</v>
      </c>
      <c r="M648" s="2" t="s">
        <v>3095</v>
      </c>
      <c r="N648" s="2" t="s">
        <v>1701</v>
      </c>
      <c r="O648" s="5">
        <v>45845.395209224538</v>
      </c>
      <c r="P648" t="str">
        <f>IF($Q648="DELETE",IF($S648="CONFIRMED: NO MODS &gt; 1YR","CONFIRMED: NO MODS &gt; 1YR","DO NOT DELETE — not defensibly confirmed"),IF($Q648="HOLD","DO NOT DELETE — HOLD (Charlie review)",IF($Q648="KEEP","DO NOT DELETE — KEEP",IF(ISNUMBER(SEARCH("REVIEW",$Q648)),"DO NOT DELETE — REVIEW pending",$S648))))</f>
        <v>DO NOT DELETE — REVIEW pending</v>
      </c>
      <c r="Q648" t="str" cm="1">
        <f t="array" ref="Q648">_xlfn.IFS(AND($A648="thg-beauty",ISNUMBER(SEARCH("liveramp",$C648))),"DELETE",$A648="agile-bonbon-662",_xlfn.IFS(LEFT($G648,9)="Tranche 1","DELETE",$C648="Sessions_Level_1_All_Sites","KEEP",ISNUMBER(--$C648),"REVIEW — UA raw logs",$C648="Emag_Reporting","KEEP",$C648="Nutrition_Data_Archived_Tables","KEEP",$C648="EU_Data","KEEP",TRUE,"REVIEW"),OR($A648="thg-influencer",$A648="thg-ingenuity",$A648="thg-central-marketing",$A648="thg-seoclarity"),"HOLD",TRUE,"")</f>
        <v>REVIEW</v>
      </c>
      <c r="R648" t="str" cm="1">
        <f t="array" ref="R648">_xlfn.IFS(AND($A648="thg-beauty",ISNUMBER(SEARCH("liveramp",$C648))),"thg-beauty Liveramp dataset — confirmed safe to delete",$A648="agile-bonbon-662",_xlfn.IFS(LEFT($G648,9)="Tranche 1","Tranche 1: cleared",$C648="Sessions_Level_1_All_Sites","Downstream aggregation of UA raw logs — keep if raw tables go",ISNUMBER(--$C648),"UA raw site logs (account ID) — keep pending audit-retention check",$C648="Emag_Reporting","Legacy but likely needed",$C648="Nutrition_Data_Archived_Tables","Worth keeping",$C648="EU_Data","Static lookup tables — scripts still reference (smoke-test risk)",TRUE,"Review"),OR($A648="thg-influencer",$A648="thg-ingenuity",$A648="thg-central-marketing",$A648="thg-seoclarity"),"HOLD — Charlie Stringer to review before deletion",TRUE,"")</f>
        <v>Review</v>
      </c>
      <c r="S648" t="s">
        <v>1631</v>
      </c>
    </row>
    <row r="649" spans="1:19" ht="76.5" hidden="1">
      <c r="A649" t="s">
        <v>90</v>
      </c>
      <c r="B649" t="s">
        <v>1619</v>
      </c>
      <c r="C649" t="s">
        <v>3096</v>
      </c>
      <c r="D649" s="2" t="s">
        <v>1621</v>
      </c>
      <c r="E649">
        <v>0.09</v>
      </c>
      <c r="F649">
        <v>0</v>
      </c>
      <c r="G649" t="s">
        <v>79</v>
      </c>
      <c r="H649" t="s">
        <v>81</v>
      </c>
      <c r="I649">
        <v>0</v>
      </c>
      <c r="J649">
        <v>0</v>
      </c>
      <c r="K649" s="5">
        <v>46141.388217673608</v>
      </c>
      <c r="L649" s="5">
        <v>46197.208507488423</v>
      </c>
      <c r="M649" s="2" t="s">
        <v>3097</v>
      </c>
      <c r="N649" s="2" t="s">
        <v>3098</v>
      </c>
      <c r="O649" s="5">
        <v>46197.237264074072</v>
      </c>
      <c r="P649" t="str">
        <f>IF($Q649="DELETE",IF($S649="CONFIRMED: NO MODS &gt; 1YR","CONFIRMED: NO MODS &gt; 1YR","DO NOT DELETE — not defensibly confirmed"),IF($Q649="HOLD","DO NOT DELETE — HOLD (Charlie review)",IF($Q649="KEEP","DO NOT DELETE — KEEP",IF(ISNUMBER(SEARCH("REVIEW",$Q649)),"DO NOT DELETE — REVIEW pending",$S649))))</f>
        <v>REVIEW</v>
      </c>
      <c r="Q649" t="str" cm="1">
        <f t="array" ref="Q649">_xlfn.IFS(AND($A649="thg-beauty",ISNUMBER(SEARCH("liveramp",$C649))),"DELETE",$A649="agile-bonbon-662",_xlfn.IFS(LEFT($G649,9)="Tranche 1","DELETE",$C649="Sessions_Level_1_All_Sites","KEEP",ISNUMBER(--$C649),"REVIEW — UA raw logs",$C649="Emag_Reporting","KEEP",$C649="Nutrition_Data_Archived_Tables","KEEP",$C649="EU_Data","KEEP",TRUE,"REVIEW"),OR($A649="thg-influencer",$A649="thg-ingenuity",$A649="thg-central-marketing",$A649="thg-seoclarity"),"HOLD",TRUE,"")</f>
        <v/>
      </c>
      <c r="R649" t="str" cm="1">
        <f t="array" ref="R649">_xlfn.IFS(AND($A649="thg-beauty",ISNUMBER(SEARCH("liveramp",$C649))),"thg-beauty Liveramp dataset — confirmed safe to delete",$A649="agile-bonbon-662",_xlfn.IFS(LEFT($G649,9)="Tranche 1","Tranche 1: cleared",$C649="Sessions_Level_1_All_Sites","Downstream aggregation of UA raw logs — keep if raw tables go",ISNUMBER(--$C649),"UA raw site logs (account ID) — keep pending audit-retention check",$C649="Emag_Reporting","Legacy but likely needed",$C649="Nutrition_Data_Archived_Tables","Worth keeping",$C649="EU_Data","Static lookup tables — scripts still reference (smoke-test risk)",TRUE,"Review"),OR($A649="thg-influencer",$A649="thg-ingenuity",$A649="thg-central-marketing",$A649="thg-seoclarity"),"HOLD — Charlie Stringer to review before deletion",TRUE,"")</f>
        <v/>
      </c>
      <c r="S649" t="s">
        <v>1631</v>
      </c>
    </row>
    <row r="650" spans="1:19" ht="76.5" hidden="1">
      <c r="A650" t="s">
        <v>90</v>
      </c>
      <c r="B650" t="s">
        <v>1619</v>
      </c>
      <c r="C650" t="s">
        <v>3099</v>
      </c>
      <c r="D650" s="2" t="s">
        <v>1621</v>
      </c>
      <c r="E650">
        <v>0.09</v>
      </c>
      <c r="F650">
        <v>0</v>
      </c>
      <c r="G650" t="s">
        <v>79</v>
      </c>
      <c r="H650" t="s">
        <v>81</v>
      </c>
      <c r="I650">
        <v>0</v>
      </c>
      <c r="J650">
        <v>0</v>
      </c>
      <c r="K650" s="5">
        <v>46197.448320937503</v>
      </c>
      <c r="L650" s="5">
        <v>46197.448164687499</v>
      </c>
      <c r="M650" s="2" t="s">
        <v>2382</v>
      </c>
      <c r="N650" s="2" t="s">
        <v>3100</v>
      </c>
      <c r="O650" s="5">
        <v>46197.438093206023</v>
      </c>
      <c r="P650" t="str">
        <f>IF($Q650="DELETE",IF($S650="CONFIRMED: NO MODS &gt; 1YR","CONFIRMED: NO MODS &gt; 1YR","DO NOT DELETE — not defensibly confirmed"),IF($Q650="HOLD","DO NOT DELETE — HOLD (Charlie review)",IF($Q650="KEEP","DO NOT DELETE — KEEP",IF(ISNUMBER(SEARCH("REVIEW",$Q650)),"DO NOT DELETE — REVIEW pending",$S650))))</f>
        <v>REVIEW</v>
      </c>
      <c r="Q650" t="str" cm="1">
        <f t="array" ref="Q650">_xlfn.IFS(AND($A650="thg-beauty",ISNUMBER(SEARCH("liveramp",$C650))),"DELETE",$A650="agile-bonbon-662",_xlfn.IFS(LEFT($G650,9)="Tranche 1","DELETE",$C650="Sessions_Level_1_All_Sites","KEEP",ISNUMBER(--$C650),"REVIEW — UA raw logs",$C650="Emag_Reporting","KEEP",$C650="Nutrition_Data_Archived_Tables","KEEP",$C650="EU_Data","KEEP",TRUE,"REVIEW"),OR($A650="thg-influencer",$A650="thg-ingenuity",$A650="thg-central-marketing",$A650="thg-seoclarity"),"HOLD",TRUE,"")</f>
        <v/>
      </c>
      <c r="R650" t="str" cm="1">
        <f t="array" ref="R650">_xlfn.IFS(AND($A650="thg-beauty",ISNUMBER(SEARCH("liveramp",$C650))),"thg-beauty Liveramp dataset — confirmed safe to delete",$A650="agile-bonbon-662",_xlfn.IFS(LEFT($G650,9)="Tranche 1","Tranche 1: cleared",$C650="Sessions_Level_1_All_Sites","Downstream aggregation of UA raw logs — keep if raw tables go",ISNUMBER(--$C650),"UA raw site logs (account ID) — keep pending audit-retention check",$C650="Emag_Reporting","Legacy but likely needed",$C650="Nutrition_Data_Archived_Tables","Worth keeping",$C650="EU_Data","Static lookup tables — scripts still reference (smoke-test risk)",TRUE,"Review"),OR($A650="thg-influencer",$A650="thg-ingenuity",$A650="thg-central-marketing",$A650="thg-seoclarity"),"HOLD — Charlie Stringer to review before deletion",TRUE,"")</f>
        <v/>
      </c>
      <c r="S650" t="s">
        <v>1631</v>
      </c>
    </row>
    <row r="651" spans="1:19" ht="76.5" hidden="1">
      <c r="A651" t="s">
        <v>89</v>
      </c>
      <c r="B651" t="s">
        <v>1619</v>
      </c>
      <c r="C651" t="s">
        <v>3087</v>
      </c>
      <c r="D651" s="2" t="s">
        <v>1621</v>
      </c>
      <c r="E651">
        <v>0.09</v>
      </c>
      <c r="F651">
        <v>0</v>
      </c>
      <c r="G651" t="s">
        <v>79</v>
      </c>
      <c r="H651" t="s">
        <v>81</v>
      </c>
      <c r="I651">
        <v>0</v>
      </c>
      <c r="J651">
        <v>0</v>
      </c>
      <c r="K651" s="5">
        <v>46161.604107789353</v>
      </c>
      <c r="L651" s="5">
        <v>46197.062577048608</v>
      </c>
      <c r="M651" s="2" t="s">
        <v>3101</v>
      </c>
      <c r="N651" s="2" t="s">
        <v>3102</v>
      </c>
      <c r="O651" s="5">
        <v>46197.062702546304</v>
      </c>
      <c r="P651" t="str">
        <f>IF($Q651="DELETE",IF($S651="CONFIRMED: NO MODS &gt; 1YR","CONFIRMED: NO MODS &gt; 1YR","DO NOT DELETE — not defensibly confirmed"),IF($Q651="HOLD","DO NOT DELETE — HOLD (Charlie review)",IF($Q651="KEEP","DO NOT DELETE — KEEP",IF(ISNUMBER(SEARCH("REVIEW",$Q651)),"DO NOT DELETE — REVIEW pending",$S651))))</f>
        <v>DO NOT DELETE — REVIEW pending</v>
      </c>
      <c r="Q651" t="str" cm="1">
        <f t="array" ref="Q651">_xlfn.IFS(AND($A651="thg-beauty",ISNUMBER(SEARCH("liveramp",$C651))),"DELETE",$A651="agile-bonbon-662",_xlfn.IFS(LEFT($G651,9)="Tranche 1","DELETE",$C651="Sessions_Level_1_All_Sites","KEEP",ISNUMBER(--$C651),"REVIEW — UA raw logs",$C651="Emag_Reporting","KEEP",$C651="Nutrition_Data_Archived_Tables","KEEP",$C651="EU_Data","KEEP",TRUE,"REVIEW"),OR($A651="thg-influencer",$A651="thg-ingenuity",$A651="thg-central-marketing",$A651="thg-seoclarity"),"HOLD",TRUE,"")</f>
        <v>REVIEW</v>
      </c>
      <c r="R651" t="str" cm="1">
        <f t="array" ref="R651">_xlfn.IFS(AND($A651="thg-beauty",ISNUMBER(SEARCH("liveramp",$C651))),"thg-beauty Liveramp dataset — confirmed safe to delete",$A651="agile-bonbon-662",_xlfn.IFS(LEFT($G651,9)="Tranche 1","Tranche 1: cleared",$C651="Sessions_Level_1_All_Sites","Downstream aggregation of UA raw logs — keep if raw tables go",ISNUMBER(--$C651),"UA raw site logs (account ID) — keep pending audit-retention check",$C651="Emag_Reporting","Legacy but likely needed",$C651="Nutrition_Data_Archived_Tables","Worth keeping",$C651="EU_Data","Static lookup tables — scripts still reference (smoke-test risk)",TRUE,"Review"),OR($A651="thg-influencer",$A651="thg-ingenuity",$A651="thg-central-marketing",$A651="thg-seoclarity"),"HOLD — Charlie Stringer to review before deletion",TRUE,"")</f>
        <v>Review</v>
      </c>
      <c r="S651" t="s">
        <v>1631</v>
      </c>
    </row>
    <row r="652" spans="1:19" ht="76.5" hidden="1">
      <c r="A652" t="s">
        <v>89</v>
      </c>
      <c r="B652" t="s">
        <v>1619</v>
      </c>
      <c r="C652" t="s">
        <v>3103</v>
      </c>
      <c r="D652" s="2" t="s">
        <v>1621</v>
      </c>
      <c r="E652">
        <v>0.08</v>
      </c>
      <c r="F652">
        <v>0</v>
      </c>
      <c r="G652" t="s">
        <v>79</v>
      </c>
      <c r="H652" t="s">
        <v>81</v>
      </c>
      <c r="I652">
        <v>0</v>
      </c>
      <c r="J652">
        <v>0</v>
      </c>
      <c r="K652" s="5">
        <v>46197.065071539349</v>
      </c>
      <c r="L652" s="5">
        <v>46197.065273657397</v>
      </c>
      <c r="M652" s="2" t="s">
        <v>3104</v>
      </c>
      <c r="N652" s="2" t="s">
        <v>3105</v>
      </c>
      <c r="O652" s="5">
        <v>46197.065326435193</v>
      </c>
      <c r="P652" t="str">
        <f>IF($Q652="DELETE",IF($S652="CONFIRMED: NO MODS &gt; 1YR","CONFIRMED: NO MODS &gt; 1YR","DO NOT DELETE — not defensibly confirmed"),IF($Q652="HOLD","DO NOT DELETE — HOLD (Charlie review)",IF($Q652="KEEP","DO NOT DELETE — KEEP",IF(ISNUMBER(SEARCH("REVIEW",$Q652)),"DO NOT DELETE — REVIEW pending",$S652))))</f>
        <v>DO NOT DELETE — REVIEW pending</v>
      </c>
      <c r="Q652" t="str" cm="1">
        <f t="array" ref="Q652">_xlfn.IFS(AND($A652="thg-beauty",ISNUMBER(SEARCH("liveramp",$C652))),"DELETE",$A652="agile-bonbon-662",_xlfn.IFS(LEFT($G652,9)="Tranche 1","DELETE",$C652="Sessions_Level_1_All_Sites","KEEP",ISNUMBER(--$C652),"REVIEW — UA raw logs",$C652="Emag_Reporting","KEEP",$C652="Nutrition_Data_Archived_Tables","KEEP",$C652="EU_Data","KEEP",TRUE,"REVIEW"),OR($A652="thg-influencer",$A652="thg-ingenuity",$A652="thg-central-marketing",$A652="thg-seoclarity"),"HOLD",TRUE,"")</f>
        <v>REVIEW</v>
      </c>
      <c r="R652" t="str" cm="1">
        <f t="array" ref="R652">_xlfn.IFS(AND($A652="thg-beauty",ISNUMBER(SEARCH("liveramp",$C652))),"thg-beauty Liveramp dataset — confirmed safe to delete",$A652="agile-bonbon-662",_xlfn.IFS(LEFT($G652,9)="Tranche 1","Tranche 1: cleared",$C652="Sessions_Level_1_All_Sites","Downstream aggregation of UA raw logs — keep if raw tables go",ISNUMBER(--$C652),"UA raw site logs (account ID) — keep pending audit-retention check",$C652="Emag_Reporting","Legacy but likely needed",$C652="Nutrition_Data_Archived_Tables","Worth keeping",$C652="EU_Data","Static lookup tables — scripts still reference (smoke-test risk)",TRUE,"Review"),OR($A652="thg-influencer",$A652="thg-ingenuity",$A652="thg-central-marketing",$A652="thg-seoclarity"),"HOLD — Charlie Stringer to review before deletion",TRUE,"")</f>
        <v>Review</v>
      </c>
      <c r="S652" t="s">
        <v>1631</v>
      </c>
    </row>
    <row r="653" spans="1:19" ht="76.5" hidden="1">
      <c r="A653" t="s">
        <v>89</v>
      </c>
      <c r="B653" t="s">
        <v>1619</v>
      </c>
      <c r="C653" t="s">
        <v>3106</v>
      </c>
      <c r="D653" s="2" t="s">
        <v>1621</v>
      </c>
      <c r="E653">
        <v>0.08</v>
      </c>
      <c r="F653">
        <v>0</v>
      </c>
      <c r="G653" t="s">
        <v>79</v>
      </c>
      <c r="H653" t="s">
        <v>81</v>
      </c>
      <c r="I653">
        <v>0</v>
      </c>
      <c r="J653">
        <v>0</v>
      </c>
      <c r="K653" s="5">
        <v>46197.234098587956</v>
      </c>
      <c r="L653" s="5">
        <v>46197.014158958344</v>
      </c>
      <c r="M653" s="2" t="s">
        <v>3107</v>
      </c>
      <c r="N653" s="2" t="s">
        <v>3108</v>
      </c>
      <c r="O653" s="5">
        <v>46197.014201631937</v>
      </c>
      <c r="P653" t="str">
        <f>IF($Q653="DELETE",IF($S653="CONFIRMED: NO MODS &gt; 1YR","CONFIRMED: NO MODS &gt; 1YR","DO NOT DELETE — not defensibly confirmed"),IF($Q653="HOLD","DO NOT DELETE — HOLD (Charlie review)",IF($Q653="KEEP","DO NOT DELETE — KEEP",IF(ISNUMBER(SEARCH("REVIEW",$Q653)),"DO NOT DELETE — REVIEW pending",$S653))))</f>
        <v>DO NOT DELETE — REVIEW pending</v>
      </c>
      <c r="Q653" t="str" cm="1">
        <f t="array" ref="Q653">_xlfn.IFS(AND($A653="thg-beauty",ISNUMBER(SEARCH("liveramp",$C653))),"DELETE",$A653="agile-bonbon-662",_xlfn.IFS(LEFT($G653,9)="Tranche 1","DELETE",$C653="Sessions_Level_1_All_Sites","KEEP",ISNUMBER(--$C653),"REVIEW — UA raw logs",$C653="Emag_Reporting","KEEP",$C653="Nutrition_Data_Archived_Tables","KEEP",$C653="EU_Data","KEEP",TRUE,"REVIEW"),OR($A653="thg-influencer",$A653="thg-ingenuity",$A653="thg-central-marketing",$A653="thg-seoclarity"),"HOLD",TRUE,"")</f>
        <v>REVIEW</v>
      </c>
      <c r="R653" t="str" cm="1">
        <f t="array" ref="R653">_xlfn.IFS(AND($A653="thg-beauty",ISNUMBER(SEARCH("liveramp",$C653))),"thg-beauty Liveramp dataset — confirmed safe to delete",$A653="agile-bonbon-662",_xlfn.IFS(LEFT($G653,9)="Tranche 1","Tranche 1: cleared",$C653="Sessions_Level_1_All_Sites","Downstream aggregation of UA raw logs — keep if raw tables go",ISNUMBER(--$C653),"UA raw site logs (account ID) — keep pending audit-retention check",$C653="Emag_Reporting","Legacy but likely needed",$C653="Nutrition_Data_Archived_Tables","Worth keeping",$C653="EU_Data","Static lookup tables — scripts still reference (smoke-test risk)",TRUE,"Review"),OR($A653="thg-influencer",$A653="thg-ingenuity",$A653="thg-central-marketing",$A653="thg-seoclarity"),"HOLD — Charlie Stringer to review before deletion",TRUE,"")</f>
        <v>Review</v>
      </c>
      <c r="S653" t="s">
        <v>1631</v>
      </c>
    </row>
    <row r="654" spans="1:19" ht="76.5" hidden="1">
      <c r="A654" t="s">
        <v>89</v>
      </c>
      <c r="B654" t="s">
        <v>1619</v>
      </c>
      <c r="C654" t="s">
        <v>3109</v>
      </c>
      <c r="D654" s="2" t="s">
        <v>1621</v>
      </c>
      <c r="E654">
        <v>0.08</v>
      </c>
      <c r="F654">
        <v>0</v>
      </c>
      <c r="G654" t="s">
        <v>79</v>
      </c>
      <c r="H654" t="s">
        <v>81</v>
      </c>
      <c r="I654">
        <v>0</v>
      </c>
      <c r="J654">
        <v>0</v>
      </c>
      <c r="K654" s="5">
        <v>46197.222201064818</v>
      </c>
      <c r="L654" s="5">
        <v>46197.062607291657</v>
      </c>
      <c r="M654" s="2" t="s">
        <v>3110</v>
      </c>
      <c r="N654" s="2" t="s">
        <v>3111</v>
      </c>
      <c r="O654" s="5">
        <v>46197.062788437499</v>
      </c>
      <c r="P654" t="str">
        <f>IF($Q654="DELETE",IF($S654="CONFIRMED: NO MODS &gt; 1YR","CONFIRMED: NO MODS &gt; 1YR","DO NOT DELETE — not defensibly confirmed"),IF($Q654="HOLD","DO NOT DELETE — HOLD (Charlie review)",IF($Q654="KEEP","DO NOT DELETE — KEEP",IF(ISNUMBER(SEARCH("REVIEW",$Q654)),"DO NOT DELETE — REVIEW pending",$S654))))</f>
        <v>DO NOT DELETE — REVIEW pending</v>
      </c>
      <c r="Q654" t="str" cm="1">
        <f t="array" ref="Q654">_xlfn.IFS(AND($A654="thg-beauty",ISNUMBER(SEARCH("liveramp",$C654))),"DELETE",$A654="agile-bonbon-662",_xlfn.IFS(LEFT($G654,9)="Tranche 1","DELETE",$C654="Sessions_Level_1_All_Sites","KEEP",ISNUMBER(--$C654),"REVIEW — UA raw logs",$C654="Emag_Reporting","KEEP",$C654="Nutrition_Data_Archived_Tables","KEEP",$C654="EU_Data","KEEP",TRUE,"REVIEW"),OR($A654="thg-influencer",$A654="thg-ingenuity",$A654="thg-central-marketing",$A654="thg-seoclarity"),"HOLD",TRUE,"")</f>
        <v>REVIEW</v>
      </c>
      <c r="R654" t="str" cm="1">
        <f t="array" ref="R654">_xlfn.IFS(AND($A654="thg-beauty",ISNUMBER(SEARCH("liveramp",$C654))),"thg-beauty Liveramp dataset — confirmed safe to delete",$A654="agile-bonbon-662",_xlfn.IFS(LEFT($G654,9)="Tranche 1","Tranche 1: cleared",$C654="Sessions_Level_1_All_Sites","Downstream aggregation of UA raw logs — keep if raw tables go",ISNUMBER(--$C654),"UA raw site logs (account ID) — keep pending audit-retention check",$C654="Emag_Reporting","Legacy but likely needed",$C654="Nutrition_Data_Archived_Tables","Worth keeping",$C654="EU_Data","Static lookup tables — scripts still reference (smoke-test risk)",TRUE,"Review"),OR($A654="thg-influencer",$A654="thg-ingenuity",$A654="thg-central-marketing",$A654="thg-seoclarity"),"HOLD — Charlie Stringer to review before deletion",TRUE,"")</f>
        <v>Review</v>
      </c>
      <c r="S654" t="s">
        <v>1631</v>
      </c>
    </row>
    <row r="655" spans="1:19" hidden="1">
      <c r="A655" t="s">
        <v>39</v>
      </c>
      <c r="B655" t="s">
        <v>1724</v>
      </c>
      <c r="C655" t="s">
        <v>3109</v>
      </c>
      <c r="D655" s="2" t="s">
        <v>1621</v>
      </c>
      <c r="E655">
        <v>0.08</v>
      </c>
      <c r="F655">
        <v>0</v>
      </c>
      <c r="G655" t="s">
        <v>79</v>
      </c>
      <c r="H655" t="s">
        <v>81</v>
      </c>
      <c r="I655">
        <v>0</v>
      </c>
      <c r="J655">
        <v>0</v>
      </c>
      <c r="M655" s="2" t="s">
        <v>1715</v>
      </c>
      <c r="N655" s="2" t="s">
        <v>1701</v>
      </c>
      <c r="O655" s="5">
        <v>46197.434398437501</v>
      </c>
      <c r="P655" t="str">
        <f>IF($Q655="DELETE",IF($S655="CONFIRMED: NO MODS &gt; 1YR","CONFIRMED: NO MODS &gt; 1YR","DO NOT DELETE — not defensibly confirmed"),IF($Q655="HOLD","DO NOT DELETE — HOLD (Charlie review)",IF($Q655="KEEP","DO NOT DELETE — KEEP",IF(ISNUMBER(SEARCH("REVIEW",$Q655)),"DO NOT DELETE — REVIEW pending",$S655))))</f>
        <v>DO NOT DELETE — HOLD (Charlie review)</v>
      </c>
      <c r="Q655" t="str" cm="1">
        <f t="array" ref="Q655">_xlfn.IFS(AND($A655="thg-beauty",ISNUMBER(SEARCH("liveramp",$C655))),"DELETE",$A655="agile-bonbon-662",_xlfn.IFS(LEFT($G655,9)="Tranche 1","DELETE",$C655="Sessions_Level_1_All_Sites","KEEP",ISNUMBER(--$C655),"REVIEW — UA raw logs",$C655="Emag_Reporting","KEEP",$C655="Nutrition_Data_Archived_Tables","KEEP",$C655="EU_Data","KEEP",TRUE,"REVIEW"),OR($A655="thg-influencer",$A655="thg-ingenuity",$A655="thg-central-marketing",$A655="thg-seoclarity"),"HOLD",TRUE,"")</f>
        <v>HOLD</v>
      </c>
      <c r="R655" t="str" cm="1">
        <f t="array" ref="R655">_xlfn.IFS(AND($A655="thg-beauty",ISNUMBER(SEARCH("liveramp",$C655))),"thg-beauty Liveramp dataset — confirmed safe to delete",$A655="agile-bonbon-662",_xlfn.IFS(LEFT($G655,9)="Tranche 1","Tranche 1: cleared",$C655="Sessions_Level_1_All_Sites","Downstream aggregation of UA raw logs — keep if raw tables go",ISNUMBER(--$C655),"UA raw site logs (account ID) — keep pending audit-retention check",$C655="Emag_Reporting","Legacy but likely needed",$C655="Nutrition_Data_Archived_Tables","Worth keeping",$C655="EU_Data","Static lookup tables — scripts still reference (smoke-test risk)",TRUE,"Review"),OR($A655="thg-influencer",$A655="thg-ingenuity",$A655="thg-central-marketing",$A655="thg-seoclarity"),"HOLD — Charlie Stringer to review before deletion",TRUE,"")</f>
        <v>HOLD — Charlie Stringer to review before deletion</v>
      </c>
      <c r="S655" t="s">
        <v>1631</v>
      </c>
    </row>
    <row r="656" spans="1:19" ht="76.5" hidden="1">
      <c r="A656" t="s">
        <v>39</v>
      </c>
      <c r="B656" t="s">
        <v>1619</v>
      </c>
      <c r="C656" t="s">
        <v>3109</v>
      </c>
      <c r="D656" s="2" t="s">
        <v>1621</v>
      </c>
      <c r="E656">
        <v>0.08</v>
      </c>
      <c r="F656">
        <v>0</v>
      </c>
      <c r="G656" t="s">
        <v>79</v>
      </c>
      <c r="H656" t="s">
        <v>81</v>
      </c>
      <c r="I656">
        <v>0</v>
      </c>
      <c r="J656">
        <v>0</v>
      </c>
      <c r="K656" s="5">
        <v>46197.434883796297</v>
      </c>
      <c r="L656" s="5">
        <v>46197.434378437501</v>
      </c>
      <c r="M656" s="2" t="s">
        <v>3112</v>
      </c>
      <c r="N656" s="2" t="s">
        <v>3113</v>
      </c>
      <c r="O656" s="5">
        <v>46197.434398437501</v>
      </c>
      <c r="P656" t="str">
        <f>IF($Q656="DELETE",IF($S656="CONFIRMED: NO MODS &gt; 1YR","CONFIRMED: NO MODS &gt; 1YR","DO NOT DELETE — not defensibly confirmed"),IF($Q656="HOLD","DO NOT DELETE — HOLD (Charlie review)",IF($Q656="KEEP","DO NOT DELETE — KEEP",IF(ISNUMBER(SEARCH("REVIEW",$Q656)),"DO NOT DELETE — REVIEW pending",$S656))))</f>
        <v>DO NOT DELETE — HOLD (Charlie review)</v>
      </c>
      <c r="Q656" t="str" cm="1">
        <f t="array" ref="Q656">_xlfn.IFS(AND($A656="thg-beauty",ISNUMBER(SEARCH("liveramp",$C656))),"DELETE",$A656="agile-bonbon-662",_xlfn.IFS(LEFT($G656,9)="Tranche 1","DELETE",$C656="Sessions_Level_1_All_Sites","KEEP",ISNUMBER(--$C656),"REVIEW — UA raw logs",$C656="Emag_Reporting","KEEP",$C656="Nutrition_Data_Archived_Tables","KEEP",$C656="EU_Data","KEEP",TRUE,"REVIEW"),OR($A656="thg-influencer",$A656="thg-ingenuity",$A656="thg-central-marketing",$A656="thg-seoclarity"),"HOLD",TRUE,"")</f>
        <v>HOLD</v>
      </c>
      <c r="R656" t="str" cm="1">
        <f t="array" ref="R656">_xlfn.IFS(AND($A656="thg-beauty",ISNUMBER(SEARCH("liveramp",$C656))),"thg-beauty Liveramp dataset — confirmed safe to delete",$A656="agile-bonbon-662",_xlfn.IFS(LEFT($G656,9)="Tranche 1","Tranche 1: cleared",$C656="Sessions_Level_1_All_Sites","Downstream aggregation of UA raw logs — keep if raw tables go",ISNUMBER(--$C656),"UA raw site logs (account ID) — keep pending audit-retention check",$C656="Emag_Reporting","Legacy but likely needed",$C656="Nutrition_Data_Archived_Tables","Worth keeping",$C656="EU_Data","Static lookup tables — scripts still reference (smoke-test risk)",TRUE,"Review"),OR($A656="thg-influencer",$A656="thg-ingenuity",$A656="thg-central-marketing",$A656="thg-seoclarity"),"HOLD — Charlie Stringer to review before deletion",TRUE,"")</f>
        <v>HOLD — Charlie Stringer to review before deletion</v>
      </c>
      <c r="S656" t="s">
        <v>1631</v>
      </c>
    </row>
    <row r="657" spans="1:19" ht="76.5" hidden="1">
      <c r="A657" t="s">
        <v>92</v>
      </c>
      <c r="B657" t="s">
        <v>1619</v>
      </c>
      <c r="C657" t="s">
        <v>3114</v>
      </c>
      <c r="D657" s="2" t="s">
        <v>1621</v>
      </c>
      <c r="E657">
        <v>0.08</v>
      </c>
      <c r="F657">
        <v>0</v>
      </c>
      <c r="G657" t="s">
        <v>79</v>
      </c>
      <c r="H657" t="s">
        <v>81</v>
      </c>
      <c r="I657">
        <v>0</v>
      </c>
      <c r="J657">
        <v>0</v>
      </c>
      <c r="K657" s="5">
        <v>46197.262971539349</v>
      </c>
      <c r="L657" s="5">
        <v>46197.11863527778</v>
      </c>
      <c r="M657" s="2" t="s">
        <v>3115</v>
      </c>
      <c r="N657" s="2" t="s">
        <v>3116</v>
      </c>
      <c r="O657" s="5">
        <v>46197.118811886583</v>
      </c>
      <c r="P657" t="str">
        <f>IF($Q657="DELETE",IF($S657="CONFIRMED: NO MODS &gt; 1YR","CONFIRMED: NO MODS &gt; 1YR","DO NOT DELETE — not defensibly confirmed"),IF($Q657="HOLD","DO NOT DELETE — HOLD (Charlie review)",IF($Q657="KEEP","DO NOT DELETE — KEEP",IF(ISNUMBER(SEARCH("REVIEW",$Q657)),"DO NOT DELETE — REVIEW pending",$S657))))</f>
        <v>REVIEW</v>
      </c>
      <c r="Q657" t="str" cm="1">
        <f t="array" ref="Q657">_xlfn.IFS(AND($A657="thg-beauty",ISNUMBER(SEARCH("liveramp",$C657))),"DELETE",$A657="agile-bonbon-662",_xlfn.IFS(LEFT($G657,9)="Tranche 1","DELETE",$C657="Sessions_Level_1_All_Sites","KEEP",ISNUMBER(--$C657),"REVIEW — UA raw logs",$C657="Emag_Reporting","KEEP",$C657="Nutrition_Data_Archived_Tables","KEEP",$C657="EU_Data","KEEP",TRUE,"REVIEW"),OR($A657="thg-influencer",$A657="thg-ingenuity",$A657="thg-central-marketing",$A657="thg-seoclarity"),"HOLD",TRUE,"")</f>
        <v/>
      </c>
      <c r="R657" t="str" cm="1">
        <f t="array" ref="R657">_xlfn.IFS(AND($A657="thg-beauty",ISNUMBER(SEARCH("liveramp",$C657))),"thg-beauty Liveramp dataset — confirmed safe to delete",$A657="agile-bonbon-662",_xlfn.IFS(LEFT($G657,9)="Tranche 1","Tranche 1: cleared",$C657="Sessions_Level_1_All_Sites","Downstream aggregation of UA raw logs — keep if raw tables go",ISNUMBER(--$C657),"UA raw site logs (account ID) — keep pending audit-retention check",$C657="Emag_Reporting","Legacy but likely needed",$C657="Nutrition_Data_Archived_Tables","Worth keeping",$C657="EU_Data","Static lookup tables — scripts still reference (smoke-test risk)",TRUE,"Review"),OR($A657="thg-influencer",$A657="thg-ingenuity",$A657="thg-central-marketing",$A657="thg-seoclarity"),"HOLD — Charlie Stringer to review before deletion",TRUE,"")</f>
        <v/>
      </c>
      <c r="S657" t="s">
        <v>1631</v>
      </c>
    </row>
    <row r="658" spans="1:19" ht="76.5" hidden="1">
      <c r="A658" t="s">
        <v>89</v>
      </c>
      <c r="B658" t="s">
        <v>1619</v>
      </c>
      <c r="C658" t="s">
        <v>3117</v>
      </c>
      <c r="D658" s="2" t="s">
        <v>1621</v>
      </c>
      <c r="E658">
        <v>7.0000000000000007E-2</v>
      </c>
      <c r="F658">
        <v>0</v>
      </c>
      <c r="G658" t="s">
        <v>79</v>
      </c>
      <c r="H658" t="s">
        <v>81</v>
      </c>
      <c r="I658">
        <v>0</v>
      </c>
      <c r="J658">
        <v>0</v>
      </c>
      <c r="K658" s="5">
        <v>46197.418772303237</v>
      </c>
      <c r="L658" s="5">
        <v>46197.292115798613</v>
      </c>
      <c r="M658" s="2" t="s">
        <v>3118</v>
      </c>
      <c r="N658" s="2" t="s">
        <v>3119</v>
      </c>
      <c r="O658" s="5">
        <v>46197.292498414346</v>
      </c>
      <c r="P658" t="str">
        <f>IF($Q658="DELETE",IF($S658="CONFIRMED: NO MODS &gt; 1YR","CONFIRMED: NO MODS &gt; 1YR","DO NOT DELETE — not defensibly confirmed"),IF($Q658="HOLD","DO NOT DELETE — HOLD (Charlie review)",IF($Q658="KEEP","DO NOT DELETE — KEEP",IF(ISNUMBER(SEARCH("REVIEW",$Q658)),"DO NOT DELETE — REVIEW pending",$S658))))</f>
        <v>DO NOT DELETE — REVIEW pending</v>
      </c>
      <c r="Q658" t="str" cm="1">
        <f t="array" ref="Q658">_xlfn.IFS(AND($A658="thg-beauty",ISNUMBER(SEARCH("liveramp",$C658))),"DELETE",$A658="agile-bonbon-662",_xlfn.IFS(LEFT($G658,9)="Tranche 1","DELETE",$C658="Sessions_Level_1_All_Sites","KEEP",ISNUMBER(--$C658),"REVIEW — UA raw logs",$C658="Emag_Reporting","KEEP",$C658="Nutrition_Data_Archived_Tables","KEEP",$C658="EU_Data","KEEP",TRUE,"REVIEW"),OR($A658="thg-influencer",$A658="thg-ingenuity",$A658="thg-central-marketing",$A658="thg-seoclarity"),"HOLD",TRUE,"")</f>
        <v>REVIEW</v>
      </c>
      <c r="R658" t="str" cm="1">
        <f t="array" ref="R658">_xlfn.IFS(AND($A658="thg-beauty",ISNUMBER(SEARCH("liveramp",$C658))),"thg-beauty Liveramp dataset — confirmed safe to delete",$A658="agile-bonbon-662",_xlfn.IFS(LEFT($G658,9)="Tranche 1","Tranche 1: cleared",$C658="Sessions_Level_1_All_Sites","Downstream aggregation of UA raw logs — keep if raw tables go",ISNUMBER(--$C658),"UA raw site logs (account ID) — keep pending audit-retention check",$C658="Emag_Reporting","Legacy but likely needed",$C658="Nutrition_Data_Archived_Tables","Worth keeping",$C658="EU_Data","Static lookup tables — scripts still reference (smoke-test risk)",TRUE,"Review"),OR($A658="thg-influencer",$A658="thg-ingenuity",$A658="thg-central-marketing",$A658="thg-seoclarity"),"HOLD — Charlie Stringer to review before deletion",TRUE,"")</f>
        <v>Review</v>
      </c>
      <c r="S658" t="s">
        <v>1631</v>
      </c>
    </row>
    <row r="659" spans="1:19" ht="76.5" hidden="1">
      <c r="A659" t="s">
        <v>89</v>
      </c>
      <c r="B659" t="s">
        <v>1619</v>
      </c>
      <c r="C659" t="s">
        <v>3120</v>
      </c>
      <c r="D659" s="2" t="s">
        <v>1621</v>
      </c>
      <c r="E659">
        <v>7.0000000000000007E-2</v>
      </c>
      <c r="F659">
        <v>0</v>
      </c>
      <c r="G659" t="s">
        <v>79</v>
      </c>
      <c r="H659" t="s">
        <v>81</v>
      </c>
      <c r="I659">
        <v>0</v>
      </c>
      <c r="J659">
        <v>0</v>
      </c>
      <c r="K659" s="5">
        <v>46197.222201064818</v>
      </c>
      <c r="L659" s="5">
        <v>46197.041795740741</v>
      </c>
      <c r="M659" s="2" t="s">
        <v>3121</v>
      </c>
      <c r="N659" s="2" t="s">
        <v>3122</v>
      </c>
      <c r="O659" s="5">
        <v>46197.041886446757</v>
      </c>
      <c r="P659" t="str">
        <f>IF($Q659="DELETE",IF($S659="CONFIRMED: NO MODS &gt; 1YR","CONFIRMED: NO MODS &gt; 1YR","DO NOT DELETE — not defensibly confirmed"),IF($Q659="HOLD","DO NOT DELETE — HOLD (Charlie review)",IF($Q659="KEEP","DO NOT DELETE — KEEP",IF(ISNUMBER(SEARCH("REVIEW",$Q659)),"DO NOT DELETE — REVIEW pending",$S659))))</f>
        <v>DO NOT DELETE — REVIEW pending</v>
      </c>
      <c r="Q659" t="str" cm="1">
        <f t="array" ref="Q659">_xlfn.IFS(AND($A659="thg-beauty",ISNUMBER(SEARCH("liveramp",$C659))),"DELETE",$A659="agile-bonbon-662",_xlfn.IFS(LEFT($G659,9)="Tranche 1","DELETE",$C659="Sessions_Level_1_All_Sites","KEEP",ISNUMBER(--$C659),"REVIEW — UA raw logs",$C659="Emag_Reporting","KEEP",$C659="Nutrition_Data_Archived_Tables","KEEP",$C659="EU_Data","KEEP",TRUE,"REVIEW"),OR($A659="thg-influencer",$A659="thg-ingenuity",$A659="thg-central-marketing",$A659="thg-seoclarity"),"HOLD",TRUE,"")</f>
        <v>REVIEW</v>
      </c>
      <c r="R659" t="str" cm="1">
        <f t="array" ref="R659">_xlfn.IFS(AND($A659="thg-beauty",ISNUMBER(SEARCH("liveramp",$C659))),"thg-beauty Liveramp dataset — confirmed safe to delete",$A659="agile-bonbon-662",_xlfn.IFS(LEFT($G659,9)="Tranche 1","Tranche 1: cleared",$C659="Sessions_Level_1_All_Sites","Downstream aggregation of UA raw logs — keep if raw tables go",ISNUMBER(--$C659),"UA raw site logs (account ID) — keep pending audit-retention check",$C659="Emag_Reporting","Legacy but likely needed",$C659="Nutrition_Data_Archived_Tables","Worth keeping",$C659="EU_Data","Static lookup tables — scripts still reference (smoke-test risk)",TRUE,"Review"),OR($A659="thg-influencer",$A659="thg-ingenuity",$A659="thg-central-marketing",$A659="thg-seoclarity"),"HOLD — Charlie Stringer to review before deletion",TRUE,"")</f>
        <v>Review</v>
      </c>
      <c r="S659" t="s">
        <v>1631</v>
      </c>
    </row>
    <row r="660" spans="1:19" ht="76.5" hidden="1">
      <c r="A660" t="s">
        <v>39</v>
      </c>
      <c r="B660" t="s">
        <v>1619</v>
      </c>
      <c r="C660" t="s">
        <v>3120</v>
      </c>
      <c r="D660" s="2" t="s">
        <v>1621</v>
      </c>
      <c r="E660">
        <v>7.0000000000000007E-2</v>
      </c>
      <c r="F660">
        <v>0</v>
      </c>
      <c r="G660" t="s">
        <v>79</v>
      </c>
      <c r="H660" t="s">
        <v>81</v>
      </c>
      <c r="I660">
        <v>0</v>
      </c>
      <c r="J660">
        <v>252</v>
      </c>
      <c r="K660" s="5">
        <v>46197.434883796297</v>
      </c>
      <c r="M660" s="2" t="s">
        <v>3123</v>
      </c>
      <c r="N660" s="2" t="s">
        <v>1701</v>
      </c>
      <c r="O660" s="5">
        <v>45945.004796608802</v>
      </c>
      <c r="P660" t="str">
        <f>IF($Q660="DELETE",IF($S660="CONFIRMED: NO MODS &gt; 1YR","CONFIRMED: NO MODS &gt; 1YR","DO NOT DELETE — not defensibly confirmed"),IF($Q660="HOLD","DO NOT DELETE — HOLD (Charlie review)",IF($Q660="KEEP","DO NOT DELETE — KEEP",IF(ISNUMBER(SEARCH("REVIEW",$Q660)),"DO NOT DELETE — REVIEW pending",$S660))))</f>
        <v>DO NOT DELETE — HOLD (Charlie review)</v>
      </c>
      <c r="Q660" t="str" cm="1">
        <f t="array" ref="Q660">_xlfn.IFS(AND($A660="thg-beauty",ISNUMBER(SEARCH("liveramp",$C660))),"DELETE",$A660="agile-bonbon-662",_xlfn.IFS(LEFT($G660,9)="Tranche 1","DELETE",$C660="Sessions_Level_1_All_Sites","KEEP",ISNUMBER(--$C660),"REVIEW — UA raw logs",$C660="Emag_Reporting","KEEP",$C660="Nutrition_Data_Archived_Tables","KEEP",$C660="EU_Data","KEEP",TRUE,"REVIEW"),OR($A660="thg-influencer",$A660="thg-ingenuity",$A660="thg-central-marketing",$A660="thg-seoclarity"),"HOLD",TRUE,"")</f>
        <v>HOLD</v>
      </c>
      <c r="R660" t="str" cm="1">
        <f t="array" ref="R660">_xlfn.IFS(AND($A660="thg-beauty",ISNUMBER(SEARCH("liveramp",$C660))),"thg-beauty Liveramp dataset — confirmed safe to delete",$A660="agile-bonbon-662",_xlfn.IFS(LEFT($G660,9)="Tranche 1","Tranche 1: cleared",$C660="Sessions_Level_1_All_Sites","Downstream aggregation of UA raw logs — keep if raw tables go",ISNUMBER(--$C660),"UA raw site logs (account ID) — keep pending audit-retention check",$C660="Emag_Reporting","Legacy but likely needed",$C660="Nutrition_Data_Archived_Tables","Worth keeping",$C660="EU_Data","Static lookup tables — scripts still reference (smoke-test risk)",TRUE,"Review"),OR($A660="thg-influencer",$A660="thg-ingenuity",$A660="thg-central-marketing",$A660="thg-seoclarity"),"HOLD — Charlie Stringer to review before deletion",TRUE,"")</f>
        <v>HOLD — Charlie Stringer to review before deletion</v>
      </c>
      <c r="S660" t="s">
        <v>1631</v>
      </c>
    </row>
    <row r="661" spans="1:19" ht="76.5" hidden="1">
      <c r="A661" t="s">
        <v>92</v>
      </c>
      <c r="B661" t="s">
        <v>1619</v>
      </c>
      <c r="C661" t="s">
        <v>2065</v>
      </c>
      <c r="D661" s="2" t="s">
        <v>1621</v>
      </c>
      <c r="E661">
        <v>7.0000000000000007E-2</v>
      </c>
      <c r="F661">
        <v>0</v>
      </c>
      <c r="G661" t="s">
        <v>79</v>
      </c>
      <c r="H661" t="s">
        <v>81</v>
      </c>
      <c r="I661">
        <v>0</v>
      </c>
      <c r="J661">
        <v>0</v>
      </c>
      <c r="K661" s="5">
        <v>46197.37540167824</v>
      </c>
      <c r="L661" s="5">
        <v>46197.37540167824</v>
      </c>
      <c r="M661" s="2" t="s">
        <v>3124</v>
      </c>
      <c r="N661" s="2" t="s">
        <v>3124</v>
      </c>
      <c r="O661" s="5">
        <v>46197.37544196759</v>
      </c>
      <c r="P661" t="str">
        <f>IF($Q661="DELETE",IF($S661="CONFIRMED: NO MODS &gt; 1YR","CONFIRMED: NO MODS &gt; 1YR","DO NOT DELETE — not defensibly confirmed"),IF($Q661="HOLD","DO NOT DELETE — HOLD (Charlie review)",IF($Q661="KEEP","DO NOT DELETE — KEEP",IF(ISNUMBER(SEARCH("REVIEW",$Q661)),"DO NOT DELETE — REVIEW pending",$S661))))</f>
        <v>REVIEW</v>
      </c>
      <c r="Q661" t="str" cm="1">
        <f t="array" ref="Q661">_xlfn.IFS(AND($A661="thg-beauty",ISNUMBER(SEARCH("liveramp",$C661))),"DELETE",$A661="agile-bonbon-662",_xlfn.IFS(LEFT($G661,9)="Tranche 1","DELETE",$C661="Sessions_Level_1_All_Sites","KEEP",ISNUMBER(--$C661),"REVIEW — UA raw logs",$C661="Emag_Reporting","KEEP",$C661="Nutrition_Data_Archived_Tables","KEEP",$C661="EU_Data","KEEP",TRUE,"REVIEW"),OR($A661="thg-influencer",$A661="thg-ingenuity",$A661="thg-central-marketing",$A661="thg-seoclarity"),"HOLD",TRUE,"")</f>
        <v/>
      </c>
      <c r="R661" t="str" cm="1">
        <f t="array" ref="R661">_xlfn.IFS(AND($A661="thg-beauty",ISNUMBER(SEARCH("liveramp",$C661))),"thg-beauty Liveramp dataset — confirmed safe to delete",$A661="agile-bonbon-662",_xlfn.IFS(LEFT($G661,9)="Tranche 1","Tranche 1: cleared",$C661="Sessions_Level_1_All_Sites","Downstream aggregation of UA raw logs — keep if raw tables go",ISNUMBER(--$C661),"UA raw site logs (account ID) — keep pending audit-retention check",$C661="Emag_Reporting","Legacy but likely needed",$C661="Nutrition_Data_Archived_Tables","Worth keeping",$C661="EU_Data","Static lookup tables — scripts still reference (smoke-test risk)",TRUE,"Review"),OR($A661="thg-influencer",$A661="thg-ingenuity",$A661="thg-central-marketing",$A661="thg-seoclarity"),"HOLD — Charlie Stringer to review before deletion",TRUE,"")</f>
        <v/>
      </c>
      <c r="S661" t="s">
        <v>1631</v>
      </c>
    </row>
    <row r="662" spans="1:19" ht="76.5" hidden="1">
      <c r="A662" t="s">
        <v>89</v>
      </c>
      <c r="B662" t="s">
        <v>1619</v>
      </c>
      <c r="C662" t="s">
        <v>3125</v>
      </c>
      <c r="D662" s="2" t="s">
        <v>1621</v>
      </c>
      <c r="E662">
        <v>0.06</v>
      </c>
      <c r="F662">
        <v>0</v>
      </c>
      <c r="G662" t="s">
        <v>79</v>
      </c>
      <c r="H662" t="s">
        <v>81</v>
      </c>
      <c r="I662">
        <v>0</v>
      </c>
      <c r="J662">
        <v>355</v>
      </c>
      <c r="K662" s="5">
        <v>46197.222201064818</v>
      </c>
      <c r="M662" s="2" t="s">
        <v>3121</v>
      </c>
      <c r="N662" s="2" t="s">
        <v>1701</v>
      </c>
      <c r="O662" s="5">
        <v>45842.017632372677</v>
      </c>
      <c r="P662" t="str">
        <f>IF($Q662="DELETE",IF($S662="CONFIRMED: NO MODS &gt; 1YR","CONFIRMED: NO MODS &gt; 1YR","DO NOT DELETE — not defensibly confirmed"),IF($Q662="HOLD","DO NOT DELETE — HOLD (Charlie review)",IF($Q662="KEEP","DO NOT DELETE — KEEP",IF(ISNUMBER(SEARCH("REVIEW",$Q662)),"DO NOT DELETE — REVIEW pending",$S662))))</f>
        <v>DO NOT DELETE — REVIEW pending</v>
      </c>
      <c r="Q662" t="str" cm="1">
        <f t="array" ref="Q662">_xlfn.IFS(AND($A662="thg-beauty",ISNUMBER(SEARCH("liveramp",$C662))),"DELETE",$A662="agile-bonbon-662",_xlfn.IFS(LEFT($G662,9)="Tranche 1","DELETE",$C662="Sessions_Level_1_All_Sites","KEEP",ISNUMBER(--$C662),"REVIEW — UA raw logs",$C662="Emag_Reporting","KEEP",$C662="Nutrition_Data_Archived_Tables","KEEP",$C662="EU_Data","KEEP",TRUE,"REVIEW"),OR($A662="thg-influencer",$A662="thg-ingenuity",$A662="thg-central-marketing",$A662="thg-seoclarity"),"HOLD",TRUE,"")</f>
        <v>REVIEW</v>
      </c>
      <c r="R662" t="str" cm="1">
        <f t="array" ref="R662">_xlfn.IFS(AND($A662="thg-beauty",ISNUMBER(SEARCH("liveramp",$C662))),"thg-beauty Liveramp dataset — confirmed safe to delete",$A662="agile-bonbon-662",_xlfn.IFS(LEFT($G662,9)="Tranche 1","Tranche 1: cleared",$C662="Sessions_Level_1_All_Sites","Downstream aggregation of UA raw logs — keep if raw tables go",ISNUMBER(--$C662),"UA raw site logs (account ID) — keep pending audit-retention check",$C662="Emag_Reporting","Legacy but likely needed",$C662="Nutrition_Data_Archived_Tables","Worth keeping",$C662="EU_Data","Static lookup tables — scripts still reference (smoke-test risk)",TRUE,"Review"),OR($A662="thg-influencer",$A662="thg-ingenuity",$A662="thg-central-marketing",$A662="thg-seoclarity"),"HOLD — Charlie Stringer to review before deletion",TRUE,"")</f>
        <v>Review</v>
      </c>
      <c r="S662" t="s">
        <v>1631</v>
      </c>
    </row>
    <row r="663" spans="1:19" ht="76.5" hidden="1">
      <c r="A663" t="s">
        <v>89</v>
      </c>
      <c r="B663" t="s">
        <v>1619</v>
      </c>
      <c r="C663" t="s">
        <v>3126</v>
      </c>
      <c r="D663" s="2" t="s">
        <v>1621</v>
      </c>
      <c r="E663">
        <v>0.06</v>
      </c>
      <c r="F663">
        <v>0</v>
      </c>
      <c r="G663" t="s">
        <v>79</v>
      </c>
      <c r="H663" t="s">
        <v>81</v>
      </c>
      <c r="I663">
        <v>0</v>
      </c>
      <c r="J663">
        <v>0</v>
      </c>
      <c r="K663" s="5">
        <v>46197.053155555557</v>
      </c>
      <c r="L663" s="5">
        <v>46197.021995358788</v>
      </c>
      <c r="M663" s="2" t="s">
        <v>3127</v>
      </c>
      <c r="N663" s="2" t="s">
        <v>3128</v>
      </c>
      <c r="O663" s="5">
        <v>46197.022014131937</v>
      </c>
      <c r="P663" t="str">
        <f>IF($Q663="DELETE",IF($S663="CONFIRMED: NO MODS &gt; 1YR","CONFIRMED: NO MODS &gt; 1YR","DO NOT DELETE — not defensibly confirmed"),IF($Q663="HOLD","DO NOT DELETE — HOLD (Charlie review)",IF($Q663="KEEP","DO NOT DELETE — KEEP",IF(ISNUMBER(SEARCH("REVIEW",$Q663)),"DO NOT DELETE — REVIEW pending",$S663))))</f>
        <v>DO NOT DELETE — REVIEW pending</v>
      </c>
      <c r="Q663" t="str" cm="1">
        <f t="array" ref="Q663">_xlfn.IFS(AND($A663="thg-beauty",ISNUMBER(SEARCH("liveramp",$C663))),"DELETE",$A663="agile-bonbon-662",_xlfn.IFS(LEFT($G663,9)="Tranche 1","DELETE",$C663="Sessions_Level_1_All_Sites","KEEP",ISNUMBER(--$C663),"REVIEW — UA raw logs",$C663="Emag_Reporting","KEEP",$C663="Nutrition_Data_Archived_Tables","KEEP",$C663="EU_Data","KEEP",TRUE,"REVIEW"),OR($A663="thg-influencer",$A663="thg-ingenuity",$A663="thg-central-marketing",$A663="thg-seoclarity"),"HOLD",TRUE,"")</f>
        <v>REVIEW</v>
      </c>
      <c r="R663" t="str" cm="1">
        <f t="array" ref="R663">_xlfn.IFS(AND($A663="thg-beauty",ISNUMBER(SEARCH("liveramp",$C663))),"thg-beauty Liveramp dataset — confirmed safe to delete",$A663="agile-bonbon-662",_xlfn.IFS(LEFT($G663,9)="Tranche 1","Tranche 1: cleared",$C663="Sessions_Level_1_All_Sites","Downstream aggregation of UA raw logs — keep if raw tables go",ISNUMBER(--$C663),"UA raw site logs (account ID) — keep pending audit-retention check",$C663="Emag_Reporting","Legacy but likely needed",$C663="Nutrition_Data_Archived_Tables","Worth keeping",$C663="EU_Data","Static lookup tables — scripts still reference (smoke-test risk)",TRUE,"Review"),OR($A663="thg-influencer",$A663="thg-ingenuity",$A663="thg-central-marketing",$A663="thg-seoclarity"),"HOLD — Charlie Stringer to review before deletion",TRUE,"")</f>
        <v>Review</v>
      </c>
      <c r="S663" t="s">
        <v>1631</v>
      </c>
    </row>
    <row r="664" spans="1:19" hidden="1">
      <c r="A664" t="s">
        <v>39</v>
      </c>
      <c r="B664" t="s">
        <v>1724</v>
      </c>
      <c r="C664" t="s">
        <v>3125</v>
      </c>
      <c r="D664" s="2" t="s">
        <v>1621</v>
      </c>
      <c r="E664">
        <v>0.06</v>
      </c>
      <c r="F664">
        <v>0</v>
      </c>
      <c r="G664" t="s">
        <v>79</v>
      </c>
      <c r="H664" t="s">
        <v>81</v>
      </c>
      <c r="I664">
        <v>0</v>
      </c>
      <c r="J664">
        <v>0</v>
      </c>
      <c r="M664" s="2" t="s">
        <v>1715</v>
      </c>
      <c r="N664" s="2" t="s">
        <v>1701</v>
      </c>
      <c r="O664" s="5">
        <v>46197.011252372693</v>
      </c>
      <c r="P664" t="str">
        <f>IF($Q664="DELETE",IF($S664="CONFIRMED: NO MODS &gt; 1YR","CONFIRMED: NO MODS &gt; 1YR","DO NOT DELETE — not defensibly confirmed"),IF($Q664="HOLD","DO NOT DELETE — HOLD (Charlie review)",IF($Q664="KEEP","DO NOT DELETE — KEEP",IF(ISNUMBER(SEARCH("REVIEW",$Q664)),"DO NOT DELETE — REVIEW pending",$S664))))</f>
        <v>DO NOT DELETE — HOLD (Charlie review)</v>
      </c>
      <c r="Q664" t="str" cm="1">
        <f t="array" ref="Q664">_xlfn.IFS(AND($A664="thg-beauty",ISNUMBER(SEARCH("liveramp",$C664))),"DELETE",$A664="agile-bonbon-662",_xlfn.IFS(LEFT($G664,9)="Tranche 1","DELETE",$C664="Sessions_Level_1_All_Sites","KEEP",ISNUMBER(--$C664),"REVIEW — UA raw logs",$C664="Emag_Reporting","KEEP",$C664="Nutrition_Data_Archived_Tables","KEEP",$C664="EU_Data","KEEP",TRUE,"REVIEW"),OR($A664="thg-influencer",$A664="thg-ingenuity",$A664="thg-central-marketing",$A664="thg-seoclarity"),"HOLD",TRUE,"")</f>
        <v>HOLD</v>
      </c>
      <c r="R664" t="str" cm="1">
        <f t="array" ref="R664">_xlfn.IFS(AND($A664="thg-beauty",ISNUMBER(SEARCH("liveramp",$C664))),"thg-beauty Liveramp dataset — confirmed safe to delete",$A664="agile-bonbon-662",_xlfn.IFS(LEFT($G664,9)="Tranche 1","Tranche 1: cleared",$C664="Sessions_Level_1_All_Sites","Downstream aggregation of UA raw logs — keep if raw tables go",ISNUMBER(--$C664),"UA raw site logs (account ID) — keep pending audit-retention check",$C664="Emag_Reporting","Legacy but likely needed",$C664="Nutrition_Data_Archived_Tables","Worth keeping",$C664="EU_Data","Static lookup tables — scripts still reference (smoke-test risk)",TRUE,"Review"),OR($A664="thg-influencer",$A664="thg-ingenuity",$A664="thg-central-marketing",$A664="thg-seoclarity"),"HOLD — Charlie Stringer to review before deletion",TRUE,"")</f>
        <v>HOLD — Charlie Stringer to review before deletion</v>
      </c>
      <c r="S664" t="s">
        <v>1631</v>
      </c>
    </row>
    <row r="665" spans="1:19" ht="76.5" hidden="1">
      <c r="A665" t="s">
        <v>39</v>
      </c>
      <c r="B665" t="s">
        <v>1619</v>
      </c>
      <c r="C665" t="s">
        <v>3125</v>
      </c>
      <c r="D665" s="2" t="s">
        <v>1621</v>
      </c>
      <c r="E665">
        <v>0.06</v>
      </c>
      <c r="F665">
        <v>0</v>
      </c>
      <c r="G665" t="s">
        <v>79</v>
      </c>
      <c r="H665" t="s">
        <v>81</v>
      </c>
      <c r="I665">
        <v>0</v>
      </c>
      <c r="J665">
        <v>0</v>
      </c>
      <c r="K665" s="5">
        <v>46197.434883796297</v>
      </c>
      <c r="L665" s="5">
        <v>46197.011234513891</v>
      </c>
      <c r="M665" s="2" t="s">
        <v>3129</v>
      </c>
      <c r="N665" s="2" t="s">
        <v>3130</v>
      </c>
      <c r="O665" s="5">
        <v>46197.011252372693</v>
      </c>
      <c r="P665" t="str">
        <f>IF($Q665="DELETE",IF($S665="CONFIRMED: NO MODS &gt; 1YR","CONFIRMED: NO MODS &gt; 1YR","DO NOT DELETE — not defensibly confirmed"),IF($Q665="HOLD","DO NOT DELETE — HOLD (Charlie review)",IF($Q665="KEEP","DO NOT DELETE — KEEP",IF(ISNUMBER(SEARCH("REVIEW",$Q665)),"DO NOT DELETE — REVIEW pending",$S665))))</f>
        <v>DO NOT DELETE — HOLD (Charlie review)</v>
      </c>
      <c r="Q665" t="str" cm="1">
        <f t="array" ref="Q665">_xlfn.IFS(AND($A665="thg-beauty",ISNUMBER(SEARCH("liveramp",$C665))),"DELETE",$A665="agile-bonbon-662",_xlfn.IFS(LEFT($G665,9)="Tranche 1","DELETE",$C665="Sessions_Level_1_All_Sites","KEEP",ISNUMBER(--$C665),"REVIEW — UA raw logs",$C665="Emag_Reporting","KEEP",$C665="Nutrition_Data_Archived_Tables","KEEP",$C665="EU_Data","KEEP",TRUE,"REVIEW"),OR($A665="thg-influencer",$A665="thg-ingenuity",$A665="thg-central-marketing",$A665="thg-seoclarity"),"HOLD",TRUE,"")</f>
        <v>HOLD</v>
      </c>
      <c r="R665" t="str" cm="1">
        <f t="array" ref="R665">_xlfn.IFS(AND($A665="thg-beauty",ISNUMBER(SEARCH("liveramp",$C665))),"thg-beauty Liveramp dataset — confirmed safe to delete",$A665="agile-bonbon-662",_xlfn.IFS(LEFT($G665,9)="Tranche 1","Tranche 1: cleared",$C665="Sessions_Level_1_All_Sites","Downstream aggregation of UA raw logs — keep if raw tables go",ISNUMBER(--$C665),"UA raw site logs (account ID) — keep pending audit-retention check",$C665="Emag_Reporting","Legacy but likely needed",$C665="Nutrition_Data_Archived_Tables","Worth keeping",$C665="EU_Data","Static lookup tables — scripts still reference (smoke-test risk)",TRUE,"Review"),OR($A665="thg-influencer",$A665="thg-ingenuity",$A665="thg-central-marketing",$A665="thg-seoclarity"),"HOLD — Charlie Stringer to review before deletion",TRUE,"")</f>
        <v>HOLD — Charlie Stringer to review before deletion</v>
      </c>
      <c r="S665" t="s">
        <v>1631</v>
      </c>
    </row>
    <row r="666" spans="1:19" ht="76.5" hidden="1">
      <c r="A666" t="s">
        <v>38</v>
      </c>
      <c r="B666" t="s">
        <v>1619</v>
      </c>
      <c r="C666" t="s">
        <v>3131</v>
      </c>
      <c r="D666" s="2" t="s">
        <v>1621</v>
      </c>
      <c r="E666">
        <v>0.06</v>
      </c>
      <c r="F666">
        <v>0</v>
      </c>
      <c r="G666" t="s">
        <v>79</v>
      </c>
      <c r="H666" t="s">
        <v>81</v>
      </c>
      <c r="I666">
        <v>0</v>
      </c>
      <c r="J666">
        <v>202</v>
      </c>
      <c r="K666" s="5">
        <v>46197.185025856481</v>
      </c>
      <c r="M666" s="2" t="s">
        <v>3132</v>
      </c>
      <c r="N666" s="2" t="s">
        <v>1701</v>
      </c>
      <c r="O666" s="5">
        <v>45995.333598136567</v>
      </c>
      <c r="P666" t="str">
        <f>IF($Q666="DELETE",IF($S666="CONFIRMED: NO MODS &gt; 1YR","CONFIRMED: NO MODS &gt; 1YR","DO NOT DELETE — not defensibly confirmed"),IF($Q666="HOLD","DO NOT DELETE — HOLD (Charlie review)",IF($Q666="KEEP","DO NOT DELETE — KEEP",IF(ISNUMBER(SEARCH("REVIEW",$Q666)),"DO NOT DELETE — REVIEW pending",$S666))))</f>
        <v>DO NOT DELETE — HOLD (Charlie review)</v>
      </c>
      <c r="Q666" t="str" cm="1">
        <f t="array" ref="Q666">_xlfn.IFS(AND($A666="thg-beauty",ISNUMBER(SEARCH("liveramp",$C666))),"DELETE",$A666="agile-bonbon-662",_xlfn.IFS(LEFT($G666,9)="Tranche 1","DELETE",$C666="Sessions_Level_1_All_Sites","KEEP",ISNUMBER(--$C666),"REVIEW — UA raw logs",$C666="Emag_Reporting","KEEP",$C666="Nutrition_Data_Archived_Tables","KEEP",$C666="EU_Data","KEEP",TRUE,"REVIEW"),OR($A666="thg-influencer",$A666="thg-ingenuity",$A666="thg-central-marketing",$A666="thg-seoclarity"),"HOLD",TRUE,"")</f>
        <v>HOLD</v>
      </c>
      <c r="R666" t="str" cm="1">
        <f t="array" ref="R666">_xlfn.IFS(AND($A666="thg-beauty",ISNUMBER(SEARCH("liveramp",$C666))),"thg-beauty Liveramp dataset — confirmed safe to delete",$A666="agile-bonbon-662",_xlfn.IFS(LEFT($G666,9)="Tranche 1","Tranche 1: cleared",$C666="Sessions_Level_1_All_Sites","Downstream aggregation of UA raw logs — keep if raw tables go",ISNUMBER(--$C666),"UA raw site logs (account ID) — keep pending audit-retention check",$C666="Emag_Reporting","Legacy but likely needed",$C666="Nutrition_Data_Archived_Tables","Worth keeping",$C666="EU_Data","Static lookup tables — scripts still reference (smoke-test risk)",TRUE,"Review"),OR($A666="thg-influencer",$A666="thg-ingenuity",$A666="thg-central-marketing",$A666="thg-seoclarity"),"HOLD — Charlie Stringer to review before deletion",TRUE,"")</f>
        <v>HOLD — Charlie Stringer to review before deletion</v>
      </c>
      <c r="S666" t="s">
        <v>1631</v>
      </c>
    </row>
    <row r="667" spans="1:19" ht="76.5" hidden="1">
      <c r="A667" t="s">
        <v>38</v>
      </c>
      <c r="B667" t="s">
        <v>1619</v>
      </c>
      <c r="C667" t="s">
        <v>3133</v>
      </c>
      <c r="D667" s="2" t="s">
        <v>1621</v>
      </c>
      <c r="E667">
        <v>0.06</v>
      </c>
      <c r="F667">
        <v>0</v>
      </c>
      <c r="G667" t="s">
        <v>79</v>
      </c>
      <c r="H667" t="s">
        <v>81</v>
      </c>
      <c r="I667">
        <v>0</v>
      </c>
      <c r="J667">
        <v>0</v>
      </c>
      <c r="L667" s="5">
        <v>46197.097814780092</v>
      </c>
      <c r="M667" s="2" t="s">
        <v>1715</v>
      </c>
      <c r="N667" s="2" t="s">
        <v>3134</v>
      </c>
      <c r="O667" s="5">
        <v>46197.097895763887</v>
      </c>
      <c r="P667" t="str">
        <f>IF($Q667="DELETE",IF($S667="CONFIRMED: NO MODS &gt; 1YR","CONFIRMED: NO MODS &gt; 1YR","DO NOT DELETE — not defensibly confirmed"),IF($Q667="HOLD","DO NOT DELETE — HOLD (Charlie review)",IF($Q667="KEEP","DO NOT DELETE — KEEP",IF(ISNUMBER(SEARCH("REVIEW",$Q667)),"DO NOT DELETE — REVIEW pending",$S667))))</f>
        <v>DO NOT DELETE — HOLD (Charlie review)</v>
      </c>
      <c r="Q667" t="str" cm="1">
        <f t="array" ref="Q667">_xlfn.IFS(AND($A667="thg-beauty",ISNUMBER(SEARCH("liveramp",$C667))),"DELETE",$A667="agile-bonbon-662",_xlfn.IFS(LEFT($G667,9)="Tranche 1","DELETE",$C667="Sessions_Level_1_All_Sites","KEEP",ISNUMBER(--$C667),"REVIEW — UA raw logs",$C667="Emag_Reporting","KEEP",$C667="Nutrition_Data_Archived_Tables","KEEP",$C667="EU_Data","KEEP",TRUE,"REVIEW"),OR($A667="thg-influencer",$A667="thg-ingenuity",$A667="thg-central-marketing",$A667="thg-seoclarity"),"HOLD",TRUE,"")</f>
        <v>HOLD</v>
      </c>
      <c r="R667" t="str" cm="1">
        <f t="array" ref="R667">_xlfn.IFS(AND($A667="thg-beauty",ISNUMBER(SEARCH("liveramp",$C667))),"thg-beauty Liveramp dataset — confirmed safe to delete",$A667="agile-bonbon-662",_xlfn.IFS(LEFT($G667,9)="Tranche 1","Tranche 1: cleared",$C667="Sessions_Level_1_All_Sites","Downstream aggregation of UA raw logs — keep if raw tables go",ISNUMBER(--$C667),"UA raw site logs (account ID) — keep pending audit-retention check",$C667="Emag_Reporting","Legacy but likely needed",$C667="Nutrition_Data_Archived_Tables","Worth keeping",$C667="EU_Data","Static lookup tables — scripts still reference (smoke-test risk)",TRUE,"Review"),OR($A667="thg-influencer",$A667="thg-ingenuity",$A667="thg-central-marketing",$A667="thg-seoclarity"),"HOLD — Charlie Stringer to review before deletion",TRUE,"")</f>
        <v>HOLD — Charlie Stringer to review before deletion</v>
      </c>
      <c r="S667" t="s">
        <v>1631</v>
      </c>
    </row>
    <row r="668" spans="1:19" ht="76.5" hidden="1">
      <c r="A668" t="s">
        <v>89</v>
      </c>
      <c r="B668" t="s">
        <v>1619</v>
      </c>
      <c r="C668" t="s">
        <v>3135</v>
      </c>
      <c r="D668" s="2" t="s">
        <v>1621</v>
      </c>
      <c r="E668">
        <v>0.05</v>
      </c>
      <c r="F668">
        <v>0</v>
      </c>
      <c r="G668" t="s">
        <v>79</v>
      </c>
      <c r="H668" t="s">
        <v>81</v>
      </c>
      <c r="I668">
        <v>0</v>
      </c>
      <c r="J668">
        <v>0</v>
      </c>
      <c r="K668" s="5">
        <v>46161.606154664347</v>
      </c>
      <c r="L668" s="5">
        <v>46197.09386990741</v>
      </c>
      <c r="M668" s="2" t="s">
        <v>3136</v>
      </c>
      <c r="N668" s="2" t="s">
        <v>3137</v>
      </c>
      <c r="O668" s="5">
        <v>46197.09389261574</v>
      </c>
      <c r="P668" t="str">
        <f>IF($Q668="DELETE",IF($S668="CONFIRMED: NO MODS &gt; 1YR","CONFIRMED: NO MODS &gt; 1YR","DO NOT DELETE — not defensibly confirmed"),IF($Q668="HOLD","DO NOT DELETE — HOLD (Charlie review)",IF($Q668="KEEP","DO NOT DELETE — KEEP",IF(ISNUMBER(SEARCH("REVIEW",$Q668)),"DO NOT DELETE — REVIEW pending",$S668))))</f>
        <v>DO NOT DELETE — REVIEW pending</v>
      </c>
      <c r="Q668" t="str" cm="1">
        <f t="array" ref="Q668">_xlfn.IFS(AND($A668="thg-beauty",ISNUMBER(SEARCH("liveramp",$C668))),"DELETE",$A668="agile-bonbon-662",_xlfn.IFS(LEFT($G668,9)="Tranche 1","DELETE",$C668="Sessions_Level_1_All_Sites","KEEP",ISNUMBER(--$C668),"REVIEW — UA raw logs",$C668="Emag_Reporting","KEEP",$C668="Nutrition_Data_Archived_Tables","KEEP",$C668="EU_Data","KEEP",TRUE,"REVIEW"),OR($A668="thg-influencer",$A668="thg-ingenuity",$A668="thg-central-marketing",$A668="thg-seoclarity"),"HOLD",TRUE,"")</f>
        <v>REVIEW</v>
      </c>
      <c r="R668" t="str" cm="1">
        <f t="array" ref="R668">_xlfn.IFS(AND($A668="thg-beauty",ISNUMBER(SEARCH("liveramp",$C668))),"thg-beauty Liveramp dataset — confirmed safe to delete",$A668="agile-bonbon-662",_xlfn.IFS(LEFT($G668,9)="Tranche 1","Tranche 1: cleared",$C668="Sessions_Level_1_All_Sites","Downstream aggregation of UA raw logs — keep if raw tables go",ISNUMBER(--$C668),"UA raw site logs (account ID) — keep pending audit-retention check",$C668="Emag_Reporting","Legacy but likely needed",$C668="Nutrition_Data_Archived_Tables","Worth keeping",$C668="EU_Data","Static lookup tables — scripts still reference (smoke-test risk)",TRUE,"Review"),OR($A668="thg-influencer",$A668="thg-ingenuity",$A668="thg-central-marketing",$A668="thg-seoclarity"),"HOLD — Charlie Stringer to review before deletion",TRUE,"")</f>
        <v>Review</v>
      </c>
      <c r="S668" t="s">
        <v>1631</v>
      </c>
    </row>
    <row r="669" spans="1:19" ht="76.5" hidden="1">
      <c r="A669" t="s">
        <v>89</v>
      </c>
      <c r="B669" t="s">
        <v>1619</v>
      </c>
      <c r="C669" t="s">
        <v>3138</v>
      </c>
      <c r="D669" s="2" t="s">
        <v>1621</v>
      </c>
      <c r="E669">
        <v>0.05</v>
      </c>
      <c r="F669">
        <v>0</v>
      </c>
      <c r="G669" t="s">
        <v>79</v>
      </c>
      <c r="H669" t="s">
        <v>81</v>
      </c>
      <c r="I669">
        <v>0</v>
      </c>
      <c r="J669">
        <v>0</v>
      </c>
      <c r="K669" s="5">
        <v>46197.222201064818</v>
      </c>
      <c r="L669" s="5">
        <v>46197.135479050929</v>
      </c>
      <c r="M669" s="2" t="s">
        <v>3110</v>
      </c>
      <c r="N669" s="2" t="s">
        <v>3139</v>
      </c>
      <c r="O669" s="5">
        <v>46197.135599872687</v>
      </c>
      <c r="P669" t="str">
        <f>IF($Q669="DELETE",IF($S669="CONFIRMED: NO MODS &gt; 1YR","CONFIRMED: NO MODS &gt; 1YR","DO NOT DELETE — not defensibly confirmed"),IF($Q669="HOLD","DO NOT DELETE — HOLD (Charlie review)",IF($Q669="KEEP","DO NOT DELETE — KEEP",IF(ISNUMBER(SEARCH("REVIEW",$Q669)),"DO NOT DELETE — REVIEW pending",$S669))))</f>
        <v>DO NOT DELETE — REVIEW pending</v>
      </c>
      <c r="Q669" t="str" cm="1">
        <f t="array" ref="Q669">_xlfn.IFS(AND($A669="thg-beauty",ISNUMBER(SEARCH("liveramp",$C669))),"DELETE",$A669="agile-bonbon-662",_xlfn.IFS(LEFT($G669,9)="Tranche 1","DELETE",$C669="Sessions_Level_1_All_Sites","KEEP",ISNUMBER(--$C669),"REVIEW — UA raw logs",$C669="Emag_Reporting","KEEP",$C669="Nutrition_Data_Archived_Tables","KEEP",$C669="EU_Data","KEEP",TRUE,"REVIEW"),OR($A669="thg-influencer",$A669="thg-ingenuity",$A669="thg-central-marketing",$A669="thg-seoclarity"),"HOLD",TRUE,"")</f>
        <v>REVIEW</v>
      </c>
      <c r="R669" t="str" cm="1">
        <f t="array" ref="R669">_xlfn.IFS(AND($A669="thg-beauty",ISNUMBER(SEARCH("liveramp",$C669))),"thg-beauty Liveramp dataset — confirmed safe to delete",$A669="agile-bonbon-662",_xlfn.IFS(LEFT($G669,9)="Tranche 1","Tranche 1: cleared",$C669="Sessions_Level_1_All_Sites","Downstream aggregation of UA raw logs — keep if raw tables go",ISNUMBER(--$C669),"UA raw site logs (account ID) — keep pending audit-retention check",$C669="Emag_Reporting","Legacy but likely needed",$C669="Nutrition_Data_Archived_Tables","Worth keeping",$C669="EU_Data","Static lookup tables — scripts still reference (smoke-test risk)",TRUE,"Review"),OR($A669="thg-influencer",$A669="thg-ingenuity",$A669="thg-central-marketing",$A669="thg-seoclarity"),"HOLD — Charlie Stringer to review before deletion",TRUE,"")</f>
        <v>Review</v>
      </c>
      <c r="S669" t="s">
        <v>1631</v>
      </c>
    </row>
    <row r="670" spans="1:19" ht="76.5" hidden="1">
      <c r="A670" t="s">
        <v>89</v>
      </c>
      <c r="B670" t="s">
        <v>1619</v>
      </c>
      <c r="C670" t="s">
        <v>3140</v>
      </c>
      <c r="D670" s="2" t="s">
        <v>1621</v>
      </c>
      <c r="E670">
        <v>0.04</v>
      </c>
      <c r="F670">
        <v>0</v>
      </c>
      <c r="G670" t="s">
        <v>79</v>
      </c>
      <c r="H670" t="s">
        <v>81</v>
      </c>
      <c r="I670">
        <v>0</v>
      </c>
      <c r="J670">
        <v>0</v>
      </c>
      <c r="K670" s="5">
        <v>46197.222201064818</v>
      </c>
      <c r="L670" s="5">
        <v>46197.062568287038</v>
      </c>
      <c r="M670" s="2" t="s">
        <v>3110</v>
      </c>
      <c r="N670" s="2" t="s">
        <v>3111</v>
      </c>
      <c r="O670" s="5">
        <v>46197.062813842589</v>
      </c>
      <c r="P670" t="str">
        <f>IF($Q670="DELETE",IF($S670="CONFIRMED: NO MODS &gt; 1YR","CONFIRMED: NO MODS &gt; 1YR","DO NOT DELETE — not defensibly confirmed"),IF($Q670="HOLD","DO NOT DELETE — HOLD (Charlie review)",IF($Q670="KEEP","DO NOT DELETE — KEEP",IF(ISNUMBER(SEARCH("REVIEW",$Q670)),"DO NOT DELETE — REVIEW pending",$S670))))</f>
        <v>DO NOT DELETE — REVIEW pending</v>
      </c>
      <c r="Q670" t="str" cm="1">
        <f t="array" ref="Q670">_xlfn.IFS(AND($A670="thg-beauty",ISNUMBER(SEARCH("liveramp",$C670))),"DELETE",$A670="agile-bonbon-662",_xlfn.IFS(LEFT($G670,9)="Tranche 1","DELETE",$C670="Sessions_Level_1_All_Sites","KEEP",ISNUMBER(--$C670),"REVIEW — UA raw logs",$C670="Emag_Reporting","KEEP",$C670="Nutrition_Data_Archived_Tables","KEEP",$C670="EU_Data","KEEP",TRUE,"REVIEW"),OR($A670="thg-influencer",$A670="thg-ingenuity",$A670="thg-central-marketing",$A670="thg-seoclarity"),"HOLD",TRUE,"")</f>
        <v>REVIEW</v>
      </c>
      <c r="R670" t="str" cm="1">
        <f t="array" ref="R670">_xlfn.IFS(AND($A670="thg-beauty",ISNUMBER(SEARCH("liveramp",$C670))),"thg-beauty Liveramp dataset — confirmed safe to delete",$A670="agile-bonbon-662",_xlfn.IFS(LEFT($G670,9)="Tranche 1","Tranche 1: cleared",$C670="Sessions_Level_1_All_Sites","Downstream aggregation of UA raw logs — keep if raw tables go",ISNUMBER(--$C670),"UA raw site logs (account ID) — keep pending audit-retention check",$C670="Emag_Reporting","Legacy but likely needed",$C670="Nutrition_Data_Archived_Tables","Worth keeping",$C670="EU_Data","Static lookup tables — scripts still reference (smoke-test risk)",TRUE,"Review"),OR($A670="thg-influencer",$A670="thg-ingenuity",$A670="thg-central-marketing",$A670="thg-seoclarity"),"HOLD — Charlie Stringer to review before deletion",TRUE,"")</f>
        <v>Review</v>
      </c>
      <c r="S670" t="s">
        <v>1631</v>
      </c>
    </row>
    <row r="671" spans="1:19" hidden="1">
      <c r="A671" t="s">
        <v>39</v>
      </c>
      <c r="B671" t="s">
        <v>1724</v>
      </c>
      <c r="C671" t="s">
        <v>3140</v>
      </c>
      <c r="D671" s="2" t="s">
        <v>1621</v>
      </c>
      <c r="E671">
        <v>0.04</v>
      </c>
      <c r="F671">
        <v>0</v>
      </c>
      <c r="G671" t="s">
        <v>79</v>
      </c>
      <c r="H671" t="s">
        <v>81</v>
      </c>
      <c r="I671">
        <v>0</v>
      </c>
      <c r="J671">
        <v>0</v>
      </c>
      <c r="M671" s="2" t="s">
        <v>1715</v>
      </c>
      <c r="N671" s="2" t="s">
        <v>1701</v>
      </c>
      <c r="O671" s="5">
        <v>46197.424811990742</v>
      </c>
      <c r="P671" t="str">
        <f>IF($Q671="DELETE",IF($S671="CONFIRMED: NO MODS &gt; 1YR","CONFIRMED: NO MODS &gt; 1YR","DO NOT DELETE — not defensibly confirmed"),IF($Q671="HOLD","DO NOT DELETE — HOLD (Charlie review)",IF($Q671="KEEP","DO NOT DELETE — KEEP",IF(ISNUMBER(SEARCH("REVIEW",$Q671)),"DO NOT DELETE — REVIEW pending",$S671))))</f>
        <v>DO NOT DELETE — HOLD (Charlie review)</v>
      </c>
      <c r="Q671" t="str" cm="1">
        <f t="array" ref="Q671">_xlfn.IFS(AND($A671="thg-beauty",ISNUMBER(SEARCH("liveramp",$C671))),"DELETE",$A671="agile-bonbon-662",_xlfn.IFS(LEFT($G671,9)="Tranche 1","DELETE",$C671="Sessions_Level_1_All_Sites","KEEP",ISNUMBER(--$C671),"REVIEW — UA raw logs",$C671="Emag_Reporting","KEEP",$C671="Nutrition_Data_Archived_Tables","KEEP",$C671="EU_Data","KEEP",TRUE,"REVIEW"),OR($A671="thg-influencer",$A671="thg-ingenuity",$A671="thg-central-marketing",$A671="thg-seoclarity"),"HOLD",TRUE,"")</f>
        <v>HOLD</v>
      </c>
      <c r="R671" t="str" cm="1">
        <f t="array" ref="R671">_xlfn.IFS(AND($A671="thg-beauty",ISNUMBER(SEARCH("liveramp",$C671))),"thg-beauty Liveramp dataset — confirmed safe to delete",$A671="agile-bonbon-662",_xlfn.IFS(LEFT($G671,9)="Tranche 1","Tranche 1: cleared",$C671="Sessions_Level_1_All_Sites","Downstream aggregation of UA raw logs — keep if raw tables go",ISNUMBER(--$C671),"UA raw site logs (account ID) — keep pending audit-retention check",$C671="Emag_Reporting","Legacy but likely needed",$C671="Nutrition_Data_Archived_Tables","Worth keeping",$C671="EU_Data","Static lookup tables — scripts still reference (smoke-test risk)",TRUE,"Review"),OR($A671="thg-influencer",$A671="thg-ingenuity",$A671="thg-central-marketing",$A671="thg-seoclarity"),"HOLD — Charlie Stringer to review before deletion",TRUE,"")</f>
        <v>HOLD — Charlie Stringer to review before deletion</v>
      </c>
      <c r="S671" t="s">
        <v>1631</v>
      </c>
    </row>
    <row r="672" spans="1:19" ht="76.5" hidden="1">
      <c r="A672" t="s">
        <v>39</v>
      </c>
      <c r="B672" t="s">
        <v>1619</v>
      </c>
      <c r="C672" t="s">
        <v>3140</v>
      </c>
      <c r="D672" s="2" t="s">
        <v>1621</v>
      </c>
      <c r="E672">
        <v>0.04</v>
      </c>
      <c r="F672">
        <v>0</v>
      </c>
      <c r="G672" t="s">
        <v>79</v>
      </c>
      <c r="H672" t="s">
        <v>81</v>
      </c>
      <c r="I672">
        <v>0</v>
      </c>
      <c r="J672">
        <v>0</v>
      </c>
      <c r="K672" s="5">
        <v>46197.434883796297</v>
      </c>
      <c r="L672" s="5">
        <v>46197.424793402781</v>
      </c>
      <c r="M672" s="2" t="s">
        <v>3141</v>
      </c>
      <c r="N672" s="2" t="s">
        <v>3142</v>
      </c>
      <c r="O672" s="5">
        <v>46197.424811990742</v>
      </c>
      <c r="P672" t="str">
        <f>IF($Q672="DELETE",IF($S672="CONFIRMED: NO MODS &gt; 1YR","CONFIRMED: NO MODS &gt; 1YR","DO NOT DELETE — not defensibly confirmed"),IF($Q672="HOLD","DO NOT DELETE — HOLD (Charlie review)",IF($Q672="KEEP","DO NOT DELETE — KEEP",IF(ISNUMBER(SEARCH("REVIEW",$Q672)),"DO NOT DELETE — REVIEW pending",$S672))))</f>
        <v>DO NOT DELETE — HOLD (Charlie review)</v>
      </c>
      <c r="Q672" t="str" cm="1">
        <f t="array" ref="Q672">_xlfn.IFS(AND($A672="thg-beauty",ISNUMBER(SEARCH("liveramp",$C672))),"DELETE",$A672="agile-bonbon-662",_xlfn.IFS(LEFT($G672,9)="Tranche 1","DELETE",$C672="Sessions_Level_1_All_Sites","KEEP",ISNUMBER(--$C672),"REVIEW — UA raw logs",$C672="Emag_Reporting","KEEP",$C672="Nutrition_Data_Archived_Tables","KEEP",$C672="EU_Data","KEEP",TRUE,"REVIEW"),OR($A672="thg-influencer",$A672="thg-ingenuity",$A672="thg-central-marketing",$A672="thg-seoclarity"),"HOLD",TRUE,"")</f>
        <v>HOLD</v>
      </c>
      <c r="R672" t="str" cm="1">
        <f t="array" ref="R672">_xlfn.IFS(AND($A672="thg-beauty",ISNUMBER(SEARCH("liveramp",$C672))),"thg-beauty Liveramp dataset — confirmed safe to delete",$A672="agile-bonbon-662",_xlfn.IFS(LEFT($G672,9)="Tranche 1","Tranche 1: cleared",$C672="Sessions_Level_1_All_Sites","Downstream aggregation of UA raw logs — keep if raw tables go",ISNUMBER(--$C672),"UA raw site logs (account ID) — keep pending audit-retention check",$C672="Emag_Reporting","Legacy but likely needed",$C672="Nutrition_Data_Archived_Tables","Worth keeping",$C672="EU_Data","Static lookup tables — scripts still reference (smoke-test risk)",TRUE,"Review"),OR($A672="thg-influencer",$A672="thg-ingenuity",$A672="thg-central-marketing",$A672="thg-seoclarity"),"HOLD — Charlie Stringer to review before deletion",TRUE,"")</f>
        <v>HOLD — Charlie Stringer to review before deletion</v>
      </c>
      <c r="S672" t="s">
        <v>1631</v>
      </c>
    </row>
    <row r="673" spans="1:19" ht="76.5" hidden="1">
      <c r="A673" t="s">
        <v>92</v>
      </c>
      <c r="B673" t="s">
        <v>1619</v>
      </c>
      <c r="C673" t="s">
        <v>3143</v>
      </c>
      <c r="D673" s="2" t="s">
        <v>1621</v>
      </c>
      <c r="E673">
        <v>0.04</v>
      </c>
      <c r="F673">
        <v>0</v>
      </c>
      <c r="G673" t="s">
        <v>79</v>
      </c>
      <c r="H673" t="s">
        <v>81</v>
      </c>
      <c r="I673">
        <v>0</v>
      </c>
      <c r="J673">
        <v>0</v>
      </c>
      <c r="K673" s="5">
        <v>46197.292169618057</v>
      </c>
      <c r="L673" s="5">
        <v>46197.105016666668</v>
      </c>
      <c r="M673" s="2" t="s">
        <v>3144</v>
      </c>
      <c r="N673" s="2" t="s">
        <v>3145</v>
      </c>
      <c r="O673" s="5">
        <v>46197.10540226852</v>
      </c>
      <c r="P673" t="str">
        <f>IF($Q673="DELETE",IF($S673="CONFIRMED: NO MODS &gt; 1YR","CONFIRMED: NO MODS &gt; 1YR","DO NOT DELETE — not defensibly confirmed"),IF($Q673="HOLD","DO NOT DELETE — HOLD (Charlie review)",IF($Q673="KEEP","DO NOT DELETE — KEEP",IF(ISNUMBER(SEARCH("REVIEW",$Q673)),"DO NOT DELETE — REVIEW pending",$S673))))</f>
        <v>REVIEW</v>
      </c>
      <c r="Q673" t="str" cm="1">
        <f t="array" ref="Q673">_xlfn.IFS(AND($A673="thg-beauty",ISNUMBER(SEARCH("liveramp",$C673))),"DELETE",$A673="agile-bonbon-662",_xlfn.IFS(LEFT($G673,9)="Tranche 1","DELETE",$C673="Sessions_Level_1_All_Sites","KEEP",ISNUMBER(--$C673),"REVIEW — UA raw logs",$C673="Emag_Reporting","KEEP",$C673="Nutrition_Data_Archived_Tables","KEEP",$C673="EU_Data","KEEP",TRUE,"REVIEW"),OR($A673="thg-influencer",$A673="thg-ingenuity",$A673="thg-central-marketing",$A673="thg-seoclarity"),"HOLD",TRUE,"")</f>
        <v/>
      </c>
      <c r="R673" t="str" cm="1">
        <f t="array" ref="R673">_xlfn.IFS(AND($A673="thg-beauty",ISNUMBER(SEARCH("liveramp",$C673))),"thg-beauty Liveramp dataset — confirmed safe to delete",$A673="agile-bonbon-662",_xlfn.IFS(LEFT($G673,9)="Tranche 1","Tranche 1: cleared",$C673="Sessions_Level_1_All_Sites","Downstream aggregation of UA raw logs — keep if raw tables go",ISNUMBER(--$C673),"UA raw site logs (account ID) — keep pending audit-retention check",$C673="Emag_Reporting","Legacy but likely needed",$C673="Nutrition_Data_Archived_Tables","Worth keeping",$C673="EU_Data","Static lookup tables — scripts still reference (smoke-test risk)",TRUE,"Review"),OR($A673="thg-influencer",$A673="thg-ingenuity",$A673="thg-central-marketing",$A673="thg-seoclarity"),"HOLD — Charlie Stringer to review before deletion",TRUE,"")</f>
        <v/>
      </c>
      <c r="S673" t="s">
        <v>1631</v>
      </c>
    </row>
    <row r="674" spans="1:19" ht="76.5" hidden="1">
      <c r="A674" t="s">
        <v>35</v>
      </c>
      <c r="B674" t="s">
        <v>1619</v>
      </c>
      <c r="C674" t="s">
        <v>3146</v>
      </c>
      <c r="D674" s="2" t="s">
        <v>1621</v>
      </c>
      <c r="E674">
        <v>0.04</v>
      </c>
      <c r="F674">
        <v>0</v>
      </c>
      <c r="G674" t="s">
        <v>79</v>
      </c>
      <c r="H674" t="s">
        <v>81</v>
      </c>
      <c r="I674">
        <v>0</v>
      </c>
      <c r="J674">
        <v>34</v>
      </c>
      <c r="K674" s="5">
        <v>46197.446039328701</v>
      </c>
      <c r="L674" s="5">
        <v>46163.430945740743</v>
      </c>
      <c r="M674" s="2" t="s">
        <v>3147</v>
      </c>
      <c r="N674" s="2" t="s">
        <v>3148</v>
      </c>
      <c r="O674" s="5">
        <v>46163.430936481484</v>
      </c>
      <c r="P674" t="str">
        <f>IF($Q674="DELETE",IF($S674="CONFIRMED: NO MODS &gt; 1YR","CONFIRMED: NO MODS &gt; 1YR","DO NOT DELETE — not defensibly confirmed"),IF($Q674="HOLD","DO NOT DELETE — HOLD (Charlie review)",IF($Q674="KEEP","DO NOT DELETE — KEEP",IF(ISNUMBER(SEARCH("REVIEW",$Q674)),"DO NOT DELETE — REVIEW pending",$S674))))</f>
        <v>DO NOT DELETE — HOLD (Charlie review)</v>
      </c>
      <c r="Q674" t="str" cm="1">
        <f t="array" ref="Q674">_xlfn.IFS(AND($A674="thg-beauty",ISNUMBER(SEARCH("liveramp",$C674))),"DELETE",$A674="agile-bonbon-662",_xlfn.IFS(LEFT($G674,9)="Tranche 1","DELETE",$C674="Sessions_Level_1_All_Sites","KEEP",ISNUMBER(--$C674),"REVIEW — UA raw logs",$C674="Emag_Reporting","KEEP",$C674="Nutrition_Data_Archived_Tables","KEEP",$C674="EU_Data","KEEP",TRUE,"REVIEW"),OR($A674="thg-influencer",$A674="thg-ingenuity",$A674="thg-central-marketing",$A674="thg-seoclarity"),"HOLD",TRUE,"")</f>
        <v>HOLD</v>
      </c>
      <c r="R674" t="str" cm="1">
        <f t="array" ref="R674">_xlfn.IFS(AND($A674="thg-beauty",ISNUMBER(SEARCH("liveramp",$C674))),"thg-beauty Liveramp dataset — confirmed safe to delete",$A674="agile-bonbon-662",_xlfn.IFS(LEFT($G674,9)="Tranche 1","Tranche 1: cleared",$C674="Sessions_Level_1_All_Sites","Downstream aggregation of UA raw logs — keep if raw tables go",ISNUMBER(--$C674),"UA raw site logs (account ID) — keep pending audit-retention check",$C674="Emag_Reporting","Legacy but likely needed",$C674="Nutrition_Data_Archived_Tables","Worth keeping",$C674="EU_Data","Static lookup tables — scripts still reference (smoke-test risk)",TRUE,"Review"),OR($A674="thg-influencer",$A674="thg-ingenuity",$A674="thg-central-marketing",$A674="thg-seoclarity"),"HOLD — Charlie Stringer to review before deletion",TRUE,"")</f>
        <v>HOLD — Charlie Stringer to review before deletion</v>
      </c>
      <c r="S674" t="s">
        <v>1631</v>
      </c>
    </row>
    <row r="675" spans="1:19" ht="76.5" hidden="1">
      <c r="A675" t="s">
        <v>35</v>
      </c>
      <c r="B675" t="s">
        <v>1619</v>
      </c>
      <c r="C675" t="s">
        <v>3149</v>
      </c>
      <c r="D675" s="2" t="s">
        <v>1621</v>
      </c>
      <c r="E675">
        <v>0.04</v>
      </c>
      <c r="F675">
        <v>0</v>
      </c>
      <c r="G675" t="s">
        <v>79</v>
      </c>
      <c r="H675" t="s">
        <v>81</v>
      </c>
      <c r="I675">
        <v>0</v>
      </c>
      <c r="J675">
        <v>34</v>
      </c>
      <c r="K675" s="5">
        <v>46197.417395578697</v>
      </c>
      <c r="L675" s="5">
        <v>46162.794031296296</v>
      </c>
      <c r="M675" s="2" t="s">
        <v>2686</v>
      </c>
      <c r="N675" s="2" t="s">
        <v>3150</v>
      </c>
      <c r="O675" s="5">
        <v>46162.794018217603</v>
      </c>
      <c r="P675" t="str">
        <f>IF($Q675="DELETE",IF($S675="CONFIRMED: NO MODS &gt; 1YR","CONFIRMED: NO MODS &gt; 1YR","DO NOT DELETE — not defensibly confirmed"),IF($Q675="HOLD","DO NOT DELETE — HOLD (Charlie review)",IF($Q675="KEEP","DO NOT DELETE — KEEP",IF(ISNUMBER(SEARCH("REVIEW",$Q675)),"DO NOT DELETE — REVIEW pending",$S675))))</f>
        <v>DO NOT DELETE — HOLD (Charlie review)</v>
      </c>
      <c r="Q675" t="str" cm="1">
        <f t="array" ref="Q675">_xlfn.IFS(AND($A675="thg-beauty",ISNUMBER(SEARCH("liveramp",$C675))),"DELETE",$A675="agile-bonbon-662",_xlfn.IFS(LEFT($G675,9)="Tranche 1","DELETE",$C675="Sessions_Level_1_All_Sites","KEEP",ISNUMBER(--$C675),"REVIEW — UA raw logs",$C675="Emag_Reporting","KEEP",$C675="Nutrition_Data_Archived_Tables","KEEP",$C675="EU_Data","KEEP",TRUE,"REVIEW"),OR($A675="thg-influencer",$A675="thg-ingenuity",$A675="thg-central-marketing",$A675="thg-seoclarity"),"HOLD",TRUE,"")</f>
        <v>HOLD</v>
      </c>
      <c r="R675" t="str" cm="1">
        <f t="array" ref="R675">_xlfn.IFS(AND($A675="thg-beauty",ISNUMBER(SEARCH("liveramp",$C675))),"thg-beauty Liveramp dataset — confirmed safe to delete",$A675="agile-bonbon-662",_xlfn.IFS(LEFT($G675,9)="Tranche 1","Tranche 1: cleared",$C675="Sessions_Level_1_All_Sites","Downstream aggregation of UA raw logs — keep if raw tables go",ISNUMBER(--$C675),"UA raw site logs (account ID) — keep pending audit-retention check",$C675="Emag_Reporting","Legacy but likely needed",$C675="Nutrition_Data_Archived_Tables","Worth keeping",$C675="EU_Data","Static lookup tables — scripts still reference (smoke-test risk)",TRUE,"Review"),OR($A675="thg-influencer",$A675="thg-ingenuity",$A675="thg-central-marketing",$A675="thg-seoclarity"),"HOLD — Charlie Stringer to review before deletion",TRUE,"")</f>
        <v>HOLD — Charlie Stringer to review before deletion</v>
      </c>
      <c r="S675" t="s">
        <v>1631</v>
      </c>
    </row>
    <row r="676" spans="1:19" ht="76.5" hidden="1">
      <c r="A676" t="s">
        <v>89</v>
      </c>
      <c r="B676" t="s">
        <v>1619</v>
      </c>
      <c r="C676" t="s">
        <v>3151</v>
      </c>
      <c r="D676" s="2" t="s">
        <v>1621</v>
      </c>
      <c r="E676">
        <v>0.03</v>
      </c>
      <c r="F676">
        <v>0</v>
      </c>
      <c r="G676" t="s">
        <v>79</v>
      </c>
      <c r="H676" t="s">
        <v>81</v>
      </c>
      <c r="I676">
        <v>0</v>
      </c>
      <c r="J676">
        <v>0</v>
      </c>
      <c r="K676" s="5">
        <v>46197.126459259263</v>
      </c>
      <c r="L676" s="5">
        <v>46197.095978217592</v>
      </c>
      <c r="M676" s="2" t="s">
        <v>3152</v>
      </c>
      <c r="N676" s="2" t="s">
        <v>3153</v>
      </c>
      <c r="O676" s="5">
        <v>46197.095993645831</v>
      </c>
      <c r="P676" t="str">
        <f>IF($Q676="DELETE",IF($S676="CONFIRMED: NO MODS &gt; 1YR","CONFIRMED: NO MODS &gt; 1YR","DO NOT DELETE — not defensibly confirmed"),IF($Q676="HOLD","DO NOT DELETE — HOLD (Charlie review)",IF($Q676="KEEP","DO NOT DELETE — KEEP",IF(ISNUMBER(SEARCH("REVIEW",$Q676)),"DO NOT DELETE — REVIEW pending",$S676))))</f>
        <v>DO NOT DELETE — REVIEW pending</v>
      </c>
      <c r="Q676" t="str" cm="1">
        <f t="array" ref="Q676">_xlfn.IFS(AND($A676="thg-beauty",ISNUMBER(SEARCH("liveramp",$C676))),"DELETE",$A676="agile-bonbon-662",_xlfn.IFS(LEFT($G676,9)="Tranche 1","DELETE",$C676="Sessions_Level_1_All_Sites","KEEP",ISNUMBER(--$C676),"REVIEW — UA raw logs",$C676="Emag_Reporting","KEEP",$C676="Nutrition_Data_Archived_Tables","KEEP",$C676="EU_Data","KEEP",TRUE,"REVIEW"),OR($A676="thg-influencer",$A676="thg-ingenuity",$A676="thg-central-marketing",$A676="thg-seoclarity"),"HOLD",TRUE,"")</f>
        <v>REVIEW</v>
      </c>
      <c r="R676" t="str" cm="1">
        <f t="array" ref="R676">_xlfn.IFS(AND($A676="thg-beauty",ISNUMBER(SEARCH("liveramp",$C676))),"thg-beauty Liveramp dataset — confirmed safe to delete",$A676="agile-bonbon-662",_xlfn.IFS(LEFT($G676,9)="Tranche 1","Tranche 1: cleared",$C676="Sessions_Level_1_All_Sites","Downstream aggregation of UA raw logs — keep if raw tables go",ISNUMBER(--$C676),"UA raw site logs (account ID) — keep pending audit-retention check",$C676="Emag_Reporting","Legacy but likely needed",$C676="Nutrition_Data_Archived_Tables","Worth keeping",$C676="EU_Data","Static lookup tables — scripts still reference (smoke-test risk)",TRUE,"Review"),OR($A676="thg-influencer",$A676="thg-ingenuity",$A676="thg-central-marketing",$A676="thg-seoclarity"),"HOLD — Charlie Stringer to review before deletion",TRUE,"")</f>
        <v>Review</v>
      </c>
      <c r="S676" t="s">
        <v>1631</v>
      </c>
    </row>
    <row r="677" spans="1:19" ht="76.5" hidden="1">
      <c r="A677" t="s">
        <v>1471</v>
      </c>
      <c r="B677" t="s">
        <v>1619</v>
      </c>
      <c r="C677" t="s">
        <v>3154</v>
      </c>
      <c r="D677" s="2" t="s">
        <v>1621</v>
      </c>
      <c r="E677">
        <v>0.03</v>
      </c>
      <c r="F677">
        <v>0</v>
      </c>
      <c r="G677" t="s">
        <v>79</v>
      </c>
      <c r="H677" t="s">
        <v>81</v>
      </c>
      <c r="I677">
        <v>0</v>
      </c>
      <c r="J677">
        <v>0</v>
      </c>
      <c r="K677" s="5">
        <v>46197.32962921296</v>
      </c>
      <c r="L677" s="5">
        <v>46197.261098750001</v>
      </c>
      <c r="M677" s="2" t="s">
        <v>3155</v>
      </c>
      <c r="N677" s="2" t="s">
        <v>3156</v>
      </c>
      <c r="O677" s="5">
        <v>46197.261093136571</v>
      </c>
      <c r="P677" t="str">
        <f>IF($Q677="DELETE",IF($S677="CONFIRMED: NO MODS &gt; 1YR","CONFIRMED: NO MODS &gt; 1YR","DO NOT DELETE — not defensibly confirmed"),IF($Q677="HOLD","DO NOT DELETE — HOLD (Charlie review)",IF($Q677="KEEP","DO NOT DELETE — KEEP",IF(ISNUMBER(SEARCH("REVIEW",$Q677)),"DO NOT DELETE — REVIEW pending",$S677))))</f>
        <v>REVIEW</v>
      </c>
      <c r="Q677" t="str" cm="1">
        <f t="array" ref="Q677">_xlfn.IFS(AND($A677="thg-beauty",ISNUMBER(SEARCH("liveramp",$C677))),"DELETE",$A677="agile-bonbon-662",_xlfn.IFS(LEFT($G677,9)="Tranche 1","DELETE",$C677="Sessions_Level_1_All_Sites","KEEP",ISNUMBER(--$C677),"REVIEW — UA raw logs",$C677="Emag_Reporting","KEEP",$C677="Nutrition_Data_Archived_Tables","KEEP",$C677="EU_Data","KEEP",TRUE,"REVIEW"),OR($A677="thg-influencer",$A677="thg-ingenuity",$A677="thg-central-marketing",$A677="thg-seoclarity"),"HOLD",TRUE,"")</f>
        <v/>
      </c>
      <c r="R677" t="str" cm="1">
        <f t="array" ref="R677">_xlfn.IFS(AND($A677="thg-beauty",ISNUMBER(SEARCH("liveramp",$C677))),"thg-beauty Liveramp dataset — confirmed safe to delete",$A677="agile-bonbon-662",_xlfn.IFS(LEFT($G677,9)="Tranche 1","Tranche 1: cleared",$C677="Sessions_Level_1_All_Sites","Downstream aggregation of UA raw logs — keep if raw tables go",ISNUMBER(--$C677),"UA raw site logs (account ID) — keep pending audit-retention check",$C677="Emag_Reporting","Legacy but likely needed",$C677="Nutrition_Data_Archived_Tables","Worth keeping",$C677="EU_Data","Static lookup tables — scripts still reference (smoke-test risk)",TRUE,"Review"),OR($A677="thg-influencer",$A677="thg-ingenuity",$A677="thg-central-marketing",$A677="thg-seoclarity"),"HOLD — Charlie Stringer to review before deletion",TRUE,"")</f>
        <v/>
      </c>
      <c r="S677" t="s">
        <v>1631</v>
      </c>
    </row>
    <row r="678" spans="1:19" ht="76.5" hidden="1">
      <c r="A678" t="s">
        <v>90</v>
      </c>
      <c r="B678" t="s">
        <v>1619</v>
      </c>
      <c r="C678" t="s">
        <v>1875</v>
      </c>
      <c r="D678" s="2" t="s">
        <v>1621</v>
      </c>
      <c r="E678">
        <v>0.02</v>
      </c>
      <c r="F678">
        <v>0</v>
      </c>
      <c r="G678" t="s">
        <v>79</v>
      </c>
      <c r="H678" t="s">
        <v>81</v>
      </c>
      <c r="I678">
        <v>0</v>
      </c>
      <c r="J678">
        <v>0</v>
      </c>
      <c r="K678" s="5">
        <v>46197.453494444453</v>
      </c>
      <c r="L678" s="5">
        <v>46197.448058923612</v>
      </c>
      <c r="M678" s="2" t="s">
        <v>3157</v>
      </c>
      <c r="N678" s="2" t="s">
        <v>3158</v>
      </c>
      <c r="O678" s="5">
        <v>46197.437754641207</v>
      </c>
      <c r="P678" t="str">
        <f>IF($Q678="DELETE",IF($S678="CONFIRMED: NO MODS &gt; 1YR","CONFIRMED: NO MODS &gt; 1YR","DO NOT DELETE — not defensibly confirmed"),IF($Q678="HOLD","DO NOT DELETE — HOLD (Charlie review)",IF($Q678="KEEP","DO NOT DELETE — KEEP",IF(ISNUMBER(SEARCH("REVIEW",$Q678)),"DO NOT DELETE — REVIEW pending",$S678))))</f>
        <v>REVIEW</v>
      </c>
      <c r="Q678" t="str" cm="1">
        <f t="array" ref="Q678">_xlfn.IFS(AND($A678="thg-beauty",ISNUMBER(SEARCH("liveramp",$C678))),"DELETE",$A678="agile-bonbon-662",_xlfn.IFS(LEFT($G678,9)="Tranche 1","DELETE",$C678="Sessions_Level_1_All_Sites","KEEP",ISNUMBER(--$C678),"REVIEW — UA raw logs",$C678="Emag_Reporting","KEEP",$C678="Nutrition_Data_Archived_Tables","KEEP",$C678="EU_Data","KEEP",TRUE,"REVIEW"),OR($A678="thg-influencer",$A678="thg-ingenuity",$A678="thg-central-marketing",$A678="thg-seoclarity"),"HOLD",TRUE,"")</f>
        <v/>
      </c>
      <c r="R678" t="str" cm="1">
        <f t="array" ref="R678">_xlfn.IFS(AND($A678="thg-beauty",ISNUMBER(SEARCH("liveramp",$C678))),"thg-beauty Liveramp dataset — confirmed safe to delete",$A678="agile-bonbon-662",_xlfn.IFS(LEFT($G678,9)="Tranche 1","Tranche 1: cleared",$C678="Sessions_Level_1_All_Sites","Downstream aggregation of UA raw logs — keep if raw tables go",ISNUMBER(--$C678),"UA raw site logs (account ID) — keep pending audit-retention check",$C678="Emag_Reporting","Legacy but likely needed",$C678="Nutrition_Data_Archived_Tables","Worth keeping",$C678="EU_Data","Static lookup tables — scripts still reference (smoke-test risk)",TRUE,"Review"),OR($A678="thg-influencer",$A678="thg-ingenuity",$A678="thg-central-marketing",$A678="thg-seoclarity"),"HOLD — Charlie Stringer to review before deletion",TRUE,"")</f>
        <v/>
      </c>
      <c r="S678" t="s">
        <v>1631</v>
      </c>
    </row>
    <row r="679" spans="1:19" ht="76.5" hidden="1">
      <c r="A679" t="s">
        <v>90</v>
      </c>
      <c r="B679" t="s">
        <v>1619</v>
      </c>
      <c r="C679" t="s">
        <v>3159</v>
      </c>
      <c r="D679" s="2" t="s">
        <v>1621</v>
      </c>
      <c r="E679">
        <v>0.02</v>
      </c>
      <c r="F679">
        <v>0</v>
      </c>
      <c r="G679" t="s">
        <v>79</v>
      </c>
      <c r="H679" t="s">
        <v>81</v>
      </c>
      <c r="I679">
        <v>0</v>
      </c>
      <c r="J679">
        <v>0</v>
      </c>
      <c r="K679" s="5">
        <v>46197.415703587962</v>
      </c>
      <c r="L679" s="5">
        <v>46197.020916712972</v>
      </c>
      <c r="M679" s="2" t="s">
        <v>3160</v>
      </c>
      <c r="N679" s="2" t="s">
        <v>3161</v>
      </c>
      <c r="O679" s="5">
        <v>46197.021456782408</v>
      </c>
      <c r="P679" t="str">
        <f>IF($Q679="DELETE",IF($S679="CONFIRMED: NO MODS &gt; 1YR","CONFIRMED: NO MODS &gt; 1YR","DO NOT DELETE — not defensibly confirmed"),IF($Q679="HOLD","DO NOT DELETE — HOLD (Charlie review)",IF($Q679="KEEP","DO NOT DELETE — KEEP",IF(ISNUMBER(SEARCH("REVIEW",$Q679)),"DO NOT DELETE — REVIEW pending",$S679))))</f>
        <v>REVIEW</v>
      </c>
      <c r="Q679" t="str" cm="1">
        <f t="array" ref="Q679">_xlfn.IFS(AND($A679="thg-beauty",ISNUMBER(SEARCH("liveramp",$C679))),"DELETE",$A679="agile-bonbon-662",_xlfn.IFS(LEFT($G679,9)="Tranche 1","DELETE",$C679="Sessions_Level_1_All_Sites","KEEP",ISNUMBER(--$C679),"REVIEW — UA raw logs",$C679="Emag_Reporting","KEEP",$C679="Nutrition_Data_Archived_Tables","KEEP",$C679="EU_Data","KEEP",TRUE,"REVIEW"),OR($A679="thg-influencer",$A679="thg-ingenuity",$A679="thg-central-marketing",$A679="thg-seoclarity"),"HOLD",TRUE,"")</f>
        <v/>
      </c>
      <c r="R679" t="str" cm="1">
        <f t="array" ref="R679">_xlfn.IFS(AND($A679="thg-beauty",ISNUMBER(SEARCH("liveramp",$C679))),"thg-beauty Liveramp dataset — confirmed safe to delete",$A679="agile-bonbon-662",_xlfn.IFS(LEFT($G679,9)="Tranche 1","Tranche 1: cleared",$C679="Sessions_Level_1_All_Sites","Downstream aggregation of UA raw logs — keep if raw tables go",ISNUMBER(--$C679),"UA raw site logs (account ID) — keep pending audit-retention check",$C679="Emag_Reporting","Legacy but likely needed",$C679="Nutrition_Data_Archived_Tables","Worth keeping",$C679="EU_Data","Static lookup tables — scripts still reference (smoke-test risk)",TRUE,"Review"),OR($A679="thg-influencer",$A679="thg-ingenuity",$A679="thg-central-marketing",$A679="thg-seoclarity"),"HOLD — Charlie Stringer to review before deletion",TRUE,"")</f>
        <v/>
      </c>
      <c r="S679" t="s">
        <v>1631</v>
      </c>
    </row>
    <row r="680" spans="1:19" ht="76.5" hidden="1">
      <c r="A680" t="s">
        <v>39</v>
      </c>
      <c r="B680" t="s">
        <v>1619</v>
      </c>
      <c r="C680" t="s">
        <v>3162</v>
      </c>
      <c r="D680" s="2" t="s">
        <v>1621</v>
      </c>
      <c r="E680">
        <v>0.02</v>
      </c>
      <c r="F680">
        <v>0</v>
      </c>
      <c r="G680" t="s">
        <v>79</v>
      </c>
      <c r="H680" t="s">
        <v>81</v>
      </c>
      <c r="I680">
        <v>0</v>
      </c>
      <c r="J680">
        <v>0</v>
      </c>
      <c r="K680" s="5">
        <v>46197.195233032413</v>
      </c>
      <c r="L680" s="5">
        <v>46197.195257719897</v>
      </c>
      <c r="M680" s="2" t="s">
        <v>3163</v>
      </c>
      <c r="N680" s="2" t="s">
        <v>3164</v>
      </c>
      <c r="O680" s="5">
        <v>46197.195280706022</v>
      </c>
      <c r="P680" t="str">
        <f>IF($Q680="DELETE",IF($S680="CONFIRMED: NO MODS &gt; 1YR","CONFIRMED: NO MODS &gt; 1YR","DO NOT DELETE — not defensibly confirmed"),IF($Q680="HOLD","DO NOT DELETE — HOLD (Charlie review)",IF($Q680="KEEP","DO NOT DELETE — KEEP",IF(ISNUMBER(SEARCH("REVIEW",$Q680)),"DO NOT DELETE — REVIEW pending",$S680))))</f>
        <v>DO NOT DELETE — HOLD (Charlie review)</v>
      </c>
      <c r="Q680" t="str" cm="1">
        <f t="array" ref="Q680">_xlfn.IFS(AND($A680="thg-beauty",ISNUMBER(SEARCH("liveramp",$C680))),"DELETE",$A680="agile-bonbon-662",_xlfn.IFS(LEFT($G680,9)="Tranche 1","DELETE",$C680="Sessions_Level_1_All_Sites","KEEP",ISNUMBER(--$C680),"REVIEW — UA raw logs",$C680="Emag_Reporting","KEEP",$C680="Nutrition_Data_Archived_Tables","KEEP",$C680="EU_Data","KEEP",TRUE,"REVIEW"),OR($A680="thg-influencer",$A680="thg-ingenuity",$A680="thg-central-marketing",$A680="thg-seoclarity"),"HOLD",TRUE,"")</f>
        <v>HOLD</v>
      </c>
      <c r="R680" t="str" cm="1">
        <f t="array" ref="R680">_xlfn.IFS(AND($A680="thg-beauty",ISNUMBER(SEARCH("liveramp",$C680))),"thg-beauty Liveramp dataset — confirmed safe to delete",$A680="agile-bonbon-662",_xlfn.IFS(LEFT($G680,9)="Tranche 1","Tranche 1: cleared",$C680="Sessions_Level_1_All_Sites","Downstream aggregation of UA raw logs — keep if raw tables go",ISNUMBER(--$C680),"UA raw site logs (account ID) — keep pending audit-retention check",$C680="Emag_Reporting","Legacy but likely needed",$C680="Nutrition_Data_Archived_Tables","Worth keeping",$C680="EU_Data","Static lookup tables — scripts still reference (smoke-test risk)",TRUE,"Review"),OR($A680="thg-influencer",$A680="thg-ingenuity",$A680="thg-central-marketing",$A680="thg-seoclarity"),"HOLD — Charlie Stringer to review before deletion",TRUE,"")</f>
        <v>HOLD — Charlie Stringer to review before deletion</v>
      </c>
      <c r="S680" t="s">
        <v>1631</v>
      </c>
    </row>
    <row r="681" spans="1:19" ht="76.5" hidden="1">
      <c r="A681" t="s">
        <v>35</v>
      </c>
      <c r="B681" t="s">
        <v>1619</v>
      </c>
      <c r="C681" t="s">
        <v>3165</v>
      </c>
      <c r="D681" s="2" t="s">
        <v>1621</v>
      </c>
      <c r="E681">
        <v>0.02</v>
      </c>
      <c r="F681">
        <v>0</v>
      </c>
      <c r="G681" t="s">
        <v>79</v>
      </c>
      <c r="H681" t="s">
        <v>81</v>
      </c>
      <c r="I681">
        <v>0</v>
      </c>
      <c r="J681">
        <v>0</v>
      </c>
      <c r="K681" s="5">
        <v>46197.446527824082</v>
      </c>
      <c r="L681" s="5">
        <v>46197.43275162037</v>
      </c>
      <c r="M681" s="2" t="s">
        <v>3166</v>
      </c>
      <c r="N681" s="2" t="s">
        <v>3167</v>
      </c>
      <c r="O681" s="5">
        <v>46197.433481840279</v>
      </c>
      <c r="P681" t="str">
        <f>IF($Q681="DELETE",IF($S681="CONFIRMED: NO MODS &gt; 1YR","CONFIRMED: NO MODS &gt; 1YR","DO NOT DELETE — not defensibly confirmed"),IF($Q681="HOLD","DO NOT DELETE — HOLD (Charlie review)",IF($Q681="KEEP","DO NOT DELETE — KEEP",IF(ISNUMBER(SEARCH("REVIEW",$Q681)),"DO NOT DELETE — REVIEW pending",$S681))))</f>
        <v>DO NOT DELETE — HOLD (Charlie review)</v>
      </c>
      <c r="Q681" t="str" cm="1">
        <f t="array" ref="Q681">_xlfn.IFS(AND($A681="thg-beauty",ISNUMBER(SEARCH("liveramp",$C681))),"DELETE",$A681="agile-bonbon-662",_xlfn.IFS(LEFT($G681,9)="Tranche 1","DELETE",$C681="Sessions_Level_1_All_Sites","KEEP",ISNUMBER(--$C681),"REVIEW — UA raw logs",$C681="Emag_Reporting","KEEP",$C681="Nutrition_Data_Archived_Tables","KEEP",$C681="EU_Data","KEEP",TRUE,"REVIEW"),OR($A681="thg-influencer",$A681="thg-ingenuity",$A681="thg-central-marketing",$A681="thg-seoclarity"),"HOLD",TRUE,"")</f>
        <v>HOLD</v>
      </c>
      <c r="R681" t="str" cm="1">
        <f t="array" ref="R681">_xlfn.IFS(AND($A681="thg-beauty",ISNUMBER(SEARCH("liveramp",$C681))),"thg-beauty Liveramp dataset — confirmed safe to delete",$A681="agile-bonbon-662",_xlfn.IFS(LEFT($G681,9)="Tranche 1","Tranche 1: cleared",$C681="Sessions_Level_1_All_Sites","Downstream aggregation of UA raw logs — keep if raw tables go",ISNUMBER(--$C681),"UA raw site logs (account ID) — keep pending audit-retention check",$C681="Emag_Reporting","Legacy but likely needed",$C681="Nutrition_Data_Archived_Tables","Worth keeping",$C681="EU_Data","Static lookup tables — scripts still reference (smoke-test risk)",TRUE,"Review"),OR($A681="thg-influencer",$A681="thg-ingenuity",$A681="thg-central-marketing",$A681="thg-seoclarity"),"HOLD — Charlie Stringer to review before deletion",TRUE,"")</f>
        <v>HOLD — Charlie Stringer to review before deletion</v>
      </c>
      <c r="S681" t="s">
        <v>1631</v>
      </c>
    </row>
    <row r="682" spans="1:19" ht="76.5" hidden="1">
      <c r="A682" t="s">
        <v>35</v>
      </c>
      <c r="B682" t="s">
        <v>1619</v>
      </c>
      <c r="C682" t="s">
        <v>3168</v>
      </c>
      <c r="D682" s="2" t="s">
        <v>1621</v>
      </c>
      <c r="E682">
        <v>0.02</v>
      </c>
      <c r="F682">
        <v>0</v>
      </c>
      <c r="G682" t="s">
        <v>79</v>
      </c>
      <c r="H682" t="s">
        <v>81</v>
      </c>
      <c r="I682">
        <v>0</v>
      </c>
      <c r="J682">
        <v>0</v>
      </c>
      <c r="K682" s="5">
        <v>46197.444581805546</v>
      </c>
      <c r="L682" s="5">
        <v>46197.00184300926</v>
      </c>
      <c r="M682" s="2" t="s">
        <v>3169</v>
      </c>
      <c r="N682" s="2" t="s">
        <v>3170</v>
      </c>
      <c r="O682" s="5">
        <v>46197.001889490741</v>
      </c>
      <c r="P682" t="str">
        <f>IF($Q682="DELETE",IF($S682="CONFIRMED: NO MODS &gt; 1YR","CONFIRMED: NO MODS &gt; 1YR","DO NOT DELETE — not defensibly confirmed"),IF($Q682="HOLD","DO NOT DELETE — HOLD (Charlie review)",IF($Q682="KEEP","DO NOT DELETE — KEEP",IF(ISNUMBER(SEARCH("REVIEW",$Q682)),"DO NOT DELETE — REVIEW pending",$S682))))</f>
        <v>DO NOT DELETE — HOLD (Charlie review)</v>
      </c>
      <c r="Q682" t="str" cm="1">
        <f t="array" ref="Q682">_xlfn.IFS(AND($A682="thg-beauty",ISNUMBER(SEARCH("liveramp",$C682))),"DELETE",$A682="agile-bonbon-662",_xlfn.IFS(LEFT($G682,9)="Tranche 1","DELETE",$C682="Sessions_Level_1_All_Sites","KEEP",ISNUMBER(--$C682),"REVIEW — UA raw logs",$C682="Emag_Reporting","KEEP",$C682="Nutrition_Data_Archived_Tables","KEEP",$C682="EU_Data","KEEP",TRUE,"REVIEW"),OR($A682="thg-influencer",$A682="thg-ingenuity",$A682="thg-central-marketing",$A682="thg-seoclarity"),"HOLD",TRUE,"")</f>
        <v>HOLD</v>
      </c>
      <c r="R682" t="str" cm="1">
        <f t="array" ref="R682">_xlfn.IFS(AND($A682="thg-beauty",ISNUMBER(SEARCH("liveramp",$C682))),"thg-beauty Liveramp dataset — confirmed safe to delete",$A682="agile-bonbon-662",_xlfn.IFS(LEFT($G682,9)="Tranche 1","Tranche 1: cleared",$C682="Sessions_Level_1_All_Sites","Downstream aggregation of UA raw logs — keep if raw tables go",ISNUMBER(--$C682),"UA raw site logs (account ID) — keep pending audit-retention check",$C682="Emag_Reporting","Legacy but likely needed",$C682="Nutrition_Data_Archived_Tables","Worth keeping",$C682="EU_Data","Static lookup tables — scripts still reference (smoke-test risk)",TRUE,"Review"),OR($A682="thg-influencer",$A682="thg-ingenuity",$A682="thg-central-marketing",$A682="thg-seoclarity"),"HOLD — Charlie Stringer to review before deletion",TRUE,"")</f>
        <v>HOLD — Charlie Stringer to review before deletion</v>
      </c>
      <c r="S682" t="s">
        <v>1631</v>
      </c>
    </row>
    <row r="683" spans="1:19" ht="76.5" hidden="1">
      <c r="A683" t="s">
        <v>90</v>
      </c>
      <c r="B683" t="s">
        <v>1619</v>
      </c>
      <c r="C683" t="s">
        <v>1814</v>
      </c>
      <c r="D683" s="2" t="s">
        <v>1621</v>
      </c>
      <c r="E683">
        <v>0.01</v>
      </c>
      <c r="F683">
        <v>0</v>
      </c>
      <c r="G683" t="s">
        <v>79</v>
      </c>
      <c r="H683" t="s">
        <v>81</v>
      </c>
      <c r="I683">
        <v>0</v>
      </c>
      <c r="J683">
        <v>0</v>
      </c>
      <c r="K683" s="5">
        <v>46197.448109340279</v>
      </c>
      <c r="L683" s="5">
        <v>46197.448109340279</v>
      </c>
      <c r="M683" s="2" t="s">
        <v>3171</v>
      </c>
      <c r="N683" s="2" t="s">
        <v>3172</v>
      </c>
      <c r="O683" s="5">
        <v>46197.448150555552</v>
      </c>
      <c r="P683" t="str">
        <f>IF($Q683="DELETE",IF($S683="CONFIRMED: NO MODS &gt; 1YR","CONFIRMED: NO MODS &gt; 1YR","DO NOT DELETE — not defensibly confirmed"),IF($Q683="HOLD","DO NOT DELETE — HOLD (Charlie review)",IF($Q683="KEEP","DO NOT DELETE — KEEP",IF(ISNUMBER(SEARCH("REVIEW",$Q683)),"DO NOT DELETE — REVIEW pending",$S683))))</f>
        <v>REVIEW</v>
      </c>
      <c r="Q683" t="str" cm="1">
        <f t="array" ref="Q683">_xlfn.IFS(AND($A683="thg-beauty",ISNUMBER(SEARCH("liveramp",$C683))),"DELETE",$A683="agile-bonbon-662",_xlfn.IFS(LEFT($G683,9)="Tranche 1","DELETE",$C683="Sessions_Level_1_All_Sites","KEEP",ISNUMBER(--$C683),"REVIEW — UA raw logs",$C683="Emag_Reporting","KEEP",$C683="Nutrition_Data_Archived_Tables","KEEP",$C683="EU_Data","KEEP",TRUE,"REVIEW"),OR($A683="thg-influencer",$A683="thg-ingenuity",$A683="thg-central-marketing",$A683="thg-seoclarity"),"HOLD",TRUE,"")</f>
        <v/>
      </c>
      <c r="R683" t="str" cm="1">
        <f t="array" ref="R683">_xlfn.IFS(AND($A683="thg-beauty",ISNUMBER(SEARCH("liveramp",$C683))),"thg-beauty Liveramp dataset — confirmed safe to delete",$A683="agile-bonbon-662",_xlfn.IFS(LEFT($G683,9)="Tranche 1","Tranche 1: cleared",$C683="Sessions_Level_1_All_Sites","Downstream aggregation of UA raw logs — keep if raw tables go",ISNUMBER(--$C683),"UA raw site logs (account ID) — keep pending audit-retention check",$C683="Emag_Reporting","Legacy but likely needed",$C683="Nutrition_Data_Archived_Tables","Worth keeping",$C683="EU_Data","Static lookup tables — scripts still reference (smoke-test risk)",TRUE,"Review"),OR($A683="thg-influencer",$A683="thg-ingenuity",$A683="thg-central-marketing",$A683="thg-seoclarity"),"HOLD — Charlie Stringer to review before deletion",TRUE,"")</f>
        <v/>
      </c>
      <c r="S683" t="s">
        <v>1631</v>
      </c>
    </row>
    <row r="684" spans="1:19" ht="76.5" hidden="1">
      <c r="A684" t="s">
        <v>89</v>
      </c>
      <c r="B684" t="s">
        <v>1619</v>
      </c>
      <c r="C684" t="s">
        <v>3173</v>
      </c>
      <c r="D684" s="2" t="s">
        <v>1621</v>
      </c>
      <c r="E684">
        <v>0.01</v>
      </c>
      <c r="F684">
        <v>0</v>
      </c>
      <c r="G684" t="s">
        <v>79</v>
      </c>
      <c r="H684" t="s">
        <v>81</v>
      </c>
      <c r="I684">
        <v>0</v>
      </c>
      <c r="J684">
        <v>14</v>
      </c>
      <c r="K684" s="5">
        <v>46197.305629872688</v>
      </c>
      <c r="L684" s="5">
        <v>46183.451176782408</v>
      </c>
      <c r="M684" s="2" t="s">
        <v>3174</v>
      </c>
      <c r="N684" s="2" t="s">
        <v>3175</v>
      </c>
      <c r="O684" s="5">
        <v>46183.451589085649</v>
      </c>
      <c r="P684" t="str">
        <f>IF($Q684="DELETE",IF($S684="CONFIRMED: NO MODS &gt; 1YR","CONFIRMED: NO MODS &gt; 1YR","DO NOT DELETE — not defensibly confirmed"),IF($Q684="HOLD","DO NOT DELETE — HOLD (Charlie review)",IF($Q684="KEEP","DO NOT DELETE — KEEP",IF(ISNUMBER(SEARCH("REVIEW",$Q684)),"DO NOT DELETE — REVIEW pending",$S684))))</f>
        <v>DO NOT DELETE — REVIEW pending</v>
      </c>
      <c r="Q684" t="str" cm="1">
        <f t="array" ref="Q684">_xlfn.IFS(AND($A684="thg-beauty",ISNUMBER(SEARCH("liveramp",$C684))),"DELETE",$A684="agile-bonbon-662",_xlfn.IFS(LEFT($G684,9)="Tranche 1","DELETE",$C684="Sessions_Level_1_All_Sites","KEEP",ISNUMBER(--$C684),"REVIEW — UA raw logs",$C684="Emag_Reporting","KEEP",$C684="Nutrition_Data_Archived_Tables","KEEP",$C684="EU_Data","KEEP",TRUE,"REVIEW"),OR($A684="thg-influencer",$A684="thg-ingenuity",$A684="thg-central-marketing",$A684="thg-seoclarity"),"HOLD",TRUE,"")</f>
        <v>REVIEW</v>
      </c>
      <c r="R684" t="str" cm="1">
        <f t="array" ref="R684">_xlfn.IFS(AND($A684="thg-beauty",ISNUMBER(SEARCH("liveramp",$C684))),"thg-beauty Liveramp dataset — confirmed safe to delete",$A684="agile-bonbon-662",_xlfn.IFS(LEFT($G684,9)="Tranche 1","Tranche 1: cleared",$C684="Sessions_Level_1_All_Sites","Downstream aggregation of UA raw logs — keep if raw tables go",ISNUMBER(--$C684),"UA raw site logs (account ID) — keep pending audit-retention check",$C684="Emag_Reporting","Legacy but likely needed",$C684="Nutrition_Data_Archived_Tables","Worth keeping",$C684="EU_Data","Static lookup tables — scripts still reference (smoke-test risk)",TRUE,"Review"),OR($A684="thg-influencer",$A684="thg-ingenuity",$A684="thg-central-marketing",$A684="thg-seoclarity"),"HOLD — Charlie Stringer to review before deletion",TRUE,"")</f>
        <v>Review</v>
      </c>
      <c r="S684" t="s">
        <v>1631</v>
      </c>
    </row>
    <row r="685" spans="1:19" ht="76.5" hidden="1">
      <c r="A685" t="s">
        <v>89</v>
      </c>
      <c r="B685" t="s">
        <v>1619</v>
      </c>
      <c r="C685" t="s">
        <v>3176</v>
      </c>
      <c r="D685" s="2" t="s">
        <v>1621</v>
      </c>
      <c r="E685">
        <v>0.01</v>
      </c>
      <c r="F685">
        <v>0</v>
      </c>
      <c r="G685" t="s">
        <v>79</v>
      </c>
      <c r="H685" t="s">
        <v>81</v>
      </c>
      <c r="I685">
        <v>0</v>
      </c>
      <c r="J685">
        <v>0</v>
      </c>
      <c r="K685" s="5">
        <v>46161.604600613427</v>
      </c>
      <c r="L685" s="5">
        <v>46197.227992499997</v>
      </c>
      <c r="M685" s="2" t="s">
        <v>3177</v>
      </c>
      <c r="N685" s="2" t="s">
        <v>3178</v>
      </c>
      <c r="O685" s="5">
        <v>46197.228008668979</v>
      </c>
      <c r="P685" t="str">
        <f>IF($Q685="DELETE",IF($S685="CONFIRMED: NO MODS &gt; 1YR","CONFIRMED: NO MODS &gt; 1YR","DO NOT DELETE — not defensibly confirmed"),IF($Q685="HOLD","DO NOT DELETE — HOLD (Charlie review)",IF($Q685="KEEP","DO NOT DELETE — KEEP",IF(ISNUMBER(SEARCH("REVIEW",$Q685)),"DO NOT DELETE — REVIEW pending",$S685))))</f>
        <v>DO NOT DELETE — REVIEW pending</v>
      </c>
      <c r="Q685" t="str" cm="1">
        <f t="array" ref="Q685">_xlfn.IFS(AND($A685="thg-beauty",ISNUMBER(SEARCH("liveramp",$C685))),"DELETE",$A685="agile-bonbon-662",_xlfn.IFS(LEFT($G685,9)="Tranche 1","DELETE",$C685="Sessions_Level_1_All_Sites","KEEP",ISNUMBER(--$C685),"REVIEW — UA raw logs",$C685="Emag_Reporting","KEEP",$C685="Nutrition_Data_Archived_Tables","KEEP",$C685="EU_Data","KEEP",TRUE,"REVIEW"),OR($A685="thg-influencer",$A685="thg-ingenuity",$A685="thg-central-marketing",$A685="thg-seoclarity"),"HOLD",TRUE,"")</f>
        <v>REVIEW</v>
      </c>
      <c r="R685" t="str" cm="1">
        <f t="array" ref="R685">_xlfn.IFS(AND($A685="thg-beauty",ISNUMBER(SEARCH("liveramp",$C685))),"thg-beauty Liveramp dataset — confirmed safe to delete",$A685="agile-bonbon-662",_xlfn.IFS(LEFT($G685,9)="Tranche 1","Tranche 1: cleared",$C685="Sessions_Level_1_All_Sites","Downstream aggregation of UA raw logs — keep if raw tables go",ISNUMBER(--$C685),"UA raw site logs (account ID) — keep pending audit-retention check",$C685="Emag_Reporting","Legacy but likely needed",$C685="Nutrition_Data_Archived_Tables","Worth keeping",$C685="EU_Data","Static lookup tables — scripts still reference (smoke-test risk)",TRUE,"Review"),OR($A685="thg-influencer",$A685="thg-ingenuity",$A685="thg-central-marketing",$A685="thg-seoclarity"),"HOLD — Charlie Stringer to review before deletion",TRUE,"")</f>
        <v>Review</v>
      </c>
      <c r="S685" t="s">
        <v>1631</v>
      </c>
    </row>
    <row r="686" spans="1:19" ht="76.5" hidden="1">
      <c r="A686" t="s">
        <v>89</v>
      </c>
      <c r="B686" t="s">
        <v>1619</v>
      </c>
      <c r="C686" t="s">
        <v>3179</v>
      </c>
      <c r="D686" s="2" t="s">
        <v>1621</v>
      </c>
      <c r="E686">
        <v>0.01</v>
      </c>
      <c r="F686">
        <v>0</v>
      </c>
      <c r="G686" t="s">
        <v>79</v>
      </c>
      <c r="H686" t="s">
        <v>81</v>
      </c>
      <c r="I686">
        <v>0</v>
      </c>
      <c r="J686">
        <v>0</v>
      </c>
      <c r="K686" s="5">
        <v>46161.603994594909</v>
      </c>
      <c r="L686" s="5">
        <v>46197.09386483796</v>
      </c>
      <c r="M686" s="2" t="s">
        <v>1994</v>
      </c>
      <c r="N686" s="2" t="s">
        <v>3137</v>
      </c>
      <c r="O686" s="5">
        <v>46197.093976840268</v>
      </c>
      <c r="P686" t="str">
        <f>IF($Q686="DELETE",IF($S686="CONFIRMED: NO MODS &gt; 1YR","CONFIRMED: NO MODS &gt; 1YR","DO NOT DELETE — not defensibly confirmed"),IF($Q686="HOLD","DO NOT DELETE — HOLD (Charlie review)",IF($Q686="KEEP","DO NOT DELETE — KEEP",IF(ISNUMBER(SEARCH("REVIEW",$Q686)),"DO NOT DELETE — REVIEW pending",$S686))))</f>
        <v>DO NOT DELETE — REVIEW pending</v>
      </c>
      <c r="Q686" t="str" cm="1">
        <f t="array" ref="Q686">_xlfn.IFS(AND($A686="thg-beauty",ISNUMBER(SEARCH("liveramp",$C686))),"DELETE",$A686="agile-bonbon-662",_xlfn.IFS(LEFT($G686,9)="Tranche 1","DELETE",$C686="Sessions_Level_1_All_Sites","KEEP",ISNUMBER(--$C686),"REVIEW — UA raw logs",$C686="Emag_Reporting","KEEP",$C686="Nutrition_Data_Archived_Tables","KEEP",$C686="EU_Data","KEEP",TRUE,"REVIEW"),OR($A686="thg-influencer",$A686="thg-ingenuity",$A686="thg-central-marketing",$A686="thg-seoclarity"),"HOLD",TRUE,"")</f>
        <v>REVIEW</v>
      </c>
      <c r="R686" t="str" cm="1">
        <f t="array" ref="R686">_xlfn.IFS(AND($A686="thg-beauty",ISNUMBER(SEARCH("liveramp",$C686))),"thg-beauty Liveramp dataset — confirmed safe to delete",$A686="agile-bonbon-662",_xlfn.IFS(LEFT($G686,9)="Tranche 1","Tranche 1: cleared",$C686="Sessions_Level_1_All_Sites","Downstream aggregation of UA raw logs — keep if raw tables go",ISNUMBER(--$C686),"UA raw site logs (account ID) — keep pending audit-retention check",$C686="Emag_Reporting","Legacy but likely needed",$C686="Nutrition_Data_Archived_Tables","Worth keeping",$C686="EU_Data","Static lookup tables — scripts still reference (smoke-test risk)",TRUE,"Review"),OR($A686="thg-influencer",$A686="thg-ingenuity",$A686="thg-central-marketing",$A686="thg-seoclarity"),"HOLD — Charlie Stringer to review before deletion",TRUE,"")</f>
        <v>Review</v>
      </c>
      <c r="S686" t="s">
        <v>1631</v>
      </c>
    </row>
    <row r="687" spans="1:19" ht="76.5" hidden="1">
      <c r="A687" t="s">
        <v>89</v>
      </c>
      <c r="B687" t="s">
        <v>1619</v>
      </c>
      <c r="C687" t="s">
        <v>3180</v>
      </c>
      <c r="D687" s="2" t="s">
        <v>1621</v>
      </c>
      <c r="E687">
        <v>0.01</v>
      </c>
      <c r="F687">
        <v>0</v>
      </c>
      <c r="G687" t="s">
        <v>79</v>
      </c>
      <c r="H687" t="s">
        <v>81</v>
      </c>
      <c r="I687">
        <v>0</v>
      </c>
      <c r="J687">
        <v>0</v>
      </c>
      <c r="K687" s="5">
        <v>46197.007145706018</v>
      </c>
      <c r="L687" s="5">
        <v>46197.007182615736</v>
      </c>
      <c r="M687" s="2" t="s">
        <v>3181</v>
      </c>
      <c r="N687" s="2" t="s">
        <v>3182</v>
      </c>
      <c r="O687" s="5">
        <v>46197.007202916669</v>
      </c>
      <c r="P687" t="str">
        <f>IF($Q687="DELETE",IF($S687="CONFIRMED: NO MODS &gt; 1YR","CONFIRMED: NO MODS &gt; 1YR","DO NOT DELETE — not defensibly confirmed"),IF($Q687="HOLD","DO NOT DELETE — HOLD (Charlie review)",IF($Q687="KEEP","DO NOT DELETE — KEEP",IF(ISNUMBER(SEARCH("REVIEW",$Q687)),"DO NOT DELETE — REVIEW pending",$S687))))</f>
        <v>DO NOT DELETE — REVIEW pending</v>
      </c>
      <c r="Q687" t="str" cm="1">
        <f t="array" ref="Q687">_xlfn.IFS(AND($A687="thg-beauty",ISNUMBER(SEARCH("liveramp",$C687))),"DELETE",$A687="agile-bonbon-662",_xlfn.IFS(LEFT($G687,9)="Tranche 1","DELETE",$C687="Sessions_Level_1_All_Sites","KEEP",ISNUMBER(--$C687),"REVIEW — UA raw logs",$C687="Emag_Reporting","KEEP",$C687="Nutrition_Data_Archived_Tables","KEEP",$C687="EU_Data","KEEP",TRUE,"REVIEW"),OR($A687="thg-influencer",$A687="thg-ingenuity",$A687="thg-central-marketing",$A687="thg-seoclarity"),"HOLD",TRUE,"")</f>
        <v>REVIEW</v>
      </c>
      <c r="R687" t="str" cm="1">
        <f t="array" ref="R687">_xlfn.IFS(AND($A687="thg-beauty",ISNUMBER(SEARCH("liveramp",$C687))),"thg-beauty Liveramp dataset — confirmed safe to delete",$A687="agile-bonbon-662",_xlfn.IFS(LEFT($G687,9)="Tranche 1","Tranche 1: cleared",$C687="Sessions_Level_1_All_Sites","Downstream aggregation of UA raw logs — keep if raw tables go",ISNUMBER(--$C687),"UA raw site logs (account ID) — keep pending audit-retention check",$C687="Emag_Reporting","Legacy but likely needed",$C687="Nutrition_Data_Archived_Tables","Worth keeping",$C687="EU_Data","Static lookup tables — scripts still reference (smoke-test risk)",TRUE,"Review"),OR($A687="thg-influencer",$A687="thg-ingenuity",$A687="thg-central-marketing",$A687="thg-seoclarity"),"HOLD — Charlie Stringer to review before deletion",TRUE,"")</f>
        <v>Review</v>
      </c>
      <c r="S687" t="s">
        <v>1631</v>
      </c>
    </row>
    <row r="688" spans="1:19" ht="60.75" hidden="1">
      <c r="A688" t="s">
        <v>89</v>
      </c>
      <c r="B688" t="s">
        <v>1619</v>
      </c>
      <c r="C688" t="s">
        <v>3183</v>
      </c>
      <c r="D688" s="2" t="s">
        <v>1621</v>
      </c>
      <c r="E688">
        <v>0.01</v>
      </c>
      <c r="F688">
        <v>0</v>
      </c>
      <c r="G688" t="s">
        <v>79</v>
      </c>
      <c r="H688" t="s">
        <v>81</v>
      </c>
      <c r="I688">
        <v>0</v>
      </c>
      <c r="J688">
        <v>0</v>
      </c>
      <c r="K688" s="5">
        <v>46164.514413460653</v>
      </c>
      <c r="M688" s="2" t="s">
        <v>3184</v>
      </c>
      <c r="N688" s="2" t="s">
        <v>1701</v>
      </c>
      <c r="O688" s="5">
        <v>46196.729337129633</v>
      </c>
      <c r="P688" t="str">
        <f>IF($Q688="DELETE",IF($S688="CONFIRMED: NO MODS &gt; 1YR","CONFIRMED: NO MODS &gt; 1YR","DO NOT DELETE — not defensibly confirmed"),IF($Q688="HOLD","DO NOT DELETE — HOLD (Charlie review)",IF($Q688="KEEP","DO NOT DELETE — KEEP",IF(ISNUMBER(SEARCH("REVIEW",$Q688)),"DO NOT DELETE — REVIEW pending",$S688))))</f>
        <v>DO NOT DELETE — REVIEW pending</v>
      </c>
      <c r="Q688" t="str" cm="1">
        <f t="array" ref="Q688">_xlfn.IFS(AND($A688="thg-beauty",ISNUMBER(SEARCH("liveramp",$C688))),"DELETE",$A688="agile-bonbon-662",_xlfn.IFS(LEFT($G688,9)="Tranche 1","DELETE",$C688="Sessions_Level_1_All_Sites","KEEP",ISNUMBER(--$C688),"REVIEW — UA raw logs",$C688="Emag_Reporting","KEEP",$C688="Nutrition_Data_Archived_Tables","KEEP",$C688="EU_Data","KEEP",TRUE,"REVIEW"),OR($A688="thg-influencer",$A688="thg-ingenuity",$A688="thg-central-marketing",$A688="thg-seoclarity"),"HOLD",TRUE,"")</f>
        <v>REVIEW</v>
      </c>
      <c r="R688" t="str" cm="1">
        <f t="array" ref="R688">_xlfn.IFS(AND($A688="thg-beauty",ISNUMBER(SEARCH("liveramp",$C688))),"thg-beauty Liveramp dataset — confirmed safe to delete",$A688="agile-bonbon-662",_xlfn.IFS(LEFT($G688,9)="Tranche 1","Tranche 1: cleared",$C688="Sessions_Level_1_All_Sites","Downstream aggregation of UA raw logs — keep if raw tables go",ISNUMBER(--$C688),"UA raw site logs (account ID) — keep pending audit-retention check",$C688="Emag_Reporting","Legacy but likely needed",$C688="Nutrition_Data_Archived_Tables","Worth keeping",$C688="EU_Data","Static lookup tables — scripts still reference (smoke-test risk)",TRUE,"Review"),OR($A688="thg-influencer",$A688="thg-ingenuity",$A688="thg-central-marketing",$A688="thg-seoclarity"),"HOLD — Charlie Stringer to review before deletion",TRUE,"")</f>
        <v>Review</v>
      </c>
      <c r="S688" t="s">
        <v>1631</v>
      </c>
    </row>
    <row r="689" spans="1:19" ht="76.5" hidden="1">
      <c r="A689" t="s">
        <v>89</v>
      </c>
      <c r="B689" t="s">
        <v>1619</v>
      </c>
      <c r="C689" t="s">
        <v>3185</v>
      </c>
      <c r="D689" s="2" t="s">
        <v>1621</v>
      </c>
      <c r="E689">
        <v>0.01</v>
      </c>
      <c r="F689">
        <v>0</v>
      </c>
      <c r="G689" t="s">
        <v>79</v>
      </c>
      <c r="H689" t="s">
        <v>81</v>
      </c>
      <c r="I689">
        <v>0</v>
      </c>
      <c r="J689">
        <v>116</v>
      </c>
      <c r="K689" s="5">
        <v>46197.241637199077</v>
      </c>
      <c r="L689" s="5">
        <v>46080.708171412043</v>
      </c>
      <c r="M689" s="2" t="s">
        <v>3186</v>
      </c>
      <c r="N689" s="2" t="s">
        <v>3187</v>
      </c>
      <c r="O689" s="5">
        <v>46080.70857800926</v>
      </c>
      <c r="P689" t="str">
        <f>IF($Q689="DELETE",IF($S689="CONFIRMED: NO MODS &gt; 1YR","CONFIRMED: NO MODS &gt; 1YR","DO NOT DELETE — not defensibly confirmed"),IF($Q689="HOLD","DO NOT DELETE — HOLD (Charlie review)",IF($Q689="KEEP","DO NOT DELETE — KEEP",IF(ISNUMBER(SEARCH("REVIEW",$Q689)),"DO NOT DELETE — REVIEW pending",$S689))))</f>
        <v>DO NOT DELETE — REVIEW pending</v>
      </c>
      <c r="Q689" t="str" cm="1">
        <f t="array" ref="Q689">_xlfn.IFS(AND($A689="thg-beauty",ISNUMBER(SEARCH("liveramp",$C689))),"DELETE",$A689="agile-bonbon-662",_xlfn.IFS(LEFT($G689,9)="Tranche 1","DELETE",$C689="Sessions_Level_1_All_Sites","KEEP",ISNUMBER(--$C689),"REVIEW — UA raw logs",$C689="Emag_Reporting","KEEP",$C689="Nutrition_Data_Archived_Tables","KEEP",$C689="EU_Data","KEEP",TRUE,"REVIEW"),OR($A689="thg-influencer",$A689="thg-ingenuity",$A689="thg-central-marketing",$A689="thg-seoclarity"),"HOLD",TRUE,"")</f>
        <v>REVIEW</v>
      </c>
      <c r="R689" t="str" cm="1">
        <f t="array" ref="R689">_xlfn.IFS(AND($A689="thg-beauty",ISNUMBER(SEARCH("liveramp",$C689))),"thg-beauty Liveramp dataset — confirmed safe to delete",$A689="agile-bonbon-662",_xlfn.IFS(LEFT($G689,9)="Tranche 1","Tranche 1: cleared",$C689="Sessions_Level_1_All_Sites","Downstream aggregation of UA raw logs — keep if raw tables go",ISNUMBER(--$C689),"UA raw site logs (account ID) — keep pending audit-retention check",$C689="Emag_Reporting","Legacy but likely needed",$C689="Nutrition_Data_Archived_Tables","Worth keeping",$C689="EU_Data","Static lookup tables — scripts still reference (smoke-test risk)",TRUE,"Review"),OR($A689="thg-influencer",$A689="thg-ingenuity",$A689="thg-central-marketing",$A689="thg-seoclarity"),"HOLD — Charlie Stringer to review before deletion",TRUE,"")</f>
        <v>Review</v>
      </c>
      <c r="S689" t="s">
        <v>1631</v>
      </c>
    </row>
    <row r="690" spans="1:19" ht="76.5" hidden="1">
      <c r="A690" t="s">
        <v>39</v>
      </c>
      <c r="B690" t="s">
        <v>1619</v>
      </c>
      <c r="C690" t="s">
        <v>3179</v>
      </c>
      <c r="D690" s="2" t="s">
        <v>1621</v>
      </c>
      <c r="E690">
        <v>0.01</v>
      </c>
      <c r="F690">
        <v>0</v>
      </c>
      <c r="G690" t="s">
        <v>79</v>
      </c>
      <c r="H690" t="s">
        <v>81</v>
      </c>
      <c r="I690">
        <v>0</v>
      </c>
      <c r="J690">
        <v>245</v>
      </c>
      <c r="K690" s="5">
        <v>46197.434883796297</v>
      </c>
      <c r="M690" s="2" t="s">
        <v>3088</v>
      </c>
      <c r="N690" s="2" t="s">
        <v>1701</v>
      </c>
      <c r="O690" s="5">
        <v>45952.085544965281</v>
      </c>
      <c r="P690" t="str">
        <f>IF($Q690="DELETE",IF($S690="CONFIRMED: NO MODS &gt; 1YR","CONFIRMED: NO MODS &gt; 1YR","DO NOT DELETE — not defensibly confirmed"),IF($Q690="HOLD","DO NOT DELETE — HOLD (Charlie review)",IF($Q690="KEEP","DO NOT DELETE — KEEP",IF(ISNUMBER(SEARCH("REVIEW",$Q690)),"DO NOT DELETE — REVIEW pending",$S690))))</f>
        <v>DO NOT DELETE — HOLD (Charlie review)</v>
      </c>
      <c r="Q690" t="str" cm="1">
        <f t="array" ref="Q690">_xlfn.IFS(AND($A690="thg-beauty",ISNUMBER(SEARCH("liveramp",$C690))),"DELETE",$A690="agile-bonbon-662",_xlfn.IFS(LEFT($G690,9)="Tranche 1","DELETE",$C690="Sessions_Level_1_All_Sites","KEEP",ISNUMBER(--$C690),"REVIEW — UA raw logs",$C690="Emag_Reporting","KEEP",$C690="Nutrition_Data_Archived_Tables","KEEP",$C690="EU_Data","KEEP",TRUE,"REVIEW"),OR($A690="thg-influencer",$A690="thg-ingenuity",$A690="thg-central-marketing",$A690="thg-seoclarity"),"HOLD",TRUE,"")</f>
        <v>HOLD</v>
      </c>
      <c r="R690" t="str" cm="1">
        <f t="array" ref="R690">_xlfn.IFS(AND($A690="thg-beauty",ISNUMBER(SEARCH("liveramp",$C690))),"thg-beauty Liveramp dataset — confirmed safe to delete",$A690="agile-bonbon-662",_xlfn.IFS(LEFT($G690,9)="Tranche 1","Tranche 1: cleared",$C690="Sessions_Level_1_All_Sites","Downstream aggregation of UA raw logs — keep if raw tables go",ISNUMBER(--$C690),"UA raw site logs (account ID) — keep pending audit-retention check",$C690="Emag_Reporting","Legacy but likely needed",$C690="Nutrition_Data_Archived_Tables","Worth keeping",$C690="EU_Data","Static lookup tables — scripts still reference (smoke-test risk)",TRUE,"Review"),OR($A690="thg-influencer",$A690="thg-ingenuity",$A690="thg-central-marketing",$A690="thg-seoclarity"),"HOLD — Charlie Stringer to review before deletion",TRUE,"")</f>
        <v>HOLD — Charlie Stringer to review before deletion</v>
      </c>
      <c r="S690" t="s">
        <v>1631</v>
      </c>
    </row>
    <row r="691" spans="1:19" ht="76.5" hidden="1">
      <c r="A691" t="s">
        <v>92</v>
      </c>
      <c r="B691" t="s">
        <v>1619</v>
      </c>
      <c r="C691" t="s">
        <v>3188</v>
      </c>
      <c r="D691" s="2" t="s">
        <v>1621</v>
      </c>
      <c r="E691">
        <v>0.01</v>
      </c>
      <c r="F691">
        <v>0</v>
      </c>
      <c r="G691" t="s">
        <v>79</v>
      </c>
      <c r="H691" t="s">
        <v>81</v>
      </c>
      <c r="I691">
        <v>0</v>
      </c>
      <c r="J691">
        <v>0</v>
      </c>
      <c r="K691" s="5">
        <v>46197.113202546287</v>
      </c>
      <c r="L691" s="5">
        <v>46197.113207708331</v>
      </c>
      <c r="M691" s="2" t="s">
        <v>3189</v>
      </c>
      <c r="N691" s="2" t="s">
        <v>3190</v>
      </c>
      <c r="O691" s="5">
        <v>46197.117466643518</v>
      </c>
      <c r="P691" t="str">
        <f>IF($Q691="DELETE",IF($S691="CONFIRMED: NO MODS &gt; 1YR","CONFIRMED: NO MODS &gt; 1YR","DO NOT DELETE — not defensibly confirmed"),IF($Q691="HOLD","DO NOT DELETE — HOLD (Charlie review)",IF($Q691="KEEP","DO NOT DELETE — KEEP",IF(ISNUMBER(SEARCH("REVIEW",$Q691)),"DO NOT DELETE — REVIEW pending",$S691))))</f>
        <v>REVIEW</v>
      </c>
      <c r="Q691" t="str" cm="1">
        <f t="array" ref="Q691">_xlfn.IFS(AND($A691="thg-beauty",ISNUMBER(SEARCH("liveramp",$C691))),"DELETE",$A691="agile-bonbon-662",_xlfn.IFS(LEFT($G691,9)="Tranche 1","DELETE",$C691="Sessions_Level_1_All_Sites","KEEP",ISNUMBER(--$C691),"REVIEW — UA raw logs",$C691="Emag_Reporting","KEEP",$C691="Nutrition_Data_Archived_Tables","KEEP",$C691="EU_Data","KEEP",TRUE,"REVIEW"),OR($A691="thg-influencer",$A691="thg-ingenuity",$A691="thg-central-marketing",$A691="thg-seoclarity"),"HOLD",TRUE,"")</f>
        <v/>
      </c>
      <c r="R691" t="str" cm="1">
        <f t="array" ref="R691">_xlfn.IFS(AND($A691="thg-beauty",ISNUMBER(SEARCH("liveramp",$C691))),"thg-beauty Liveramp dataset — confirmed safe to delete",$A691="agile-bonbon-662",_xlfn.IFS(LEFT($G691,9)="Tranche 1","Tranche 1: cleared",$C691="Sessions_Level_1_All_Sites","Downstream aggregation of UA raw logs — keep if raw tables go",ISNUMBER(--$C691),"UA raw site logs (account ID) — keep pending audit-retention check",$C691="Emag_Reporting","Legacy but likely needed",$C691="Nutrition_Data_Archived_Tables","Worth keeping",$C691="EU_Data","Static lookup tables — scripts still reference (smoke-test risk)",TRUE,"Review"),OR($A691="thg-influencer",$A691="thg-ingenuity",$A691="thg-central-marketing",$A691="thg-seoclarity"),"HOLD — Charlie Stringer to review before deletion",TRUE,"")</f>
        <v/>
      </c>
      <c r="S691" t="s">
        <v>1631</v>
      </c>
    </row>
    <row r="692" spans="1:19" ht="76.5" hidden="1">
      <c r="A692" t="s">
        <v>92</v>
      </c>
      <c r="B692" t="s">
        <v>1619</v>
      </c>
      <c r="C692" t="s">
        <v>3191</v>
      </c>
      <c r="D692" s="2" t="s">
        <v>1621</v>
      </c>
      <c r="E692">
        <v>0.01</v>
      </c>
      <c r="F692">
        <v>0</v>
      </c>
      <c r="G692" t="s">
        <v>79</v>
      </c>
      <c r="H692" t="s">
        <v>81</v>
      </c>
      <c r="I692">
        <v>0</v>
      </c>
      <c r="J692">
        <v>0</v>
      </c>
      <c r="K692" s="5">
        <v>46197.375019155093</v>
      </c>
      <c r="L692" s="5">
        <v>46197.375026180547</v>
      </c>
      <c r="M692" s="2" t="s">
        <v>3192</v>
      </c>
      <c r="N692" s="2" t="s">
        <v>3192</v>
      </c>
      <c r="O692" s="5">
        <v>46197.375057604157</v>
      </c>
      <c r="P692" t="str">
        <f>IF($Q692="DELETE",IF($S692="CONFIRMED: NO MODS &gt; 1YR","CONFIRMED: NO MODS &gt; 1YR","DO NOT DELETE — not defensibly confirmed"),IF($Q692="HOLD","DO NOT DELETE — HOLD (Charlie review)",IF($Q692="KEEP","DO NOT DELETE — KEEP",IF(ISNUMBER(SEARCH("REVIEW",$Q692)),"DO NOT DELETE — REVIEW pending",$S692))))</f>
        <v>REVIEW</v>
      </c>
      <c r="Q692" t="str" cm="1">
        <f t="array" ref="Q692">_xlfn.IFS(AND($A692="thg-beauty",ISNUMBER(SEARCH("liveramp",$C692))),"DELETE",$A692="agile-bonbon-662",_xlfn.IFS(LEFT($G692,9)="Tranche 1","DELETE",$C692="Sessions_Level_1_All_Sites","KEEP",ISNUMBER(--$C692),"REVIEW — UA raw logs",$C692="Emag_Reporting","KEEP",$C692="Nutrition_Data_Archived_Tables","KEEP",$C692="EU_Data","KEEP",TRUE,"REVIEW"),OR($A692="thg-influencer",$A692="thg-ingenuity",$A692="thg-central-marketing",$A692="thg-seoclarity"),"HOLD",TRUE,"")</f>
        <v/>
      </c>
      <c r="R692" t="str" cm="1">
        <f t="array" ref="R692">_xlfn.IFS(AND($A692="thg-beauty",ISNUMBER(SEARCH("liveramp",$C692))),"thg-beauty Liveramp dataset — confirmed safe to delete",$A692="agile-bonbon-662",_xlfn.IFS(LEFT($G692,9)="Tranche 1","Tranche 1: cleared",$C692="Sessions_Level_1_All_Sites","Downstream aggregation of UA raw logs — keep if raw tables go",ISNUMBER(--$C692),"UA raw site logs (account ID) — keep pending audit-retention check",$C692="Emag_Reporting","Legacy but likely needed",$C692="Nutrition_Data_Archived_Tables","Worth keeping",$C692="EU_Data","Static lookup tables — scripts still reference (smoke-test risk)",TRUE,"Review"),OR($A692="thg-influencer",$A692="thg-ingenuity",$A692="thg-central-marketing",$A692="thg-seoclarity"),"HOLD — Charlie Stringer to review before deletion",TRUE,"")</f>
        <v/>
      </c>
      <c r="S692" t="s">
        <v>1631</v>
      </c>
    </row>
    <row r="693" spans="1:19" ht="76.5" hidden="1">
      <c r="A693" t="s">
        <v>35</v>
      </c>
      <c r="B693" t="s">
        <v>1619</v>
      </c>
      <c r="C693" t="s">
        <v>3193</v>
      </c>
      <c r="D693" s="2" t="s">
        <v>1621</v>
      </c>
      <c r="E693">
        <v>0.01</v>
      </c>
      <c r="F693">
        <v>0</v>
      </c>
      <c r="G693" t="s">
        <v>79</v>
      </c>
      <c r="H693" t="s">
        <v>81</v>
      </c>
      <c r="I693">
        <v>0</v>
      </c>
      <c r="J693">
        <v>0</v>
      </c>
      <c r="K693" s="5">
        <v>46197.446039328701</v>
      </c>
      <c r="L693" s="5">
        <v>46197.007236377307</v>
      </c>
      <c r="M693" s="2" t="s">
        <v>3194</v>
      </c>
      <c r="N693" s="2" t="s">
        <v>3195</v>
      </c>
      <c r="O693" s="5">
        <v>46197.007253587974</v>
      </c>
      <c r="P693" t="str">
        <f>IF($Q693="DELETE",IF($S693="CONFIRMED: NO MODS &gt; 1YR","CONFIRMED: NO MODS &gt; 1YR","DO NOT DELETE — not defensibly confirmed"),IF($Q693="HOLD","DO NOT DELETE — HOLD (Charlie review)",IF($Q693="KEEP","DO NOT DELETE — KEEP",IF(ISNUMBER(SEARCH("REVIEW",$Q693)),"DO NOT DELETE — REVIEW pending",$S693))))</f>
        <v>DO NOT DELETE — HOLD (Charlie review)</v>
      </c>
      <c r="Q693" t="str" cm="1">
        <f t="array" ref="Q693">_xlfn.IFS(AND($A693="thg-beauty",ISNUMBER(SEARCH("liveramp",$C693))),"DELETE",$A693="agile-bonbon-662",_xlfn.IFS(LEFT($G693,9)="Tranche 1","DELETE",$C693="Sessions_Level_1_All_Sites","KEEP",ISNUMBER(--$C693),"REVIEW — UA raw logs",$C693="Emag_Reporting","KEEP",$C693="Nutrition_Data_Archived_Tables","KEEP",$C693="EU_Data","KEEP",TRUE,"REVIEW"),OR($A693="thg-influencer",$A693="thg-ingenuity",$A693="thg-central-marketing",$A693="thg-seoclarity"),"HOLD",TRUE,"")</f>
        <v>HOLD</v>
      </c>
      <c r="R693" t="str" cm="1">
        <f t="array" ref="R693">_xlfn.IFS(AND($A693="thg-beauty",ISNUMBER(SEARCH("liveramp",$C693))),"thg-beauty Liveramp dataset — confirmed safe to delete",$A693="agile-bonbon-662",_xlfn.IFS(LEFT($G693,9)="Tranche 1","Tranche 1: cleared",$C693="Sessions_Level_1_All_Sites","Downstream aggregation of UA raw logs — keep if raw tables go",ISNUMBER(--$C693),"UA raw site logs (account ID) — keep pending audit-retention check",$C693="Emag_Reporting","Legacy but likely needed",$C693="Nutrition_Data_Archived_Tables","Worth keeping",$C693="EU_Data","Static lookup tables — scripts still reference (smoke-test risk)",TRUE,"Review"),OR($A693="thg-influencer",$A693="thg-ingenuity",$A693="thg-central-marketing",$A693="thg-seoclarity"),"HOLD — Charlie Stringer to review before deletion",TRUE,"")</f>
        <v>HOLD — Charlie Stringer to review before deletion</v>
      </c>
      <c r="S693" t="s">
        <v>1631</v>
      </c>
    </row>
    <row r="694" spans="1:19" ht="76.5" hidden="1">
      <c r="A694" t="s">
        <v>35</v>
      </c>
      <c r="B694" t="s">
        <v>1619</v>
      </c>
      <c r="C694" t="s">
        <v>3196</v>
      </c>
      <c r="D694" s="2" t="s">
        <v>1621</v>
      </c>
      <c r="E694">
        <v>0.01</v>
      </c>
      <c r="F694">
        <v>0</v>
      </c>
      <c r="G694" t="s">
        <v>79</v>
      </c>
      <c r="H694" t="s">
        <v>81</v>
      </c>
      <c r="I694">
        <v>0</v>
      </c>
      <c r="J694">
        <v>0</v>
      </c>
      <c r="K694" s="5">
        <v>46197.012778715267</v>
      </c>
      <c r="L694" s="5">
        <v>46197.015956377312</v>
      </c>
      <c r="M694" s="2" t="s">
        <v>3197</v>
      </c>
      <c r="N694" s="2" t="s">
        <v>3198</v>
      </c>
      <c r="O694" s="5">
        <v>46197.016706793976</v>
      </c>
      <c r="P694" t="str">
        <f>IF($Q694="DELETE",IF($S694="CONFIRMED: NO MODS &gt; 1YR","CONFIRMED: NO MODS &gt; 1YR","DO NOT DELETE — not defensibly confirmed"),IF($Q694="HOLD","DO NOT DELETE — HOLD (Charlie review)",IF($Q694="KEEP","DO NOT DELETE — KEEP",IF(ISNUMBER(SEARCH("REVIEW",$Q694)),"DO NOT DELETE — REVIEW pending",$S694))))</f>
        <v>DO NOT DELETE — HOLD (Charlie review)</v>
      </c>
      <c r="Q694" t="str" cm="1">
        <f t="array" ref="Q694">_xlfn.IFS(AND($A694="thg-beauty",ISNUMBER(SEARCH("liveramp",$C694))),"DELETE",$A694="agile-bonbon-662",_xlfn.IFS(LEFT($G694,9)="Tranche 1","DELETE",$C694="Sessions_Level_1_All_Sites","KEEP",ISNUMBER(--$C694),"REVIEW — UA raw logs",$C694="Emag_Reporting","KEEP",$C694="Nutrition_Data_Archived_Tables","KEEP",$C694="EU_Data","KEEP",TRUE,"REVIEW"),OR($A694="thg-influencer",$A694="thg-ingenuity",$A694="thg-central-marketing",$A694="thg-seoclarity"),"HOLD",TRUE,"")</f>
        <v>HOLD</v>
      </c>
      <c r="R694" t="str" cm="1">
        <f t="array" ref="R694">_xlfn.IFS(AND($A694="thg-beauty",ISNUMBER(SEARCH("liveramp",$C694))),"thg-beauty Liveramp dataset — confirmed safe to delete",$A694="agile-bonbon-662",_xlfn.IFS(LEFT($G694,9)="Tranche 1","Tranche 1: cleared",$C694="Sessions_Level_1_All_Sites","Downstream aggregation of UA raw logs — keep if raw tables go",ISNUMBER(--$C694),"UA raw site logs (account ID) — keep pending audit-retention check",$C694="Emag_Reporting","Legacy but likely needed",$C694="Nutrition_Data_Archived_Tables","Worth keeping",$C694="EU_Data","Static lookup tables — scripts still reference (smoke-test risk)",TRUE,"Review"),OR($A694="thg-influencer",$A694="thg-ingenuity",$A694="thg-central-marketing",$A694="thg-seoclarity"),"HOLD — Charlie Stringer to review before deletion",TRUE,"")</f>
        <v>HOLD — Charlie Stringer to review before deletion</v>
      </c>
      <c r="S694" t="s">
        <v>1631</v>
      </c>
    </row>
    <row r="695" spans="1:19" ht="76.5" hidden="1">
      <c r="A695" t="s">
        <v>90</v>
      </c>
      <c r="B695" t="s">
        <v>1619</v>
      </c>
      <c r="C695" t="s">
        <v>3199</v>
      </c>
      <c r="D695" s="2" t="s">
        <v>1621</v>
      </c>
      <c r="E695">
        <v>0</v>
      </c>
      <c r="F695">
        <v>0</v>
      </c>
      <c r="G695" t="s">
        <v>79</v>
      </c>
      <c r="H695" t="s">
        <v>81</v>
      </c>
      <c r="I695">
        <v>0</v>
      </c>
      <c r="J695">
        <v>0</v>
      </c>
      <c r="K695" s="5">
        <v>46197.448109340279</v>
      </c>
      <c r="L695" s="5">
        <v>46197.448037303242</v>
      </c>
      <c r="M695" s="2" t="s">
        <v>3172</v>
      </c>
      <c r="N695" s="2" t="s">
        <v>3172</v>
      </c>
      <c r="O695" s="5">
        <v>46197.437607719898</v>
      </c>
      <c r="P695" t="str">
        <f>IF($Q695="DELETE",IF($S695="CONFIRMED: NO MODS &gt; 1YR","CONFIRMED: NO MODS &gt; 1YR","DO NOT DELETE — not defensibly confirmed"),IF($Q695="HOLD","DO NOT DELETE — HOLD (Charlie review)",IF($Q695="KEEP","DO NOT DELETE — KEEP",IF(ISNUMBER(SEARCH("REVIEW",$Q695)),"DO NOT DELETE — REVIEW pending",$S695))))</f>
        <v>REVIEW</v>
      </c>
      <c r="Q695" t="str" cm="1">
        <f t="array" ref="Q695">_xlfn.IFS(AND($A695="thg-beauty",ISNUMBER(SEARCH("liveramp",$C695))),"DELETE",$A695="agile-bonbon-662",_xlfn.IFS(LEFT($G695,9)="Tranche 1","DELETE",$C695="Sessions_Level_1_All_Sites","KEEP",ISNUMBER(--$C695),"REVIEW — UA raw logs",$C695="Emag_Reporting","KEEP",$C695="Nutrition_Data_Archived_Tables","KEEP",$C695="EU_Data","KEEP",TRUE,"REVIEW"),OR($A695="thg-influencer",$A695="thg-ingenuity",$A695="thg-central-marketing",$A695="thg-seoclarity"),"HOLD",TRUE,"")</f>
        <v/>
      </c>
      <c r="R695" t="str" cm="1">
        <f t="array" ref="R695">_xlfn.IFS(AND($A695="thg-beauty",ISNUMBER(SEARCH("liveramp",$C695))),"thg-beauty Liveramp dataset — confirmed safe to delete",$A695="agile-bonbon-662",_xlfn.IFS(LEFT($G695,9)="Tranche 1","Tranche 1: cleared",$C695="Sessions_Level_1_All_Sites","Downstream aggregation of UA raw logs — keep if raw tables go",ISNUMBER(--$C695),"UA raw site logs (account ID) — keep pending audit-retention check",$C695="Emag_Reporting","Legacy but likely needed",$C695="Nutrition_Data_Archived_Tables","Worth keeping",$C695="EU_Data","Static lookup tables — scripts still reference (smoke-test risk)",TRUE,"Review"),OR($A695="thg-influencer",$A695="thg-ingenuity",$A695="thg-central-marketing",$A695="thg-seoclarity"),"HOLD — Charlie Stringer to review before deletion",TRUE,"")</f>
        <v/>
      </c>
      <c r="S695" t="s">
        <v>1631</v>
      </c>
    </row>
    <row r="696" spans="1:19" ht="76.5" hidden="1">
      <c r="A696" t="s">
        <v>89</v>
      </c>
      <c r="B696" t="s">
        <v>1619</v>
      </c>
      <c r="C696" t="s">
        <v>3200</v>
      </c>
      <c r="D696" s="2" t="s">
        <v>1621</v>
      </c>
      <c r="E696">
        <v>0</v>
      </c>
      <c r="F696">
        <v>0</v>
      </c>
      <c r="G696" t="s">
        <v>79</v>
      </c>
      <c r="H696" t="s">
        <v>81</v>
      </c>
      <c r="I696">
        <v>0</v>
      </c>
      <c r="J696">
        <v>0</v>
      </c>
      <c r="K696" s="5">
        <v>46197.240533888893</v>
      </c>
      <c r="L696" s="5">
        <v>46197.219914768517</v>
      </c>
      <c r="M696" s="2" t="s">
        <v>3201</v>
      </c>
      <c r="N696" s="2" t="s">
        <v>3202</v>
      </c>
      <c r="O696" s="5">
        <v>46197.219930219908</v>
      </c>
      <c r="P696" t="str">
        <f>IF($Q696="DELETE",IF($S696="CONFIRMED: NO MODS &gt; 1YR","CONFIRMED: NO MODS &gt; 1YR","DO NOT DELETE — not defensibly confirmed"),IF($Q696="HOLD","DO NOT DELETE — HOLD (Charlie review)",IF($Q696="KEEP","DO NOT DELETE — KEEP",IF(ISNUMBER(SEARCH("REVIEW",$Q696)),"DO NOT DELETE — REVIEW pending",$S696))))</f>
        <v>DO NOT DELETE — REVIEW pending</v>
      </c>
      <c r="Q696" t="str" cm="1">
        <f t="array" ref="Q696">_xlfn.IFS(AND($A696="thg-beauty",ISNUMBER(SEARCH("liveramp",$C696))),"DELETE",$A696="agile-bonbon-662",_xlfn.IFS(LEFT($G696,9)="Tranche 1","DELETE",$C696="Sessions_Level_1_All_Sites","KEEP",ISNUMBER(--$C696),"REVIEW — UA raw logs",$C696="Emag_Reporting","KEEP",$C696="Nutrition_Data_Archived_Tables","KEEP",$C696="EU_Data","KEEP",TRUE,"REVIEW"),OR($A696="thg-influencer",$A696="thg-ingenuity",$A696="thg-central-marketing",$A696="thg-seoclarity"),"HOLD",TRUE,"")</f>
        <v>REVIEW</v>
      </c>
      <c r="R696" t="str" cm="1">
        <f t="array" ref="R696">_xlfn.IFS(AND($A696="thg-beauty",ISNUMBER(SEARCH("liveramp",$C696))),"thg-beauty Liveramp dataset — confirmed safe to delete",$A696="agile-bonbon-662",_xlfn.IFS(LEFT($G696,9)="Tranche 1","Tranche 1: cleared",$C696="Sessions_Level_1_All_Sites","Downstream aggregation of UA raw logs — keep if raw tables go",ISNUMBER(--$C696),"UA raw site logs (account ID) — keep pending audit-retention check",$C696="Emag_Reporting","Legacy but likely needed",$C696="Nutrition_Data_Archived_Tables","Worth keeping",$C696="EU_Data","Static lookup tables — scripts still reference (smoke-test risk)",TRUE,"Review"),OR($A696="thg-influencer",$A696="thg-ingenuity",$A696="thg-central-marketing",$A696="thg-seoclarity"),"HOLD — Charlie Stringer to review before deletion",TRUE,"")</f>
        <v>Review</v>
      </c>
      <c r="S696" t="s">
        <v>1631</v>
      </c>
    </row>
    <row r="697" spans="1:19" ht="76.5" hidden="1">
      <c r="A697" t="s">
        <v>89</v>
      </c>
      <c r="B697" t="s">
        <v>1619</v>
      </c>
      <c r="C697" t="s">
        <v>3203</v>
      </c>
      <c r="D697" s="2" t="s">
        <v>1621</v>
      </c>
      <c r="E697">
        <v>0</v>
      </c>
      <c r="F697">
        <v>0</v>
      </c>
      <c r="G697" t="s">
        <v>79</v>
      </c>
      <c r="H697" t="s">
        <v>81</v>
      </c>
      <c r="I697">
        <v>0</v>
      </c>
      <c r="J697">
        <v>21</v>
      </c>
      <c r="K697" s="5">
        <v>46197.251771030089</v>
      </c>
      <c r="L697" s="5">
        <v>46175.513321574072</v>
      </c>
      <c r="M697" s="2" t="s">
        <v>3204</v>
      </c>
      <c r="N697" s="2" t="s">
        <v>3205</v>
      </c>
      <c r="O697" s="5">
        <v>46175.513363611113</v>
      </c>
      <c r="P697" t="str">
        <f>IF($Q697="DELETE",IF($S697="CONFIRMED: NO MODS &gt; 1YR","CONFIRMED: NO MODS &gt; 1YR","DO NOT DELETE — not defensibly confirmed"),IF($Q697="HOLD","DO NOT DELETE — HOLD (Charlie review)",IF($Q697="KEEP","DO NOT DELETE — KEEP",IF(ISNUMBER(SEARCH("REVIEW",$Q697)),"DO NOT DELETE — REVIEW pending",$S697))))</f>
        <v>DO NOT DELETE — REVIEW pending</v>
      </c>
      <c r="Q697" t="str" cm="1">
        <f t="array" ref="Q697">_xlfn.IFS(AND($A697="thg-beauty",ISNUMBER(SEARCH("liveramp",$C697))),"DELETE",$A697="agile-bonbon-662",_xlfn.IFS(LEFT($G697,9)="Tranche 1","DELETE",$C697="Sessions_Level_1_All_Sites","KEEP",ISNUMBER(--$C697),"REVIEW — UA raw logs",$C697="Emag_Reporting","KEEP",$C697="Nutrition_Data_Archived_Tables","KEEP",$C697="EU_Data","KEEP",TRUE,"REVIEW"),OR($A697="thg-influencer",$A697="thg-ingenuity",$A697="thg-central-marketing",$A697="thg-seoclarity"),"HOLD",TRUE,"")</f>
        <v>REVIEW</v>
      </c>
      <c r="R697" t="str" cm="1">
        <f t="array" ref="R697">_xlfn.IFS(AND($A697="thg-beauty",ISNUMBER(SEARCH("liveramp",$C697))),"thg-beauty Liveramp dataset — confirmed safe to delete",$A697="agile-bonbon-662",_xlfn.IFS(LEFT($G697,9)="Tranche 1","Tranche 1: cleared",$C697="Sessions_Level_1_All_Sites","Downstream aggregation of UA raw logs — keep if raw tables go",ISNUMBER(--$C697),"UA raw site logs (account ID) — keep pending audit-retention check",$C697="Emag_Reporting","Legacy but likely needed",$C697="Nutrition_Data_Archived_Tables","Worth keeping",$C697="EU_Data","Static lookup tables — scripts still reference (smoke-test risk)",TRUE,"Review"),OR($A697="thg-influencer",$A697="thg-ingenuity",$A697="thg-central-marketing",$A697="thg-seoclarity"),"HOLD — Charlie Stringer to review before deletion",TRUE,"")</f>
        <v>Review</v>
      </c>
      <c r="S697" t="s">
        <v>1631</v>
      </c>
    </row>
    <row r="698" spans="1:19" ht="76.5" hidden="1">
      <c r="A698" t="s">
        <v>89</v>
      </c>
      <c r="B698" t="s">
        <v>1619</v>
      </c>
      <c r="C698" t="s">
        <v>3206</v>
      </c>
      <c r="D698" s="2" t="s">
        <v>1621</v>
      </c>
      <c r="E698">
        <v>0</v>
      </c>
      <c r="F698">
        <v>0</v>
      </c>
      <c r="G698" t="s">
        <v>79</v>
      </c>
      <c r="H698" t="s">
        <v>81</v>
      </c>
      <c r="I698">
        <v>0</v>
      </c>
      <c r="J698">
        <v>134</v>
      </c>
      <c r="K698" s="5">
        <v>46197.251771030089</v>
      </c>
      <c r="L698" s="5">
        <v>46063.136026817127</v>
      </c>
      <c r="M698" s="2" t="s">
        <v>3207</v>
      </c>
      <c r="N698" s="2" t="s">
        <v>3208</v>
      </c>
      <c r="O698" s="5">
        <v>46063.136045011583</v>
      </c>
      <c r="P698" t="str">
        <f>IF($Q698="DELETE",IF($S698="CONFIRMED: NO MODS &gt; 1YR","CONFIRMED: NO MODS &gt; 1YR","DO NOT DELETE — not defensibly confirmed"),IF($Q698="HOLD","DO NOT DELETE — HOLD (Charlie review)",IF($Q698="KEEP","DO NOT DELETE — KEEP",IF(ISNUMBER(SEARCH("REVIEW",$Q698)),"DO NOT DELETE — REVIEW pending",$S698))))</f>
        <v>DO NOT DELETE — REVIEW pending</v>
      </c>
      <c r="Q698" t="str" cm="1">
        <f t="array" ref="Q698">_xlfn.IFS(AND($A698="thg-beauty",ISNUMBER(SEARCH("liveramp",$C698))),"DELETE",$A698="agile-bonbon-662",_xlfn.IFS(LEFT($G698,9)="Tranche 1","DELETE",$C698="Sessions_Level_1_All_Sites","KEEP",ISNUMBER(--$C698),"REVIEW — UA raw logs",$C698="Emag_Reporting","KEEP",$C698="Nutrition_Data_Archived_Tables","KEEP",$C698="EU_Data","KEEP",TRUE,"REVIEW"),OR($A698="thg-influencer",$A698="thg-ingenuity",$A698="thg-central-marketing",$A698="thg-seoclarity"),"HOLD",TRUE,"")</f>
        <v>REVIEW</v>
      </c>
      <c r="R698" t="str" cm="1">
        <f t="array" ref="R698">_xlfn.IFS(AND($A698="thg-beauty",ISNUMBER(SEARCH("liveramp",$C698))),"thg-beauty Liveramp dataset — confirmed safe to delete",$A698="agile-bonbon-662",_xlfn.IFS(LEFT($G698,9)="Tranche 1","Tranche 1: cleared",$C698="Sessions_Level_1_All_Sites","Downstream aggregation of UA raw logs — keep if raw tables go",ISNUMBER(--$C698),"UA raw site logs (account ID) — keep pending audit-retention check",$C698="Emag_Reporting","Legacy but likely needed",$C698="Nutrition_Data_Archived_Tables","Worth keeping",$C698="EU_Data","Static lookup tables — scripts still reference (smoke-test risk)",TRUE,"Review"),OR($A698="thg-influencer",$A698="thg-ingenuity",$A698="thg-central-marketing",$A698="thg-seoclarity"),"HOLD — Charlie Stringer to review before deletion",TRUE,"")</f>
        <v>Review</v>
      </c>
      <c r="S698" t="s">
        <v>1631</v>
      </c>
    </row>
    <row r="699" spans="1:19" ht="76.5" hidden="1">
      <c r="A699" t="s">
        <v>89</v>
      </c>
      <c r="B699" t="s">
        <v>1619</v>
      </c>
      <c r="C699" t="s">
        <v>1882</v>
      </c>
      <c r="D699" s="2" t="s">
        <v>1621</v>
      </c>
      <c r="E699">
        <v>0</v>
      </c>
      <c r="F699">
        <v>0</v>
      </c>
      <c r="G699" t="s">
        <v>79</v>
      </c>
      <c r="H699" t="s">
        <v>81</v>
      </c>
      <c r="I699">
        <v>0</v>
      </c>
      <c r="J699">
        <v>0</v>
      </c>
      <c r="K699" s="5">
        <v>46197.448393171297</v>
      </c>
      <c r="L699" s="5">
        <v>46197.448289120373</v>
      </c>
      <c r="M699" s="2" t="s">
        <v>2379</v>
      </c>
      <c r="N699" s="2" t="s">
        <v>3209</v>
      </c>
      <c r="O699" s="5">
        <v>46197.437729444442</v>
      </c>
      <c r="P699" t="str">
        <f>IF($Q699="DELETE",IF($S699="CONFIRMED: NO MODS &gt; 1YR","CONFIRMED: NO MODS &gt; 1YR","DO NOT DELETE — not defensibly confirmed"),IF($Q699="HOLD","DO NOT DELETE — HOLD (Charlie review)",IF($Q699="KEEP","DO NOT DELETE — KEEP",IF(ISNUMBER(SEARCH("REVIEW",$Q699)),"DO NOT DELETE — REVIEW pending",$S699))))</f>
        <v>DO NOT DELETE — REVIEW pending</v>
      </c>
      <c r="Q699" t="str" cm="1">
        <f t="array" ref="Q699">_xlfn.IFS(AND($A699="thg-beauty",ISNUMBER(SEARCH("liveramp",$C699))),"DELETE",$A699="agile-bonbon-662",_xlfn.IFS(LEFT($G699,9)="Tranche 1","DELETE",$C699="Sessions_Level_1_All_Sites","KEEP",ISNUMBER(--$C699),"REVIEW — UA raw logs",$C699="Emag_Reporting","KEEP",$C699="Nutrition_Data_Archived_Tables","KEEP",$C699="EU_Data","KEEP",TRUE,"REVIEW"),OR($A699="thg-influencer",$A699="thg-ingenuity",$A699="thg-central-marketing",$A699="thg-seoclarity"),"HOLD",TRUE,"")</f>
        <v>REVIEW</v>
      </c>
      <c r="R699" t="str" cm="1">
        <f t="array" ref="R699">_xlfn.IFS(AND($A699="thg-beauty",ISNUMBER(SEARCH("liveramp",$C699))),"thg-beauty Liveramp dataset — confirmed safe to delete",$A699="agile-bonbon-662",_xlfn.IFS(LEFT($G699,9)="Tranche 1","Tranche 1: cleared",$C699="Sessions_Level_1_All_Sites","Downstream aggregation of UA raw logs — keep if raw tables go",ISNUMBER(--$C699),"UA raw site logs (account ID) — keep pending audit-retention check",$C699="Emag_Reporting","Legacy but likely needed",$C699="Nutrition_Data_Archived_Tables","Worth keeping",$C699="EU_Data","Static lookup tables — scripts still reference (smoke-test risk)",TRUE,"Review"),OR($A699="thg-influencer",$A699="thg-ingenuity",$A699="thg-central-marketing",$A699="thg-seoclarity"),"HOLD — Charlie Stringer to review before deletion",TRUE,"")</f>
        <v>Review</v>
      </c>
      <c r="S699" t="s">
        <v>1631</v>
      </c>
    </row>
    <row r="700" spans="1:19" ht="76.5" hidden="1">
      <c r="A700" t="s">
        <v>89</v>
      </c>
      <c r="B700" t="s">
        <v>1619</v>
      </c>
      <c r="C700" t="s">
        <v>3210</v>
      </c>
      <c r="D700" s="2" t="s">
        <v>1621</v>
      </c>
      <c r="E700">
        <v>0</v>
      </c>
      <c r="F700">
        <v>0</v>
      </c>
      <c r="G700" t="s">
        <v>79</v>
      </c>
      <c r="H700" t="s">
        <v>81</v>
      </c>
      <c r="I700">
        <v>0</v>
      </c>
      <c r="J700">
        <v>0</v>
      </c>
      <c r="K700" s="5">
        <v>46197.438473194437</v>
      </c>
      <c r="L700" s="5">
        <v>46197.434282071757</v>
      </c>
      <c r="M700" s="2" t="s">
        <v>3211</v>
      </c>
      <c r="N700" s="2" t="s">
        <v>3212</v>
      </c>
      <c r="O700" s="5">
        <v>46197.434300578701</v>
      </c>
      <c r="P700" t="str">
        <f>IF($Q700="DELETE",IF($S700="CONFIRMED: NO MODS &gt; 1YR","CONFIRMED: NO MODS &gt; 1YR","DO NOT DELETE — not defensibly confirmed"),IF($Q700="HOLD","DO NOT DELETE — HOLD (Charlie review)",IF($Q700="KEEP","DO NOT DELETE — KEEP",IF(ISNUMBER(SEARCH("REVIEW",$Q700)),"DO NOT DELETE — REVIEW pending",$S700))))</f>
        <v>DO NOT DELETE — REVIEW pending</v>
      </c>
      <c r="Q700" t="str" cm="1">
        <f t="array" ref="Q700">_xlfn.IFS(AND($A700="thg-beauty",ISNUMBER(SEARCH("liveramp",$C700))),"DELETE",$A700="agile-bonbon-662",_xlfn.IFS(LEFT($G700,9)="Tranche 1","DELETE",$C700="Sessions_Level_1_All_Sites","KEEP",ISNUMBER(--$C700),"REVIEW — UA raw logs",$C700="Emag_Reporting","KEEP",$C700="Nutrition_Data_Archived_Tables","KEEP",$C700="EU_Data","KEEP",TRUE,"REVIEW"),OR($A700="thg-influencer",$A700="thg-ingenuity",$A700="thg-central-marketing",$A700="thg-seoclarity"),"HOLD",TRUE,"")</f>
        <v>REVIEW</v>
      </c>
      <c r="R700" t="str" cm="1">
        <f t="array" ref="R700">_xlfn.IFS(AND($A700="thg-beauty",ISNUMBER(SEARCH("liveramp",$C700))),"thg-beauty Liveramp dataset — confirmed safe to delete",$A700="agile-bonbon-662",_xlfn.IFS(LEFT($G700,9)="Tranche 1","Tranche 1: cleared",$C700="Sessions_Level_1_All_Sites","Downstream aggregation of UA raw logs — keep if raw tables go",ISNUMBER(--$C700),"UA raw site logs (account ID) — keep pending audit-retention check",$C700="Emag_Reporting","Legacy but likely needed",$C700="Nutrition_Data_Archived_Tables","Worth keeping",$C700="EU_Data","Static lookup tables — scripts still reference (smoke-test risk)",TRUE,"Review"),OR($A700="thg-influencer",$A700="thg-ingenuity",$A700="thg-central-marketing",$A700="thg-seoclarity"),"HOLD — Charlie Stringer to review before deletion",TRUE,"")</f>
        <v>Review</v>
      </c>
      <c r="S700" t="s">
        <v>1631</v>
      </c>
    </row>
    <row r="701" spans="1:19" ht="76.5" hidden="1">
      <c r="A701" t="s">
        <v>89</v>
      </c>
      <c r="B701" t="s">
        <v>1619</v>
      </c>
      <c r="C701" t="s">
        <v>3213</v>
      </c>
      <c r="D701" s="2" t="s">
        <v>1621</v>
      </c>
      <c r="E701">
        <v>0</v>
      </c>
      <c r="F701">
        <v>0</v>
      </c>
      <c r="G701" t="s">
        <v>79</v>
      </c>
      <c r="H701" t="s">
        <v>81</v>
      </c>
      <c r="I701">
        <v>0</v>
      </c>
      <c r="J701">
        <v>0</v>
      </c>
      <c r="K701" s="5">
        <v>46197.166828240741</v>
      </c>
      <c r="L701" s="5">
        <v>46197.006846956021</v>
      </c>
      <c r="M701" s="2" t="s">
        <v>3214</v>
      </c>
      <c r="N701" s="2" t="s">
        <v>3215</v>
      </c>
      <c r="O701" s="5">
        <v>46197.006863101851</v>
      </c>
      <c r="P701" t="str">
        <f>IF($Q701="DELETE",IF($S701="CONFIRMED: NO MODS &gt; 1YR","CONFIRMED: NO MODS &gt; 1YR","DO NOT DELETE — not defensibly confirmed"),IF($Q701="HOLD","DO NOT DELETE — HOLD (Charlie review)",IF($Q701="KEEP","DO NOT DELETE — KEEP",IF(ISNUMBER(SEARCH("REVIEW",$Q701)),"DO NOT DELETE — REVIEW pending",$S701))))</f>
        <v>DO NOT DELETE — REVIEW pending</v>
      </c>
      <c r="Q701" t="str" cm="1">
        <f t="array" ref="Q701">_xlfn.IFS(AND($A701="thg-beauty",ISNUMBER(SEARCH("liveramp",$C701))),"DELETE",$A701="agile-bonbon-662",_xlfn.IFS(LEFT($G701,9)="Tranche 1","DELETE",$C701="Sessions_Level_1_All_Sites","KEEP",ISNUMBER(--$C701),"REVIEW — UA raw logs",$C701="Emag_Reporting","KEEP",$C701="Nutrition_Data_Archived_Tables","KEEP",$C701="EU_Data","KEEP",TRUE,"REVIEW"),OR($A701="thg-influencer",$A701="thg-ingenuity",$A701="thg-central-marketing",$A701="thg-seoclarity"),"HOLD",TRUE,"")</f>
        <v>REVIEW</v>
      </c>
      <c r="R701" t="str" cm="1">
        <f t="array" ref="R701">_xlfn.IFS(AND($A701="thg-beauty",ISNUMBER(SEARCH("liveramp",$C701))),"thg-beauty Liveramp dataset — confirmed safe to delete",$A701="agile-bonbon-662",_xlfn.IFS(LEFT($G701,9)="Tranche 1","Tranche 1: cleared",$C701="Sessions_Level_1_All_Sites","Downstream aggregation of UA raw logs — keep if raw tables go",ISNUMBER(--$C701),"UA raw site logs (account ID) — keep pending audit-retention check",$C701="Emag_Reporting","Legacy but likely needed",$C701="Nutrition_Data_Archived_Tables","Worth keeping",$C701="EU_Data","Static lookup tables — scripts still reference (smoke-test risk)",TRUE,"Review"),OR($A701="thg-influencer",$A701="thg-ingenuity",$A701="thg-central-marketing",$A701="thg-seoclarity"),"HOLD — Charlie Stringer to review before deletion",TRUE,"")</f>
        <v>Review</v>
      </c>
      <c r="S701" t="s">
        <v>1631</v>
      </c>
    </row>
    <row r="702" spans="1:19" ht="76.5" hidden="1">
      <c r="A702" t="s">
        <v>91</v>
      </c>
      <c r="B702" t="s">
        <v>1619</v>
      </c>
      <c r="C702" t="s">
        <v>3216</v>
      </c>
      <c r="D702" s="2" t="s">
        <v>1621</v>
      </c>
      <c r="E702">
        <v>0</v>
      </c>
      <c r="F702">
        <v>0</v>
      </c>
      <c r="G702" t="s">
        <v>79</v>
      </c>
      <c r="H702" t="s">
        <v>81</v>
      </c>
      <c r="I702">
        <v>0</v>
      </c>
      <c r="J702">
        <v>0</v>
      </c>
      <c r="K702" s="5">
        <v>46197.451771030093</v>
      </c>
      <c r="L702" s="5">
        <v>46139.322260659719</v>
      </c>
      <c r="M702" s="2" t="s">
        <v>3217</v>
      </c>
      <c r="N702" s="2" t="s">
        <v>3218</v>
      </c>
      <c r="O702" s="5">
        <v>46197.438449374997</v>
      </c>
      <c r="P702" t="str">
        <f>IF($Q702="DELETE",IF($S702="CONFIRMED: NO MODS &gt; 1YR","CONFIRMED: NO MODS &gt; 1YR","DO NOT DELETE — not defensibly confirmed"),IF($Q702="HOLD","DO NOT DELETE — HOLD (Charlie review)",IF($Q702="KEEP","DO NOT DELETE — KEEP",IF(ISNUMBER(SEARCH("REVIEW",$Q702)),"DO NOT DELETE — REVIEW pending",$S702))))</f>
        <v>REVIEW</v>
      </c>
      <c r="Q702" t="str" cm="1">
        <f t="array" ref="Q702">_xlfn.IFS(AND($A702="thg-beauty",ISNUMBER(SEARCH("liveramp",$C702))),"DELETE",$A702="agile-bonbon-662",_xlfn.IFS(LEFT($G702,9)="Tranche 1","DELETE",$C702="Sessions_Level_1_All_Sites","KEEP",ISNUMBER(--$C702),"REVIEW — UA raw logs",$C702="Emag_Reporting","KEEP",$C702="Nutrition_Data_Archived_Tables","KEEP",$C702="EU_Data","KEEP",TRUE,"REVIEW"),OR($A702="thg-influencer",$A702="thg-ingenuity",$A702="thg-central-marketing",$A702="thg-seoclarity"),"HOLD",TRUE,"")</f>
        <v/>
      </c>
      <c r="R702" t="str" cm="1">
        <f t="array" ref="R702">_xlfn.IFS(AND($A702="thg-beauty",ISNUMBER(SEARCH("liveramp",$C702))),"thg-beauty Liveramp dataset — confirmed safe to delete",$A702="agile-bonbon-662",_xlfn.IFS(LEFT($G702,9)="Tranche 1","Tranche 1: cleared",$C702="Sessions_Level_1_All_Sites","Downstream aggregation of UA raw logs — keep if raw tables go",ISNUMBER(--$C702),"UA raw site logs (account ID) — keep pending audit-retention check",$C702="Emag_Reporting","Legacy but likely needed",$C702="Nutrition_Data_Archived_Tables","Worth keeping",$C702="EU_Data","Static lookup tables — scripts still reference (smoke-test risk)",TRUE,"Review"),OR($A702="thg-influencer",$A702="thg-ingenuity",$A702="thg-central-marketing",$A702="thg-seoclarity"),"HOLD — Charlie Stringer to review before deletion",TRUE,"")</f>
        <v/>
      </c>
      <c r="S702" t="s">
        <v>1631</v>
      </c>
    </row>
    <row r="703" spans="1:19" ht="76.5" hidden="1">
      <c r="A703" t="s">
        <v>39</v>
      </c>
      <c r="B703" t="s">
        <v>1619</v>
      </c>
      <c r="C703" t="s">
        <v>2056</v>
      </c>
      <c r="D703" s="2" t="s">
        <v>1621</v>
      </c>
      <c r="E703">
        <v>0</v>
      </c>
      <c r="F703">
        <v>0</v>
      </c>
      <c r="G703" t="s">
        <v>79</v>
      </c>
      <c r="H703" t="s">
        <v>81</v>
      </c>
      <c r="I703">
        <v>0</v>
      </c>
      <c r="J703">
        <v>0</v>
      </c>
      <c r="K703" s="5">
        <v>46197.233406388892</v>
      </c>
      <c r="L703" s="5">
        <v>46197.23343388889</v>
      </c>
      <c r="M703" s="2" t="s">
        <v>3219</v>
      </c>
      <c r="N703" s="2" t="s">
        <v>3220</v>
      </c>
      <c r="O703" s="5">
        <v>46197.233451898152</v>
      </c>
      <c r="P703" t="str">
        <f>IF($Q703="DELETE",IF($S703="CONFIRMED: NO MODS &gt; 1YR","CONFIRMED: NO MODS &gt; 1YR","DO NOT DELETE — not defensibly confirmed"),IF($Q703="HOLD","DO NOT DELETE — HOLD (Charlie review)",IF($Q703="KEEP","DO NOT DELETE — KEEP",IF(ISNUMBER(SEARCH("REVIEW",$Q703)),"DO NOT DELETE — REVIEW pending",$S703))))</f>
        <v>DO NOT DELETE — HOLD (Charlie review)</v>
      </c>
      <c r="Q703" t="str" cm="1">
        <f t="array" ref="Q703">_xlfn.IFS(AND($A703="thg-beauty",ISNUMBER(SEARCH("liveramp",$C703))),"DELETE",$A703="agile-bonbon-662",_xlfn.IFS(LEFT($G703,9)="Tranche 1","DELETE",$C703="Sessions_Level_1_All_Sites","KEEP",ISNUMBER(--$C703),"REVIEW — UA raw logs",$C703="Emag_Reporting","KEEP",$C703="Nutrition_Data_Archived_Tables","KEEP",$C703="EU_Data","KEEP",TRUE,"REVIEW"),OR($A703="thg-influencer",$A703="thg-ingenuity",$A703="thg-central-marketing",$A703="thg-seoclarity"),"HOLD",TRUE,"")</f>
        <v>HOLD</v>
      </c>
      <c r="R703" t="str" cm="1">
        <f t="array" ref="R703">_xlfn.IFS(AND($A703="thg-beauty",ISNUMBER(SEARCH("liveramp",$C703))),"thg-beauty Liveramp dataset — confirmed safe to delete",$A703="agile-bonbon-662",_xlfn.IFS(LEFT($G703,9)="Tranche 1","Tranche 1: cleared",$C703="Sessions_Level_1_All_Sites","Downstream aggregation of UA raw logs — keep if raw tables go",ISNUMBER(--$C703),"UA raw site logs (account ID) — keep pending audit-retention check",$C703="Emag_Reporting","Legacy but likely needed",$C703="Nutrition_Data_Archived_Tables","Worth keeping",$C703="EU_Data","Static lookup tables — scripts still reference (smoke-test risk)",TRUE,"Review"),OR($A703="thg-influencer",$A703="thg-ingenuity",$A703="thg-central-marketing",$A703="thg-seoclarity"),"HOLD — Charlie Stringer to review before deletion",TRUE,"")</f>
        <v>HOLD — Charlie Stringer to review before deletion</v>
      </c>
      <c r="S703" t="s">
        <v>1631</v>
      </c>
    </row>
    <row r="704" spans="1:19" ht="76.5" hidden="1">
      <c r="A704" t="s">
        <v>39</v>
      </c>
      <c r="B704" t="s">
        <v>1619</v>
      </c>
      <c r="C704" t="s">
        <v>3221</v>
      </c>
      <c r="D704" s="2" t="s">
        <v>1621</v>
      </c>
      <c r="E704">
        <v>0</v>
      </c>
      <c r="F704">
        <v>0</v>
      </c>
      <c r="G704" t="s">
        <v>79</v>
      </c>
      <c r="H704" t="s">
        <v>81</v>
      </c>
      <c r="I704">
        <v>0</v>
      </c>
      <c r="J704">
        <v>0</v>
      </c>
      <c r="K704" s="5">
        <v>46197.051762812502</v>
      </c>
      <c r="L704" s="5">
        <v>46197.051785462972</v>
      </c>
      <c r="M704" s="2" t="s">
        <v>3222</v>
      </c>
      <c r="N704" s="2" t="s">
        <v>3223</v>
      </c>
      <c r="O704" s="5">
        <v>46197.05180238426</v>
      </c>
      <c r="P704" t="str">
        <f>IF($Q704="DELETE",IF($S704="CONFIRMED: NO MODS &gt; 1YR","CONFIRMED: NO MODS &gt; 1YR","DO NOT DELETE — not defensibly confirmed"),IF($Q704="HOLD","DO NOT DELETE — HOLD (Charlie review)",IF($Q704="KEEP","DO NOT DELETE — KEEP",IF(ISNUMBER(SEARCH("REVIEW",$Q704)),"DO NOT DELETE — REVIEW pending",$S704))))</f>
        <v>DO NOT DELETE — HOLD (Charlie review)</v>
      </c>
      <c r="Q704" t="str" cm="1">
        <f t="array" ref="Q704">_xlfn.IFS(AND($A704="thg-beauty",ISNUMBER(SEARCH("liveramp",$C704))),"DELETE",$A704="agile-bonbon-662",_xlfn.IFS(LEFT($G704,9)="Tranche 1","DELETE",$C704="Sessions_Level_1_All_Sites","KEEP",ISNUMBER(--$C704),"REVIEW — UA raw logs",$C704="Emag_Reporting","KEEP",$C704="Nutrition_Data_Archived_Tables","KEEP",$C704="EU_Data","KEEP",TRUE,"REVIEW"),OR($A704="thg-influencer",$A704="thg-ingenuity",$A704="thg-central-marketing",$A704="thg-seoclarity"),"HOLD",TRUE,"")</f>
        <v>HOLD</v>
      </c>
      <c r="R704" t="str" cm="1">
        <f t="array" ref="R704">_xlfn.IFS(AND($A704="thg-beauty",ISNUMBER(SEARCH("liveramp",$C704))),"thg-beauty Liveramp dataset — confirmed safe to delete",$A704="agile-bonbon-662",_xlfn.IFS(LEFT($G704,9)="Tranche 1","Tranche 1: cleared",$C704="Sessions_Level_1_All_Sites","Downstream aggregation of UA raw logs — keep if raw tables go",ISNUMBER(--$C704),"UA raw site logs (account ID) — keep pending audit-retention check",$C704="Emag_Reporting","Legacy but likely needed",$C704="Nutrition_Data_Archived_Tables","Worth keeping",$C704="EU_Data","Static lookup tables — scripts still reference (smoke-test risk)",TRUE,"Review"),OR($A704="thg-influencer",$A704="thg-ingenuity",$A704="thg-central-marketing",$A704="thg-seoclarity"),"HOLD — Charlie Stringer to review before deletion",TRUE,"")</f>
        <v>HOLD — Charlie Stringer to review before deletion</v>
      </c>
      <c r="S704" t="s">
        <v>1631</v>
      </c>
    </row>
    <row r="705" spans="1:19" ht="76.5" hidden="1">
      <c r="A705" t="s">
        <v>1738</v>
      </c>
      <c r="B705" t="s">
        <v>1724</v>
      </c>
      <c r="C705" t="s">
        <v>3224</v>
      </c>
      <c r="D705" s="2" t="s">
        <v>1621</v>
      </c>
      <c r="E705">
        <v>0</v>
      </c>
      <c r="F705">
        <v>0</v>
      </c>
      <c r="G705" t="s">
        <v>79</v>
      </c>
      <c r="H705" t="s">
        <v>81</v>
      </c>
      <c r="I705">
        <v>0</v>
      </c>
      <c r="J705">
        <v>0</v>
      </c>
      <c r="K705" s="5">
        <v>46196.460423645833</v>
      </c>
      <c r="L705" s="5">
        <v>46188.439972083332</v>
      </c>
      <c r="M705" s="2" t="s">
        <v>3225</v>
      </c>
      <c r="N705" s="2" t="s">
        <v>3226</v>
      </c>
      <c r="O705" s="5">
        <v>46196.649070196763</v>
      </c>
      <c r="P705" t="str">
        <f>IF($Q705="DELETE",IF($S705="CONFIRMED: NO MODS &gt; 1YR","CONFIRMED: NO MODS &gt; 1YR","DO NOT DELETE — not defensibly confirmed"),IF($Q705="HOLD","DO NOT DELETE — HOLD (Charlie review)",IF($Q705="KEEP","DO NOT DELETE — KEEP",IF(ISNUMBER(SEARCH("REVIEW",$Q705)),"DO NOT DELETE — REVIEW pending",$S705))))</f>
        <v>REVIEW</v>
      </c>
      <c r="Q705" t="str" cm="1">
        <f t="array" ref="Q705">_xlfn.IFS(AND($A705="thg-beauty",ISNUMBER(SEARCH("liveramp",$C705))),"DELETE",$A705="agile-bonbon-662",_xlfn.IFS(LEFT($G705,9)="Tranche 1","DELETE",$C705="Sessions_Level_1_All_Sites","KEEP",ISNUMBER(--$C705),"REVIEW — UA raw logs",$C705="Emag_Reporting","KEEP",$C705="Nutrition_Data_Archived_Tables","KEEP",$C705="EU_Data","KEEP",TRUE,"REVIEW"),OR($A705="thg-influencer",$A705="thg-ingenuity",$A705="thg-central-marketing",$A705="thg-seoclarity"),"HOLD",TRUE,"")</f>
        <v/>
      </c>
      <c r="R705" t="str" cm="1">
        <f t="array" ref="R705">_xlfn.IFS(AND($A705="thg-beauty",ISNUMBER(SEARCH("liveramp",$C705))),"thg-beauty Liveramp dataset — confirmed safe to delete",$A705="agile-bonbon-662",_xlfn.IFS(LEFT($G705,9)="Tranche 1","Tranche 1: cleared",$C705="Sessions_Level_1_All_Sites","Downstream aggregation of UA raw logs — keep if raw tables go",ISNUMBER(--$C705),"UA raw site logs (account ID) — keep pending audit-retention check",$C705="Emag_Reporting","Legacy but likely needed",$C705="Nutrition_Data_Archived_Tables","Worth keeping",$C705="EU_Data","Static lookup tables — scripts still reference (smoke-test risk)",TRUE,"Review"),OR($A705="thg-influencer",$A705="thg-ingenuity",$A705="thg-central-marketing",$A705="thg-seoclarity"),"HOLD — Charlie Stringer to review before deletion",TRUE,"")</f>
        <v/>
      </c>
      <c r="S705" t="s">
        <v>1631</v>
      </c>
    </row>
    <row r="706" spans="1:19" ht="76.5" hidden="1">
      <c r="A706" t="s">
        <v>1738</v>
      </c>
      <c r="B706" t="s">
        <v>1724</v>
      </c>
      <c r="C706" t="s">
        <v>3227</v>
      </c>
      <c r="D706" s="2" t="s">
        <v>1621</v>
      </c>
      <c r="E706">
        <v>0</v>
      </c>
      <c r="F706">
        <v>0</v>
      </c>
      <c r="G706" t="s">
        <v>79</v>
      </c>
      <c r="H706" t="s">
        <v>81</v>
      </c>
      <c r="I706">
        <v>0</v>
      </c>
      <c r="J706">
        <v>0</v>
      </c>
      <c r="K706" s="5">
        <v>46197.421721585648</v>
      </c>
      <c r="L706" s="5">
        <v>46197.421721585648</v>
      </c>
      <c r="M706" s="2" t="s">
        <v>3228</v>
      </c>
      <c r="N706" s="2" t="s">
        <v>3228</v>
      </c>
      <c r="O706" s="5">
        <v>46197.421933854173</v>
      </c>
      <c r="P706" t="str">
        <f>IF($Q706="DELETE",IF($S706="CONFIRMED: NO MODS &gt; 1YR","CONFIRMED: NO MODS &gt; 1YR","DO NOT DELETE — not defensibly confirmed"),IF($Q706="HOLD","DO NOT DELETE — HOLD (Charlie review)",IF($Q706="KEEP","DO NOT DELETE — KEEP",IF(ISNUMBER(SEARCH("REVIEW",$Q706)),"DO NOT DELETE — REVIEW pending",$S706))))</f>
        <v>REVIEW</v>
      </c>
      <c r="Q706" t="str" cm="1">
        <f t="array" ref="Q706">_xlfn.IFS(AND($A706="thg-beauty",ISNUMBER(SEARCH("liveramp",$C706))),"DELETE",$A706="agile-bonbon-662",_xlfn.IFS(LEFT($G706,9)="Tranche 1","DELETE",$C706="Sessions_Level_1_All_Sites","KEEP",ISNUMBER(--$C706),"REVIEW — UA raw logs",$C706="Emag_Reporting","KEEP",$C706="Nutrition_Data_Archived_Tables","KEEP",$C706="EU_Data","KEEP",TRUE,"REVIEW"),OR($A706="thg-influencer",$A706="thg-ingenuity",$A706="thg-central-marketing",$A706="thg-seoclarity"),"HOLD",TRUE,"")</f>
        <v/>
      </c>
      <c r="R706" t="str" cm="1">
        <f t="array" ref="R706">_xlfn.IFS(AND($A706="thg-beauty",ISNUMBER(SEARCH("liveramp",$C706))),"thg-beauty Liveramp dataset — confirmed safe to delete",$A706="agile-bonbon-662",_xlfn.IFS(LEFT($G706,9)="Tranche 1","Tranche 1: cleared",$C706="Sessions_Level_1_All_Sites","Downstream aggregation of UA raw logs — keep if raw tables go",ISNUMBER(--$C706),"UA raw site logs (account ID) — keep pending audit-retention check",$C706="Emag_Reporting","Legacy but likely needed",$C706="Nutrition_Data_Archived_Tables","Worth keeping",$C706="EU_Data","Static lookup tables — scripts still reference (smoke-test risk)",TRUE,"Review"),OR($A706="thg-influencer",$A706="thg-ingenuity",$A706="thg-central-marketing",$A706="thg-seoclarity"),"HOLD — Charlie Stringer to review before deletion",TRUE,"")</f>
        <v/>
      </c>
      <c r="S706" t="s">
        <v>1631</v>
      </c>
    </row>
    <row r="707" spans="1:19" ht="76.5" hidden="1">
      <c r="A707" t="s">
        <v>92</v>
      </c>
      <c r="B707" t="s">
        <v>1619</v>
      </c>
      <c r="C707" t="s">
        <v>3229</v>
      </c>
      <c r="D707" s="2" t="s">
        <v>1621</v>
      </c>
      <c r="E707">
        <v>0</v>
      </c>
      <c r="F707">
        <v>0</v>
      </c>
      <c r="G707" t="s">
        <v>79</v>
      </c>
      <c r="H707" t="s">
        <v>81</v>
      </c>
      <c r="I707">
        <v>0</v>
      </c>
      <c r="L707" s="5">
        <v>46197.291690127313</v>
      </c>
      <c r="M707" s="2" t="s">
        <v>1715</v>
      </c>
      <c r="N707" s="2" t="s">
        <v>3230</v>
      </c>
      <c r="P707" t="str">
        <f>IF($Q707="DELETE",IF($S707="CONFIRMED: NO MODS &gt; 1YR","CONFIRMED: NO MODS &gt; 1YR","DO NOT DELETE — not defensibly confirmed"),IF($Q707="HOLD","DO NOT DELETE — HOLD (Charlie review)",IF($Q707="KEEP","DO NOT DELETE — KEEP",IF(ISNUMBER(SEARCH("REVIEW",$Q707)),"DO NOT DELETE — REVIEW pending",$S707))))</f>
        <v>REVIEW</v>
      </c>
      <c r="Q707" t="str" cm="1">
        <f t="array" ref="Q707">_xlfn.IFS(AND($A707="thg-beauty",ISNUMBER(SEARCH("liveramp",$C707))),"DELETE",$A707="agile-bonbon-662",_xlfn.IFS(LEFT($G707,9)="Tranche 1","DELETE",$C707="Sessions_Level_1_All_Sites","KEEP",ISNUMBER(--$C707),"REVIEW — UA raw logs",$C707="Emag_Reporting","KEEP",$C707="Nutrition_Data_Archived_Tables","KEEP",$C707="EU_Data","KEEP",TRUE,"REVIEW"),OR($A707="thg-influencer",$A707="thg-ingenuity",$A707="thg-central-marketing",$A707="thg-seoclarity"),"HOLD",TRUE,"")</f>
        <v/>
      </c>
      <c r="R707" t="str" cm="1">
        <f t="array" ref="R707">_xlfn.IFS(AND($A707="thg-beauty",ISNUMBER(SEARCH("liveramp",$C707))),"thg-beauty Liveramp dataset — confirmed safe to delete",$A707="agile-bonbon-662",_xlfn.IFS(LEFT($G707,9)="Tranche 1","Tranche 1: cleared",$C707="Sessions_Level_1_All_Sites","Downstream aggregation of UA raw logs — keep if raw tables go",ISNUMBER(--$C707),"UA raw site logs (account ID) — keep pending audit-retention check",$C707="Emag_Reporting","Legacy but likely needed",$C707="Nutrition_Data_Archived_Tables","Worth keeping",$C707="EU_Data","Static lookup tables — scripts still reference (smoke-test risk)",TRUE,"Review"),OR($A707="thg-influencer",$A707="thg-ingenuity",$A707="thg-central-marketing",$A707="thg-seoclarity"),"HOLD — Charlie Stringer to review before deletion",TRUE,"")</f>
        <v/>
      </c>
      <c r="S707" t="s">
        <v>1631</v>
      </c>
    </row>
    <row r="708" spans="1:19" ht="76.5" hidden="1">
      <c r="A708" t="s">
        <v>38</v>
      </c>
      <c r="B708" t="s">
        <v>1724</v>
      </c>
      <c r="C708" t="s">
        <v>3231</v>
      </c>
      <c r="D708" s="2" t="s">
        <v>1621</v>
      </c>
      <c r="E708">
        <v>0</v>
      </c>
      <c r="F708">
        <v>0</v>
      </c>
      <c r="G708" t="s">
        <v>79</v>
      </c>
      <c r="H708" t="s">
        <v>81</v>
      </c>
      <c r="I708">
        <v>0</v>
      </c>
      <c r="J708">
        <v>0</v>
      </c>
      <c r="K708" s="5">
        <v>46197.399242071762</v>
      </c>
      <c r="M708" s="2" t="s">
        <v>3232</v>
      </c>
      <c r="N708" s="2" t="s">
        <v>1701</v>
      </c>
      <c r="O708" s="5">
        <v>46197.094148993063</v>
      </c>
      <c r="P708" t="str">
        <f>IF($Q708="DELETE",IF($S708="CONFIRMED: NO MODS &gt; 1YR","CONFIRMED: NO MODS &gt; 1YR","DO NOT DELETE — not defensibly confirmed"),IF($Q708="HOLD","DO NOT DELETE — HOLD (Charlie review)",IF($Q708="KEEP","DO NOT DELETE — KEEP",IF(ISNUMBER(SEARCH("REVIEW",$Q708)),"DO NOT DELETE — REVIEW pending",$S708))))</f>
        <v>DO NOT DELETE — HOLD (Charlie review)</v>
      </c>
      <c r="Q708" t="str" cm="1">
        <f t="array" ref="Q708">_xlfn.IFS(AND($A708="thg-beauty",ISNUMBER(SEARCH("liveramp",$C708))),"DELETE",$A708="agile-bonbon-662",_xlfn.IFS(LEFT($G708,9)="Tranche 1","DELETE",$C708="Sessions_Level_1_All_Sites","KEEP",ISNUMBER(--$C708),"REVIEW — UA raw logs",$C708="Emag_Reporting","KEEP",$C708="Nutrition_Data_Archived_Tables","KEEP",$C708="EU_Data","KEEP",TRUE,"REVIEW"),OR($A708="thg-influencer",$A708="thg-ingenuity",$A708="thg-central-marketing",$A708="thg-seoclarity"),"HOLD",TRUE,"")</f>
        <v>HOLD</v>
      </c>
      <c r="R708" t="str" cm="1">
        <f t="array" ref="R708">_xlfn.IFS(AND($A708="thg-beauty",ISNUMBER(SEARCH("liveramp",$C708))),"thg-beauty Liveramp dataset — confirmed safe to delete",$A708="agile-bonbon-662",_xlfn.IFS(LEFT($G708,9)="Tranche 1","Tranche 1: cleared",$C708="Sessions_Level_1_All_Sites","Downstream aggregation of UA raw logs — keep if raw tables go",ISNUMBER(--$C708),"UA raw site logs (account ID) — keep pending audit-retention check",$C708="Emag_Reporting","Legacy but likely needed",$C708="Nutrition_Data_Archived_Tables","Worth keeping",$C708="EU_Data","Static lookup tables — scripts still reference (smoke-test risk)",TRUE,"Review"),OR($A708="thg-influencer",$A708="thg-ingenuity",$A708="thg-central-marketing",$A708="thg-seoclarity"),"HOLD — Charlie Stringer to review before deletion",TRUE,"")</f>
        <v>HOLD — Charlie Stringer to review before deletion</v>
      </c>
      <c r="S708" t="s">
        <v>1631</v>
      </c>
    </row>
    <row r="709" spans="1:19" ht="76.5" hidden="1">
      <c r="A709" t="s">
        <v>38</v>
      </c>
      <c r="B709" t="s">
        <v>1619</v>
      </c>
      <c r="C709" t="s">
        <v>1882</v>
      </c>
      <c r="D709" s="2" t="s">
        <v>1621</v>
      </c>
      <c r="E709">
        <v>0</v>
      </c>
      <c r="F709">
        <v>0</v>
      </c>
      <c r="G709" t="s">
        <v>79</v>
      </c>
      <c r="H709" t="s">
        <v>81</v>
      </c>
      <c r="I709">
        <v>0</v>
      </c>
      <c r="J709">
        <v>0</v>
      </c>
      <c r="K709" s="5">
        <v>46197.448329143517</v>
      </c>
      <c r="L709" s="5">
        <v>46197.44820377315</v>
      </c>
      <c r="M709" s="2" t="s">
        <v>2488</v>
      </c>
      <c r="N709" s="2" t="s">
        <v>2488</v>
      </c>
      <c r="O709" s="5">
        <v>46197.448224178239</v>
      </c>
      <c r="P709" t="str">
        <f>IF($Q709="DELETE",IF($S709="CONFIRMED: NO MODS &gt; 1YR","CONFIRMED: NO MODS &gt; 1YR","DO NOT DELETE — not defensibly confirmed"),IF($Q709="HOLD","DO NOT DELETE — HOLD (Charlie review)",IF($Q709="KEEP","DO NOT DELETE — KEEP",IF(ISNUMBER(SEARCH("REVIEW",$Q709)),"DO NOT DELETE — REVIEW pending",$S709))))</f>
        <v>DO NOT DELETE — HOLD (Charlie review)</v>
      </c>
      <c r="Q709" t="str" cm="1">
        <f t="array" ref="Q709">_xlfn.IFS(AND($A709="thg-beauty",ISNUMBER(SEARCH("liveramp",$C709))),"DELETE",$A709="agile-bonbon-662",_xlfn.IFS(LEFT($G709,9)="Tranche 1","DELETE",$C709="Sessions_Level_1_All_Sites","KEEP",ISNUMBER(--$C709),"REVIEW — UA raw logs",$C709="Emag_Reporting","KEEP",$C709="Nutrition_Data_Archived_Tables","KEEP",$C709="EU_Data","KEEP",TRUE,"REVIEW"),OR($A709="thg-influencer",$A709="thg-ingenuity",$A709="thg-central-marketing",$A709="thg-seoclarity"),"HOLD",TRUE,"")</f>
        <v>HOLD</v>
      </c>
      <c r="R709" t="str" cm="1">
        <f t="array" ref="R709">_xlfn.IFS(AND($A709="thg-beauty",ISNUMBER(SEARCH("liveramp",$C709))),"thg-beauty Liveramp dataset — confirmed safe to delete",$A709="agile-bonbon-662",_xlfn.IFS(LEFT($G709,9)="Tranche 1","Tranche 1: cleared",$C709="Sessions_Level_1_All_Sites","Downstream aggregation of UA raw logs — keep if raw tables go",ISNUMBER(--$C709),"UA raw site logs (account ID) — keep pending audit-retention check",$C709="Emag_Reporting","Legacy but likely needed",$C709="Nutrition_Data_Archived_Tables","Worth keeping",$C709="EU_Data","Static lookup tables — scripts still reference (smoke-test risk)",TRUE,"Review"),OR($A709="thg-influencer",$A709="thg-ingenuity",$A709="thg-central-marketing",$A709="thg-seoclarity"),"HOLD — Charlie Stringer to review before deletion",TRUE,"")</f>
        <v>HOLD — Charlie Stringer to review before deletion</v>
      </c>
      <c r="S709" t="s">
        <v>1631</v>
      </c>
    </row>
    <row r="710" spans="1:19" ht="76.5" hidden="1">
      <c r="A710" t="s">
        <v>38</v>
      </c>
      <c r="B710" t="s">
        <v>1619</v>
      </c>
      <c r="C710" t="s">
        <v>3231</v>
      </c>
      <c r="D710" s="2" t="s">
        <v>1621</v>
      </c>
      <c r="E710">
        <v>0</v>
      </c>
      <c r="F710">
        <v>0</v>
      </c>
      <c r="G710" t="s">
        <v>79</v>
      </c>
      <c r="H710" t="s">
        <v>81</v>
      </c>
      <c r="I710">
        <v>0</v>
      </c>
      <c r="J710">
        <v>0</v>
      </c>
      <c r="K710" s="5">
        <v>46197.252364965279</v>
      </c>
      <c r="L710" s="5">
        <v>46197.094131747683</v>
      </c>
      <c r="M710" s="2" t="s">
        <v>3233</v>
      </c>
      <c r="N710" s="2" t="s">
        <v>3234</v>
      </c>
      <c r="O710" s="5">
        <v>46197.094148993063</v>
      </c>
      <c r="P710" t="str">
        <f>IF($Q710="DELETE",IF($S710="CONFIRMED: NO MODS &gt; 1YR","CONFIRMED: NO MODS &gt; 1YR","DO NOT DELETE — not defensibly confirmed"),IF($Q710="HOLD","DO NOT DELETE — HOLD (Charlie review)",IF($Q710="KEEP","DO NOT DELETE — KEEP",IF(ISNUMBER(SEARCH("REVIEW",$Q710)),"DO NOT DELETE — REVIEW pending",$S710))))</f>
        <v>DO NOT DELETE — HOLD (Charlie review)</v>
      </c>
      <c r="Q710" t="str" cm="1">
        <f t="array" ref="Q710">_xlfn.IFS(AND($A710="thg-beauty",ISNUMBER(SEARCH("liveramp",$C710))),"DELETE",$A710="agile-bonbon-662",_xlfn.IFS(LEFT($G710,9)="Tranche 1","DELETE",$C710="Sessions_Level_1_All_Sites","KEEP",ISNUMBER(--$C710),"REVIEW — UA raw logs",$C710="Emag_Reporting","KEEP",$C710="Nutrition_Data_Archived_Tables","KEEP",$C710="EU_Data","KEEP",TRUE,"REVIEW"),OR($A710="thg-influencer",$A710="thg-ingenuity",$A710="thg-central-marketing",$A710="thg-seoclarity"),"HOLD",TRUE,"")</f>
        <v>HOLD</v>
      </c>
      <c r="R710" t="str" cm="1">
        <f t="array" ref="R710">_xlfn.IFS(AND($A710="thg-beauty",ISNUMBER(SEARCH("liveramp",$C710))),"thg-beauty Liveramp dataset — confirmed safe to delete",$A710="agile-bonbon-662",_xlfn.IFS(LEFT($G710,9)="Tranche 1","Tranche 1: cleared",$C710="Sessions_Level_1_All_Sites","Downstream aggregation of UA raw logs — keep if raw tables go",ISNUMBER(--$C710),"UA raw site logs (account ID) — keep pending audit-retention check",$C710="Emag_Reporting","Legacy but likely needed",$C710="Nutrition_Data_Archived_Tables","Worth keeping",$C710="EU_Data","Static lookup tables — scripts still reference (smoke-test risk)",TRUE,"Review"),OR($A710="thg-influencer",$A710="thg-ingenuity",$A710="thg-central-marketing",$A710="thg-seoclarity"),"HOLD — Charlie Stringer to review before deletion",TRUE,"")</f>
        <v>HOLD — Charlie Stringer to review before deletion</v>
      </c>
      <c r="S710" t="s">
        <v>1631</v>
      </c>
    </row>
    <row r="711" spans="1:19" hidden="1">
      <c r="A711" t="s">
        <v>2649</v>
      </c>
      <c r="B711" t="s">
        <v>1724</v>
      </c>
      <c r="C711" t="s">
        <v>3235</v>
      </c>
      <c r="D711" s="2" t="s">
        <v>1621</v>
      </c>
      <c r="E711">
        <v>0</v>
      </c>
      <c r="F711">
        <v>0</v>
      </c>
      <c r="G711" t="s">
        <v>79</v>
      </c>
      <c r="H711" t="s">
        <v>81</v>
      </c>
      <c r="I711">
        <v>0</v>
      </c>
      <c r="J711">
        <v>0</v>
      </c>
      <c r="M711" s="2" t="s">
        <v>1715</v>
      </c>
      <c r="N711" s="2" t="s">
        <v>1701</v>
      </c>
      <c r="O711" s="5">
        <v>46197.209064594907</v>
      </c>
      <c r="P711" t="str">
        <f>IF($Q711="DELETE",IF($S711="CONFIRMED: NO MODS &gt; 1YR","CONFIRMED: NO MODS &gt; 1YR","DO NOT DELETE — not defensibly confirmed"),IF($Q711="HOLD","DO NOT DELETE — HOLD (Charlie review)",IF($Q711="KEEP","DO NOT DELETE — KEEP",IF(ISNUMBER(SEARCH("REVIEW",$Q711)),"DO NOT DELETE — REVIEW pending",$S711))))</f>
        <v>REVIEW</v>
      </c>
      <c r="Q711" t="str" cm="1">
        <f t="array" ref="Q711">_xlfn.IFS(AND($A711="thg-beauty",ISNUMBER(SEARCH("liveramp",$C711))),"DELETE",$A711="agile-bonbon-662",_xlfn.IFS(LEFT($G711,9)="Tranche 1","DELETE",$C711="Sessions_Level_1_All_Sites","KEEP",ISNUMBER(--$C711),"REVIEW — UA raw logs",$C711="Emag_Reporting","KEEP",$C711="Nutrition_Data_Archived_Tables","KEEP",$C711="EU_Data","KEEP",TRUE,"REVIEW"),OR($A711="thg-influencer",$A711="thg-ingenuity",$A711="thg-central-marketing",$A711="thg-seoclarity"),"HOLD",TRUE,"")</f>
        <v/>
      </c>
      <c r="R711" t="str" cm="1">
        <f t="array" ref="R711">_xlfn.IFS(AND($A711="thg-beauty",ISNUMBER(SEARCH("liveramp",$C711))),"thg-beauty Liveramp dataset — confirmed safe to delete",$A711="agile-bonbon-662",_xlfn.IFS(LEFT($G711,9)="Tranche 1","Tranche 1: cleared",$C711="Sessions_Level_1_All_Sites","Downstream aggregation of UA raw logs — keep if raw tables go",ISNUMBER(--$C711),"UA raw site logs (account ID) — keep pending audit-retention check",$C711="Emag_Reporting","Legacy but likely needed",$C711="Nutrition_Data_Archived_Tables","Worth keeping",$C711="EU_Data","Static lookup tables — scripts still reference (smoke-test risk)",TRUE,"Review"),OR($A711="thg-influencer",$A711="thg-ingenuity",$A711="thg-central-marketing",$A711="thg-seoclarity"),"HOLD — Charlie Stringer to review before deletion",TRUE,"")</f>
        <v/>
      </c>
      <c r="S711" t="s">
        <v>1631</v>
      </c>
    </row>
    <row r="712" spans="1:19" ht="76.5" hidden="1">
      <c r="A712" t="s">
        <v>35</v>
      </c>
      <c r="B712" t="s">
        <v>1619</v>
      </c>
      <c r="C712" t="s">
        <v>3236</v>
      </c>
      <c r="D712" s="2" t="s">
        <v>1621</v>
      </c>
      <c r="E712">
        <v>0</v>
      </c>
      <c r="F712">
        <v>0</v>
      </c>
      <c r="G712" t="s">
        <v>79</v>
      </c>
      <c r="H712" t="s">
        <v>81</v>
      </c>
      <c r="I712">
        <v>0</v>
      </c>
      <c r="J712">
        <v>0</v>
      </c>
      <c r="K712" s="5">
        <v>46197.446039328701</v>
      </c>
      <c r="L712" s="5">
        <v>46197.002532592589</v>
      </c>
      <c r="M712" s="2" t="s">
        <v>3237</v>
      </c>
      <c r="N712" s="2" t="s">
        <v>3238</v>
      </c>
      <c r="O712" s="5">
        <v>46197.002582997688</v>
      </c>
      <c r="P712" t="str">
        <f>IF($Q712="DELETE",IF($S712="CONFIRMED: NO MODS &gt; 1YR","CONFIRMED: NO MODS &gt; 1YR","DO NOT DELETE — not defensibly confirmed"),IF($Q712="HOLD","DO NOT DELETE — HOLD (Charlie review)",IF($Q712="KEEP","DO NOT DELETE — KEEP",IF(ISNUMBER(SEARCH("REVIEW",$Q712)),"DO NOT DELETE — REVIEW pending",$S712))))</f>
        <v>DO NOT DELETE — HOLD (Charlie review)</v>
      </c>
      <c r="Q712" t="str" cm="1">
        <f t="array" ref="Q712">_xlfn.IFS(AND($A712="thg-beauty",ISNUMBER(SEARCH("liveramp",$C712))),"DELETE",$A712="agile-bonbon-662",_xlfn.IFS(LEFT($G712,9)="Tranche 1","DELETE",$C712="Sessions_Level_1_All_Sites","KEEP",ISNUMBER(--$C712),"REVIEW — UA raw logs",$C712="Emag_Reporting","KEEP",$C712="Nutrition_Data_Archived_Tables","KEEP",$C712="EU_Data","KEEP",TRUE,"REVIEW"),OR($A712="thg-influencer",$A712="thg-ingenuity",$A712="thg-central-marketing",$A712="thg-seoclarity"),"HOLD",TRUE,"")</f>
        <v>HOLD</v>
      </c>
      <c r="R712" t="str" cm="1">
        <f t="array" ref="R712">_xlfn.IFS(AND($A712="thg-beauty",ISNUMBER(SEARCH("liveramp",$C712))),"thg-beauty Liveramp dataset — confirmed safe to delete",$A712="agile-bonbon-662",_xlfn.IFS(LEFT($G712,9)="Tranche 1","Tranche 1: cleared",$C712="Sessions_Level_1_All_Sites","Downstream aggregation of UA raw logs — keep if raw tables go",ISNUMBER(--$C712),"UA raw site logs (account ID) — keep pending audit-retention check",$C712="Emag_Reporting","Legacy but likely needed",$C712="Nutrition_Data_Archived_Tables","Worth keeping",$C712="EU_Data","Static lookup tables — scripts still reference (smoke-test risk)",TRUE,"Review"),OR($A712="thg-influencer",$A712="thg-ingenuity",$A712="thg-central-marketing",$A712="thg-seoclarity"),"HOLD — Charlie Stringer to review before deletion",TRUE,"")</f>
        <v>HOLD — Charlie Stringer to review before deletion</v>
      </c>
      <c r="S712" t="s">
        <v>1631</v>
      </c>
    </row>
    <row r="713" spans="1:19" ht="76.5" hidden="1">
      <c r="A713" t="s">
        <v>35</v>
      </c>
      <c r="B713" t="s">
        <v>1619</v>
      </c>
      <c r="C713" t="s">
        <v>3239</v>
      </c>
      <c r="D713" s="2" t="s">
        <v>1621</v>
      </c>
      <c r="E713">
        <v>0</v>
      </c>
      <c r="F713">
        <v>0</v>
      </c>
      <c r="G713" t="s">
        <v>79</v>
      </c>
      <c r="H713" t="s">
        <v>81</v>
      </c>
      <c r="I713">
        <v>0</v>
      </c>
      <c r="J713">
        <v>0</v>
      </c>
      <c r="L713" s="5">
        <v>46197.430744652767</v>
      </c>
      <c r="M713" s="2" t="s">
        <v>1715</v>
      </c>
      <c r="N713" s="2" t="s">
        <v>3240</v>
      </c>
      <c r="O713" s="5">
        <v>46197.430768206017</v>
      </c>
      <c r="P713" t="str">
        <f>IF($Q713="DELETE",IF($S713="CONFIRMED: NO MODS &gt; 1YR","CONFIRMED: NO MODS &gt; 1YR","DO NOT DELETE — not defensibly confirmed"),IF($Q713="HOLD","DO NOT DELETE — HOLD (Charlie review)",IF($Q713="KEEP","DO NOT DELETE — KEEP",IF(ISNUMBER(SEARCH("REVIEW",$Q713)),"DO NOT DELETE — REVIEW pending",$S713))))</f>
        <v>DO NOT DELETE — HOLD (Charlie review)</v>
      </c>
      <c r="Q713" t="str" cm="1">
        <f t="array" ref="Q713">_xlfn.IFS(AND($A713="thg-beauty",ISNUMBER(SEARCH("liveramp",$C713))),"DELETE",$A713="agile-bonbon-662",_xlfn.IFS(LEFT($G713,9)="Tranche 1","DELETE",$C713="Sessions_Level_1_All_Sites","KEEP",ISNUMBER(--$C713),"REVIEW — UA raw logs",$C713="Emag_Reporting","KEEP",$C713="Nutrition_Data_Archived_Tables","KEEP",$C713="EU_Data","KEEP",TRUE,"REVIEW"),OR($A713="thg-influencer",$A713="thg-ingenuity",$A713="thg-central-marketing",$A713="thg-seoclarity"),"HOLD",TRUE,"")</f>
        <v>HOLD</v>
      </c>
      <c r="R713" t="str" cm="1">
        <f t="array" ref="R713">_xlfn.IFS(AND($A713="thg-beauty",ISNUMBER(SEARCH("liveramp",$C713))),"thg-beauty Liveramp dataset — confirmed safe to delete",$A713="agile-bonbon-662",_xlfn.IFS(LEFT($G713,9)="Tranche 1","Tranche 1: cleared",$C713="Sessions_Level_1_All_Sites","Downstream aggregation of UA raw logs — keep if raw tables go",ISNUMBER(--$C713),"UA raw site logs (account ID) — keep pending audit-retention check",$C713="Emag_Reporting","Legacy but likely needed",$C713="Nutrition_Data_Archived_Tables","Worth keeping",$C713="EU_Data","Static lookup tables — scripts still reference (smoke-test risk)",TRUE,"Review"),OR($A713="thg-influencer",$A713="thg-ingenuity",$A713="thg-central-marketing",$A713="thg-seoclarity"),"HOLD — Charlie Stringer to review before deletion",TRUE,"")</f>
        <v>HOLD — Charlie Stringer to review before deletion</v>
      </c>
      <c r="S713" t="s">
        <v>1631</v>
      </c>
    </row>
    <row r="714" spans="1:19" ht="76.5" hidden="1">
      <c r="A714" t="s">
        <v>91</v>
      </c>
      <c r="B714" t="s">
        <v>1619</v>
      </c>
      <c r="C714" t="s">
        <v>3241</v>
      </c>
      <c r="E714">
        <v>32030.38</v>
      </c>
      <c r="F714">
        <v>640.61</v>
      </c>
      <c r="G714" t="s">
        <v>79</v>
      </c>
      <c r="H714" t="s">
        <v>81</v>
      </c>
      <c r="I714">
        <v>-1</v>
      </c>
      <c r="J714">
        <v>0</v>
      </c>
      <c r="K714" s="5">
        <v>46197.45446040509</v>
      </c>
      <c r="L714" s="5">
        <v>46043.845408078712</v>
      </c>
      <c r="M714" s="2" t="s">
        <v>3242</v>
      </c>
      <c r="N714" s="2" t="s">
        <v>3243</v>
      </c>
      <c r="O714" s="5">
        <v>46197.454371574073</v>
      </c>
      <c r="P714" t="str">
        <f>IF($Q714="DELETE",IF($S714="CONFIRMED: NO MODS &gt; 1YR","CONFIRMED: NO MODS &gt; 1YR","DO NOT DELETE — not defensibly confirmed"),IF($Q714="HOLD","DO NOT DELETE — HOLD (Charlie review)",IF($Q714="KEEP","DO NOT DELETE — KEEP",IF(ISNUMBER(SEARCH("REVIEW",$Q714)),"DO NOT DELETE — REVIEW pending",$S714))))</f>
        <v>REVIEW</v>
      </c>
      <c r="Q714" t="str" cm="1">
        <f t="array" ref="Q714">_xlfn.IFS(AND($A714="thg-beauty",ISNUMBER(SEARCH("liveramp",$C714))),"DELETE",$A714="agile-bonbon-662",_xlfn.IFS(LEFT($G714,9)="Tranche 1","DELETE",$C714="Sessions_Level_1_All_Sites","KEEP",ISNUMBER(--$C714),"REVIEW — UA raw logs",$C714="Emag_Reporting","KEEP",$C714="Nutrition_Data_Archived_Tables","KEEP",$C714="EU_Data","KEEP",TRUE,"REVIEW"),OR($A714="thg-influencer",$A714="thg-ingenuity",$A714="thg-central-marketing",$A714="thg-seoclarity"),"HOLD",TRUE,"")</f>
        <v/>
      </c>
      <c r="R714" t="str" cm="1">
        <f t="array" ref="R714">_xlfn.IFS(AND($A714="thg-beauty",ISNUMBER(SEARCH("liveramp",$C714))),"thg-beauty Liveramp dataset — confirmed safe to delete",$A714="agile-bonbon-662",_xlfn.IFS(LEFT($G714,9)="Tranche 1","Tranche 1: cleared",$C714="Sessions_Level_1_All_Sites","Downstream aggregation of UA raw logs — keep if raw tables go",ISNUMBER(--$C714),"UA raw site logs (account ID) — keep pending audit-retention check",$C714="Emag_Reporting","Legacy but likely needed",$C714="Nutrition_Data_Archived_Tables","Worth keeping",$C714="EU_Data","Static lookup tables — scripts still reference (smoke-test risk)",TRUE,"Review"),OR($A714="thg-influencer",$A714="thg-ingenuity",$A714="thg-central-marketing",$A714="thg-seoclarity"),"HOLD — Charlie Stringer to review before deletion",TRUE,"")</f>
        <v/>
      </c>
      <c r="S714" t="s">
        <v>1631</v>
      </c>
    </row>
    <row r="715" spans="1:19" ht="76.5" hidden="1">
      <c r="A715" t="s">
        <v>1471</v>
      </c>
      <c r="B715" t="s">
        <v>1619</v>
      </c>
      <c r="C715" t="s">
        <v>3244</v>
      </c>
      <c r="D715" s="2" t="s">
        <v>1621</v>
      </c>
      <c r="E715">
        <v>1366.05</v>
      </c>
      <c r="F715">
        <v>27.32</v>
      </c>
      <c r="G715" t="s">
        <v>79</v>
      </c>
      <c r="H715" t="s">
        <v>81</v>
      </c>
      <c r="I715">
        <v>-1</v>
      </c>
      <c r="J715">
        <v>0</v>
      </c>
      <c r="K715" s="5">
        <v>46197.455092557873</v>
      </c>
      <c r="L715" s="5">
        <v>46197.452145358788</v>
      </c>
      <c r="M715" s="2" t="s">
        <v>3245</v>
      </c>
      <c r="N715" s="2" t="s">
        <v>3246</v>
      </c>
      <c r="O715" s="5">
        <v>46197.452293750001</v>
      </c>
      <c r="P715" t="str">
        <f>IF($Q715="DELETE",IF($S715="CONFIRMED: NO MODS &gt; 1YR","CONFIRMED: NO MODS &gt; 1YR","DO NOT DELETE — not defensibly confirmed"),IF($Q715="HOLD","DO NOT DELETE — HOLD (Charlie review)",IF($Q715="KEEP","DO NOT DELETE — KEEP",IF(ISNUMBER(SEARCH("REVIEW",$Q715)),"DO NOT DELETE — REVIEW pending",$S715))))</f>
        <v>REVIEW</v>
      </c>
      <c r="Q715" t="str" cm="1">
        <f t="array" ref="Q715">_xlfn.IFS(AND($A715="thg-beauty",ISNUMBER(SEARCH("liveramp",$C715))),"DELETE",$A715="agile-bonbon-662",_xlfn.IFS(LEFT($G715,9)="Tranche 1","DELETE",$C715="Sessions_Level_1_All_Sites","KEEP",ISNUMBER(--$C715),"REVIEW — UA raw logs",$C715="Emag_Reporting","KEEP",$C715="Nutrition_Data_Archived_Tables","KEEP",$C715="EU_Data","KEEP",TRUE,"REVIEW"),OR($A715="thg-influencer",$A715="thg-ingenuity",$A715="thg-central-marketing",$A715="thg-seoclarity"),"HOLD",TRUE,"")</f>
        <v/>
      </c>
      <c r="R715" t="str" cm="1">
        <f t="array" ref="R715">_xlfn.IFS(AND($A715="thg-beauty",ISNUMBER(SEARCH("liveramp",$C715))),"thg-beauty Liveramp dataset — confirmed safe to delete",$A715="agile-bonbon-662",_xlfn.IFS(LEFT($G715,9)="Tranche 1","Tranche 1: cleared",$C715="Sessions_Level_1_All_Sites","Downstream aggregation of UA raw logs — keep if raw tables go",ISNUMBER(--$C715),"UA raw site logs (account ID) — keep pending audit-retention check",$C715="Emag_Reporting","Legacy but likely needed",$C715="Nutrition_Data_Archived_Tables","Worth keeping",$C715="EU_Data","Static lookup tables — scripts still reference (smoke-test risk)",TRUE,"Review"),OR($A715="thg-influencer",$A715="thg-ingenuity",$A715="thg-central-marketing",$A715="thg-seoclarity"),"HOLD — Charlie Stringer to review before deletion",TRUE,"")</f>
        <v/>
      </c>
      <c r="S715" t="s">
        <v>1631</v>
      </c>
    </row>
    <row r="716" spans="1:19" ht="76.5" hidden="1">
      <c r="A716" t="s">
        <v>1471</v>
      </c>
      <c r="B716" t="s">
        <v>1619</v>
      </c>
      <c r="C716" t="s">
        <v>3247</v>
      </c>
      <c r="E716">
        <v>1162.24</v>
      </c>
      <c r="F716">
        <v>23.24</v>
      </c>
      <c r="G716" t="s">
        <v>79</v>
      </c>
      <c r="H716" t="s">
        <v>81</v>
      </c>
      <c r="I716">
        <v>-1</v>
      </c>
      <c r="J716">
        <v>-1</v>
      </c>
      <c r="K716" s="5">
        <v>46197.455092557873</v>
      </c>
      <c r="L716" s="5">
        <v>46197.454839768521</v>
      </c>
      <c r="M716" s="2" t="s">
        <v>3245</v>
      </c>
      <c r="N716" s="2" t="s">
        <v>3248</v>
      </c>
      <c r="O716" s="5">
        <v>46197.454710682869</v>
      </c>
      <c r="P716" t="str">
        <f>IF($Q716="DELETE",IF($S716="CONFIRMED: NO MODS &gt; 1YR","CONFIRMED: NO MODS &gt; 1YR","DO NOT DELETE — not defensibly confirmed"),IF($Q716="HOLD","DO NOT DELETE — HOLD (Charlie review)",IF($Q716="KEEP","DO NOT DELETE — KEEP",IF(ISNUMBER(SEARCH("REVIEW",$Q716)),"DO NOT DELETE — REVIEW pending",$S716))))</f>
        <v>REVIEW</v>
      </c>
      <c r="Q716" t="str" cm="1">
        <f t="array" ref="Q716">_xlfn.IFS(AND($A716="thg-beauty",ISNUMBER(SEARCH("liveramp",$C716))),"DELETE",$A716="agile-bonbon-662",_xlfn.IFS(LEFT($G716,9)="Tranche 1","DELETE",$C716="Sessions_Level_1_All_Sites","KEEP",ISNUMBER(--$C716),"REVIEW — UA raw logs",$C716="Emag_Reporting","KEEP",$C716="Nutrition_Data_Archived_Tables","KEEP",$C716="EU_Data","KEEP",TRUE,"REVIEW"),OR($A716="thg-influencer",$A716="thg-ingenuity",$A716="thg-central-marketing",$A716="thg-seoclarity"),"HOLD",TRUE,"")</f>
        <v/>
      </c>
      <c r="R716" t="str" cm="1">
        <f t="array" ref="R716">_xlfn.IFS(AND($A716="thg-beauty",ISNUMBER(SEARCH("liveramp",$C716))),"thg-beauty Liveramp dataset — confirmed safe to delete",$A716="agile-bonbon-662",_xlfn.IFS(LEFT($G716,9)="Tranche 1","Tranche 1: cleared",$C716="Sessions_Level_1_All_Sites","Downstream aggregation of UA raw logs — keep if raw tables go",ISNUMBER(--$C716),"UA raw site logs (account ID) — keep pending audit-retention check",$C716="Emag_Reporting","Legacy but likely needed",$C716="Nutrition_Data_Archived_Tables","Worth keeping",$C716="EU_Data","Static lookup tables — scripts still reference (smoke-test risk)",TRUE,"Review"),OR($A716="thg-influencer",$A716="thg-ingenuity",$A716="thg-central-marketing",$A716="thg-seoclarity"),"HOLD — Charlie Stringer to review before deletion",TRUE,"")</f>
        <v/>
      </c>
      <c r="S716" t="s">
        <v>1631</v>
      </c>
    </row>
    <row r="717" spans="1:19" ht="76.5" hidden="1">
      <c r="A717" t="s">
        <v>3249</v>
      </c>
      <c r="B717" t="s">
        <v>1619</v>
      </c>
      <c r="C717" t="s">
        <v>2239</v>
      </c>
      <c r="D717" s="2" t="s">
        <v>1621</v>
      </c>
      <c r="E717">
        <v>1128.47</v>
      </c>
      <c r="F717">
        <v>22.57</v>
      </c>
      <c r="G717" t="s">
        <v>79</v>
      </c>
      <c r="H717" t="s">
        <v>81</v>
      </c>
      <c r="I717">
        <v>-1</v>
      </c>
      <c r="J717">
        <v>0</v>
      </c>
      <c r="K717" s="5">
        <v>46197.457247743063</v>
      </c>
      <c r="M717" s="2" t="s">
        <v>3250</v>
      </c>
      <c r="N717" s="2" t="s">
        <v>1701</v>
      </c>
      <c r="O717" s="5">
        <v>46197.451739629629</v>
      </c>
      <c r="P717" t="str">
        <f>IF($Q717="DELETE",IF($S717="CONFIRMED: NO MODS &gt; 1YR","CONFIRMED: NO MODS &gt; 1YR","DO NOT DELETE — not defensibly confirmed"),IF($Q717="HOLD","DO NOT DELETE — HOLD (Charlie review)",IF($Q717="KEEP","DO NOT DELETE — KEEP",IF(ISNUMBER(SEARCH("REVIEW",$Q717)),"DO NOT DELETE — REVIEW pending",$S717))))</f>
        <v>REVIEW</v>
      </c>
      <c r="Q717" t="str" cm="1">
        <f t="array" ref="Q717">_xlfn.IFS(AND($A717="thg-beauty",ISNUMBER(SEARCH("liveramp",$C717))),"DELETE",$A717="agile-bonbon-662",_xlfn.IFS(LEFT($G717,9)="Tranche 1","DELETE",$C717="Sessions_Level_1_All_Sites","KEEP",ISNUMBER(--$C717),"REVIEW — UA raw logs",$C717="Emag_Reporting","KEEP",$C717="Nutrition_Data_Archived_Tables","KEEP",$C717="EU_Data","KEEP",TRUE,"REVIEW"),OR($A717="thg-influencer",$A717="thg-ingenuity",$A717="thg-central-marketing",$A717="thg-seoclarity"),"HOLD",TRUE,"")</f>
        <v/>
      </c>
      <c r="R717" t="str" cm="1">
        <f t="array" ref="R717">_xlfn.IFS(AND($A717="thg-beauty",ISNUMBER(SEARCH("liveramp",$C717))),"thg-beauty Liveramp dataset — confirmed safe to delete",$A717="agile-bonbon-662",_xlfn.IFS(LEFT($G717,9)="Tranche 1","Tranche 1: cleared",$C717="Sessions_Level_1_All_Sites","Downstream aggregation of UA raw logs — keep if raw tables go",ISNUMBER(--$C717),"UA raw site logs (account ID) — keep pending audit-retention check",$C717="Emag_Reporting","Legacy but likely needed",$C717="Nutrition_Data_Archived_Tables","Worth keeping",$C717="EU_Data","Static lookup tables — scripts still reference (smoke-test risk)",TRUE,"Review"),OR($A717="thg-influencer",$A717="thg-ingenuity",$A717="thg-central-marketing",$A717="thg-seoclarity"),"HOLD — Charlie Stringer to review before deletion",TRUE,"")</f>
        <v/>
      </c>
      <c r="S717" t="s">
        <v>1631</v>
      </c>
    </row>
    <row r="718" spans="1:19" ht="76.5" hidden="1">
      <c r="A718" t="s">
        <v>38</v>
      </c>
      <c r="B718" t="s">
        <v>1619</v>
      </c>
      <c r="C718" t="s">
        <v>3251</v>
      </c>
      <c r="D718" s="2" t="s">
        <v>1621</v>
      </c>
      <c r="E718">
        <v>30.99</v>
      </c>
      <c r="F718">
        <v>0.62</v>
      </c>
      <c r="G718" t="s">
        <v>79</v>
      </c>
      <c r="H718" t="s">
        <v>81</v>
      </c>
      <c r="I718">
        <v>-1</v>
      </c>
      <c r="J718">
        <v>0</v>
      </c>
      <c r="L718" s="5">
        <v>46197.455604571762</v>
      </c>
      <c r="M718" s="2" t="s">
        <v>1715</v>
      </c>
      <c r="N718" s="2" t="s">
        <v>3252</v>
      </c>
      <c r="O718" s="5">
        <v>46196.577748842603</v>
      </c>
      <c r="P718" t="str">
        <f>IF($Q718="DELETE",IF($S718="CONFIRMED: NO MODS &gt; 1YR","CONFIRMED: NO MODS &gt; 1YR","DO NOT DELETE — not defensibly confirmed"),IF($Q718="HOLD","DO NOT DELETE — HOLD (Charlie review)",IF($Q718="KEEP","DO NOT DELETE — KEEP",IF(ISNUMBER(SEARCH("REVIEW",$Q718)),"DO NOT DELETE — REVIEW pending",$S718))))</f>
        <v>DO NOT DELETE — HOLD (Charlie review)</v>
      </c>
      <c r="Q718" t="str" cm="1">
        <f t="array" ref="Q718">_xlfn.IFS(AND($A718="thg-beauty",ISNUMBER(SEARCH("liveramp",$C718))),"DELETE",$A718="agile-bonbon-662",_xlfn.IFS(LEFT($G718,9)="Tranche 1","DELETE",$C718="Sessions_Level_1_All_Sites","KEEP",ISNUMBER(--$C718),"REVIEW — UA raw logs",$C718="Emag_Reporting","KEEP",$C718="Nutrition_Data_Archived_Tables","KEEP",$C718="EU_Data","KEEP",TRUE,"REVIEW"),OR($A718="thg-influencer",$A718="thg-ingenuity",$A718="thg-central-marketing",$A718="thg-seoclarity"),"HOLD",TRUE,"")</f>
        <v>HOLD</v>
      </c>
      <c r="R718" t="str" cm="1">
        <f t="array" ref="R718">_xlfn.IFS(AND($A718="thg-beauty",ISNUMBER(SEARCH("liveramp",$C718))),"thg-beauty Liveramp dataset — confirmed safe to delete",$A718="agile-bonbon-662",_xlfn.IFS(LEFT($G718,9)="Tranche 1","Tranche 1: cleared",$C718="Sessions_Level_1_All_Sites","Downstream aggregation of UA raw logs — keep if raw tables go",ISNUMBER(--$C718),"UA raw site logs (account ID) — keep pending audit-retention check",$C718="Emag_Reporting","Legacy but likely needed",$C718="Nutrition_Data_Archived_Tables","Worth keeping",$C718="EU_Data","Static lookup tables — scripts still reference (smoke-test risk)",TRUE,"Review"),OR($A718="thg-influencer",$A718="thg-ingenuity",$A718="thg-central-marketing",$A718="thg-seoclarity"),"HOLD — Charlie Stringer to review before deletion",TRUE,"")</f>
        <v>HOLD — Charlie Stringer to review before deletion</v>
      </c>
      <c r="S718" t="s">
        <v>1631</v>
      </c>
    </row>
    <row r="719" spans="1:19" ht="76.5" hidden="1">
      <c r="A719" t="s">
        <v>1471</v>
      </c>
      <c r="B719" t="s">
        <v>1619</v>
      </c>
      <c r="C719" t="s">
        <v>3253</v>
      </c>
      <c r="E719">
        <v>27.81</v>
      </c>
      <c r="F719">
        <v>0.56000000000000005</v>
      </c>
      <c r="G719" t="s">
        <v>79</v>
      </c>
      <c r="H719" t="s">
        <v>81</v>
      </c>
      <c r="I719">
        <v>-1</v>
      </c>
      <c r="J719">
        <v>0</v>
      </c>
      <c r="K719" s="5">
        <v>46197.455092557873</v>
      </c>
      <c r="L719" s="5">
        <v>46197.454840648148</v>
      </c>
      <c r="M719" s="2" t="s">
        <v>3245</v>
      </c>
      <c r="N719" s="2" t="s">
        <v>3254</v>
      </c>
      <c r="O719" s="5">
        <v>46197.453960740742</v>
      </c>
      <c r="P719" t="str">
        <f>IF($Q719="DELETE",IF($S719="CONFIRMED: NO MODS &gt; 1YR","CONFIRMED: NO MODS &gt; 1YR","DO NOT DELETE — not defensibly confirmed"),IF($Q719="HOLD","DO NOT DELETE — HOLD (Charlie review)",IF($Q719="KEEP","DO NOT DELETE — KEEP",IF(ISNUMBER(SEARCH("REVIEW",$Q719)),"DO NOT DELETE — REVIEW pending",$S719))))</f>
        <v>REVIEW</v>
      </c>
      <c r="Q719" t="str" cm="1">
        <f t="array" ref="Q719">_xlfn.IFS(AND($A719="thg-beauty",ISNUMBER(SEARCH("liveramp",$C719))),"DELETE",$A719="agile-bonbon-662",_xlfn.IFS(LEFT($G719,9)="Tranche 1","DELETE",$C719="Sessions_Level_1_All_Sites","KEEP",ISNUMBER(--$C719),"REVIEW — UA raw logs",$C719="Emag_Reporting","KEEP",$C719="Nutrition_Data_Archived_Tables","KEEP",$C719="EU_Data","KEEP",TRUE,"REVIEW"),OR($A719="thg-influencer",$A719="thg-ingenuity",$A719="thg-central-marketing",$A719="thg-seoclarity"),"HOLD",TRUE,"")</f>
        <v/>
      </c>
      <c r="R719" t="str" cm="1">
        <f t="array" ref="R719">_xlfn.IFS(AND($A719="thg-beauty",ISNUMBER(SEARCH("liveramp",$C719))),"thg-beauty Liveramp dataset — confirmed safe to delete",$A719="agile-bonbon-662",_xlfn.IFS(LEFT($G719,9)="Tranche 1","Tranche 1: cleared",$C719="Sessions_Level_1_All_Sites","Downstream aggregation of UA raw logs — keep if raw tables go",ISNUMBER(--$C719),"UA raw site logs (account ID) — keep pending audit-retention check",$C719="Emag_Reporting","Legacy but likely needed",$C719="Nutrition_Data_Archived_Tables","Worth keeping",$C719="EU_Data","Static lookup tables — scripts still reference (smoke-test risk)",TRUE,"Review"),OR($A719="thg-influencer",$A719="thg-ingenuity",$A719="thg-central-marketing",$A719="thg-seoclarity"),"HOLD — Charlie Stringer to review before deletion",TRUE,"")</f>
        <v/>
      </c>
      <c r="S719" t="s">
        <v>1631</v>
      </c>
    </row>
    <row r="720" spans="1:19" ht="76.5" hidden="1">
      <c r="A720" t="s">
        <v>1471</v>
      </c>
      <c r="B720" t="s">
        <v>1619</v>
      </c>
      <c r="C720" t="s">
        <v>3255</v>
      </c>
      <c r="D720" s="2" t="s">
        <v>1621</v>
      </c>
      <c r="E720">
        <v>21.33</v>
      </c>
      <c r="F720">
        <v>0.43</v>
      </c>
      <c r="G720" t="s">
        <v>79</v>
      </c>
      <c r="H720" t="s">
        <v>81</v>
      </c>
      <c r="I720">
        <v>-1</v>
      </c>
      <c r="J720">
        <v>0</v>
      </c>
      <c r="K720" s="5">
        <v>46197.454891041663</v>
      </c>
      <c r="L720" s="5">
        <v>46197.454891041663</v>
      </c>
      <c r="M720" s="2" t="s">
        <v>3256</v>
      </c>
      <c r="N720" s="2" t="s">
        <v>3257</v>
      </c>
      <c r="O720" s="5">
        <v>46197.452843807871</v>
      </c>
      <c r="P720" t="str">
        <f>IF($Q720="DELETE",IF($S720="CONFIRMED: NO MODS &gt; 1YR","CONFIRMED: NO MODS &gt; 1YR","DO NOT DELETE — not defensibly confirmed"),IF($Q720="HOLD","DO NOT DELETE — HOLD (Charlie review)",IF($Q720="KEEP","DO NOT DELETE — KEEP",IF(ISNUMBER(SEARCH("REVIEW",$Q720)),"DO NOT DELETE — REVIEW pending",$S720))))</f>
        <v>REVIEW</v>
      </c>
      <c r="Q720" t="str" cm="1">
        <f t="array" ref="Q720">_xlfn.IFS(AND($A720="thg-beauty",ISNUMBER(SEARCH("liveramp",$C720))),"DELETE",$A720="agile-bonbon-662",_xlfn.IFS(LEFT($G720,9)="Tranche 1","DELETE",$C720="Sessions_Level_1_All_Sites","KEEP",ISNUMBER(--$C720),"REVIEW — UA raw logs",$C720="Emag_Reporting","KEEP",$C720="Nutrition_Data_Archived_Tables","KEEP",$C720="EU_Data","KEEP",TRUE,"REVIEW"),OR($A720="thg-influencer",$A720="thg-ingenuity",$A720="thg-central-marketing",$A720="thg-seoclarity"),"HOLD",TRUE,"")</f>
        <v/>
      </c>
      <c r="R720" t="str" cm="1">
        <f t="array" ref="R720">_xlfn.IFS(AND($A720="thg-beauty",ISNUMBER(SEARCH("liveramp",$C720))),"thg-beauty Liveramp dataset — confirmed safe to delete",$A720="agile-bonbon-662",_xlfn.IFS(LEFT($G720,9)="Tranche 1","Tranche 1: cleared",$C720="Sessions_Level_1_All_Sites","Downstream aggregation of UA raw logs — keep if raw tables go",ISNUMBER(--$C720),"UA raw site logs (account ID) — keep pending audit-retention check",$C720="Emag_Reporting","Legacy but likely needed",$C720="Nutrition_Data_Archived_Tables","Worth keeping",$C720="EU_Data","Static lookup tables — scripts still reference (smoke-test risk)",TRUE,"Review"),OR($A720="thg-influencer",$A720="thg-ingenuity",$A720="thg-central-marketing",$A720="thg-seoclarity"),"HOLD — Charlie Stringer to review before deletion",TRUE,"")</f>
        <v/>
      </c>
      <c r="S720" t="s">
        <v>1631</v>
      </c>
    </row>
    <row r="721" spans="1:19" ht="76.5" hidden="1">
      <c r="A721" t="s">
        <v>93</v>
      </c>
      <c r="B721" t="s">
        <v>1724</v>
      </c>
      <c r="C721" t="s">
        <v>3258</v>
      </c>
      <c r="D721" s="2" t="s">
        <v>3259</v>
      </c>
      <c r="E721">
        <v>9.85</v>
      </c>
      <c r="F721">
        <v>0.2</v>
      </c>
      <c r="G721" t="s">
        <v>79</v>
      </c>
      <c r="H721" t="s">
        <v>81</v>
      </c>
      <c r="I721">
        <v>-1</v>
      </c>
      <c r="J721">
        <v>0</v>
      </c>
      <c r="K721" s="5">
        <v>46197.45676695602</v>
      </c>
      <c r="L721" s="5">
        <v>46197.417397118057</v>
      </c>
      <c r="M721" s="2" t="s">
        <v>3260</v>
      </c>
      <c r="N721" s="2" t="s">
        <v>3261</v>
      </c>
      <c r="O721" s="5">
        <v>46197.433340787044</v>
      </c>
      <c r="P721" t="str">
        <f>IF($Q721="DELETE",IF($S721="CONFIRMED: NO MODS &gt; 1YR","CONFIRMED: NO MODS &gt; 1YR","DO NOT DELETE — not defensibly confirmed"),IF($Q721="HOLD","DO NOT DELETE — HOLD (Charlie review)",IF($Q721="KEEP","DO NOT DELETE — KEEP",IF(ISNUMBER(SEARCH("REVIEW",$Q721)),"DO NOT DELETE — REVIEW pending",$S721))))</f>
        <v>CONFIRMED: NO MODS &gt; 1YR</v>
      </c>
      <c r="Q721" t="str" cm="1">
        <f t="array" ref="Q721">_xlfn.IFS(AND($A721="thg-beauty",ISNUMBER(SEARCH("liveramp",$C721))),"DELETE",$A721="agile-bonbon-662",_xlfn.IFS(LEFT($G721,9)="Tranche 1","DELETE",$C721="Sessions_Level_1_All_Sites","KEEP",ISNUMBER(--$C721),"REVIEW — UA raw logs",$C721="Emag_Reporting","KEEP",$C721="Nutrition_Data_Archived_Tables","KEEP",$C721="EU_Data","KEEP",TRUE,"REVIEW"),OR($A721="thg-influencer",$A721="thg-ingenuity",$A721="thg-central-marketing",$A721="thg-seoclarity"),"HOLD",TRUE,"")</f>
        <v/>
      </c>
      <c r="R721" t="str" cm="1">
        <f t="array" ref="R721">_xlfn.IFS(AND($A721="thg-beauty",ISNUMBER(SEARCH("liveramp",$C721))),"thg-beauty Liveramp dataset — confirmed safe to delete",$A721="agile-bonbon-662",_xlfn.IFS(LEFT($G721,9)="Tranche 1","Tranche 1: cleared",$C721="Sessions_Level_1_All_Sites","Downstream aggregation of UA raw logs — keep if raw tables go",ISNUMBER(--$C721),"UA raw site logs (account ID) — keep pending audit-retention check",$C721="Emag_Reporting","Legacy but likely needed",$C721="Nutrition_Data_Archived_Tables","Worth keeping",$C721="EU_Data","Static lookup tables — scripts still reference (smoke-test risk)",TRUE,"Review"),OR($A721="thg-influencer",$A721="thg-ingenuity",$A721="thg-central-marketing",$A721="thg-seoclarity"),"HOLD — Charlie Stringer to review before deletion",TRUE,"")</f>
        <v/>
      </c>
      <c r="S721" t="s">
        <v>1624</v>
      </c>
    </row>
    <row r="722" spans="1:19" s="48" customFormat="1" ht="76.5" hidden="1">
      <c r="A722" t="s">
        <v>93</v>
      </c>
      <c r="B722" t="s">
        <v>1724</v>
      </c>
      <c r="C722" t="s">
        <v>2188</v>
      </c>
      <c r="D722" s="2" t="s">
        <v>1621</v>
      </c>
      <c r="E722">
        <v>0.74</v>
      </c>
      <c r="F722">
        <v>0.01</v>
      </c>
      <c r="G722" t="s">
        <v>79</v>
      </c>
      <c r="H722" t="s">
        <v>81</v>
      </c>
      <c r="I722">
        <v>-1</v>
      </c>
      <c r="J722">
        <v>9</v>
      </c>
      <c r="K722" s="5">
        <v>46197.454769791657</v>
      </c>
      <c r="L722"/>
      <c r="M722" s="2" t="s">
        <v>3262</v>
      </c>
      <c r="N722" s="2" t="s">
        <v>1701</v>
      </c>
      <c r="O722" s="5">
        <v>46188.435418287037</v>
      </c>
      <c r="P722" t="str">
        <f>IF($Q722="DELETE",IF($S722="CONFIRMED: NO MODS &gt; 1YR","CONFIRMED: NO MODS &gt; 1YR","DO NOT DELETE — not defensibly confirmed"),IF($Q722="HOLD","DO NOT DELETE — HOLD (Charlie review)",IF($Q722="KEEP","DO NOT DELETE — KEEP",IF(ISNUMBER(SEARCH("REVIEW",$Q722)),"DO NOT DELETE — REVIEW pending",$S722))))</f>
        <v>CONFIRMED: NO MODS &gt; 1YR</v>
      </c>
      <c r="Q722" s="48" t="str" cm="1">
        <f t="array" ref="Q722">_xlfn.IFS(AND($A722="thg-beauty",ISNUMBER(SEARCH("liveramp",$C722))),"DELETE",$A722="agile-bonbon-662",_xlfn.IFS(LEFT($G722,9)="Tranche 1","DELETE",$C722="Sessions_Level_1_All_Sites","KEEP",ISNUMBER(--$C722),"REVIEW — UA raw logs",$C722="Emag_Reporting","KEEP",$C722="Nutrition_Data_Archived_Tables","KEEP",$C722="EU_Data","KEEP",TRUE,"REVIEW"),OR($A722="thg-influencer",$A722="thg-ingenuity",$A722="thg-central-marketing",$A722="thg-seoclarity"),"HOLD",TRUE,"")</f>
        <v/>
      </c>
      <c r="R722" s="48" t="str" cm="1">
        <f t="array" ref="R722">_xlfn.IFS(AND($A722="thg-beauty",ISNUMBER(SEARCH("liveramp",$C722))),"thg-beauty Liveramp dataset — confirmed safe to delete",$A722="agile-bonbon-662",_xlfn.IFS(LEFT($G722,9)="Tranche 1","Tranche 1: cleared",$C722="Sessions_Level_1_All_Sites","Downstream aggregation of UA raw logs — keep if raw tables go",ISNUMBER(--$C722),"UA raw site logs (account ID) — keep pending audit-retention check",$C722="Emag_Reporting","Legacy but likely needed",$C722="Nutrition_Data_Archived_Tables","Worth keeping",$C722="EU_Data","Static lookup tables — scripts still reference (smoke-test risk)",TRUE,"Review"),OR($A722="thg-influencer",$A722="thg-ingenuity",$A722="thg-central-marketing",$A722="thg-seoclarity"),"HOLD — Charlie Stringer to review before deletion",TRUE,"")</f>
        <v/>
      </c>
      <c r="S722" s="48" t="s">
        <v>1624</v>
      </c>
    </row>
    <row r="723" spans="1:19" ht="76.5" hidden="1">
      <c r="A723" t="s">
        <v>38</v>
      </c>
      <c r="B723" t="s">
        <v>1619</v>
      </c>
      <c r="C723" t="s">
        <v>3038</v>
      </c>
      <c r="D723" s="2" t="s">
        <v>1621</v>
      </c>
      <c r="E723">
        <v>0.12</v>
      </c>
      <c r="F723">
        <v>0</v>
      </c>
      <c r="G723" t="s">
        <v>79</v>
      </c>
      <c r="H723" t="s">
        <v>81</v>
      </c>
      <c r="I723">
        <v>-1</v>
      </c>
      <c r="J723">
        <v>0</v>
      </c>
      <c r="K723" s="5">
        <v>46197.271330474527</v>
      </c>
      <c r="L723" s="5">
        <v>46197.454967256941</v>
      </c>
      <c r="M723" s="2" t="s">
        <v>3263</v>
      </c>
      <c r="N723" s="2" t="s">
        <v>3264</v>
      </c>
      <c r="O723" s="5">
        <v>46197.413317442129</v>
      </c>
      <c r="P723" t="str">
        <f>IF($Q723="DELETE",IF($S723="CONFIRMED: NO MODS &gt; 1YR","CONFIRMED: NO MODS &gt; 1YR","DO NOT DELETE — not defensibly confirmed"),IF($Q723="HOLD","DO NOT DELETE — HOLD (Charlie review)",IF($Q723="KEEP","DO NOT DELETE — KEEP",IF(ISNUMBER(SEARCH("REVIEW",$Q723)),"DO NOT DELETE — REVIEW pending",$S723))))</f>
        <v>DO NOT DELETE — HOLD (Charlie review)</v>
      </c>
      <c r="Q723" t="str" cm="1">
        <f t="array" ref="Q723">_xlfn.IFS(AND($A723="thg-beauty",ISNUMBER(SEARCH("liveramp",$C723))),"DELETE",$A723="agile-bonbon-662",_xlfn.IFS(LEFT($G723,9)="Tranche 1","DELETE",$C723="Sessions_Level_1_All_Sites","KEEP",ISNUMBER(--$C723),"REVIEW — UA raw logs",$C723="Emag_Reporting","KEEP",$C723="Nutrition_Data_Archived_Tables","KEEP",$C723="EU_Data","KEEP",TRUE,"REVIEW"),OR($A723="thg-influencer",$A723="thg-ingenuity",$A723="thg-central-marketing",$A723="thg-seoclarity"),"HOLD",TRUE,"")</f>
        <v>HOLD</v>
      </c>
      <c r="R723" t="str" cm="1">
        <f t="array" ref="R723">_xlfn.IFS(AND($A723="thg-beauty",ISNUMBER(SEARCH("liveramp",$C723))),"thg-beauty Liveramp dataset — confirmed safe to delete",$A723="agile-bonbon-662",_xlfn.IFS(LEFT($G723,9)="Tranche 1","Tranche 1: cleared",$C723="Sessions_Level_1_All_Sites","Downstream aggregation of UA raw logs — keep if raw tables go",ISNUMBER(--$C723),"UA raw site logs (account ID) — keep pending audit-retention check",$C723="Emag_Reporting","Legacy but likely needed",$C723="Nutrition_Data_Archived_Tables","Worth keeping",$C723="EU_Data","Static lookup tables — scripts still reference (smoke-test risk)",TRUE,"Review"),OR($A723="thg-influencer",$A723="thg-ingenuity",$A723="thg-central-marketing",$A723="thg-seoclarity"),"HOLD — Charlie Stringer to review before deletion",TRUE,"")</f>
        <v>HOLD — Charlie Stringer to review before deletion</v>
      </c>
      <c r="S723" t="s">
        <v>1631</v>
      </c>
    </row>
    <row r="724" spans="1:19" hidden="1">
      <c r="A724" t="s">
        <v>1738</v>
      </c>
      <c r="B724" t="s">
        <v>1724</v>
      </c>
      <c r="C724" t="s">
        <v>3265</v>
      </c>
      <c r="D724" s="2" t="s">
        <v>1621</v>
      </c>
      <c r="E724">
        <v>0</v>
      </c>
      <c r="F724">
        <v>0</v>
      </c>
      <c r="G724" t="s">
        <v>79</v>
      </c>
      <c r="H724" t="s">
        <v>81</v>
      </c>
      <c r="M724" s="2" t="s">
        <v>1715</v>
      </c>
      <c r="N724" s="2" t="s">
        <v>1701</v>
      </c>
      <c r="P724" t="str">
        <f>IF($Q724="DELETE",IF($S724="CONFIRMED: NO MODS &gt; 1YR","CONFIRMED: NO MODS &gt; 1YR","DO NOT DELETE — not defensibly confirmed"),IF($Q724="HOLD","DO NOT DELETE — HOLD (Charlie review)",IF($Q724="KEEP","DO NOT DELETE — KEEP",IF(ISNUMBER(SEARCH("REVIEW",$Q724)),"DO NOT DELETE — REVIEW pending",$S724))))</f>
        <v>REVIEW</v>
      </c>
      <c r="Q724" t="str" cm="1">
        <f t="array" ref="Q724">_xlfn.IFS(AND($A724="thg-beauty",ISNUMBER(SEARCH("liveramp",$C724))),"DELETE",$A724="agile-bonbon-662",_xlfn.IFS(LEFT($G724,9)="Tranche 1","DELETE",$C724="Sessions_Level_1_All_Sites","KEEP",ISNUMBER(--$C724),"REVIEW — UA raw logs",$C724="Emag_Reporting","KEEP",$C724="Nutrition_Data_Archived_Tables","KEEP",$C724="EU_Data","KEEP",TRUE,"REVIEW"),OR($A724="thg-influencer",$A724="thg-ingenuity",$A724="thg-central-marketing",$A724="thg-seoclarity"),"HOLD",TRUE,"")</f>
        <v/>
      </c>
      <c r="R724" t="str" cm="1">
        <f t="array" ref="R724">_xlfn.IFS(AND($A724="thg-beauty",ISNUMBER(SEARCH("liveramp",$C724))),"thg-beauty Liveramp dataset — confirmed safe to delete",$A724="agile-bonbon-662",_xlfn.IFS(LEFT($G724,9)="Tranche 1","Tranche 1: cleared",$C724="Sessions_Level_1_All_Sites","Downstream aggregation of UA raw logs — keep if raw tables go",ISNUMBER(--$C724),"UA raw site logs (account ID) — keep pending audit-retention check",$C724="Emag_Reporting","Legacy but likely needed",$C724="Nutrition_Data_Archived_Tables","Worth keeping",$C724="EU_Data","Static lookup tables — scripts still reference (smoke-test risk)",TRUE,"Review"),OR($A724="thg-influencer",$A724="thg-ingenuity",$A724="thg-central-marketing",$A724="thg-seoclarity"),"HOLD — Charlie Stringer to review before deletion",TRUE,"")</f>
        <v/>
      </c>
      <c r="S724" t="s">
        <v>1631</v>
      </c>
    </row>
    <row r="725" spans="1:19" hidden="1">
      <c r="A725" t="s">
        <v>1738</v>
      </c>
      <c r="B725" t="s">
        <v>1724</v>
      </c>
      <c r="C725" t="s">
        <v>3266</v>
      </c>
      <c r="D725" s="2" t="s">
        <v>3267</v>
      </c>
      <c r="E725">
        <v>0</v>
      </c>
      <c r="F725">
        <v>0</v>
      </c>
      <c r="G725" t="s">
        <v>79</v>
      </c>
      <c r="H725" t="s">
        <v>81</v>
      </c>
      <c r="M725" s="2" t="s">
        <v>1715</v>
      </c>
      <c r="N725" s="2" t="s">
        <v>1701</v>
      </c>
      <c r="P725" t="str">
        <f>IF($Q725="DELETE",IF($S725="CONFIRMED: NO MODS &gt; 1YR","CONFIRMED: NO MODS &gt; 1YR","DO NOT DELETE — not defensibly confirmed"),IF($Q725="HOLD","DO NOT DELETE — HOLD (Charlie review)",IF($Q725="KEEP","DO NOT DELETE — KEEP",IF(ISNUMBER(SEARCH("REVIEW",$Q725)),"DO NOT DELETE — REVIEW pending",$S725))))</f>
        <v>REVIEW</v>
      </c>
      <c r="Q725" t="str" cm="1">
        <f t="array" ref="Q725">_xlfn.IFS(AND($A725="thg-beauty",ISNUMBER(SEARCH("liveramp",$C725))),"DELETE",$A725="agile-bonbon-662",_xlfn.IFS(LEFT($G725,9)="Tranche 1","DELETE",$C725="Sessions_Level_1_All_Sites","KEEP",ISNUMBER(--$C725),"REVIEW — UA raw logs",$C725="Emag_Reporting","KEEP",$C725="Nutrition_Data_Archived_Tables","KEEP",$C725="EU_Data","KEEP",TRUE,"REVIEW"),OR($A725="thg-influencer",$A725="thg-ingenuity",$A725="thg-central-marketing",$A725="thg-seoclarity"),"HOLD",TRUE,"")</f>
        <v/>
      </c>
      <c r="R725" t="str" cm="1">
        <f t="array" ref="R725">_xlfn.IFS(AND($A725="thg-beauty",ISNUMBER(SEARCH("liveramp",$C725))),"thg-beauty Liveramp dataset — confirmed safe to delete",$A725="agile-bonbon-662",_xlfn.IFS(LEFT($G725,9)="Tranche 1","Tranche 1: cleared",$C725="Sessions_Level_1_All_Sites","Downstream aggregation of UA raw logs — keep if raw tables go",ISNUMBER(--$C725),"UA raw site logs (account ID) — keep pending audit-retention check",$C725="Emag_Reporting","Legacy but likely needed",$C725="Nutrition_Data_Archived_Tables","Worth keeping",$C725="EU_Data","Static lookup tables — scripts still reference (smoke-test risk)",TRUE,"Review"),OR($A725="thg-influencer",$A725="thg-ingenuity",$A725="thg-central-marketing",$A725="thg-seoclarity"),"HOLD — Charlie Stringer to review before deletion",TRUE,"")</f>
        <v/>
      </c>
      <c r="S725" t="s">
        <v>1631</v>
      </c>
    </row>
    <row r="726" spans="1:19" hidden="1">
      <c r="A726" t="s">
        <v>2093</v>
      </c>
      <c r="B726" t="s">
        <v>1724</v>
      </c>
      <c r="C726" t="s">
        <v>3268</v>
      </c>
      <c r="D726" s="2" t="s">
        <v>1621</v>
      </c>
      <c r="E726">
        <v>0</v>
      </c>
      <c r="F726">
        <v>0</v>
      </c>
      <c r="G726" t="s">
        <v>79</v>
      </c>
      <c r="H726" t="s">
        <v>81</v>
      </c>
      <c r="M726" s="2" t="s">
        <v>1715</v>
      </c>
      <c r="N726" s="2" t="s">
        <v>1701</v>
      </c>
      <c r="P726" t="str">
        <f>IF($Q726="DELETE",IF($S726="CONFIRMED: NO MODS &gt; 1YR","CONFIRMED: NO MODS &gt; 1YR","DO NOT DELETE — not defensibly confirmed"),IF($Q726="HOLD","DO NOT DELETE — HOLD (Charlie review)",IF($Q726="KEEP","DO NOT DELETE — KEEP",IF(ISNUMBER(SEARCH("REVIEW",$Q726)),"DO NOT DELETE — REVIEW pending",$S726))))</f>
        <v>CONFIRMED: NO MODS &gt; 1YR</v>
      </c>
      <c r="Q726" t="str" cm="1">
        <f t="array" ref="Q726">_xlfn.IFS(AND($A726="thg-beauty",ISNUMBER(SEARCH("liveramp",$C726))),"DELETE",$A726="agile-bonbon-662",_xlfn.IFS(LEFT($G726,9)="Tranche 1","DELETE",$C726="Sessions_Level_1_All_Sites","KEEP",ISNUMBER(--$C726),"REVIEW — UA raw logs",$C726="Emag_Reporting","KEEP",$C726="Nutrition_Data_Archived_Tables","KEEP",$C726="EU_Data","KEEP",TRUE,"REVIEW"),OR($A726="thg-influencer",$A726="thg-ingenuity",$A726="thg-central-marketing",$A726="thg-seoclarity"),"HOLD",TRUE,"")</f>
        <v/>
      </c>
      <c r="R726" t="str" cm="1">
        <f t="array" ref="R726">_xlfn.IFS(AND($A726="thg-beauty",ISNUMBER(SEARCH("liveramp",$C726))),"thg-beauty Liveramp dataset — confirmed safe to delete",$A726="agile-bonbon-662",_xlfn.IFS(LEFT($G726,9)="Tranche 1","Tranche 1: cleared",$C726="Sessions_Level_1_All_Sites","Downstream aggregation of UA raw logs — keep if raw tables go",ISNUMBER(--$C726),"UA raw site logs (account ID) — keep pending audit-retention check",$C726="Emag_Reporting","Legacy but likely needed",$C726="Nutrition_Data_Archived_Tables","Worth keeping",$C726="EU_Data","Static lookup tables — scripts still reference (smoke-test risk)",TRUE,"Review"),OR($A726="thg-influencer",$A726="thg-ingenuity",$A726="thg-central-marketing",$A726="thg-seoclarity"),"HOLD — Charlie Stringer to review before deletion",TRUE,"")</f>
        <v/>
      </c>
      <c r="S726" t="s">
        <v>1624</v>
      </c>
    </row>
    <row r="727" spans="1:19" hidden="1">
      <c r="A727" t="s">
        <v>92</v>
      </c>
      <c r="B727" t="s">
        <v>1619</v>
      </c>
      <c r="C727" t="s">
        <v>3269</v>
      </c>
      <c r="D727" s="2" t="s">
        <v>1621</v>
      </c>
      <c r="E727">
        <v>0</v>
      </c>
      <c r="F727">
        <v>0</v>
      </c>
      <c r="G727" t="s">
        <v>79</v>
      </c>
      <c r="H727" t="s">
        <v>81</v>
      </c>
      <c r="M727" s="2" t="s">
        <v>1715</v>
      </c>
      <c r="N727" s="2" t="s">
        <v>1701</v>
      </c>
      <c r="P727" t="str">
        <f>IF($Q727="DELETE",IF($S727="CONFIRMED: NO MODS &gt; 1YR","CONFIRMED: NO MODS &gt; 1YR","DO NOT DELETE — not defensibly confirmed"),IF($Q727="HOLD","DO NOT DELETE — HOLD (Charlie review)",IF($Q727="KEEP","DO NOT DELETE — KEEP",IF(ISNUMBER(SEARCH("REVIEW",$Q727)),"DO NOT DELETE — REVIEW pending",$S727))))</f>
        <v>REVIEW</v>
      </c>
      <c r="Q727" t="str" cm="1">
        <f t="array" ref="Q727">_xlfn.IFS(AND($A727="thg-beauty",ISNUMBER(SEARCH("liveramp",$C727))),"DELETE",$A727="agile-bonbon-662",_xlfn.IFS(LEFT($G727,9)="Tranche 1","DELETE",$C727="Sessions_Level_1_All_Sites","KEEP",ISNUMBER(--$C727),"REVIEW — UA raw logs",$C727="Emag_Reporting","KEEP",$C727="Nutrition_Data_Archived_Tables","KEEP",$C727="EU_Data","KEEP",TRUE,"REVIEW"),OR($A727="thg-influencer",$A727="thg-ingenuity",$A727="thg-central-marketing",$A727="thg-seoclarity"),"HOLD",TRUE,"")</f>
        <v/>
      </c>
      <c r="R727" t="str" cm="1">
        <f t="array" ref="R727">_xlfn.IFS(AND($A727="thg-beauty",ISNUMBER(SEARCH("liveramp",$C727))),"thg-beauty Liveramp dataset — confirmed safe to delete",$A727="agile-bonbon-662",_xlfn.IFS(LEFT($G727,9)="Tranche 1","Tranche 1: cleared",$C727="Sessions_Level_1_All_Sites","Downstream aggregation of UA raw logs — keep if raw tables go",ISNUMBER(--$C727),"UA raw site logs (account ID) — keep pending audit-retention check",$C727="Emag_Reporting","Legacy but likely needed",$C727="Nutrition_Data_Archived_Tables","Worth keeping",$C727="EU_Data","Static lookup tables — scripts still reference (smoke-test risk)",TRUE,"Review"),OR($A727="thg-influencer",$A727="thg-ingenuity",$A727="thg-central-marketing",$A727="thg-seoclarity"),"HOLD — Charlie Stringer to review before deletion",TRUE,"")</f>
        <v/>
      </c>
      <c r="S727" t="s">
        <v>1631</v>
      </c>
    </row>
    <row r="728" spans="1:19" hidden="1">
      <c r="A728" t="s">
        <v>92</v>
      </c>
      <c r="B728" t="s">
        <v>1619</v>
      </c>
      <c r="C728" t="s">
        <v>3270</v>
      </c>
      <c r="D728" s="2" t="s">
        <v>1621</v>
      </c>
      <c r="E728">
        <v>0</v>
      </c>
      <c r="F728">
        <v>0</v>
      </c>
      <c r="G728" t="s">
        <v>79</v>
      </c>
      <c r="H728" t="s">
        <v>81</v>
      </c>
      <c r="M728" s="2" t="s">
        <v>1715</v>
      </c>
      <c r="N728" s="2" t="s">
        <v>1701</v>
      </c>
      <c r="P728" t="str">
        <f>IF($Q728="DELETE",IF($S728="CONFIRMED: NO MODS &gt; 1YR","CONFIRMED: NO MODS &gt; 1YR","DO NOT DELETE — not defensibly confirmed"),IF($Q728="HOLD","DO NOT DELETE — HOLD (Charlie review)",IF($Q728="KEEP","DO NOT DELETE — KEEP",IF(ISNUMBER(SEARCH("REVIEW",$Q728)),"DO NOT DELETE — REVIEW pending",$S728))))</f>
        <v>REVIEW</v>
      </c>
      <c r="Q728" t="str" cm="1">
        <f t="array" ref="Q728">_xlfn.IFS(AND($A728="thg-beauty",ISNUMBER(SEARCH("liveramp",$C728))),"DELETE",$A728="agile-bonbon-662",_xlfn.IFS(LEFT($G728,9)="Tranche 1","DELETE",$C728="Sessions_Level_1_All_Sites","KEEP",ISNUMBER(--$C728),"REVIEW — UA raw logs",$C728="Emag_Reporting","KEEP",$C728="Nutrition_Data_Archived_Tables","KEEP",$C728="EU_Data","KEEP",TRUE,"REVIEW"),OR($A728="thg-influencer",$A728="thg-ingenuity",$A728="thg-central-marketing",$A728="thg-seoclarity"),"HOLD",TRUE,"")</f>
        <v/>
      </c>
      <c r="R728" t="str" cm="1">
        <f t="array" ref="R728">_xlfn.IFS(AND($A728="thg-beauty",ISNUMBER(SEARCH("liveramp",$C728))),"thg-beauty Liveramp dataset — confirmed safe to delete",$A728="agile-bonbon-662",_xlfn.IFS(LEFT($G728,9)="Tranche 1","Tranche 1: cleared",$C728="Sessions_Level_1_All_Sites","Downstream aggregation of UA raw logs — keep if raw tables go",ISNUMBER(--$C728),"UA raw site logs (account ID) — keep pending audit-retention check",$C728="Emag_Reporting","Legacy but likely needed",$C728="Nutrition_Data_Archived_Tables","Worth keeping",$C728="EU_Data","Static lookup tables — scripts still reference (smoke-test risk)",TRUE,"Review"),OR($A728="thg-influencer",$A728="thg-ingenuity",$A728="thg-central-marketing",$A728="thg-seoclarity"),"HOLD — Charlie Stringer to review before deletion",TRUE,"")</f>
        <v/>
      </c>
      <c r="S728" t="s">
        <v>1631</v>
      </c>
    </row>
    <row r="729" spans="1:19" hidden="1">
      <c r="A729" t="s">
        <v>92</v>
      </c>
      <c r="B729" t="s">
        <v>1619</v>
      </c>
      <c r="C729" t="s">
        <v>3271</v>
      </c>
      <c r="D729" s="2" t="s">
        <v>1621</v>
      </c>
      <c r="E729">
        <v>0</v>
      </c>
      <c r="F729">
        <v>0</v>
      </c>
      <c r="G729" t="s">
        <v>79</v>
      </c>
      <c r="H729" t="s">
        <v>81</v>
      </c>
      <c r="M729" s="2" t="s">
        <v>1715</v>
      </c>
      <c r="N729" s="2" t="s">
        <v>1701</v>
      </c>
      <c r="P729" t="str">
        <f>IF($Q729="DELETE",IF($S729="CONFIRMED: NO MODS &gt; 1YR","CONFIRMED: NO MODS &gt; 1YR","DO NOT DELETE — not defensibly confirmed"),IF($Q729="HOLD","DO NOT DELETE — HOLD (Charlie review)",IF($Q729="KEEP","DO NOT DELETE — KEEP",IF(ISNUMBER(SEARCH("REVIEW",$Q729)),"DO NOT DELETE — REVIEW pending",$S729))))</f>
        <v>REVIEW</v>
      </c>
      <c r="Q729" t="str" cm="1">
        <f t="array" ref="Q729">_xlfn.IFS(AND($A729="thg-beauty",ISNUMBER(SEARCH("liveramp",$C729))),"DELETE",$A729="agile-bonbon-662",_xlfn.IFS(LEFT($G729,9)="Tranche 1","DELETE",$C729="Sessions_Level_1_All_Sites","KEEP",ISNUMBER(--$C729),"REVIEW — UA raw logs",$C729="Emag_Reporting","KEEP",$C729="Nutrition_Data_Archived_Tables","KEEP",$C729="EU_Data","KEEP",TRUE,"REVIEW"),OR($A729="thg-influencer",$A729="thg-ingenuity",$A729="thg-central-marketing",$A729="thg-seoclarity"),"HOLD",TRUE,"")</f>
        <v/>
      </c>
      <c r="R729" t="str" cm="1">
        <f t="array" ref="R729">_xlfn.IFS(AND($A729="thg-beauty",ISNUMBER(SEARCH("liveramp",$C729))),"thg-beauty Liveramp dataset — confirmed safe to delete",$A729="agile-bonbon-662",_xlfn.IFS(LEFT($G729,9)="Tranche 1","Tranche 1: cleared",$C729="Sessions_Level_1_All_Sites","Downstream aggregation of UA raw logs — keep if raw tables go",ISNUMBER(--$C729),"UA raw site logs (account ID) — keep pending audit-retention check",$C729="Emag_Reporting","Legacy but likely needed",$C729="Nutrition_Data_Archived_Tables","Worth keeping",$C729="EU_Data","Static lookup tables — scripts still reference (smoke-test risk)",TRUE,"Review"),OR($A729="thg-influencer",$A729="thg-ingenuity",$A729="thg-central-marketing",$A729="thg-seoclarity"),"HOLD — Charlie Stringer to review before deletion",TRUE,"")</f>
        <v/>
      </c>
      <c r="S729" t="s">
        <v>1631</v>
      </c>
    </row>
    <row r="730" spans="1:19" hidden="1">
      <c r="A730" t="s">
        <v>92</v>
      </c>
      <c r="B730" t="s">
        <v>1619</v>
      </c>
      <c r="C730" t="s">
        <v>3272</v>
      </c>
      <c r="D730" s="2" t="s">
        <v>1621</v>
      </c>
      <c r="E730">
        <v>0</v>
      </c>
      <c r="F730">
        <v>0</v>
      </c>
      <c r="G730" t="s">
        <v>79</v>
      </c>
      <c r="H730" t="s">
        <v>81</v>
      </c>
      <c r="M730" s="2" t="s">
        <v>1715</v>
      </c>
      <c r="N730" s="2" t="s">
        <v>1701</v>
      </c>
      <c r="P730" t="str">
        <f>IF($Q730="DELETE",IF($S730="CONFIRMED: NO MODS &gt; 1YR","CONFIRMED: NO MODS &gt; 1YR","DO NOT DELETE — not defensibly confirmed"),IF($Q730="HOLD","DO NOT DELETE — HOLD (Charlie review)",IF($Q730="KEEP","DO NOT DELETE — KEEP",IF(ISNUMBER(SEARCH("REVIEW",$Q730)),"DO NOT DELETE — REVIEW pending",$S730))))</f>
        <v>REVIEW</v>
      </c>
      <c r="Q730" t="str" cm="1">
        <f t="array" ref="Q730">_xlfn.IFS(AND($A730="thg-beauty",ISNUMBER(SEARCH("liveramp",$C730))),"DELETE",$A730="agile-bonbon-662",_xlfn.IFS(LEFT($G730,9)="Tranche 1","DELETE",$C730="Sessions_Level_1_All_Sites","KEEP",ISNUMBER(--$C730),"REVIEW — UA raw logs",$C730="Emag_Reporting","KEEP",$C730="Nutrition_Data_Archived_Tables","KEEP",$C730="EU_Data","KEEP",TRUE,"REVIEW"),OR($A730="thg-influencer",$A730="thg-ingenuity",$A730="thg-central-marketing",$A730="thg-seoclarity"),"HOLD",TRUE,"")</f>
        <v/>
      </c>
      <c r="R730" t="str" cm="1">
        <f t="array" ref="R730">_xlfn.IFS(AND($A730="thg-beauty",ISNUMBER(SEARCH("liveramp",$C730))),"thg-beauty Liveramp dataset — confirmed safe to delete",$A730="agile-bonbon-662",_xlfn.IFS(LEFT($G730,9)="Tranche 1","Tranche 1: cleared",$C730="Sessions_Level_1_All_Sites","Downstream aggregation of UA raw logs — keep if raw tables go",ISNUMBER(--$C730),"UA raw site logs (account ID) — keep pending audit-retention check",$C730="Emag_Reporting","Legacy but likely needed",$C730="Nutrition_Data_Archived_Tables","Worth keeping",$C730="EU_Data","Static lookup tables — scripts still reference (smoke-test risk)",TRUE,"Review"),OR($A730="thg-influencer",$A730="thg-ingenuity",$A730="thg-central-marketing",$A730="thg-seoclarity"),"HOLD — Charlie Stringer to review before deletion",TRUE,"")</f>
        <v/>
      </c>
      <c r="S730" t="s">
        <v>1631</v>
      </c>
    </row>
    <row r="731" spans="1:19" hidden="1">
      <c r="A731" t="s">
        <v>92</v>
      </c>
      <c r="B731" t="s">
        <v>1619</v>
      </c>
      <c r="C731" t="s">
        <v>3273</v>
      </c>
      <c r="D731" s="2" t="s">
        <v>1621</v>
      </c>
      <c r="E731">
        <v>0</v>
      </c>
      <c r="F731">
        <v>0</v>
      </c>
      <c r="G731" t="s">
        <v>79</v>
      </c>
      <c r="H731" t="s">
        <v>81</v>
      </c>
      <c r="M731" s="2" t="s">
        <v>1715</v>
      </c>
      <c r="N731" s="2" t="s">
        <v>1701</v>
      </c>
      <c r="P731" t="str">
        <f>IF($Q731="DELETE",IF($S731="CONFIRMED: NO MODS &gt; 1YR","CONFIRMED: NO MODS &gt; 1YR","DO NOT DELETE — not defensibly confirmed"),IF($Q731="HOLD","DO NOT DELETE — HOLD (Charlie review)",IF($Q731="KEEP","DO NOT DELETE — KEEP",IF(ISNUMBER(SEARCH("REVIEW",$Q731)),"DO NOT DELETE — REVIEW pending",$S731))))</f>
        <v>REVIEW</v>
      </c>
      <c r="Q731" t="str" cm="1">
        <f t="array" ref="Q731">_xlfn.IFS(AND($A731="thg-beauty",ISNUMBER(SEARCH("liveramp",$C731))),"DELETE",$A731="agile-bonbon-662",_xlfn.IFS(LEFT($G731,9)="Tranche 1","DELETE",$C731="Sessions_Level_1_All_Sites","KEEP",ISNUMBER(--$C731),"REVIEW — UA raw logs",$C731="Emag_Reporting","KEEP",$C731="Nutrition_Data_Archived_Tables","KEEP",$C731="EU_Data","KEEP",TRUE,"REVIEW"),OR($A731="thg-influencer",$A731="thg-ingenuity",$A731="thg-central-marketing",$A731="thg-seoclarity"),"HOLD",TRUE,"")</f>
        <v/>
      </c>
      <c r="R731" t="str" cm="1">
        <f t="array" ref="R731">_xlfn.IFS(AND($A731="thg-beauty",ISNUMBER(SEARCH("liveramp",$C731))),"thg-beauty Liveramp dataset — confirmed safe to delete",$A731="agile-bonbon-662",_xlfn.IFS(LEFT($G731,9)="Tranche 1","Tranche 1: cleared",$C731="Sessions_Level_1_All_Sites","Downstream aggregation of UA raw logs — keep if raw tables go",ISNUMBER(--$C731),"UA raw site logs (account ID) — keep pending audit-retention check",$C731="Emag_Reporting","Legacy but likely needed",$C731="Nutrition_Data_Archived_Tables","Worth keeping",$C731="EU_Data","Static lookup tables — scripts still reference (smoke-test risk)",TRUE,"Review"),OR($A731="thg-influencer",$A731="thg-ingenuity",$A731="thg-central-marketing",$A731="thg-seoclarity"),"HOLD — Charlie Stringer to review before deletion",TRUE,"")</f>
        <v/>
      </c>
      <c r="S731" t="s">
        <v>1631</v>
      </c>
    </row>
    <row r="732" spans="1:19" hidden="1">
      <c r="A732" t="s">
        <v>92</v>
      </c>
      <c r="B732" t="s">
        <v>1619</v>
      </c>
      <c r="C732" t="s">
        <v>3274</v>
      </c>
      <c r="D732" s="2" t="s">
        <v>1621</v>
      </c>
      <c r="E732">
        <v>0</v>
      </c>
      <c r="F732">
        <v>0</v>
      </c>
      <c r="G732" t="s">
        <v>79</v>
      </c>
      <c r="H732" t="s">
        <v>81</v>
      </c>
      <c r="M732" s="2" t="s">
        <v>1715</v>
      </c>
      <c r="N732" s="2" t="s">
        <v>1701</v>
      </c>
      <c r="P732" t="str">
        <f>IF($Q732="DELETE",IF($S732="CONFIRMED: NO MODS &gt; 1YR","CONFIRMED: NO MODS &gt; 1YR","DO NOT DELETE — not defensibly confirmed"),IF($Q732="HOLD","DO NOT DELETE — HOLD (Charlie review)",IF($Q732="KEEP","DO NOT DELETE — KEEP",IF(ISNUMBER(SEARCH("REVIEW",$Q732)),"DO NOT DELETE — REVIEW pending",$S732))))</f>
        <v>REVIEW</v>
      </c>
      <c r="Q732" t="str" cm="1">
        <f t="array" ref="Q732">_xlfn.IFS(AND($A732="thg-beauty",ISNUMBER(SEARCH("liveramp",$C732))),"DELETE",$A732="agile-bonbon-662",_xlfn.IFS(LEFT($G732,9)="Tranche 1","DELETE",$C732="Sessions_Level_1_All_Sites","KEEP",ISNUMBER(--$C732),"REVIEW — UA raw logs",$C732="Emag_Reporting","KEEP",$C732="Nutrition_Data_Archived_Tables","KEEP",$C732="EU_Data","KEEP",TRUE,"REVIEW"),OR($A732="thg-influencer",$A732="thg-ingenuity",$A732="thg-central-marketing",$A732="thg-seoclarity"),"HOLD",TRUE,"")</f>
        <v/>
      </c>
      <c r="R732" t="str" cm="1">
        <f t="array" ref="R732">_xlfn.IFS(AND($A732="thg-beauty",ISNUMBER(SEARCH("liveramp",$C732))),"thg-beauty Liveramp dataset — confirmed safe to delete",$A732="agile-bonbon-662",_xlfn.IFS(LEFT($G732,9)="Tranche 1","Tranche 1: cleared",$C732="Sessions_Level_1_All_Sites","Downstream aggregation of UA raw logs — keep if raw tables go",ISNUMBER(--$C732),"UA raw site logs (account ID) — keep pending audit-retention check",$C732="Emag_Reporting","Legacy but likely needed",$C732="Nutrition_Data_Archived_Tables","Worth keeping",$C732="EU_Data","Static lookup tables — scripts still reference (smoke-test risk)",TRUE,"Review"),OR($A732="thg-influencer",$A732="thg-ingenuity",$A732="thg-central-marketing",$A732="thg-seoclarity"),"HOLD — Charlie Stringer to review before deletion",TRUE,"")</f>
        <v/>
      </c>
      <c r="S732" t="s">
        <v>1631</v>
      </c>
    </row>
    <row r="733" spans="1:19" hidden="1">
      <c r="A733" t="s">
        <v>92</v>
      </c>
      <c r="B733" t="s">
        <v>1619</v>
      </c>
      <c r="C733" t="s">
        <v>3275</v>
      </c>
      <c r="D733" s="2" t="s">
        <v>1621</v>
      </c>
      <c r="E733">
        <v>0</v>
      </c>
      <c r="F733">
        <v>0</v>
      </c>
      <c r="G733" t="s">
        <v>79</v>
      </c>
      <c r="H733" t="s">
        <v>81</v>
      </c>
      <c r="M733" s="2" t="s">
        <v>1715</v>
      </c>
      <c r="N733" s="2" t="s">
        <v>1701</v>
      </c>
      <c r="P733" t="str">
        <f>IF($Q733="DELETE",IF($S733="CONFIRMED: NO MODS &gt; 1YR","CONFIRMED: NO MODS &gt; 1YR","DO NOT DELETE — not defensibly confirmed"),IF($Q733="HOLD","DO NOT DELETE — HOLD (Charlie review)",IF($Q733="KEEP","DO NOT DELETE — KEEP",IF(ISNUMBER(SEARCH("REVIEW",$Q733)),"DO NOT DELETE — REVIEW pending",$S733))))</f>
        <v>REVIEW</v>
      </c>
      <c r="Q733" t="str" cm="1">
        <f t="array" ref="Q733">_xlfn.IFS(AND($A733="thg-beauty",ISNUMBER(SEARCH("liveramp",$C733))),"DELETE",$A733="agile-bonbon-662",_xlfn.IFS(LEFT($G733,9)="Tranche 1","DELETE",$C733="Sessions_Level_1_All_Sites","KEEP",ISNUMBER(--$C733),"REVIEW — UA raw logs",$C733="Emag_Reporting","KEEP",$C733="Nutrition_Data_Archived_Tables","KEEP",$C733="EU_Data","KEEP",TRUE,"REVIEW"),OR($A733="thg-influencer",$A733="thg-ingenuity",$A733="thg-central-marketing",$A733="thg-seoclarity"),"HOLD",TRUE,"")</f>
        <v/>
      </c>
      <c r="R733" t="str" cm="1">
        <f t="array" ref="R733">_xlfn.IFS(AND($A733="thg-beauty",ISNUMBER(SEARCH("liveramp",$C733))),"thg-beauty Liveramp dataset — confirmed safe to delete",$A733="agile-bonbon-662",_xlfn.IFS(LEFT($G733,9)="Tranche 1","Tranche 1: cleared",$C733="Sessions_Level_1_All_Sites","Downstream aggregation of UA raw logs — keep if raw tables go",ISNUMBER(--$C733),"UA raw site logs (account ID) — keep pending audit-retention check",$C733="Emag_Reporting","Legacy but likely needed",$C733="Nutrition_Data_Archived_Tables","Worth keeping",$C733="EU_Data","Static lookup tables — scripts still reference (smoke-test risk)",TRUE,"Review"),OR($A733="thg-influencer",$A733="thg-ingenuity",$A733="thg-central-marketing",$A733="thg-seoclarity"),"HOLD — Charlie Stringer to review before deletion",TRUE,"")</f>
        <v/>
      </c>
      <c r="S733" t="s">
        <v>1631</v>
      </c>
    </row>
    <row r="734" spans="1:19" hidden="1">
      <c r="A734" t="s">
        <v>92</v>
      </c>
      <c r="B734" t="s">
        <v>1619</v>
      </c>
      <c r="C734" t="s">
        <v>3276</v>
      </c>
      <c r="D734" s="2" t="s">
        <v>1621</v>
      </c>
      <c r="E734">
        <v>0</v>
      </c>
      <c r="F734">
        <v>0</v>
      </c>
      <c r="G734" t="s">
        <v>79</v>
      </c>
      <c r="H734" t="s">
        <v>81</v>
      </c>
      <c r="M734" s="2" t="s">
        <v>1715</v>
      </c>
      <c r="N734" s="2" t="s">
        <v>1701</v>
      </c>
      <c r="P734" t="str">
        <f>IF($Q734="DELETE",IF($S734="CONFIRMED: NO MODS &gt; 1YR","CONFIRMED: NO MODS &gt; 1YR","DO NOT DELETE — not defensibly confirmed"),IF($Q734="HOLD","DO NOT DELETE — HOLD (Charlie review)",IF($Q734="KEEP","DO NOT DELETE — KEEP",IF(ISNUMBER(SEARCH("REVIEW",$Q734)),"DO NOT DELETE — REVIEW pending",$S734))))</f>
        <v>CONFIRMED: NO MODS &gt; 1YR</v>
      </c>
      <c r="Q734" t="str" cm="1">
        <f t="array" ref="Q734">_xlfn.IFS(AND($A734="thg-beauty",ISNUMBER(SEARCH("liveramp",$C734))),"DELETE",$A734="agile-bonbon-662",_xlfn.IFS(LEFT($G734,9)="Tranche 1","DELETE",$C734="Sessions_Level_1_All_Sites","KEEP",ISNUMBER(--$C734),"REVIEW — UA raw logs",$C734="Emag_Reporting","KEEP",$C734="Nutrition_Data_Archived_Tables","KEEP",$C734="EU_Data","KEEP",TRUE,"REVIEW"),OR($A734="thg-influencer",$A734="thg-ingenuity",$A734="thg-central-marketing",$A734="thg-seoclarity"),"HOLD",TRUE,"")</f>
        <v/>
      </c>
      <c r="R734" t="str" cm="1">
        <f t="array" ref="R734">_xlfn.IFS(AND($A734="thg-beauty",ISNUMBER(SEARCH("liveramp",$C734))),"thg-beauty Liveramp dataset — confirmed safe to delete",$A734="agile-bonbon-662",_xlfn.IFS(LEFT($G734,9)="Tranche 1","Tranche 1: cleared",$C734="Sessions_Level_1_All_Sites","Downstream aggregation of UA raw logs — keep if raw tables go",ISNUMBER(--$C734),"UA raw site logs (account ID) — keep pending audit-retention check",$C734="Emag_Reporting","Legacy but likely needed",$C734="Nutrition_Data_Archived_Tables","Worth keeping",$C734="EU_Data","Static lookup tables — scripts still reference (smoke-test risk)",TRUE,"Review"),OR($A734="thg-influencer",$A734="thg-ingenuity",$A734="thg-central-marketing",$A734="thg-seoclarity"),"HOLD — Charlie Stringer to review before deletion",TRUE,"")</f>
        <v/>
      </c>
      <c r="S734" t="s">
        <v>1624</v>
      </c>
    </row>
    <row r="735" spans="1:19" hidden="1">
      <c r="A735" t="s">
        <v>38</v>
      </c>
      <c r="B735" t="s">
        <v>1619</v>
      </c>
      <c r="C735" t="s">
        <v>3277</v>
      </c>
      <c r="D735" s="2" t="s">
        <v>1621</v>
      </c>
      <c r="E735">
        <v>0</v>
      </c>
      <c r="F735">
        <v>0</v>
      </c>
      <c r="G735" t="s">
        <v>79</v>
      </c>
      <c r="H735" t="s">
        <v>81</v>
      </c>
      <c r="M735" s="2" t="s">
        <v>1715</v>
      </c>
      <c r="N735" s="2" t="s">
        <v>1701</v>
      </c>
      <c r="P735" t="str">
        <f>IF($Q735="DELETE",IF($S735="CONFIRMED: NO MODS &gt; 1YR","CONFIRMED: NO MODS &gt; 1YR","DO NOT DELETE — not defensibly confirmed"),IF($Q735="HOLD","DO NOT DELETE — HOLD (Charlie review)",IF($Q735="KEEP","DO NOT DELETE — KEEP",IF(ISNUMBER(SEARCH("REVIEW",$Q735)),"DO NOT DELETE — REVIEW pending",$S735))))</f>
        <v>DO NOT DELETE — HOLD (Charlie review)</v>
      </c>
      <c r="Q735" t="str" cm="1">
        <f t="array" ref="Q735">_xlfn.IFS(AND($A735="thg-beauty",ISNUMBER(SEARCH("liveramp",$C735))),"DELETE",$A735="agile-bonbon-662",_xlfn.IFS(LEFT($G735,9)="Tranche 1","DELETE",$C735="Sessions_Level_1_All_Sites","KEEP",ISNUMBER(--$C735),"REVIEW — UA raw logs",$C735="Emag_Reporting","KEEP",$C735="Nutrition_Data_Archived_Tables","KEEP",$C735="EU_Data","KEEP",TRUE,"REVIEW"),OR($A735="thg-influencer",$A735="thg-ingenuity",$A735="thg-central-marketing",$A735="thg-seoclarity"),"HOLD",TRUE,"")</f>
        <v>HOLD</v>
      </c>
      <c r="R735" t="str" cm="1">
        <f t="array" ref="R735">_xlfn.IFS(AND($A735="thg-beauty",ISNUMBER(SEARCH("liveramp",$C735))),"thg-beauty Liveramp dataset — confirmed safe to delete",$A735="agile-bonbon-662",_xlfn.IFS(LEFT($G735,9)="Tranche 1","Tranche 1: cleared",$C735="Sessions_Level_1_All_Sites","Downstream aggregation of UA raw logs — keep if raw tables go",ISNUMBER(--$C735),"UA raw site logs (account ID) — keep pending audit-retention check",$C735="Emag_Reporting","Legacy but likely needed",$C735="Nutrition_Data_Archived_Tables","Worth keeping",$C735="EU_Data","Static lookup tables — scripts still reference (smoke-test risk)",TRUE,"Review"),OR($A735="thg-influencer",$A735="thg-ingenuity",$A735="thg-central-marketing",$A735="thg-seoclarity"),"HOLD — Charlie Stringer to review before deletion",TRUE,"")</f>
        <v>HOLD — Charlie Stringer to review before deletion</v>
      </c>
      <c r="S735" t="s">
        <v>1624</v>
      </c>
    </row>
    <row r="736" spans="1:19" hidden="1">
      <c r="A736" t="s">
        <v>38</v>
      </c>
      <c r="B736" t="s">
        <v>1619</v>
      </c>
      <c r="C736" t="s">
        <v>3278</v>
      </c>
      <c r="D736" s="2" t="s">
        <v>1621</v>
      </c>
      <c r="E736">
        <v>0</v>
      </c>
      <c r="F736">
        <v>0</v>
      </c>
      <c r="G736" t="s">
        <v>79</v>
      </c>
      <c r="H736" t="s">
        <v>81</v>
      </c>
      <c r="M736" s="2" t="s">
        <v>1715</v>
      </c>
      <c r="N736" s="2" t="s">
        <v>1701</v>
      </c>
      <c r="P736" t="str">
        <f>IF($Q736="DELETE",IF($S736="CONFIRMED: NO MODS &gt; 1YR","CONFIRMED: NO MODS &gt; 1YR","DO NOT DELETE — not defensibly confirmed"),IF($Q736="HOLD","DO NOT DELETE — HOLD (Charlie review)",IF($Q736="KEEP","DO NOT DELETE — KEEP",IF(ISNUMBER(SEARCH("REVIEW",$Q736)),"DO NOT DELETE — REVIEW pending",$S736))))</f>
        <v>DO NOT DELETE — HOLD (Charlie review)</v>
      </c>
      <c r="Q736" t="str" cm="1">
        <f t="array" ref="Q736">_xlfn.IFS(AND($A736="thg-beauty",ISNUMBER(SEARCH("liveramp",$C736))),"DELETE",$A736="agile-bonbon-662",_xlfn.IFS(LEFT($G736,9)="Tranche 1","DELETE",$C736="Sessions_Level_1_All_Sites","KEEP",ISNUMBER(--$C736),"REVIEW — UA raw logs",$C736="Emag_Reporting","KEEP",$C736="Nutrition_Data_Archived_Tables","KEEP",$C736="EU_Data","KEEP",TRUE,"REVIEW"),OR($A736="thg-influencer",$A736="thg-ingenuity",$A736="thg-central-marketing",$A736="thg-seoclarity"),"HOLD",TRUE,"")</f>
        <v>HOLD</v>
      </c>
      <c r="R736" t="str" cm="1">
        <f t="array" ref="R736">_xlfn.IFS(AND($A736="thg-beauty",ISNUMBER(SEARCH("liveramp",$C736))),"thg-beauty Liveramp dataset — confirmed safe to delete",$A736="agile-bonbon-662",_xlfn.IFS(LEFT($G736,9)="Tranche 1","Tranche 1: cleared",$C736="Sessions_Level_1_All_Sites","Downstream aggregation of UA raw logs — keep if raw tables go",ISNUMBER(--$C736),"UA raw site logs (account ID) — keep pending audit-retention check",$C736="Emag_Reporting","Legacy but likely needed",$C736="Nutrition_Data_Archived_Tables","Worth keeping",$C736="EU_Data","Static lookup tables — scripts still reference (smoke-test risk)",TRUE,"Review"),OR($A736="thg-influencer",$A736="thg-ingenuity",$A736="thg-central-marketing",$A736="thg-seoclarity"),"HOLD — Charlie Stringer to review before deletion",TRUE,"")</f>
        <v>HOLD — Charlie Stringer to review before deletion</v>
      </c>
      <c r="S736" t="s">
        <v>1624</v>
      </c>
    </row>
    <row r="737" spans="1:19" hidden="1">
      <c r="A737" t="s">
        <v>38</v>
      </c>
      <c r="B737" t="s">
        <v>1619</v>
      </c>
      <c r="C737" t="s">
        <v>3279</v>
      </c>
      <c r="D737" s="2" t="s">
        <v>1621</v>
      </c>
      <c r="E737">
        <v>0</v>
      </c>
      <c r="F737">
        <v>0</v>
      </c>
      <c r="G737" t="s">
        <v>79</v>
      </c>
      <c r="H737" t="s">
        <v>81</v>
      </c>
      <c r="M737" s="2" t="s">
        <v>1715</v>
      </c>
      <c r="N737" s="2" t="s">
        <v>1701</v>
      </c>
      <c r="P737" t="str">
        <f>IF($Q737="DELETE",IF($S737="CONFIRMED: NO MODS &gt; 1YR","CONFIRMED: NO MODS &gt; 1YR","DO NOT DELETE — not defensibly confirmed"),IF($Q737="HOLD","DO NOT DELETE — HOLD (Charlie review)",IF($Q737="KEEP","DO NOT DELETE — KEEP",IF(ISNUMBER(SEARCH("REVIEW",$Q737)),"DO NOT DELETE — REVIEW pending",$S737))))</f>
        <v>DO NOT DELETE — HOLD (Charlie review)</v>
      </c>
      <c r="Q737" t="str" cm="1">
        <f t="array" ref="Q737">_xlfn.IFS(AND($A737="thg-beauty",ISNUMBER(SEARCH("liveramp",$C737))),"DELETE",$A737="agile-bonbon-662",_xlfn.IFS(LEFT($G737,9)="Tranche 1","DELETE",$C737="Sessions_Level_1_All_Sites","KEEP",ISNUMBER(--$C737),"REVIEW — UA raw logs",$C737="Emag_Reporting","KEEP",$C737="Nutrition_Data_Archived_Tables","KEEP",$C737="EU_Data","KEEP",TRUE,"REVIEW"),OR($A737="thg-influencer",$A737="thg-ingenuity",$A737="thg-central-marketing",$A737="thg-seoclarity"),"HOLD",TRUE,"")</f>
        <v>HOLD</v>
      </c>
      <c r="R737" t="str" cm="1">
        <f t="array" ref="R737">_xlfn.IFS(AND($A737="thg-beauty",ISNUMBER(SEARCH("liveramp",$C737))),"thg-beauty Liveramp dataset — confirmed safe to delete",$A737="agile-bonbon-662",_xlfn.IFS(LEFT($G737,9)="Tranche 1","Tranche 1: cleared",$C737="Sessions_Level_1_All_Sites","Downstream aggregation of UA raw logs — keep if raw tables go",ISNUMBER(--$C737),"UA raw site logs (account ID) — keep pending audit-retention check",$C737="Emag_Reporting","Legacy but likely needed",$C737="Nutrition_Data_Archived_Tables","Worth keeping",$C737="EU_Data","Static lookup tables — scripts still reference (smoke-test risk)",TRUE,"Review"),OR($A737="thg-influencer",$A737="thg-ingenuity",$A737="thg-central-marketing",$A737="thg-seoclarity"),"HOLD — Charlie Stringer to review before deletion",TRUE,"")</f>
        <v>HOLD — Charlie Stringer to review before deletion</v>
      </c>
      <c r="S737" t="s">
        <v>1624</v>
      </c>
    </row>
    <row r="738" spans="1:19" hidden="1">
      <c r="A738" t="s">
        <v>38</v>
      </c>
      <c r="B738" t="s">
        <v>1619</v>
      </c>
      <c r="C738" t="s">
        <v>3280</v>
      </c>
      <c r="D738" s="2" t="s">
        <v>1621</v>
      </c>
      <c r="E738">
        <v>0</v>
      </c>
      <c r="F738">
        <v>0</v>
      </c>
      <c r="G738" t="s">
        <v>79</v>
      </c>
      <c r="H738" t="s">
        <v>81</v>
      </c>
      <c r="M738" s="2" t="s">
        <v>1715</v>
      </c>
      <c r="N738" s="2" t="s">
        <v>1701</v>
      </c>
      <c r="P738" t="str">
        <f>IF($Q738="DELETE",IF($S738="CONFIRMED: NO MODS &gt; 1YR","CONFIRMED: NO MODS &gt; 1YR","DO NOT DELETE — not defensibly confirmed"),IF($Q738="HOLD","DO NOT DELETE — HOLD (Charlie review)",IF($Q738="KEEP","DO NOT DELETE — KEEP",IF(ISNUMBER(SEARCH("REVIEW",$Q738)),"DO NOT DELETE — REVIEW pending",$S738))))</f>
        <v>DO NOT DELETE — HOLD (Charlie review)</v>
      </c>
      <c r="Q738" t="str" cm="1">
        <f t="array" ref="Q738">_xlfn.IFS(AND($A738="thg-beauty",ISNUMBER(SEARCH("liveramp",$C738))),"DELETE",$A738="agile-bonbon-662",_xlfn.IFS(LEFT($G738,9)="Tranche 1","DELETE",$C738="Sessions_Level_1_All_Sites","KEEP",ISNUMBER(--$C738),"REVIEW — UA raw logs",$C738="Emag_Reporting","KEEP",$C738="Nutrition_Data_Archived_Tables","KEEP",$C738="EU_Data","KEEP",TRUE,"REVIEW"),OR($A738="thg-influencer",$A738="thg-ingenuity",$A738="thg-central-marketing",$A738="thg-seoclarity"),"HOLD",TRUE,"")</f>
        <v>HOLD</v>
      </c>
      <c r="R738" t="str" cm="1">
        <f t="array" ref="R738">_xlfn.IFS(AND($A738="thg-beauty",ISNUMBER(SEARCH("liveramp",$C738))),"thg-beauty Liveramp dataset — confirmed safe to delete",$A738="agile-bonbon-662",_xlfn.IFS(LEFT($G738,9)="Tranche 1","Tranche 1: cleared",$C738="Sessions_Level_1_All_Sites","Downstream aggregation of UA raw logs — keep if raw tables go",ISNUMBER(--$C738),"UA raw site logs (account ID) — keep pending audit-retention check",$C738="Emag_Reporting","Legacy but likely needed",$C738="Nutrition_Data_Archived_Tables","Worth keeping",$C738="EU_Data","Static lookup tables — scripts still reference (smoke-test risk)",TRUE,"Review"),OR($A738="thg-influencer",$A738="thg-ingenuity",$A738="thg-central-marketing",$A738="thg-seoclarity"),"HOLD — Charlie Stringer to review before deletion",TRUE,"")</f>
        <v>HOLD — Charlie Stringer to review before deletion</v>
      </c>
      <c r="S738" t="s">
        <v>1624</v>
      </c>
    </row>
    <row r="739" spans="1:19" hidden="1">
      <c r="A739" t="s">
        <v>38</v>
      </c>
      <c r="B739" t="s">
        <v>1619</v>
      </c>
      <c r="C739" t="s">
        <v>872</v>
      </c>
      <c r="D739" s="2" t="s">
        <v>1621</v>
      </c>
      <c r="E739">
        <v>0</v>
      </c>
      <c r="F739">
        <v>0</v>
      </c>
      <c r="G739" t="s">
        <v>79</v>
      </c>
      <c r="H739" t="s">
        <v>81</v>
      </c>
      <c r="M739" s="2" t="s">
        <v>1715</v>
      </c>
      <c r="N739" s="2" t="s">
        <v>1701</v>
      </c>
      <c r="P739" t="str">
        <f>IF($Q739="DELETE",IF($S739="CONFIRMED: NO MODS &gt; 1YR","CONFIRMED: NO MODS &gt; 1YR","DO NOT DELETE — not defensibly confirmed"),IF($Q739="HOLD","DO NOT DELETE — HOLD (Charlie review)",IF($Q739="KEEP","DO NOT DELETE — KEEP",IF(ISNUMBER(SEARCH("REVIEW",$Q739)),"DO NOT DELETE — REVIEW pending",$S739))))</f>
        <v>DO NOT DELETE — HOLD (Charlie review)</v>
      </c>
      <c r="Q739" t="str" cm="1">
        <f t="array" ref="Q739">_xlfn.IFS(AND($A739="thg-beauty",ISNUMBER(SEARCH("liveramp",$C739))),"DELETE",$A739="agile-bonbon-662",_xlfn.IFS(LEFT($G739,9)="Tranche 1","DELETE",$C739="Sessions_Level_1_All_Sites","KEEP",ISNUMBER(--$C739),"REVIEW — UA raw logs",$C739="Emag_Reporting","KEEP",$C739="Nutrition_Data_Archived_Tables","KEEP",$C739="EU_Data","KEEP",TRUE,"REVIEW"),OR($A739="thg-influencer",$A739="thg-ingenuity",$A739="thg-central-marketing",$A739="thg-seoclarity"),"HOLD",TRUE,"")</f>
        <v>HOLD</v>
      </c>
      <c r="R739" t="str" cm="1">
        <f t="array" ref="R739">_xlfn.IFS(AND($A739="thg-beauty",ISNUMBER(SEARCH("liveramp",$C739))),"thg-beauty Liveramp dataset — confirmed safe to delete",$A739="agile-bonbon-662",_xlfn.IFS(LEFT($G739,9)="Tranche 1","Tranche 1: cleared",$C739="Sessions_Level_1_All_Sites","Downstream aggregation of UA raw logs — keep if raw tables go",ISNUMBER(--$C739),"UA raw site logs (account ID) — keep pending audit-retention check",$C739="Emag_Reporting","Legacy but likely needed",$C739="Nutrition_Data_Archived_Tables","Worth keeping",$C739="EU_Data","Static lookup tables — scripts still reference (smoke-test risk)",TRUE,"Review"),OR($A739="thg-influencer",$A739="thg-ingenuity",$A739="thg-central-marketing",$A739="thg-seoclarity"),"HOLD — Charlie Stringer to review before deletion",TRUE,"")</f>
        <v>HOLD — Charlie Stringer to review before deletion</v>
      </c>
      <c r="S739" t="s">
        <v>1624</v>
      </c>
    </row>
    <row r="740" spans="1:19" hidden="1">
      <c r="A740" t="s">
        <v>38</v>
      </c>
      <c r="B740" t="s">
        <v>1619</v>
      </c>
      <c r="C740" t="s">
        <v>3281</v>
      </c>
      <c r="D740" s="2" t="s">
        <v>1621</v>
      </c>
      <c r="E740">
        <v>0</v>
      </c>
      <c r="F740">
        <v>0</v>
      </c>
      <c r="G740" t="s">
        <v>79</v>
      </c>
      <c r="H740" t="s">
        <v>81</v>
      </c>
      <c r="M740" s="2" t="s">
        <v>1715</v>
      </c>
      <c r="N740" s="2" t="s">
        <v>1701</v>
      </c>
      <c r="P740" t="str">
        <f>IF($Q740="DELETE",IF($S740="CONFIRMED: NO MODS &gt; 1YR","CONFIRMED: NO MODS &gt; 1YR","DO NOT DELETE — not defensibly confirmed"),IF($Q740="HOLD","DO NOT DELETE — HOLD (Charlie review)",IF($Q740="KEEP","DO NOT DELETE — KEEP",IF(ISNUMBER(SEARCH("REVIEW",$Q740)),"DO NOT DELETE — REVIEW pending",$S740))))</f>
        <v>DO NOT DELETE — HOLD (Charlie review)</v>
      </c>
      <c r="Q740" t="str" cm="1">
        <f t="array" ref="Q740">_xlfn.IFS(AND($A740="thg-beauty",ISNUMBER(SEARCH("liveramp",$C740))),"DELETE",$A740="agile-bonbon-662",_xlfn.IFS(LEFT($G740,9)="Tranche 1","DELETE",$C740="Sessions_Level_1_All_Sites","KEEP",ISNUMBER(--$C740),"REVIEW — UA raw logs",$C740="Emag_Reporting","KEEP",$C740="Nutrition_Data_Archived_Tables","KEEP",$C740="EU_Data","KEEP",TRUE,"REVIEW"),OR($A740="thg-influencer",$A740="thg-ingenuity",$A740="thg-central-marketing",$A740="thg-seoclarity"),"HOLD",TRUE,"")</f>
        <v>HOLD</v>
      </c>
      <c r="R740" t="str" cm="1">
        <f t="array" ref="R740">_xlfn.IFS(AND($A740="thg-beauty",ISNUMBER(SEARCH("liveramp",$C740))),"thg-beauty Liveramp dataset — confirmed safe to delete",$A740="agile-bonbon-662",_xlfn.IFS(LEFT($G740,9)="Tranche 1","Tranche 1: cleared",$C740="Sessions_Level_1_All_Sites","Downstream aggregation of UA raw logs — keep if raw tables go",ISNUMBER(--$C740),"UA raw site logs (account ID) — keep pending audit-retention check",$C740="Emag_Reporting","Legacy but likely needed",$C740="Nutrition_Data_Archived_Tables","Worth keeping",$C740="EU_Data","Static lookup tables — scripts still reference (smoke-test risk)",TRUE,"Review"),OR($A740="thg-influencer",$A740="thg-ingenuity",$A740="thg-central-marketing",$A740="thg-seoclarity"),"HOLD — Charlie Stringer to review before deletion",TRUE,"")</f>
        <v>HOLD — Charlie Stringer to review before deletion</v>
      </c>
      <c r="S740" t="s">
        <v>1624</v>
      </c>
    </row>
    <row r="741" spans="1:19" hidden="1">
      <c r="A741" t="s">
        <v>38</v>
      </c>
      <c r="B741" t="s">
        <v>1619</v>
      </c>
      <c r="C741" t="s">
        <v>3282</v>
      </c>
      <c r="D741" s="2" t="s">
        <v>1621</v>
      </c>
      <c r="E741">
        <v>0</v>
      </c>
      <c r="F741">
        <v>0</v>
      </c>
      <c r="G741" t="s">
        <v>79</v>
      </c>
      <c r="H741" t="s">
        <v>81</v>
      </c>
      <c r="M741" s="2" t="s">
        <v>1715</v>
      </c>
      <c r="N741" s="2" t="s">
        <v>1701</v>
      </c>
      <c r="P741" t="str">
        <f>IF($Q741="DELETE",IF($S741="CONFIRMED: NO MODS &gt; 1YR","CONFIRMED: NO MODS &gt; 1YR","DO NOT DELETE — not defensibly confirmed"),IF($Q741="HOLD","DO NOT DELETE — HOLD (Charlie review)",IF($Q741="KEEP","DO NOT DELETE — KEEP",IF(ISNUMBER(SEARCH("REVIEW",$Q741)),"DO NOT DELETE — REVIEW pending",$S741))))</f>
        <v>DO NOT DELETE — HOLD (Charlie review)</v>
      </c>
      <c r="Q741" t="str" cm="1">
        <f t="array" ref="Q741">_xlfn.IFS(AND($A741="thg-beauty",ISNUMBER(SEARCH("liveramp",$C741))),"DELETE",$A741="agile-bonbon-662",_xlfn.IFS(LEFT($G741,9)="Tranche 1","DELETE",$C741="Sessions_Level_1_All_Sites","KEEP",ISNUMBER(--$C741),"REVIEW — UA raw logs",$C741="Emag_Reporting","KEEP",$C741="Nutrition_Data_Archived_Tables","KEEP",$C741="EU_Data","KEEP",TRUE,"REVIEW"),OR($A741="thg-influencer",$A741="thg-ingenuity",$A741="thg-central-marketing",$A741="thg-seoclarity"),"HOLD",TRUE,"")</f>
        <v>HOLD</v>
      </c>
      <c r="R741" t="str" cm="1">
        <f t="array" ref="R741">_xlfn.IFS(AND($A741="thg-beauty",ISNUMBER(SEARCH("liveramp",$C741))),"thg-beauty Liveramp dataset — confirmed safe to delete",$A741="agile-bonbon-662",_xlfn.IFS(LEFT($G741,9)="Tranche 1","Tranche 1: cleared",$C741="Sessions_Level_1_All_Sites","Downstream aggregation of UA raw logs — keep if raw tables go",ISNUMBER(--$C741),"UA raw site logs (account ID) — keep pending audit-retention check",$C741="Emag_Reporting","Legacy but likely needed",$C741="Nutrition_Data_Archived_Tables","Worth keeping",$C741="EU_Data","Static lookup tables — scripts still reference (smoke-test risk)",TRUE,"Review"),OR($A741="thg-influencer",$A741="thg-ingenuity",$A741="thg-central-marketing",$A741="thg-seoclarity"),"HOLD — Charlie Stringer to review before deletion",TRUE,"")</f>
        <v>HOLD — Charlie Stringer to review before deletion</v>
      </c>
      <c r="S741" t="s">
        <v>1624</v>
      </c>
    </row>
    <row r="742" spans="1:19" hidden="1">
      <c r="A742" t="s">
        <v>38</v>
      </c>
      <c r="B742" t="s">
        <v>1619</v>
      </c>
      <c r="C742" t="s">
        <v>3283</v>
      </c>
      <c r="D742" s="2" t="s">
        <v>1621</v>
      </c>
      <c r="E742">
        <v>0</v>
      </c>
      <c r="F742">
        <v>0</v>
      </c>
      <c r="G742" t="s">
        <v>79</v>
      </c>
      <c r="H742" t="s">
        <v>81</v>
      </c>
      <c r="M742" s="2" t="s">
        <v>1715</v>
      </c>
      <c r="N742" s="2" t="s">
        <v>1701</v>
      </c>
      <c r="P742" t="str">
        <f>IF($Q742="DELETE",IF($S742="CONFIRMED: NO MODS &gt; 1YR","CONFIRMED: NO MODS &gt; 1YR","DO NOT DELETE — not defensibly confirmed"),IF($Q742="HOLD","DO NOT DELETE — HOLD (Charlie review)",IF($Q742="KEEP","DO NOT DELETE — KEEP",IF(ISNUMBER(SEARCH("REVIEW",$Q742)),"DO NOT DELETE — REVIEW pending",$S742))))</f>
        <v>DO NOT DELETE — HOLD (Charlie review)</v>
      </c>
      <c r="Q742" t="str" cm="1">
        <f t="array" ref="Q742">_xlfn.IFS(AND($A742="thg-beauty",ISNUMBER(SEARCH("liveramp",$C742))),"DELETE",$A742="agile-bonbon-662",_xlfn.IFS(LEFT($G742,9)="Tranche 1","DELETE",$C742="Sessions_Level_1_All_Sites","KEEP",ISNUMBER(--$C742),"REVIEW — UA raw logs",$C742="Emag_Reporting","KEEP",$C742="Nutrition_Data_Archived_Tables","KEEP",$C742="EU_Data","KEEP",TRUE,"REVIEW"),OR($A742="thg-influencer",$A742="thg-ingenuity",$A742="thg-central-marketing",$A742="thg-seoclarity"),"HOLD",TRUE,"")</f>
        <v>HOLD</v>
      </c>
      <c r="R742" t="str" cm="1">
        <f t="array" ref="R742">_xlfn.IFS(AND($A742="thg-beauty",ISNUMBER(SEARCH("liveramp",$C742))),"thg-beauty Liveramp dataset — confirmed safe to delete",$A742="agile-bonbon-662",_xlfn.IFS(LEFT($G742,9)="Tranche 1","Tranche 1: cleared",$C742="Sessions_Level_1_All_Sites","Downstream aggregation of UA raw logs — keep if raw tables go",ISNUMBER(--$C742),"UA raw site logs (account ID) — keep pending audit-retention check",$C742="Emag_Reporting","Legacy but likely needed",$C742="Nutrition_Data_Archived_Tables","Worth keeping",$C742="EU_Data","Static lookup tables — scripts still reference (smoke-test risk)",TRUE,"Review"),OR($A742="thg-influencer",$A742="thg-ingenuity",$A742="thg-central-marketing",$A742="thg-seoclarity"),"HOLD — Charlie Stringer to review before deletion",TRUE,"")</f>
        <v>HOLD — Charlie Stringer to review before deletion</v>
      </c>
      <c r="S742" t="s">
        <v>1624</v>
      </c>
    </row>
    <row r="743" spans="1:19" hidden="1">
      <c r="A743" t="s">
        <v>38</v>
      </c>
      <c r="B743" t="s">
        <v>1619</v>
      </c>
      <c r="C743" t="s">
        <v>3284</v>
      </c>
      <c r="D743" s="2" t="s">
        <v>1621</v>
      </c>
      <c r="E743">
        <v>0</v>
      </c>
      <c r="F743">
        <v>0</v>
      </c>
      <c r="G743" t="s">
        <v>79</v>
      </c>
      <c r="H743" t="s">
        <v>81</v>
      </c>
      <c r="M743" s="2" t="s">
        <v>1715</v>
      </c>
      <c r="N743" s="2" t="s">
        <v>1701</v>
      </c>
      <c r="P743" t="str">
        <f>IF($Q743="DELETE",IF($S743="CONFIRMED: NO MODS &gt; 1YR","CONFIRMED: NO MODS &gt; 1YR","DO NOT DELETE — not defensibly confirmed"),IF($Q743="HOLD","DO NOT DELETE — HOLD (Charlie review)",IF($Q743="KEEP","DO NOT DELETE — KEEP",IF(ISNUMBER(SEARCH("REVIEW",$Q743)),"DO NOT DELETE — REVIEW pending",$S743))))</f>
        <v>DO NOT DELETE — HOLD (Charlie review)</v>
      </c>
      <c r="Q743" t="str" cm="1">
        <f t="array" ref="Q743">_xlfn.IFS(AND($A743="thg-beauty",ISNUMBER(SEARCH("liveramp",$C743))),"DELETE",$A743="agile-bonbon-662",_xlfn.IFS(LEFT($G743,9)="Tranche 1","DELETE",$C743="Sessions_Level_1_All_Sites","KEEP",ISNUMBER(--$C743),"REVIEW — UA raw logs",$C743="Emag_Reporting","KEEP",$C743="Nutrition_Data_Archived_Tables","KEEP",$C743="EU_Data","KEEP",TRUE,"REVIEW"),OR($A743="thg-influencer",$A743="thg-ingenuity",$A743="thg-central-marketing",$A743="thg-seoclarity"),"HOLD",TRUE,"")</f>
        <v>HOLD</v>
      </c>
      <c r="R743" t="str" cm="1">
        <f t="array" ref="R743">_xlfn.IFS(AND($A743="thg-beauty",ISNUMBER(SEARCH("liveramp",$C743))),"thg-beauty Liveramp dataset — confirmed safe to delete",$A743="agile-bonbon-662",_xlfn.IFS(LEFT($G743,9)="Tranche 1","Tranche 1: cleared",$C743="Sessions_Level_1_All_Sites","Downstream aggregation of UA raw logs — keep if raw tables go",ISNUMBER(--$C743),"UA raw site logs (account ID) — keep pending audit-retention check",$C743="Emag_Reporting","Legacy but likely needed",$C743="Nutrition_Data_Archived_Tables","Worth keeping",$C743="EU_Data","Static lookup tables — scripts still reference (smoke-test risk)",TRUE,"Review"),OR($A743="thg-influencer",$A743="thg-ingenuity",$A743="thg-central-marketing",$A743="thg-seoclarity"),"HOLD — Charlie Stringer to review before deletion",TRUE,"")</f>
        <v>HOLD — Charlie Stringer to review before deletion</v>
      </c>
      <c r="S743" t="s">
        <v>1624</v>
      </c>
    </row>
    <row r="744" spans="1:19" hidden="1">
      <c r="A744" t="s">
        <v>38</v>
      </c>
      <c r="B744" t="s">
        <v>1619</v>
      </c>
      <c r="C744" t="s">
        <v>3285</v>
      </c>
      <c r="D744" s="2" t="s">
        <v>1621</v>
      </c>
      <c r="E744">
        <v>0</v>
      </c>
      <c r="F744">
        <v>0</v>
      </c>
      <c r="G744" t="s">
        <v>79</v>
      </c>
      <c r="H744" t="s">
        <v>81</v>
      </c>
      <c r="M744" s="2" t="s">
        <v>1715</v>
      </c>
      <c r="N744" s="2" t="s">
        <v>1701</v>
      </c>
      <c r="P744" t="str">
        <f>IF($Q744="DELETE",IF($S744="CONFIRMED: NO MODS &gt; 1YR","CONFIRMED: NO MODS &gt; 1YR","DO NOT DELETE — not defensibly confirmed"),IF($Q744="HOLD","DO NOT DELETE — HOLD (Charlie review)",IF($Q744="KEEP","DO NOT DELETE — KEEP",IF(ISNUMBER(SEARCH("REVIEW",$Q744)),"DO NOT DELETE — REVIEW pending",$S744))))</f>
        <v>DO NOT DELETE — HOLD (Charlie review)</v>
      </c>
      <c r="Q744" t="str" cm="1">
        <f t="array" ref="Q744">_xlfn.IFS(AND($A744="thg-beauty",ISNUMBER(SEARCH("liveramp",$C744))),"DELETE",$A744="agile-bonbon-662",_xlfn.IFS(LEFT($G744,9)="Tranche 1","DELETE",$C744="Sessions_Level_1_All_Sites","KEEP",ISNUMBER(--$C744),"REVIEW — UA raw logs",$C744="Emag_Reporting","KEEP",$C744="Nutrition_Data_Archived_Tables","KEEP",$C744="EU_Data","KEEP",TRUE,"REVIEW"),OR($A744="thg-influencer",$A744="thg-ingenuity",$A744="thg-central-marketing",$A744="thg-seoclarity"),"HOLD",TRUE,"")</f>
        <v>HOLD</v>
      </c>
      <c r="R744" t="str" cm="1">
        <f t="array" ref="R744">_xlfn.IFS(AND($A744="thg-beauty",ISNUMBER(SEARCH("liveramp",$C744))),"thg-beauty Liveramp dataset — confirmed safe to delete",$A744="agile-bonbon-662",_xlfn.IFS(LEFT($G744,9)="Tranche 1","Tranche 1: cleared",$C744="Sessions_Level_1_All_Sites","Downstream aggregation of UA raw logs — keep if raw tables go",ISNUMBER(--$C744),"UA raw site logs (account ID) — keep pending audit-retention check",$C744="Emag_Reporting","Legacy but likely needed",$C744="Nutrition_Data_Archived_Tables","Worth keeping",$C744="EU_Data","Static lookup tables — scripts still reference (smoke-test risk)",TRUE,"Review"),OR($A744="thg-influencer",$A744="thg-ingenuity",$A744="thg-central-marketing",$A744="thg-seoclarity"),"HOLD — Charlie Stringer to review before deletion",TRUE,"")</f>
        <v>HOLD — Charlie Stringer to review before deletion</v>
      </c>
      <c r="S744" t="s">
        <v>1624</v>
      </c>
    </row>
    <row r="745" spans="1:19" hidden="1">
      <c r="A745" t="s">
        <v>38</v>
      </c>
      <c r="B745" t="s">
        <v>1619</v>
      </c>
      <c r="C745" t="s">
        <v>3286</v>
      </c>
      <c r="D745" s="2" t="s">
        <v>1621</v>
      </c>
      <c r="E745">
        <v>0</v>
      </c>
      <c r="F745">
        <v>0</v>
      </c>
      <c r="G745" t="s">
        <v>79</v>
      </c>
      <c r="H745" t="s">
        <v>81</v>
      </c>
      <c r="M745" s="2" t="s">
        <v>1715</v>
      </c>
      <c r="N745" s="2" t="s">
        <v>1701</v>
      </c>
      <c r="P745" t="str">
        <f>IF($Q745="DELETE",IF($S745="CONFIRMED: NO MODS &gt; 1YR","CONFIRMED: NO MODS &gt; 1YR","DO NOT DELETE — not defensibly confirmed"),IF($Q745="HOLD","DO NOT DELETE — HOLD (Charlie review)",IF($Q745="KEEP","DO NOT DELETE — KEEP",IF(ISNUMBER(SEARCH("REVIEW",$Q745)),"DO NOT DELETE — REVIEW pending",$S745))))</f>
        <v>DO NOT DELETE — HOLD (Charlie review)</v>
      </c>
      <c r="Q745" t="str" cm="1">
        <f t="array" ref="Q745">_xlfn.IFS(AND($A745="thg-beauty",ISNUMBER(SEARCH("liveramp",$C745))),"DELETE",$A745="agile-bonbon-662",_xlfn.IFS(LEFT($G745,9)="Tranche 1","DELETE",$C745="Sessions_Level_1_All_Sites","KEEP",ISNUMBER(--$C745),"REVIEW — UA raw logs",$C745="Emag_Reporting","KEEP",$C745="Nutrition_Data_Archived_Tables","KEEP",$C745="EU_Data","KEEP",TRUE,"REVIEW"),OR($A745="thg-influencer",$A745="thg-ingenuity",$A745="thg-central-marketing",$A745="thg-seoclarity"),"HOLD",TRUE,"")</f>
        <v>HOLD</v>
      </c>
      <c r="R745" t="str" cm="1">
        <f t="array" ref="R745">_xlfn.IFS(AND($A745="thg-beauty",ISNUMBER(SEARCH("liveramp",$C745))),"thg-beauty Liveramp dataset — confirmed safe to delete",$A745="agile-bonbon-662",_xlfn.IFS(LEFT($G745,9)="Tranche 1","Tranche 1: cleared",$C745="Sessions_Level_1_All_Sites","Downstream aggregation of UA raw logs — keep if raw tables go",ISNUMBER(--$C745),"UA raw site logs (account ID) — keep pending audit-retention check",$C745="Emag_Reporting","Legacy but likely needed",$C745="Nutrition_Data_Archived_Tables","Worth keeping",$C745="EU_Data","Static lookup tables — scripts still reference (smoke-test risk)",TRUE,"Review"),OR($A745="thg-influencer",$A745="thg-ingenuity",$A745="thg-central-marketing",$A745="thg-seoclarity"),"HOLD — Charlie Stringer to review before deletion",TRUE,"")</f>
        <v>HOLD — Charlie Stringer to review before deletion</v>
      </c>
      <c r="S745" t="s">
        <v>1624</v>
      </c>
    </row>
    <row r="746" spans="1:19" hidden="1">
      <c r="A746" t="s">
        <v>38</v>
      </c>
      <c r="B746" t="s">
        <v>1619</v>
      </c>
      <c r="C746" t="s">
        <v>3287</v>
      </c>
      <c r="D746" s="2" t="s">
        <v>1621</v>
      </c>
      <c r="E746">
        <v>0</v>
      </c>
      <c r="F746">
        <v>0</v>
      </c>
      <c r="G746" t="s">
        <v>79</v>
      </c>
      <c r="H746" t="s">
        <v>81</v>
      </c>
      <c r="M746" s="2" t="s">
        <v>1715</v>
      </c>
      <c r="N746" s="2" t="s">
        <v>1701</v>
      </c>
      <c r="P746" t="str">
        <f>IF($Q746="DELETE",IF($S746="CONFIRMED: NO MODS &gt; 1YR","CONFIRMED: NO MODS &gt; 1YR","DO NOT DELETE — not defensibly confirmed"),IF($Q746="HOLD","DO NOT DELETE — HOLD (Charlie review)",IF($Q746="KEEP","DO NOT DELETE — KEEP",IF(ISNUMBER(SEARCH("REVIEW",$Q746)),"DO NOT DELETE — REVIEW pending",$S746))))</f>
        <v>DO NOT DELETE — HOLD (Charlie review)</v>
      </c>
      <c r="Q746" t="str" cm="1">
        <f t="array" ref="Q746">_xlfn.IFS(AND($A746="thg-beauty",ISNUMBER(SEARCH("liveramp",$C746))),"DELETE",$A746="agile-bonbon-662",_xlfn.IFS(LEFT($G746,9)="Tranche 1","DELETE",$C746="Sessions_Level_1_All_Sites","KEEP",ISNUMBER(--$C746),"REVIEW — UA raw logs",$C746="Emag_Reporting","KEEP",$C746="Nutrition_Data_Archived_Tables","KEEP",$C746="EU_Data","KEEP",TRUE,"REVIEW"),OR($A746="thg-influencer",$A746="thg-ingenuity",$A746="thg-central-marketing",$A746="thg-seoclarity"),"HOLD",TRUE,"")</f>
        <v>HOLD</v>
      </c>
      <c r="R746" t="str" cm="1">
        <f t="array" ref="R746">_xlfn.IFS(AND($A746="thg-beauty",ISNUMBER(SEARCH("liveramp",$C746))),"thg-beauty Liveramp dataset — confirmed safe to delete",$A746="agile-bonbon-662",_xlfn.IFS(LEFT($G746,9)="Tranche 1","Tranche 1: cleared",$C746="Sessions_Level_1_All_Sites","Downstream aggregation of UA raw logs — keep if raw tables go",ISNUMBER(--$C746),"UA raw site logs (account ID) — keep pending audit-retention check",$C746="Emag_Reporting","Legacy but likely needed",$C746="Nutrition_Data_Archived_Tables","Worth keeping",$C746="EU_Data","Static lookup tables — scripts still reference (smoke-test risk)",TRUE,"Review"),OR($A746="thg-influencer",$A746="thg-ingenuity",$A746="thg-central-marketing",$A746="thg-seoclarity"),"HOLD — Charlie Stringer to review before deletion",TRUE,"")</f>
        <v>HOLD — Charlie Stringer to review before deletion</v>
      </c>
      <c r="S746" t="s">
        <v>1624</v>
      </c>
    </row>
    <row r="747" spans="1:19" hidden="1">
      <c r="A747" t="s">
        <v>38</v>
      </c>
      <c r="B747" t="s">
        <v>1619</v>
      </c>
      <c r="C747" t="s">
        <v>3288</v>
      </c>
      <c r="D747" s="2" t="s">
        <v>1621</v>
      </c>
      <c r="E747">
        <v>0</v>
      </c>
      <c r="F747">
        <v>0</v>
      </c>
      <c r="G747" t="s">
        <v>79</v>
      </c>
      <c r="H747" t="s">
        <v>81</v>
      </c>
      <c r="M747" s="2" t="s">
        <v>1715</v>
      </c>
      <c r="N747" s="2" t="s">
        <v>1701</v>
      </c>
      <c r="P747" t="str">
        <f>IF($Q747="DELETE",IF($S747="CONFIRMED: NO MODS &gt; 1YR","CONFIRMED: NO MODS &gt; 1YR","DO NOT DELETE — not defensibly confirmed"),IF($Q747="HOLD","DO NOT DELETE — HOLD (Charlie review)",IF($Q747="KEEP","DO NOT DELETE — KEEP",IF(ISNUMBER(SEARCH("REVIEW",$Q747)),"DO NOT DELETE — REVIEW pending",$S747))))</f>
        <v>DO NOT DELETE — HOLD (Charlie review)</v>
      </c>
      <c r="Q747" t="str" cm="1">
        <f t="array" ref="Q747">_xlfn.IFS(AND($A747="thg-beauty",ISNUMBER(SEARCH("liveramp",$C747))),"DELETE",$A747="agile-bonbon-662",_xlfn.IFS(LEFT($G747,9)="Tranche 1","DELETE",$C747="Sessions_Level_1_All_Sites","KEEP",ISNUMBER(--$C747),"REVIEW — UA raw logs",$C747="Emag_Reporting","KEEP",$C747="Nutrition_Data_Archived_Tables","KEEP",$C747="EU_Data","KEEP",TRUE,"REVIEW"),OR($A747="thg-influencer",$A747="thg-ingenuity",$A747="thg-central-marketing",$A747="thg-seoclarity"),"HOLD",TRUE,"")</f>
        <v>HOLD</v>
      </c>
      <c r="R747" t="str" cm="1">
        <f t="array" ref="R747">_xlfn.IFS(AND($A747="thg-beauty",ISNUMBER(SEARCH("liveramp",$C747))),"thg-beauty Liveramp dataset — confirmed safe to delete",$A747="agile-bonbon-662",_xlfn.IFS(LEFT($G747,9)="Tranche 1","Tranche 1: cleared",$C747="Sessions_Level_1_All_Sites","Downstream aggregation of UA raw logs — keep if raw tables go",ISNUMBER(--$C747),"UA raw site logs (account ID) — keep pending audit-retention check",$C747="Emag_Reporting","Legacy but likely needed",$C747="Nutrition_Data_Archived_Tables","Worth keeping",$C747="EU_Data","Static lookup tables — scripts still reference (smoke-test risk)",TRUE,"Review"),OR($A747="thg-influencer",$A747="thg-ingenuity",$A747="thg-central-marketing",$A747="thg-seoclarity"),"HOLD — Charlie Stringer to review before deletion",TRUE,"")</f>
        <v>HOLD — Charlie Stringer to review before deletion</v>
      </c>
      <c r="S747" t="s">
        <v>1624</v>
      </c>
    </row>
    <row r="748" spans="1:19" hidden="1">
      <c r="A748" t="s">
        <v>38</v>
      </c>
      <c r="B748" t="s">
        <v>1619</v>
      </c>
      <c r="C748" t="s">
        <v>3289</v>
      </c>
      <c r="D748" s="2" t="s">
        <v>1621</v>
      </c>
      <c r="E748">
        <v>0</v>
      </c>
      <c r="F748">
        <v>0</v>
      </c>
      <c r="G748" t="s">
        <v>79</v>
      </c>
      <c r="H748" t="s">
        <v>81</v>
      </c>
      <c r="M748" s="2" t="s">
        <v>1715</v>
      </c>
      <c r="N748" s="2" t="s">
        <v>1701</v>
      </c>
      <c r="P748" t="str">
        <f>IF($Q748="DELETE",IF($S748="CONFIRMED: NO MODS &gt; 1YR","CONFIRMED: NO MODS &gt; 1YR","DO NOT DELETE — not defensibly confirmed"),IF($Q748="HOLD","DO NOT DELETE — HOLD (Charlie review)",IF($Q748="KEEP","DO NOT DELETE — KEEP",IF(ISNUMBER(SEARCH("REVIEW",$Q748)),"DO NOT DELETE — REVIEW pending",$S748))))</f>
        <v>DO NOT DELETE — HOLD (Charlie review)</v>
      </c>
      <c r="Q748" t="str" cm="1">
        <f t="array" ref="Q748">_xlfn.IFS(AND($A748="thg-beauty",ISNUMBER(SEARCH("liveramp",$C748))),"DELETE",$A748="agile-bonbon-662",_xlfn.IFS(LEFT($G748,9)="Tranche 1","DELETE",$C748="Sessions_Level_1_All_Sites","KEEP",ISNUMBER(--$C748),"REVIEW — UA raw logs",$C748="Emag_Reporting","KEEP",$C748="Nutrition_Data_Archived_Tables","KEEP",$C748="EU_Data","KEEP",TRUE,"REVIEW"),OR($A748="thg-influencer",$A748="thg-ingenuity",$A748="thg-central-marketing",$A748="thg-seoclarity"),"HOLD",TRUE,"")</f>
        <v>HOLD</v>
      </c>
      <c r="R748" t="str" cm="1">
        <f t="array" ref="R748">_xlfn.IFS(AND($A748="thg-beauty",ISNUMBER(SEARCH("liveramp",$C748))),"thg-beauty Liveramp dataset — confirmed safe to delete",$A748="agile-bonbon-662",_xlfn.IFS(LEFT($G748,9)="Tranche 1","Tranche 1: cleared",$C748="Sessions_Level_1_All_Sites","Downstream aggregation of UA raw logs — keep if raw tables go",ISNUMBER(--$C748),"UA raw site logs (account ID) — keep pending audit-retention check",$C748="Emag_Reporting","Legacy but likely needed",$C748="Nutrition_Data_Archived_Tables","Worth keeping",$C748="EU_Data","Static lookup tables — scripts still reference (smoke-test risk)",TRUE,"Review"),OR($A748="thg-influencer",$A748="thg-ingenuity",$A748="thg-central-marketing",$A748="thg-seoclarity"),"HOLD — Charlie Stringer to review before deletion",TRUE,"")</f>
        <v>HOLD — Charlie Stringer to review before deletion</v>
      </c>
      <c r="S748" t="s">
        <v>1624</v>
      </c>
    </row>
    <row r="749" spans="1:19" hidden="1">
      <c r="A749" t="s">
        <v>38</v>
      </c>
      <c r="B749" t="s">
        <v>1619</v>
      </c>
      <c r="C749" t="s">
        <v>3290</v>
      </c>
      <c r="D749" s="2" t="s">
        <v>1621</v>
      </c>
      <c r="E749">
        <v>0</v>
      </c>
      <c r="F749">
        <v>0</v>
      </c>
      <c r="G749" t="s">
        <v>79</v>
      </c>
      <c r="H749" t="s">
        <v>81</v>
      </c>
      <c r="M749" s="2" t="s">
        <v>1715</v>
      </c>
      <c r="N749" s="2" t="s">
        <v>1701</v>
      </c>
      <c r="P749" t="str">
        <f>IF($Q749="DELETE",IF($S749="CONFIRMED: NO MODS &gt; 1YR","CONFIRMED: NO MODS &gt; 1YR","DO NOT DELETE — not defensibly confirmed"),IF($Q749="HOLD","DO NOT DELETE — HOLD (Charlie review)",IF($Q749="KEEP","DO NOT DELETE — KEEP",IF(ISNUMBER(SEARCH("REVIEW",$Q749)),"DO NOT DELETE — REVIEW pending",$S749))))</f>
        <v>DO NOT DELETE — HOLD (Charlie review)</v>
      </c>
      <c r="Q749" t="str" cm="1">
        <f t="array" ref="Q749">_xlfn.IFS(AND($A749="thg-beauty",ISNUMBER(SEARCH("liveramp",$C749))),"DELETE",$A749="agile-bonbon-662",_xlfn.IFS(LEFT($G749,9)="Tranche 1","DELETE",$C749="Sessions_Level_1_All_Sites","KEEP",ISNUMBER(--$C749),"REVIEW — UA raw logs",$C749="Emag_Reporting","KEEP",$C749="Nutrition_Data_Archived_Tables","KEEP",$C749="EU_Data","KEEP",TRUE,"REVIEW"),OR($A749="thg-influencer",$A749="thg-ingenuity",$A749="thg-central-marketing",$A749="thg-seoclarity"),"HOLD",TRUE,"")</f>
        <v>HOLD</v>
      </c>
      <c r="R749" t="str" cm="1">
        <f t="array" ref="R749">_xlfn.IFS(AND($A749="thg-beauty",ISNUMBER(SEARCH("liveramp",$C749))),"thg-beauty Liveramp dataset — confirmed safe to delete",$A749="agile-bonbon-662",_xlfn.IFS(LEFT($G749,9)="Tranche 1","Tranche 1: cleared",$C749="Sessions_Level_1_All_Sites","Downstream aggregation of UA raw logs — keep if raw tables go",ISNUMBER(--$C749),"UA raw site logs (account ID) — keep pending audit-retention check",$C749="Emag_Reporting","Legacy but likely needed",$C749="Nutrition_Data_Archived_Tables","Worth keeping",$C749="EU_Data","Static lookup tables — scripts still reference (smoke-test risk)",TRUE,"Review"),OR($A749="thg-influencer",$A749="thg-ingenuity",$A749="thg-central-marketing",$A749="thg-seoclarity"),"HOLD — Charlie Stringer to review before deletion",TRUE,"")</f>
        <v>HOLD — Charlie Stringer to review before deletion</v>
      </c>
      <c r="S749" t="s">
        <v>1624</v>
      </c>
    </row>
    <row r="750" spans="1:19" hidden="1">
      <c r="A750" t="s">
        <v>38</v>
      </c>
      <c r="B750" t="s">
        <v>1619</v>
      </c>
      <c r="C750" t="s">
        <v>3291</v>
      </c>
      <c r="D750" s="2" t="s">
        <v>1621</v>
      </c>
      <c r="E750">
        <v>0</v>
      </c>
      <c r="F750">
        <v>0</v>
      </c>
      <c r="G750" t="s">
        <v>79</v>
      </c>
      <c r="H750" t="s">
        <v>81</v>
      </c>
      <c r="M750" s="2" t="s">
        <v>1715</v>
      </c>
      <c r="N750" s="2" t="s">
        <v>1701</v>
      </c>
      <c r="P750" t="str">
        <f>IF($Q750="DELETE",IF($S750="CONFIRMED: NO MODS &gt; 1YR","CONFIRMED: NO MODS &gt; 1YR","DO NOT DELETE — not defensibly confirmed"),IF($Q750="HOLD","DO NOT DELETE — HOLD (Charlie review)",IF($Q750="KEEP","DO NOT DELETE — KEEP",IF(ISNUMBER(SEARCH("REVIEW",$Q750)),"DO NOT DELETE — REVIEW pending",$S750))))</f>
        <v>DO NOT DELETE — HOLD (Charlie review)</v>
      </c>
      <c r="Q750" t="str" cm="1">
        <f t="array" ref="Q750">_xlfn.IFS(AND($A750="thg-beauty",ISNUMBER(SEARCH("liveramp",$C750))),"DELETE",$A750="agile-bonbon-662",_xlfn.IFS(LEFT($G750,9)="Tranche 1","DELETE",$C750="Sessions_Level_1_All_Sites","KEEP",ISNUMBER(--$C750),"REVIEW — UA raw logs",$C750="Emag_Reporting","KEEP",$C750="Nutrition_Data_Archived_Tables","KEEP",$C750="EU_Data","KEEP",TRUE,"REVIEW"),OR($A750="thg-influencer",$A750="thg-ingenuity",$A750="thg-central-marketing",$A750="thg-seoclarity"),"HOLD",TRUE,"")</f>
        <v>HOLD</v>
      </c>
      <c r="R750" t="str" cm="1">
        <f t="array" ref="R750">_xlfn.IFS(AND($A750="thg-beauty",ISNUMBER(SEARCH("liveramp",$C750))),"thg-beauty Liveramp dataset — confirmed safe to delete",$A750="agile-bonbon-662",_xlfn.IFS(LEFT($G750,9)="Tranche 1","Tranche 1: cleared",$C750="Sessions_Level_1_All_Sites","Downstream aggregation of UA raw logs — keep if raw tables go",ISNUMBER(--$C750),"UA raw site logs (account ID) — keep pending audit-retention check",$C750="Emag_Reporting","Legacy but likely needed",$C750="Nutrition_Data_Archived_Tables","Worth keeping",$C750="EU_Data","Static lookup tables — scripts still reference (smoke-test risk)",TRUE,"Review"),OR($A750="thg-influencer",$A750="thg-ingenuity",$A750="thg-central-marketing",$A750="thg-seoclarity"),"HOLD — Charlie Stringer to review before deletion",TRUE,"")</f>
        <v>HOLD — Charlie Stringer to review before deletion</v>
      </c>
      <c r="S750" t="s">
        <v>1624</v>
      </c>
    </row>
    <row r="751" spans="1:19" hidden="1">
      <c r="A751" t="s">
        <v>38</v>
      </c>
      <c r="B751" t="s">
        <v>1619</v>
      </c>
      <c r="C751" t="s">
        <v>3292</v>
      </c>
      <c r="D751" s="2" t="s">
        <v>1621</v>
      </c>
      <c r="E751">
        <v>0</v>
      </c>
      <c r="F751">
        <v>0</v>
      </c>
      <c r="G751" t="s">
        <v>79</v>
      </c>
      <c r="H751" t="s">
        <v>81</v>
      </c>
      <c r="M751" s="2" t="s">
        <v>1715</v>
      </c>
      <c r="N751" s="2" t="s">
        <v>1701</v>
      </c>
      <c r="P751" t="str">
        <f>IF($Q751="DELETE",IF($S751="CONFIRMED: NO MODS &gt; 1YR","CONFIRMED: NO MODS &gt; 1YR","DO NOT DELETE — not defensibly confirmed"),IF($Q751="HOLD","DO NOT DELETE — HOLD (Charlie review)",IF($Q751="KEEP","DO NOT DELETE — KEEP",IF(ISNUMBER(SEARCH("REVIEW",$Q751)),"DO NOT DELETE — REVIEW pending",$S751))))</f>
        <v>DO NOT DELETE — HOLD (Charlie review)</v>
      </c>
      <c r="Q751" t="str" cm="1">
        <f t="array" ref="Q751">_xlfn.IFS(AND($A751="thg-beauty",ISNUMBER(SEARCH("liveramp",$C751))),"DELETE",$A751="agile-bonbon-662",_xlfn.IFS(LEFT($G751,9)="Tranche 1","DELETE",$C751="Sessions_Level_1_All_Sites","KEEP",ISNUMBER(--$C751),"REVIEW — UA raw logs",$C751="Emag_Reporting","KEEP",$C751="Nutrition_Data_Archived_Tables","KEEP",$C751="EU_Data","KEEP",TRUE,"REVIEW"),OR($A751="thg-influencer",$A751="thg-ingenuity",$A751="thg-central-marketing",$A751="thg-seoclarity"),"HOLD",TRUE,"")</f>
        <v>HOLD</v>
      </c>
      <c r="R751" t="str" cm="1">
        <f t="array" ref="R751">_xlfn.IFS(AND($A751="thg-beauty",ISNUMBER(SEARCH("liveramp",$C751))),"thg-beauty Liveramp dataset — confirmed safe to delete",$A751="agile-bonbon-662",_xlfn.IFS(LEFT($G751,9)="Tranche 1","Tranche 1: cleared",$C751="Sessions_Level_1_All_Sites","Downstream aggregation of UA raw logs — keep if raw tables go",ISNUMBER(--$C751),"UA raw site logs (account ID) — keep pending audit-retention check",$C751="Emag_Reporting","Legacy but likely needed",$C751="Nutrition_Data_Archived_Tables","Worth keeping",$C751="EU_Data","Static lookup tables — scripts still reference (smoke-test risk)",TRUE,"Review"),OR($A751="thg-influencer",$A751="thg-ingenuity",$A751="thg-central-marketing",$A751="thg-seoclarity"),"HOLD — Charlie Stringer to review before deletion",TRUE,"")</f>
        <v>HOLD — Charlie Stringer to review before deletion</v>
      </c>
      <c r="S751" t="s">
        <v>1624</v>
      </c>
    </row>
    <row r="752" spans="1:19" hidden="1">
      <c r="A752" t="s">
        <v>38</v>
      </c>
      <c r="B752" t="s">
        <v>1619</v>
      </c>
      <c r="C752" t="s">
        <v>3293</v>
      </c>
      <c r="D752" s="2" t="s">
        <v>1621</v>
      </c>
      <c r="E752">
        <v>0</v>
      </c>
      <c r="F752">
        <v>0</v>
      </c>
      <c r="G752" t="s">
        <v>79</v>
      </c>
      <c r="H752" t="s">
        <v>81</v>
      </c>
      <c r="M752" s="2" t="s">
        <v>1715</v>
      </c>
      <c r="N752" s="2" t="s">
        <v>1701</v>
      </c>
      <c r="P752" t="str">
        <f>IF($Q752="DELETE",IF($S752="CONFIRMED: NO MODS &gt; 1YR","CONFIRMED: NO MODS &gt; 1YR","DO NOT DELETE — not defensibly confirmed"),IF($Q752="HOLD","DO NOT DELETE — HOLD (Charlie review)",IF($Q752="KEEP","DO NOT DELETE — KEEP",IF(ISNUMBER(SEARCH("REVIEW",$Q752)),"DO NOT DELETE — REVIEW pending",$S752))))</f>
        <v>DO NOT DELETE — HOLD (Charlie review)</v>
      </c>
      <c r="Q752" t="str" cm="1">
        <f t="array" ref="Q752">_xlfn.IFS(AND($A752="thg-beauty",ISNUMBER(SEARCH("liveramp",$C752))),"DELETE",$A752="agile-bonbon-662",_xlfn.IFS(LEFT($G752,9)="Tranche 1","DELETE",$C752="Sessions_Level_1_All_Sites","KEEP",ISNUMBER(--$C752),"REVIEW — UA raw logs",$C752="Emag_Reporting","KEEP",$C752="Nutrition_Data_Archived_Tables","KEEP",$C752="EU_Data","KEEP",TRUE,"REVIEW"),OR($A752="thg-influencer",$A752="thg-ingenuity",$A752="thg-central-marketing",$A752="thg-seoclarity"),"HOLD",TRUE,"")</f>
        <v>HOLD</v>
      </c>
      <c r="R752" t="str" cm="1">
        <f t="array" ref="R752">_xlfn.IFS(AND($A752="thg-beauty",ISNUMBER(SEARCH("liveramp",$C752))),"thg-beauty Liveramp dataset — confirmed safe to delete",$A752="agile-bonbon-662",_xlfn.IFS(LEFT($G752,9)="Tranche 1","Tranche 1: cleared",$C752="Sessions_Level_1_All_Sites","Downstream aggregation of UA raw logs — keep if raw tables go",ISNUMBER(--$C752),"UA raw site logs (account ID) — keep pending audit-retention check",$C752="Emag_Reporting","Legacy but likely needed",$C752="Nutrition_Data_Archived_Tables","Worth keeping",$C752="EU_Data","Static lookup tables — scripts still reference (smoke-test risk)",TRUE,"Review"),OR($A752="thg-influencer",$A752="thg-ingenuity",$A752="thg-central-marketing",$A752="thg-seoclarity"),"HOLD — Charlie Stringer to review before deletion",TRUE,"")</f>
        <v>HOLD — Charlie Stringer to review before deletion</v>
      </c>
      <c r="S752" t="s">
        <v>1624</v>
      </c>
    </row>
    <row r="753" spans="1:19" hidden="1">
      <c r="A753" t="s">
        <v>38</v>
      </c>
      <c r="B753" t="s">
        <v>1619</v>
      </c>
      <c r="C753" t="s">
        <v>3294</v>
      </c>
      <c r="D753" s="2" t="s">
        <v>1621</v>
      </c>
      <c r="E753">
        <v>0</v>
      </c>
      <c r="F753">
        <v>0</v>
      </c>
      <c r="G753" t="s">
        <v>79</v>
      </c>
      <c r="H753" t="s">
        <v>81</v>
      </c>
      <c r="M753" s="2" t="s">
        <v>1715</v>
      </c>
      <c r="N753" s="2" t="s">
        <v>1701</v>
      </c>
      <c r="P753" t="str">
        <f>IF($Q753="DELETE",IF($S753="CONFIRMED: NO MODS &gt; 1YR","CONFIRMED: NO MODS &gt; 1YR","DO NOT DELETE — not defensibly confirmed"),IF($Q753="HOLD","DO NOT DELETE — HOLD (Charlie review)",IF($Q753="KEEP","DO NOT DELETE — KEEP",IF(ISNUMBER(SEARCH("REVIEW",$Q753)),"DO NOT DELETE — REVIEW pending",$S753))))</f>
        <v>DO NOT DELETE — HOLD (Charlie review)</v>
      </c>
      <c r="Q753" t="str" cm="1">
        <f t="array" ref="Q753">_xlfn.IFS(AND($A753="thg-beauty",ISNUMBER(SEARCH("liveramp",$C753))),"DELETE",$A753="agile-bonbon-662",_xlfn.IFS(LEFT($G753,9)="Tranche 1","DELETE",$C753="Sessions_Level_1_All_Sites","KEEP",ISNUMBER(--$C753),"REVIEW — UA raw logs",$C753="Emag_Reporting","KEEP",$C753="Nutrition_Data_Archived_Tables","KEEP",$C753="EU_Data","KEEP",TRUE,"REVIEW"),OR($A753="thg-influencer",$A753="thg-ingenuity",$A753="thg-central-marketing",$A753="thg-seoclarity"),"HOLD",TRUE,"")</f>
        <v>HOLD</v>
      </c>
      <c r="R753" t="str" cm="1">
        <f t="array" ref="R753">_xlfn.IFS(AND($A753="thg-beauty",ISNUMBER(SEARCH("liveramp",$C753))),"thg-beauty Liveramp dataset — confirmed safe to delete",$A753="agile-bonbon-662",_xlfn.IFS(LEFT($G753,9)="Tranche 1","Tranche 1: cleared",$C753="Sessions_Level_1_All_Sites","Downstream aggregation of UA raw logs — keep if raw tables go",ISNUMBER(--$C753),"UA raw site logs (account ID) — keep pending audit-retention check",$C753="Emag_Reporting","Legacy but likely needed",$C753="Nutrition_Data_Archived_Tables","Worth keeping",$C753="EU_Data","Static lookup tables — scripts still reference (smoke-test risk)",TRUE,"Review"),OR($A753="thg-influencer",$A753="thg-ingenuity",$A753="thg-central-marketing",$A753="thg-seoclarity"),"HOLD — Charlie Stringer to review before deletion",TRUE,"")</f>
        <v>HOLD — Charlie Stringer to review before deletion</v>
      </c>
      <c r="S753" t="s">
        <v>1624</v>
      </c>
    </row>
    <row r="754" spans="1:19" hidden="1">
      <c r="A754" t="s">
        <v>38</v>
      </c>
      <c r="B754" t="s">
        <v>1619</v>
      </c>
      <c r="C754" t="s">
        <v>1820</v>
      </c>
      <c r="D754" s="2" t="s">
        <v>1621</v>
      </c>
      <c r="E754">
        <v>0</v>
      </c>
      <c r="F754">
        <v>0</v>
      </c>
      <c r="G754" t="s">
        <v>79</v>
      </c>
      <c r="H754" t="s">
        <v>81</v>
      </c>
      <c r="M754" s="2" t="s">
        <v>1715</v>
      </c>
      <c r="N754" s="2" t="s">
        <v>1701</v>
      </c>
      <c r="P754" t="str">
        <f>IF($Q754="DELETE",IF($S754="CONFIRMED: NO MODS &gt; 1YR","CONFIRMED: NO MODS &gt; 1YR","DO NOT DELETE — not defensibly confirmed"),IF($Q754="HOLD","DO NOT DELETE — HOLD (Charlie review)",IF($Q754="KEEP","DO NOT DELETE — KEEP",IF(ISNUMBER(SEARCH("REVIEW",$Q754)),"DO NOT DELETE — REVIEW pending",$S754))))</f>
        <v>DO NOT DELETE — HOLD (Charlie review)</v>
      </c>
      <c r="Q754" t="str" cm="1">
        <f t="array" ref="Q754">_xlfn.IFS(AND($A754="thg-beauty",ISNUMBER(SEARCH("liveramp",$C754))),"DELETE",$A754="agile-bonbon-662",_xlfn.IFS(LEFT($G754,9)="Tranche 1","DELETE",$C754="Sessions_Level_1_All_Sites","KEEP",ISNUMBER(--$C754),"REVIEW — UA raw logs",$C754="Emag_Reporting","KEEP",$C754="Nutrition_Data_Archived_Tables","KEEP",$C754="EU_Data","KEEP",TRUE,"REVIEW"),OR($A754="thg-influencer",$A754="thg-ingenuity",$A754="thg-central-marketing",$A754="thg-seoclarity"),"HOLD",TRUE,"")</f>
        <v>HOLD</v>
      </c>
      <c r="R754" t="str" cm="1">
        <f t="array" ref="R754">_xlfn.IFS(AND($A754="thg-beauty",ISNUMBER(SEARCH("liveramp",$C754))),"thg-beauty Liveramp dataset — confirmed safe to delete",$A754="agile-bonbon-662",_xlfn.IFS(LEFT($G754,9)="Tranche 1","Tranche 1: cleared",$C754="Sessions_Level_1_All_Sites","Downstream aggregation of UA raw logs — keep if raw tables go",ISNUMBER(--$C754),"UA raw site logs (account ID) — keep pending audit-retention check",$C754="Emag_Reporting","Legacy but likely needed",$C754="Nutrition_Data_Archived_Tables","Worth keeping",$C754="EU_Data","Static lookup tables — scripts still reference (smoke-test risk)",TRUE,"Review"),OR($A754="thg-influencer",$A754="thg-ingenuity",$A754="thg-central-marketing",$A754="thg-seoclarity"),"HOLD — Charlie Stringer to review before deletion",TRUE,"")</f>
        <v>HOLD — Charlie Stringer to review before deletion</v>
      </c>
      <c r="S754" t="s">
        <v>1624</v>
      </c>
    </row>
    <row r="755" spans="1:19" hidden="1">
      <c r="A755" t="s">
        <v>38</v>
      </c>
      <c r="B755" t="s">
        <v>1619</v>
      </c>
      <c r="C755" t="s">
        <v>3295</v>
      </c>
      <c r="D755" s="2" t="s">
        <v>1621</v>
      </c>
      <c r="E755">
        <v>0</v>
      </c>
      <c r="F755">
        <v>0</v>
      </c>
      <c r="G755" t="s">
        <v>79</v>
      </c>
      <c r="H755" t="s">
        <v>81</v>
      </c>
      <c r="M755" s="2" t="s">
        <v>1715</v>
      </c>
      <c r="N755" s="2" t="s">
        <v>1701</v>
      </c>
      <c r="P755" t="str">
        <f>IF($Q755="DELETE",IF($S755="CONFIRMED: NO MODS &gt; 1YR","CONFIRMED: NO MODS &gt; 1YR","DO NOT DELETE — not defensibly confirmed"),IF($Q755="HOLD","DO NOT DELETE — HOLD (Charlie review)",IF($Q755="KEEP","DO NOT DELETE — KEEP",IF(ISNUMBER(SEARCH("REVIEW",$Q755)),"DO NOT DELETE — REVIEW pending",$S755))))</f>
        <v>DO NOT DELETE — HOLD (Charlie review)</v>
      </c>
      <c r="Q755" t="str" cm="1">
        <f t="array" ref="Q755">_xlfn.IFS(AND($A755="thg-beauty",ISNUMBER(SEARCH("liveramp",$C755))),"DELETE",$A755="agile-bonbon-662",_xlfn.IFS(LEFT($G755,9)="Tranche 1","DELETE",$C755="Sessions_Level_1_All_Sites","KEEP",ISNUMBER(--$C755),"REVIEW — UA raw logs",$C755="Emag_Reporting","KEEP",$C755="Nutrition_Data_Archived_Tables","KEEP",$C755="EU_Data","KEEP",TRUE,"REVIEW"),OR($A755="thg-influencer",$A755="thg-ingenuity",$A755="thg-central-marketing",$A755="thg-seoclarity"),"HOLD",TRUE,"")</f>
        <v>HOLD</v>
      </c>
      <c r="R755" t="str" cm="1">
        <f t="array" ref="R755">_xlfn.IFS(AND($A755="thg-beauty",ISNUMBER(SEARCH("liveramp",$C755))),"thg-beauty Liveramp dataset — confirmed safe to delete",$A755="agile-bonbon-662",_xlfn.IFS(LEFT($G755,9)="Tranche 1","Tranche 1: cleared",$C755="Sessions_Level_1_All_Sites","Downstream aggregation of UA raw logs — keep if raw tables go",ISNUMBER(--$C755),"UA raw site logs (account ID) — keep pending audit-retention check",$C755="Emag_Reporting","Legacy but likely needed",$C755="Nutrition_Data_Archived_Tables","Worth keeping",$C755="EU_Data","Static lookup tables — scripts still reference (smoke-test risk)",TRUE,"Review"),OR($A755="thg-influencer",$A755="thg-ingenuity",$A755="thg-central-marketing",$A755="thg-seoclarity"),"HOLD — Charlie Stringer to review before deletion",TRUE,"")</f>
        <v>HOLD — Charlie Stringer to review before deletion</v>
      </c>
      <c r="S755" t="s">
        <v>1624</v>
      </c>
    </row>
    <row r="756" spans="1:19" hidden="1">
      <c r="A756" t="s">
        <v>38</v>
      </c>
      <c r="B756" t="s">
        <v>1619</v>
      </c>
      <c r="C756" t="s">
        <v>3296</v>
      </c>
      <c r="D756" s="2" t="s">
        <v>1621</v>
      </c>
      <c r="E756">
        <v>0</v>
      </c>
      <c r="F756">
        <v>0</v>
      </c>
      <c r="G756" t="s">
        <v>79</v>
      </c>
      <c r="H756" t="s">
        <v>81</v>
      </c>
      <c r="M756" s="2" t="s">
        <v>1715</v>
      </c>
      <c r="N756" s="2" t="s">
        <v>1701</v>
      </c>
      <c r="P756" t="str">
        <f>IF($Q756="DELETE",IF($S756="CONFIRMED: NO MODS &gt; 1YR","CONFIRMED: NO MODS &gt; 1YR","DO NOT DELETE — not defensibly confirmed"),IF($Q756="HOLD","DO NOT DELETE — HOLD (Charlie review)",IF($Q756="KEEP","DO NOT DELETE — KEEP",IF(ISNUMBER(SEARCH("REVIEW",$Q756)),"DO NOT DELETE — REVIEW pending",$S756))))</f>
        <v>DO NOT DELETE — HOLD (Charlie review)</v>
      </c>
      <c r="Q756" t="str" cm="1">
        <f t="array" ref="Q756">_xlfn.IFS(AND($A756="thg-beauty",ISNUMBER(SEARCH("liveramp",$C756))),"DELETE",$A756="agile-bonbon-662",_xlfn.IFS(LEFT($G756,9)="Tranche 1","DELETE",$C756="Sessions_Level_1_All_Sites","KEEP",ISNUMBER(--$C756),"REVIEW — UA raw logs",$C756="Emag_Reporting","KEEP",$C756="Nutrition_Data_Archived_Tables","KEEP",$C756="EU_Data","KEEP",TRUE,"REVIEW"),OR($A756="thg-influencer",$A756="thg-ingenuity",$A756="thg-central-marketing",$A756="thg-seoclarity"),"HOLD",TRUE,"")</f>
        <v>HOLD</v>
      </c>
      <c r="R756" t="str" cm="1">
        <f t="array" ref="R756">_xlfn.IFS(AND($A756="thg-beauty",ISNUMBER(SEARCH("liveramp",$C756))),"thg-beauty Liveramp dataset — confirmed safe to delete",$A756="agile-bonbon-662",_xlfn.IFS(LEFT($G756,9)="Tranche 1","Tranche 1: cleared",$C756="Sessions_Level_1_All_Sites","Downstream aggregation of UA raw logs — keep if raw tables go",ISNUMBER(--$C756),"UA raw site logs (account ID) — keep pending audit-retention check",$C756="Emag_Reporting","Legacy but likely needed",$C756="Nutrition_Data_Archived_Tables","Worth keeping",$C756="EU_Data","Static lookup tables — scripts still reference (smoke-test risk)",TRUE,"Review"),OR($A756="thg-influencer",$A756="thg-ingenuity",$A756="thg-central-marketing",$A756="thg-seoclarity"),"HOLD — Charlie Stringer to review before deletion",TRUE,"")</f>
        <v>HOLD — Charlie Stringer to review before deletion</v>
      </c>
      <c r="S756" t="s">
        <v>1624</v>
      </c>
    </row>
    <row r="757" spans="1:19" hidden="1">
      <c r="A757" t="s">
        <v>38</v>
      </c>
      <c r="B757" t="s">
        <v>1619</v>
      </c>
      <c r="C757" t="s">
        <v>3297</v>
      </c>
      <c r="D757" s="2" t="s">
        <v>1621</v>
      </c>
      <c r="E757">
        <v>0</v>
      </c>
      <c r="F757">
        <v>0</v>
      </c>
      <c r="G757" t="s">
        <v>79</v>
      </c>
      <c r="H757" t="s">
        <v>81</v>
      </c>
      <c r="M757" s="2" t="s">
        <v>1715</v>
      </c>
      <c r="N757" s="2" t="s">
        <v>1701</v>
      </c>
      <c r="P757" t="str">
        <f>IF($Q757="DELETE",IF($S757="CONFIRMED: NO MODS &gt; 1YR","CONFIRMED: NO MODS &gt; 1YR","DO NOT DELETE — not defensibly confirmed"),IF($Q757="HOLD","DO NOT DELETE — HOLD (Charlie review)",IF($Q757="KEEP","DO NOT DELETE — KEEP",IF(ISNUMBER(SEARCH("REVIEW",$Q757)),"DO NOT DELETE — REVIEW pending",$S757))))</f>
        <v>DO NOT DELETE — HOLD (Charlie review)</v>
      </c>
      <c r="Q757" t="str" cm="1">
        <f t="array" ref="Q757">_xlfn.IFS(AND($A757="thg-beauty",ISNUMBER(SEARCH("liveramp",$C757))),"DELETE",$A757="agile-bonbon-662",_xlfn.IFS(LEFT($G757,9)="Tranche 1","DELETE",$C757="Sessions_Level_1_All_Sites","KEEP",ISNUMBER(--$C757),"REVIEW — UA raw logs",$C757="Emag_Reporting","KEEP",$C757="Nutrition_Data_Archived_Tables","KEEP",$C757="EU_Data","KEEP",TRUE,"REVIEW"),OR($A757="thg-influencer",$A757="thg-ingenuity",$A757="thg-central-marketing",$A757="thg-seoclarity"),"HOLD",TRUE,"")</f>
        <v>HOLD</v>
      </c>
      <c r="R757" t="str" cm="1">
        <f t="array" ref="R757">_xlfn.IFS(AND($A757="thg-beauty",ISNUMBER(SEARCH("liveramp",$C757))),"thg-beauty Liveramp dataset — confirmed safe to delete",$A757="agile-bonbon-662",_xlfn.IFS(LEFT($G757,9)="Tranche 1","Tranche 1: cleared",$C757="Sessions_Level_1_All_Sites","Downstream aggregation of UA raw logs — keep if raw tables go",ISNUMBER(--$C757),"UA raw site logs (account ID) — keep pending audit-retention check",$C757="Emag_Reporting","Legacy but likely needed",$C757="Nutrition_Data_Archived_Tables","Worth keeping",$C757="EU_Data","Static lookup tables — scripts still reference (smoke-test risk)",TRUE,"Review"),OR($A757="thg-influencer",$A757="thg-ingenuity",$A757="thg-central-marketing",$A757="thg-seoclarity"),"HOLD — Charlie Stringer to review before deletion",TRUE,"")</f>
        <v>HOLD — Charlie Stringer to review before deletion</v>
      </c>
      <c r="S757" t="s">
        <v>1624</v>
      </c>
    </row>
    <row r="758" spans="1:19" hidden="1">
      <c r="A758" t="s">
        <v>38</v>
      </c>
      <c r="B758" t="s">
        <v>1619</v>
      </c>
      <c r="C758" t="s">
        <v>3298</v>
      </c>
      <c r="D758" s="2" t="s">
        <v>1621</v>
      </c>
      <c r="E758">
        <v>0</v>
      </c>
      <c r="F758">
        <v>0</v>
      </c>
      <c r="G758" t="s">
        <v>79</v>
      </c>
      <c r="H758" t="s">
        <v>81</v>
      </c>
      <c r="M758" s="2" t="s">
        <v>1715</v>
      </c>
      <c r="N758" s="2" t="s">
        <v>1701</v>
      </c>
      <c r="P758" t="str">
        <f>IF($Q758="DELETE",IF($S758="CONFIRMED: NO MODS &gt; 1YR","CONFIRMED: NO MODS &gt; 1YR","DO NOT DELETE — not defensibly confirmed"),IF($Q758="HOLD","DO NOT DELETE — HOLD (Charlie review)",IF($Q758="KEEP","DO NOT DELETE — KEEP",IF(ISNUMBER(SEARCH("REVIEW",$Q758)),"DO NOT DELETE — REVIEW pending",$S758))))</f>
        <v>DO NOT DELETE — HOLD (Charlie review)</v>
      </c>
      <c r="Q758" t="str" cm="1">
        <f t="array" ref="Q758">_xlfn.IFS(AND($A758="thg-beauty",ISNUMBER(SEARCH("liveramp",$C758))),"DELETE",$A758="agile-bonbon-662",_xlfn.IFS(LEFT($G758,9)="Tranche 1","DELETE",$C758="Sessions_Level_1_All_Sites","KEEP",ISNUMBER(--$C758),"REVIEW — UA raw logs",$C758="Emag_Reporting","KEEP",$C758="Nutrition_Data_Archived_Tables","KEEP",$C758="EU_Data","KEEP",TRUE,"REVIEW"),OR($A758="thg-influencer",$A758="thg-ingenuity",$A758="thg-central-marketing",$A758="thg-seoclarity"),"HOLD",TRUE,"")</f>
        <v>HOLD</v>
      </c>
      <c r="R758" t="str" cm="1">
        <f t="array" ref="R758">_xlfn.IFS(AND($A758="thg-beauty",ISNUMBER(SEARCH("liveramp",$C758))),"thg-beauty Liveramp dataset — confirmed safe to delete",$A758="agile-bonbon-662",_xlfn.IFS(LEFT($G758,9)="Tranche 1","Tranche 1: cleared",$C758="Sessions_Level_1_All_Sites","Downstream aggregation of UA raw logs — keep if raw tables go",ISNUMBER(--$C758),"UA raw site logs (account ID) — keep pending audit-retention check",$C758="Emag_Reporting","Legacy but likely needed",$C758="Nutrition_Data_Archived_Tables","Worth keeping",$C758="EU_Data","Static lookup tables — scripts still reference (smoke-test risk)",TRUE,"Review"),OR($A758="thg-influencer",$A758="thg-ingenuity",$A758="thg-central-marketing",$A758="thg-seoclarity"),"HOLD — Charlie Stringer to review before deletion",TRUE,"")</f>
        <v>HOLD — Charlie Stringer to review before deletion</v>
      </c>
      <c r="S758" t="s">
        <v>1624</v>
      </c>
    </row>
    <row r="759" spans="1:19" hidden="1">
      <c r="A759" t="s">
        <v>38</v>
      </c>
      <c r="B759" t="s">
        <v>1619</v>
      </c>
      <c r="C759" t="s">
        <v>3299</v>
      </c>
      <c r="D759" s="2" t="s">
        <v>1621</v>
      </c>
      <c r="E759">
        <v>0</v>
      </c>
      <c r="F759">
        <v>0</v>
      </c>
      <c r="G759" t="s">
        <v>79</v>
      </c>
      <c r="H759" t="s">
        <v>81</v>
      </c>
      <c r="M759" s="2" t="s">
        <v>1715</v>
      </c>
      <c r="N759" s="2" t="s">
        <v>1701</v>
      </c>
      <c r="P759" t="str">
        <f>IF($Q759="DELETE",IF($S759="CONFIRMED: NO MODS &gt; 1YR","CONFIRMED: NO MODS &gt; 1YR","DO NOT DELETE — not defensibly confirmed"),IF($Q759="HOLD","DO NOT DELETE — HOLD (Charlie review)",IF($Q759="KEEP","DO NOT DELETE — KEEP",IF(ISNUMBER(SEARCH("REVIEW",$Q759)),"DO NOT DELETE — REVIEW pending",$S759))))</f>
        <v>DO NOT DELETE — HOLD (Charlie review)</v>
      </c>
      <c r="Q759" t="str" cm="1">
        <f t="array" ref="Q759">_xlfn.IFS(AND($A759="thg-beauty",ISNUMBER(SEARCH("liveramp",$C759))),"DELETE",$A759="agile-bonbon-662",_xlfn.IFS(LEFT($G759,9)="Tranche 1","DELETE",$C759="Sessions_Level_1_All_Sites","KEEP",ISNUMBER(--$C759),"REVIEW — UA raw logs",$C759="Emag_Reporting","KEEP",$C759="Nutrition_Data_Archived_Tables","KEEP",$C759="EU_Data","KEEP",TRUE,"REVIEW"),OR($A759="thg-influencer",$A759="thg-ingenuity",$A759="thg-central-marketing",$A759="thg-seoclarity"),"HOLD",TRUE,"")</f>
        <v>HOLD</v>
      </c>
      <c r="R759" t="str" cm="1">
        <f t="array" ref="R759">_xlfn.IFS(AND($A759="thg-beauty",ISNUMBER(SEARCH("liveramp",$C759))),"thg-beauty Liveramp dataset — confirmed safe to delete",$A759="agile-bonbon-662",_xlfn.IFS(LEFT($G759,9)="Tranche 1","Tranche 1: cleared",$C759="Sessions_Level_1_All_Sites","Downstream aggregation of UA raw logs — keep if raw tables go",ISNUMBER(--$C759),"UA raw site logs (account ID) — keep pending audit-retention check",$C759="Emag_Reporting","Legacy but likely needed",$C759="Nutrition_Data_Archived_Tables","Worth keeping",$C759="EU_Data","Static lookup tables — scripts still reference (smoke-test risk)",TRUE,"Review"),OR($A759="thg-influencer",$A759="thg-ingenuity",$A759="thg-central-marketing",$A759="thg-seoclarity"),"HOLD — Charlie Stringer to review before deletion",TRUE,"")</f>
        <v>HOLD — Charlie Stringer to review before deletion</v>
      </c>
      <c r="S759" t="s">
        <v>1624</v>
      </c>
    </row>
    <row r="760" spans="1:19" hidden="1">
      <c r="A760" t="s">
        <v>38</v>
      </c>
      <c r="B760" t="s">
        <v>1619</v>
      </c>
      <c r="C760" t="s">
        <v>3300</v>
      </c>
      <c r="D760" s="2" t="s">
        <v>1621</v>
      </c>
      <c r="E760">
        <v>0</v>
      </c>
      <c r="F760">
        <v>0</v>
      </c>
      <c r="G760" t="s">
        <v>79</v>
      </c>
      <c r="H760" t="s">
        <v>81</v>
      </c>
      <c r="M760" s="2" t="s">
        <v>1715</v>
      </c>
      <c r="N760" s="2" t="s">
        <v>1701</v>
      </c>
      <c r="P760" t="str">
        <f>IF($Q760="DELETE",IF($S760="CONFIRMED: NO MODS &gt; 1YR","CONFIRMED: NO MODS &gt; 1YR","DO NOT DELETE — not defensibly confirmed"),IF($Q760="HOLD","DO NOT DELETE — HOLD (Charlie review)",IF($Q760="KEEP","DO NOT DELETE — KEEP",IF(ISNUMBER(SEARCH("REVIEW",$Q760)),"DO NOT DELETE — REVIEW pending",$S760))))</f>
        <v>DO NOT DELETE — HOLD (Charlie review)</v>
      </c>
      <c r="Q760" t="str" cm="1">
        <f t="array" ref="Q760">_xlfn.IFS(AND($A760="thg-beauty",ISNUMBER(SEARCH("liveramp",$C760))),"DELETE",$A760="agile-bonbon-662",_xlfn.IFS(LEFT($G760,9)="Tranche 1","DELETE",$C760="Sessions_Level_1_All_Sites","KEEP",ISNUMBER(--$C760),"REVIEW — UA raw logs",$C760="Emag_Reporting","KEEP",$C760="Nutrition_Data_Archived_Tables","KEEP",$C760="EU_Data","KEEP",TRUE,"REVIEW"),OR($A760="thg-influencer",$A760="thg-ingenuity",$A760="thg-central-marketing",$A760="thg-seoclarity"),"HOLD",TRUE,"")</f>
        <v>HOLD</v>
      </c>
      <c r="R760" t="str" cm="1">
        <f t="array" ref="R760">_xlfn.IFS(AND($A760="thg-beauty",ISNUMBER(SEARCH("liveramp",$C760))),"thg-beauty Liveramp dataset — confirmed safe to delete",$A760="agile-bonbon-662",_xlfn.IFS(LEFT($G760,9)="Tranche 1","Tranche 1: cleared",$C760="Sessions_Level_1_All_Sites","Downstream aggregation of UA raw logs — keep if raw tables go",ISNUMBER(--$C760),"UA raw site logs (account ID) — keep pending audit-retention check",$C760="Emag_Reporting","Legacy but likely needed",$C760="Nutrition_Data_Archived_Tables","Worth keeping",$C760="EU_Data","Static lookup tables — scripts still reference (smoke-test risk)",TRUE,"Review"),OR($A760="thg-influencer",$A760="thg-ingenuity",$A760="thg-central-marketing",$A760="thg-seoclarity"),"HOLD — Charlie Stringer to review before deletion",TRUE,"")</f>
        <v>HOLD — Charlie Stringer to review before deletion</v>
      </c>
      <c r="S760" t="s">
        <v>1624</v>
      </c>
    </row>
    <row r="761" spans="1:19" hidden="1">
      <c r="A761" t="s">
        <v>38</v>
      </c>
      <c r="B761" t="s">
        <v>1619</v>
      </c>
      <c r="C761" t="s">
        <v>3301</v>
      </c>
      <c r="D761" s="2" t="s">
        <v>1621</v>
      </c>
      <c r="E761">
        <v>0</v>
      </c>
      <c r="F761">
        <v>0</v>
      </c>
      <c r="G761" t="s">
        <v>79</v>
      </c>
      <c r="H761" t="s">
        <v>81</v>
      </c>
      <c r="M761" s="2" t="s">
        <v>1715</v>
      </c>
      <c r="N761" s="2" t="s">
        <v>1701</v>
      </c>
      <c r="P761" t="str">
        <f>IF($Q761="DELETE",IF($S761="CONFIRMED: NO MODS &gt; 1YR","CONFIRMED: NO MODS &gt; 1YR","DO NOT DELETE — not defensibly confirmed"),IF($Q761="HOLD","DO NOT DELETE — HOLD (Charlie review)",IF($Q761="KEEP","DO NOT DELETE — KEEP",IF(ISNUMBER(SEARCH("REVIEW",$Q761)),"DO NOT DELETE — REVIEW pending",$S761))))</f>
        <v>DO NOT DELETE — HOLD (Charlie review)</v>
      </c>
      <c r="Q761" t="str" cm="1">
        <f t="array" ref="Q761">_xlfn.IFS(AND($A761="thg-beauty",ISNUMBER(SEARCH("liveramp",$C761))),"DELETE",$A761="agile-bonbon-662",_xlfn.IFS(LEFT($G761,9)="Tranche 1","DELETE",$C761="Sessions_Level_1_All_Sites","KEEP",ISNUMBER(--$C761),"REVIEW — UA raw logs",$C761="Emag_Reporting","KEEP",$C761="Nutrition_Data_Archived_Tables","KEEP",$C761="EU_Data","KEEP",TRUE,"REVIEW"),OR($A761="thg-influencer",$A761="thg-ingenuity",$A761="thg-central-marketing",$A761="thg-seoclarity"),"HOLD",TRUE,"")</f>
        <v>HOLD</v>
      </c>
      <c r="R761" t="str" cm="1">
        <f t="array" ref="R761">_xlfn.IFS(AND($A761="thg-beauty",ISNUMBER(SEARCH("liveramp",$C761))),"thg-beauty Liveramp dataset — confirmed safe to delete",$A761="agile-bonbon-662",_xlfn.IFS(LEFT($G761,9)="Tranche 1","Tranche 1: cleared",$C761="Sessions_Level_1_All_Sites","Downstream aggregation of UA raw logs — keep if raw tables go",ISNUMBER(--$C761),"UA raw site logs (account ID) — keep pending audit-retention check",$C761="Emag_Reporting","Legacy but likely needed",$C761="Nutrition_Data_Archived_Tables","Worth keeping",$C761="EU_Data","Static lookup tables — scripts still reference (smoke-test risk)",TRUE,"Review"),OR($A761="thg-influencer",$A761="thg-ingenuity",$A761="thg-central-marketing",$A761="thg-seoclarity"),"HOLD — Charlie Stringer to review before deletion",TRUE,"")</f>
        <v>HOLD — Charlie Stringer to review before deletion</v>
      </c>
      <c r="S761" t="s">
        <v>1624</v>
      </c>
    </row>
    <row r="762" spans="1:19" hidden="1">
      <c r="A762" t="s">
        <v>38</v>
      </c>
      <c r="B762" t="s">
        <v>1619</v>
      </c>
      <c r="C762" t="s">
        <v>3302</v>
      </c>
      <c r="D762" s="2" t="s">
        <v>1621</v>
      </c>
      <c r="E762">
        <v>0</v>
      </c>
      <c r="F762">
        <v>0</v>
      </c>
      <c r="G762" t="s">
        <v>79</v>
      </c>
      <c r="H762" t="s">
        <v>81</v>
      </c>
      <c r="M762" s="2" t="s">
        <v>1715</v>
      </c>
      <c r="N762" s="2" t="s">
        <v>1701</v>
      </c>
      <c r="P762" t="str">
        <f>IF($Q762="DELETE",IF($S762="CONFIRMED: NO MODS &gt; 1YR","CONFIRMED: NO MODS &gt; 1YR","DO NOT DELETE — not defensibly confirmed"),IF($Q762="HOLD","DO NOT DELETE — HOLD (Charlie review)",IF($Q762="KEEP","DO NOT DELETE — KEEP",IF(ISNUMBER(SEARCH("REVIEW",$Q762)),"DO NOT DELETE — REVIEW pending",$S762))))</f>
        <v>DO NOT DELETE — HOLD (Charlie review)</v>
      </c>
      <c r="Q762" t="str" cm="1">
        <f t="array" ref="Q762">_xlfn.IFS(AND($A762="thg-beauty",ISNUMBER(SEARCH("liveramp",$C762))),"DELETE",$A762="agile-bonbon-662",_xlfn.IFS(LEFT($G762,9)="Tranche 1","DELETE",$C762="Sessions_Level_1_All_Sites","KEEP",ISNUMBER(--$C762),"REVIEW — UA raw logs",$C762="Emag_Reporting","KEEP",$C762="Nutrition_Data_Archived_Tables","KEEP",$C762="EU_Data","KEEP",TRUE,"REVIEW"),OR($A762="thg-influencer",$A762="thg-ingenuity",$A762="thg-central-marketing",$A762="thg-seoclarity"),"HOLD",TRUE,"")</f>
        <v>HOLD</v>
      </c>
      <c r="R762" t="str" cm="1">
        <f t="array" ref="R762">_xlfn.IFS(AND($A762="thg-beauty",ISNUMBER(SEARCH("liveramp",$C762))),"thg-beauty Liveramp dataset — confirmed safe to delete",$A762="agile-bonbon-662",_xlfn.IFS(LEFT($G762,9)="Tranche 1","Tranche 1: cleared",$C762="Sessions_Level_1_All_Sites","Downstream aggregation of UA raw logs — keep if raw tables go",ISNUMBER(--$C762),"UA raw site logs (account ID) — keep pending audit-retention check",$C762="Emag_Reporting","Legacy but likely needed",$C762="Nutrition_Data_Archived_Tables","Worth keeping",$C762="EU_Data","Static lookup tables — scripts still reference (smoke-test risk)",TRUE,"Review"),OR($A762="thg-influencer",$A762="thg-ingenuity",$A762="thg-central-marketing",$A762="thg-seoclarity"),"HOLD — Charlie Stringer to review before deletion",TRUE,"")</f>
        <v>HOLD — Charlie Stringer to review before deletion</v>
      </c>
      <c r="S762" t="s">
        <v>1624</v>
      </c>
    </row>
    <row r="763" spans="1:19" hidden="1">
      <c r="A763" t="s">
        <v>38</v>
      </c>
      <c r="B763" t="s">
        <v>1619</v>
      </c>
      <c r="C763" t="s">
        <v>3303</v>
      </c>
      <c r="D763" s="2" t="s">
        <v>1621</v>
      </c>
      <c r="E763">
        <v>0</v>
      </c>
      <c r="F763">
        <v>0</v>
      </c>
      <c r="G763" t="s">
        <v>79</v>
      </c>
      <c r="H763" t="s">
        <v>81</v>
      </c>
      <c r="M763" s="2" t="s">
        <v>1715</v>
      </c>
      <c r="N763" s="2" t="s">
        <v>1701</v>
      </c>
      <c r="P763" t="str">
        <f>IF($Q763="DELETE",IF($S763="CONFIRMED: NO MODS &gt; 1YR","CONFIRMED: NO MODS &gt; 1YR","DO NOT DELETE — not defensibly confirmed"),IF($Q763="HOLD","DO NOT DELETE — HOLD (Charlie review)",IF($Q763="KEEP","DO NOT DELETE — KEEP",IF(ISNUMBER(SEARCH("REVIEW",$Q763)),"DO NOT DELETE — REVIEW pending",$S763))))</f>
        <v>DO NOT DELETE — HOLD (Charlie review)</v>
      </c>
      <c r="Q763" t="str" cm="1">
        <f t="array" ref="Q763">_xlfn.IFS(AND($A763="thg-beauty",ISNUMBER(SEARCH("liveramp",$C763))),"DELETE",$A763="agile-bonbon-662",_xlfn.IFS(LEFT($G763,9)="Tranche 1","DELETE",$C763="Sessions_Level_1_All_Sites","KEEP",ISNUMBER(--$C763),"REVIEW — UA raw logs",$C763="Emag_Reporting","KEEP",$C763="Nutrition_Data_Archived_Tables","KEEP",$C763="EU_Data","KEEP",TRUE,"REVIEW"),OR($A763="thg-influencer",$A763="thg-ingenuity",$A763="thg-central-marketing",$A763="thg-seoclarity"),"HOLD",TRUE,"")</f>
        <v>HOLD</v>
      </c>
      <c r="R763" t="str" cm="1">
        <f t="array" ref="R763">_xlfn.IFS(AND($A763="thg-beauty",ISNUMBER(SEARCH("liveramp",$C763))),"thg-beauty Liveramp dataset — confirmed safe to delete",$A763="agile-bonbon-662",_xlfn.IFS(LEFT($G763,9)="Tranche 1","Tranche 1: cleared",$C763="Sessions_Level_1_All_Sites","Downstream aggregation of UA raw logs — keep if raw tables go",ISNUMBER(--$C763),"UA raw site logs (account ID) — keep pending audit-retention check",$C763="Emag_Reporting","Legacy but likely needed",$C763="Nutrition_Data_Archived_Tables","Worth keeping",$C763="EU_Data","Static lookup tables — scripts still reference (smoke-test risk)",TRUE,"Review"),OR($A763="thg-influencer",$A763="thg-ingenuity",$A763="thg-central-marketing",$A763="thg-seoclarity"),"HOLD — Charlie Stringer to review before deletion",TRUE,"")</f>
        <v>HOLD — Charlie Stringer to review before deletion</v>
      </c>
      <c r="S763" t="s">
        <v>1624</v>
      </c>
    </row>
    <row r="764" spans="1:19" hidden="1">
      <c r="A764" t="s">
        <v>38</v>
      </c>
      <c r="B764" t="s">
        <v>1619</v>
      </c>
      <c r="C764" t="s">
        <v>3304</v>
      </c>
      <c r="D764" s="2" t="s">
        <v>1621</v>
      </c>
      <c r="E764">
        <v>0</v>
      </c>
      <c r="F764">
        <v>0</v>
      </c>
      <c r="G764" t="s">
        <v>79</v>
      </c>
      <c r="H764" t="s">
        <v>81</v>
      </c>
      <c r="M764" s="2" t="s">
        <v>1715</v>
      </c>
      <c r="N764" s="2" t="s">
        <v>1701</v>
      </c>
      <c r="P764" t="str">
        <f>IF($Q764="DELETE",IF($S764="CONFIRMED: NO MODS &gt; 1YR","CONFIRMED: NO MODS &gt; 1YR","DO NOT DELETE — not defensibly confirmed"),IF($Q764="HOLD","DO NOT DELETE — HOLD (Charlie review)",IF($Q764="KEEP","DO NOT DELETE — KEEP",IF(ISNUMBER(SEARCH("REVIEW",$Q764)),"DO NOT DELETE — REVIEW pending",$S764))))</f>
        <v>DO NOT DELETE — HOLD (Charlie review)</v>
      </c>
      <c r="Q764" t="str" cm="1">
        <f t="array" ref="Q764">_xlfn.IFS(AND($A764="thg-beauty",ISNUMBER(SEARCH("liveramp",$C764))),"DELETE",$A764="agile-bonbon-662",_xlfn.IFS(LEFT($G764,9)="Tranche 1","DELETE",$C764="Sessions_Level_1_All_Sites","KEEP",ISNUMBER(--$C764),"REVIEW — UA raw logs",$C764="Emag_Reporting","KEEP",$C764="Nutrition_Data_Archived_Tables","KEEP",$C764="EU_Data","KEEP",TRUE,"REVIEW"),OR($A764="thg-influencer",$A764="thg-ingenuity",$A764="thg-central-marketing",$A764="thg-seoclarity"),"HOLD",TRUE,"")</f>
        <v>HOLD</v>
      </c>
      <c r="R764" t="str" cm="1">
        <f t="array" ref="R764">_xlfn.IFS(AND($A764="thg-beauty",ISNUMBER(SEARCH("liveramp",$C764))),"thg-beauty Liveramp dataset — confirmed safe to delete",$A764="agile-bonbon-662",_xlfn.IFS(LEFT($G764,9)="Tranche 1","Tranche 1: cleared",$C764="Sessions_Level_1_All_Sites","Downstream aggregation of UA raw logs — keep if raw tables go",ISNUMBER(--$C764),"UA raw site logs (account ID) — keep pending audit-retention check",$C764="Emag_Reporting","Legacy but likely needed",$C764="Nutrition_Data_Archived_Tables","Worth keeping",$C764="EU_Data","Static lookup tables — scripts still reference (smoke-test risk)",TRUE,"Review"),OR($A764="thg-influencer",$A764="thg-ingenuity",$A764="thg-central-marketing",$A764="thg-seoclarity"),"HOLD — Charlie Stringer to review before deletion",TRUE,"")</f>
        <v>HOLD — Charlie Stringer to review before deletion</v>
      </c>
      <c r="S764" t="s">
        <v>1624</v>
      </c>
    </row>
    <row r="765" spans="1:19" hidden="1">
      <c r="A765" t="s">
        <v>38</v>
      </c>
      <c r="B765" t="s">
        <v>1619</v>
      </c>
      <c r="C765" t="s">
        <v>3305</v>
      </c>
      <c r="D765" s="2" t="s">
        <v>1621</v>
      </c>
      <c r="E765">
        <v>0</v>
      </c>
      <c r="F765">
        <v>0</v>
      </c>
      <c r="G765" t="s">
        <v>79</v>
      </c>
      <c r="H765" t="s">
        <v>81</v>
      </c>
      <c r="M765" s="2" t="s">
        <v>1715</v>
      </c>
      <c r="N765" s="2" t="s">
        <v>1701</v>
      </c>
      <c r="P765" t="str">
        <f>IF($Q765="DELETE",IF($S765="CONFIRMED: NO MODS &gt; 1YR","CONFIRMED: NO MODS &gt; 1YR","DO NOT DELETE — not defensibly confirmed"),IF($Q765="HOLD","DO NOT DELETE — HOLD (Charlie review)",IF($Q765="KEEP","DO NOT DELETE — KEEP",IF(ISNUMBER(SEARCH("REVIEW",$Q765)),"DO NOT DELETE — REVIEW pending",$S765))))</f>
        <v>DO NOT DELETE — HOLD (Charlie review)</v>
      </c>
      <c r="Q765" t="str" cm="1">
        <f t="array" ref="Q765">_xlfn.IFS(AND($A765="thg-beauty",ISNUMBER(SEARCH("liveramp",$C765))),"DELETE",$A765="agile-bonbon-662",_xlfn.IFS(LEFT($G765,9)="Tranche 1","DELETE",$C765="Sessions_Level_1_All_Sites","KEEP",ISNUMBER(--$C765),"REVIEW — UA raw logs",$C765="Emag_Reporting","KEEP",$C765="Nutrition_Data_Archived_Tables","KEEP",$C765="EU_Data","KEEP",TRUE,"REVIEW"),OR($A765="thg-influencer",$A765="thg-ingenuity",$A765="thg-central-marketing",$A765="thg-seoclarity"),"HOLD",TRUE,"")</f>
        <v>HOLD</v>
      </c>
      <c r="R765" t="str" cm="1">
        <f t="array" ref="R765">_xlfn.IFS(AND($A765="thg-beauty",ISNUMBER(SEARCH("liveramp",$C765))),"thg-beauty Liveramp dataset — confirmed safe to delete",$A765="agile-bonbon-662",_xlfn.IFS(LEFT($G765,9)="Tranche 1","Tranche 1: cleared",$C765="Sessions_Level_1_All_Sites","Downstream aggregation of UA raw logs — keep if raw tables go",ISNUMBER(--$C765),"UA raw site logs (account ID) — keep pending audit-retention check",$C765="Emag_Reporting","Legacy but likely needed",$C765="Nutrition_Data_Archived_Tables","Worth keeping",$C765="EU_Data","Static lookup tables — scripts still reference (smoke-test risk)",TRUE,"Review"),OR($A765="thg-influencer",$A765="thg-ingenuity",$A765="thg-central-marketing",$A765="thg-seoclarity"),"HOLD — Charlie Stringer to review before deletion",TRUE,"")</f>
        <v>HOLD — Charlie Stringer to review before deletion</v>
      </c>
      <c r="S765" t="s">
        <v>1624</v>
      </c>
    </row>
    <row r="766" spans="1:19" hidden="1">
      <c r="A766" t="s">
        <v>38</v>
      </c>
      <c r="B766" t="s">
        <v>1619</v>
      </c>
      <c r="C766" t="s">
        <v>3306</v>
      </c>
      <c r="D766" s="2" t="s">
        <v>1621</v>
      </c>
      <c r="E766">
        <v>0</v>
      </c>
      <c r="F766">
        <v>0</v>
      </c>
      <c r="G766" t="s">
        <v>79</v>
      </c>
      <c r="H766" t="s">
        <v>81</v>
      </c>
      <c r="M766" s="2" t="s">
        <v>1715</v>
      </c>
      <c r="N766" s="2" t="s">
        <v>1701</v>
      </c>
      <c r="P766" t="str">
        <f>IF($Q766="DELETE",IF($S766="CONFIRMED: NO MODS &gt; 1YR","CONFIRMED: NO MODS &gt; 1YR","DO NOT DELETE — not defensibly confirmed"),IF($Q766="HOLD","DO NOT DELETE — HOLD (Charlie review)",IF($Q766="KEEP","DO NOT DELETE — KEEP",IF(ISNUMBER(SEARCH("REVIEW",$Q766)),"DO NOT DELETE — REVIEW pending",$S766))))</f>
        <v>DO NOT DELETE — HOLD (Charlie review)</v>
      </c>
      <c r="Q766" t="str" cm="1">
        <f t="array" ref="Q766">_xlfn.IFS(AND($A766="thg-beauty",ISNUMBER(SEARCH("liveramp",$C766))),"DELETE",$A766="agile-bonbon-662",_xlfn.IFS(LEFT($G766,9)="Tranche 1","DELETE",$C766="Sessions_Level_1_All_Sites","KEEP",ISNUMBER(--$C766),"REVIEW — UA raw logs",$C766="Emag_Reporting","KEEP",$C766="Nutrition_Data_Archived_Tables","KEEP",$C766="EU_Data","KEEP",TRUE,"REVIEW"),OR($A766="thg-influencer",$A766="thg-ingenuity",$A766="thg-central-marketing",$A766="thg-seoclarity"),"HOLD",TRUE,"")</f>
        <v>HOLD</v>
      </c>
      <c r="R766" t="str" cm="1">
        <f t="array" ref="R766">_xlfn.IFS(AND($A766="thg-beauty",ISNUMBER(SEARCH("liveramp",$C766))),"thg-beauty Liveramp dataset — confirmed safe to delete",$A766="agile-bonbon-662",_xlfn.IFS(LEFT($G766,9)="Tranche 1","Tranche 1: cleared",$C766="Sessions_Level_1_All_Sites","Downstream aggregation of UA raw logs — keep if raw tables go",ISNUMBER(--$C766),"UA raw site logs (account ID) — keep pending audit-retention check",$C766="Emag_Reporting","Legacy but likely needed",$C766="Nutrition_Data_Archived_Tables","Worth keeping",$C766="EU_Data","Static lookup tables — scripts still reference (smoke-test risk)",TRUE,"Review"),OR($A766="thg-influencer",$A766="thg-ingenuity",$A766="thg-central-marketing",$A766="thg-seoclarity"),"HOLD — Charlie Stringer to review before deletion",TRUE,"")</f>
        <v>HOLD — Charlie Stringer to review before deletion</v>
      </c>
      <c r="S766" t="s">
        <v>1624</v>
      </c>
    </row>
    <row r="767" spans="1:19" hidden="1">
      <c r="A767" t="s">
        <v>38</v>
      </c>
      <c r="B767" t="s">
        <v>1619</v>
      </c>
      <c r="C767" t="s">
        <v>2059</v>
      </c>
      <c r="D767" s="2" t="s">
        <v>1621</v>
      </c>
      <c r="E767">
        <v>0</v>
      </c>
      <c r="F767">
        <v>0</v>
      </c>
      <c r="G767" t="s">
        <v>79</v>
      </c>
      <c r="H767" t="s">
        <v>81</v>
      </c>
      <c r="M767" s="2" t="s">
        <v>1715</v>
      </c>
      <c r="N767" s="2" t="s">
        <v>1701</v>
      </c>
      <c r="P767" t="str">
        <f>IF($Q767="DELETE",IF($S767="CONFIRMED: NO MODS &gt; 1YR","CONFIRMED: NO MODS &gt; 1YR","DO NOT DELETE — not defensibly confirmed"),IF($Q767="HOLD","DO NOT DELETE — HOLD (Charlie review)",IF($Q767="KEEP","DO NOT DELETE — KEEP",IF(ISNUMBER(SEARCH("REVIEW",$Q767)),"DO NOT DELETE — REVIEW pending",$S767))))</f>
        <v>DO NOT DELETE — HOLD (Charlie review)</v>
      </c>
      <c r="Q767" t="str" cm="1">
        <f t="array" ref="Q767">_xlfn.IFS(AND($A767="thg-beauty",ISNUMBER(SEARCH("liveramp",$C767))),"DELETE",$A767="agile-bonbon-662",_xlfn.IFS(LEFT($G767,9)="Tranche 1","DELETE",$C767="Sessions_Level_1_All_Sites","KEEP",ISNUMBER(--$C767),"REVIEW — UA raw logs",$C767="Emag_Reporting","KEEP",$C767="Nutrition_Data_Archived_Tables","KEEP",$C767="EU_Data","KEEP",TRUE,"REVIEW"),OR($A767="thg-influencer",$A767="thg-ingenuity",$A767="thg-central-marketing",$A767="thg-seoclarity"),"HOLD",TRUE,"")</f>
        <v>HOLD</v>
      </c>
      <c r="R767" t="str" cm="1">
        <f t="array" ref="R767">_xlfn.IFS(AND($A767="thg-beauty",ISNUMBER(SEARCH("liveramp",$C767))),"thg-beauty Liveramp dataset — confirmed safe to delete",$A767="agile-bonbon-662",_xlfn.IFS(LEFT($G767,9)="Tranche 1","Tranche 1: cleared",$C767="Sessions_Level_1_All_Sites","Downstream aggregation of UA raw logs — keep if raw tables go",ISNUMBER(--$C767),"UA raw site logs (account ID) — keep pending audit-retention check",$C767="Emag_Reporting","Legacy but likely needed",$C767="Nutrition_Data_Archived_Tables","Worth keeping",$C767="EU_Data","Static lookup tables — scripts still reference (smoke-test risk)",TRUE,"Review"),OR($A767="thg-influencer",$A767="thg-ingenuity",$A767="thg-central-marketing",$A767="thg-seoclarity"),"HOLD — Charlie Stringer to review before deletion",TRUE,"")</f>
        <v>HOLD — Charlie Stringer to review before deletion</v>
      </c>
      <c r="S767" t="s">
        <v>1624</v>
      </c>
    </row>
    <row r="768" spans="1:19" hidden="1">
      <c r="A768" t="s">
        <v>38</v>
      </c>
      <c r="B768" t="s">
        <v>1619</v>
      </c>
      <c r="C768" t="s">
        <v>3307</v>
      </c>
      <c r="D768" s="2" t="s">
        <v>1621</v>
      </c>
      <c r="E768">
        <v>0</v>
      </c>
      <c r="F768">
        <v>0</v>
      </c>
      <c r="G768" t="s">
        <v>79</v>
      </c>
      <c r="H768" t="s">
        <v>81</v>
      </c>
      <c r="M768" s="2" t="s">
        <v>1715</v>
      </c>
      <c r="N768" s="2" t="s">
        <v>1701</v>
      </c>
      <c r="P768" t="str">
        <f>IF($Q768="DELETE",IF($S768="CONFIRMED: NO MODS &gt; 1YR","CONFIRMED: NO MODS &gt; 1YR","DO NOT DELETE — not defensibly confirmed"),IF($Q768="HOLD","DO NOT DELETE — HOLD (Charlie review)",IF($Q768="KEEP","DO NOT DELETE — KEEP",IF(ISNUMBER(SEARCH("REVIEW",$Q768)),"DO NOT DELETE — REVIEW pending",$S768))))</f>
        <v>DO NOT DELETE — HOLD (Charlie review)</v>
      </c>
      <c r="Q768" t="str" cm="1">
        <f t="array" ref="Q768">_xlfn.IFS(AND($A768="thg-beauty",ISNUMBER(SEARCH("liveramp",$C768))),"DELETE",$A768="agile-bonbon-662",_xlfn.IFS(LEFT($G768,9)="Tranche 1","DELETE",$C768="Sessions_Level_1_All_Sites","KEEP",ISNUMBER(--$C768),"REVIEW — UA raw logs",$C768="Emag_Reporting","KEEP",$C768="Nutrition_Data_Archived_Tables","KEEP",$C768="EU_Data","KEEP",TRUE,"REVIEW"),OR($A768="thg-influencer",$A768="thg-ingenuity",$A768="thg-central-marketing",$A768="thg-seoclarity"),"HOLD",TRUE,"")</f>
        <v>HOLD</v>
      </c>
      <c r="R768" t="str" cm="1">
        <f t="array" ref="R768">_xlfn.IFS(AND($A768="thg-beauty",ISNUMBER(SEARCH("liveramp",$C768))),"thg-beauty Liveramp dataset — confirmed safe to delete",$A768="agile-bonbon-662",_xlfn.IFS(LEFT($G768,9)="Tranche 1","Tranche 1: cleared",$C768="Sessions_Level_1_All_Sites","Downstream aggregation of UA raw logs — keep if raw tables go",ISNUMBER(--$C768),"UA raw site logs (account ID) — keep pending audit-retention check",$C768="Emag_Reporting","Legacy but likely needed",$C768="Nutrition_Data_Archived_Tables","Worth keeping",$C768="EU_Data","Static lookup tables — scripts still reference (smoke-test risk)",TRUE,"Review"),OR($A768="thg-influencer",$A768="thg-ingenuity",$A768="thg-central-marketing",$A768="thg-seoclarity"),"HOLD — Charlie Stringer to review before deletion",TRUE,"")</f>
        <v>HOLD — Charlie Stringer to review before deletion</v>
      </c>
      <c r="S768" t="s">
        <v>1624</v>
      </c>
    </row>
    <row r="769" spans="1:19" hidden="1">
      <c r="A769" t="s">
        <v>38</v>
      </c>
      <c r="B769" t="s">
        <v>1619</v>
      </c>
      <c r="C769" t="s">
        <v>3308</v>
      </c>
      <c r="D769" s="2" t="s">
        <v>1621</v>
      </c>
      <c r="E769">
        <v>0</v>
      </c>
      <c r="F769">
        <v>0</v>
      </c>
      <c r="G769" t="s">
        <v>79</v>
      </c>
      <c r="H769" t="s">
        <v>81</v>
      </c>
      <c r="M769" s="2" t="s">
        <v>1715</v>
      </c>
      <c r="N769" s="2" t="s">
        <v>1701</v>
      </c>
      <c r="P769" t="str">
        <f>IF($Q769="DELETE",IF($S769="CONFIRMED: NO MODS &gt; 1YR","CONFIRMED: NO MODS &gt; 1YR","DO NOT DELETE — not defensibly confirmed"),IF($Q769="HOLD","DO NOT DELETE — HOLD (Charlie review)",IF($Q769="KEEP","DO NOT DELETE — KEEP",IF(ISNUMBER(SEARCH("REVIEW",$Q769)),"DO NOT DELETE — REVIEW pending",$S769))))</f>
        <v>DO NOT DELETE — HOLD (Charlie review)</v>
      </c>
      <c r="Q769" t="str" cm="1">
        <f t="array" ref="Q769">_xlfn.IFS(AND($A769="thg-beauty",ISNUMBER(SEARCH("liveramp",$C769))),"DELETE",$A769="agile-bonbon-662",_xlfn.IFS(LEFT($G769,9)="Tranche 1","DELETE",$C769="Sessions_Level_1_All_Sites","KEEP",ISNUMBER(--$C769),"REVIEW — UA raw logs",$C769="Emag_Reporting","KEEP",$C769="Nutrition_Data_Archived_Tables","KEEP",$C769="EU_Data","KEEP",TRUE,"REVIEW"),OR($A769="thg-influencer",$A769="thg-ingenuity",$A769="thg-central-marketing",$A769="thg-seoclarity"),"HOLD",TRUE,"")</f>
        <v>HOLD</v>
      </c>
      <c r="R769" t="str" cm="1">
        <f t="array" ref="R769">_xlfn.IFS(AND($A769="thg-beauty",ISNUMBER(SEARCH("liveramp",$C769))),"thg-beauty Liveramp dataset — confirmed safe to delete",$A769="agile-bonbon-662",_xlfn.IFS(LEFT($G769,9)="Tranche 1","Tranche 1: cleared",$C769="Sessions_Level_1_All_Sites","Downstream aggregation of UA raw logs — keep if raw tables go",ISNUMBER(--$C769),"UA raw site logs (account ID) — keep pending audit-retention check",$C769="Emag_Reporting","Legacy but likely needed",$C769="Nutrition_Data_Archived_Tables","Worth keeping",$C769="EU_Data","Static lookup tables — scripts still reference (smoke-test risk)",TRUE,"Review"),OR($A769="thg-influencer",$A769="thg-ingenuity",$A769="thg-central-marketing",$A769="thg-seoclarity"),"HOLD — Charlie Stringer to review before deletion",TRUE,"")</f>
        <v>HOLD — Charlie Stringer to review before deletion</v>
      </c>
      <c r="S769" t="s">
        <v>1624</v>
      </c>
    </row>
    <row r="770" spans="1:19" hidden="1">
      <c r="A770" t="s">
        <v>38</v>
      </c>
      <c r="B770" t="s">
        <v>1619</v>
      </c>
      <c r="C770" t="s">
        <v>3309</v>
      </c>
      <c r="D770" s="2" t="s">
        <v>1621</v>
      </c>
      <c r="E770">
        <v>0</v>
      </c>
      <c r="F770">
        <v>0</v>
      </c>
      <c r="G770" t="s">
        <v>79</v>
      </c>
      <c r="H770" t="s">
        <v>81</v>
      </c>
      <c r="M770" s="2" t="s">
        <v>1715</v>
      </c>
      <c r="N770" s="2" t="s">
        <v>1701</v>
      </c>
      <c r="P770" t="str">
        <f>IF($Q770="DELETE",IF($S770="CONFIRMED: NO MODS &gt; 1YR","CONFIRMED: NO MODS &gt; 1YR","DO NOT DELETE — not defensibly confirmed"),IF($Q770="HOLD","DO NOT DELETE — HOLD (Charlie review)",IF($Q770="KEEP","DO NOT DELETE — KEEP",IF(ISNUMBER(SEARCH("REVIEW",$Q770)),"DO NOT DELETE — REVIEW pending",$S770))))</f>
        <v>DO NOT DELETE — HOLD (Charlie review)</v>
      </c>
      <c r="Q770" t="str" cm="1">
        <f t="array" ref="Q770">_xlfn.IFS(AND($A770="thg-beauty",ISNUMBER(SEARCH("liveramp",$C770))),"DELETE",$A770="agile-bonbon-662",_xlfn.IFS(LEFT($G770,9)="Tranche 1","DELETE",$C770="Sessions_Level_1_All_Sites","KEEP",ISNUMBER(--$C770),"REVIEW — UA raw logs",$C770="Emag_Reporting","KEEP",$C770="Nutrition_Data_Archived_Tables","KEEP",$C770="EU_Data","KEEP",TRUE,"REVIEW"),OR($A770="thg-influencer",$A770="thg-ingenuity",$A770="thg-central-marketing",$A770="thg-seoclarity"),"HOLD",TRUE,"")</f>
        <v>HOLD</v>
      </c>
      <c r="R770" t="str" cm="1">
        <f t="array" ref="R770">_xlfn.IFS(AND($A770="thg-beauty",ISNUMBER(SEARCH("liveramp",$C770))),"thg-beauty Liveramp dataset — confirmed safe to delete",$A770="agile-bonbon-662",_xlfn.IFS(LEFT($G770,9)="Tranche 1","Tranche 1: cleared",$C770="Sessions_Level_1_All_Sites","Downstream aggregation of UA raw logs — keep if raw tables go",ISNUMBER(--$C770),"UA raw site logs (account ID) — keep pending audit-retention check",$C770="Emag_Reporting","Legacy but likely needed",$C770="Nutrition_Data_Archived_Tables","Worth keeping",$C770="EU_Data","Static lookup tables — scripts still reference (smoke-test risk)",TRUE,"Review"),OR($A770="thg-influencer",$A770="thg-ingenuity",$A770="thg-central-marketing",$A770="thg-seoclarity"),"HOLD — Charlie Stringer to review before deletion",TRUE,"")</f>
        <v>HOLD — Charlie Stringer to review before deletion</v>
      </c>
      <c r="S770" t="s">
        <v>1624</v>
      </c>
    </row>
    <row r="771" spans="1:19" hidden="1">
      <c r="A771" t="s">
        <v>38</v>
      </c>
      <c r="B771" t="s">
        <v>1619</v>
      </c>
      <c r="C771" t="s">
        <v>3310</v>
      </c>
      <c r="D771" s="2" t="s">
        <v>1621</v>
      </c>
      <c r="E771">
        <v>0</v>
      </c>
      <c r="F771">
        <v>0</v>
      </c>
      <c r="G771" t="s">
        <v>79</v>
      </c>
      <c r="H771" t="s">
        <v>81</v>
      </c>
      <c r="M771" s="2" t="s">
        <v>1715</v>
      </c>
      <c r="N771" s="2" t="s">
        <v>1701</v>
      </c>
      <c r="P771" t="str">
        <f>IF($Q771="DELETE",IF($S771="CONFIRMED: NO MODS &gt; 1YR","CONFIRMED: NO MODS &gt; 1YR","DO NOT DELETE — not defensibly confirmed"),IF($Q771="HOLD","DO NOT DELETE — HOLD (Charlie review)",IF($Q771="KEEP","DO NOT DELETE — KEEP",IF(ISNUMBER(SEARCH("REVIEW",$Q771)),"DO NOT DELETE — REVIEW pending",$S771))))</f>
        <v>DO NOT DELETE — HOLD (Charlie review)</v>
      </c>
      <c r="Q771" t="str" cm="1">
        <f t="array" ref="Q771">_xlfn.IFS(AND($A771="thg-beauty",ISNUMBER(SEARCH("liveramp",$C771))),"DELETE",$A771="agile-bonbon-662",_xlfn.IFS(LEFT($G771,9)="Tranche 1","DELETE",$C771="Sessions_Level_1_All_Sites","KEEP",ISNUMBER(--$C771),"REVIEW — UA raw logs",$C771="Emag_Reporting","KEEP",$C771="Nutrition_Data_Archived_Tables","KEEP",$C771="EU_Data","KEEP",TRUE,"REVIEW"),OR($A771="thg-influencer",$A771="thg-ingenuity",$A771="thg-central-marketing",$A771="thg-seoclarity"),"HOLD",TRUE,"")</f>
        <v>HOLD</v>
      </c>
      <c r="R771" t="str" cm="1">
        <f t="array" ref="R771">_xlfn.IFS(AND($A771="thg-beauty",ISNUMBER(SEARCH("liveramp",$C771))),"thg-beauty Liveramp dataset — confirmed safe to delete",$A771="agile-bonbon-662",_xlfn.IFS(LEFT($G771,9)="Tranche 1","Tranche 1: cleared",$C771="Sessions_Level_1_All_Sites","Downstream aggregation of UA raw logs — keep if raw tables go",ISNUMBER(--$C771),"UA raw site logs (account ID) — keep pending audit-retention check",$C771="Emag_Reporting","Legacy but likely needed",$C771="Nutrition_Data_Archived_Tables","Worth keeping",$C771="EU_Data","Static lookup tables — scripts still reference (smoke-test risk)",TRUE,"Review"),OR($A771="thg-influencer",$A771="thg-ingenuity",$A771="thg-central-marketing",$A771="thg-seoclarity"),"HOLD — Charlie Stringer to review before deletion",TRUE,"")</f>
        <v>HOLD — Charlie Stringer to review before deletion</v>
      </c>
      <c r="S771" t="s">
        <v>1624</v>
      </c>
    </row>
    <row r="772" spans="1:19" hidden="1">
      <c r="A772" t="s">
        <v>38</v>
      </c>
      <c r="B772" t="s">
        <v>1619</v>
      </c>
      <c r="C772" t="s">
        <v>3311</v>
      </c>
      <c r="D772" s="2" t="s">
        <v>1621</v>
      </c>
      <c r="E772">
        <v>0</v>
      </c>
      <c r="F772">
        <v>0</v>
      </c>
      <c r="G772" t="s">
        <v>79</v>
      </c>
      <c r="H772" t="s">
        <v>81</v>
      </c>
      <c r="M772" s="2" t="s">
        <v>1715</v>
      </c>
      <c r="N772" s="2" t="s">
        <v>1701</v>
      </c>
      <c r="P772" t="str">
        <f>IF($Q772="DELETE",IF($S772="CONFIRMED: NO MODS &gt; 1YR","CONFIRMED: NO MODS &gt; 1YR","DO NOT DELETE — not defensibly confirmed"),IF($Q772="HOLD","DO NOT DELETE — HOLD (Charlie review)",IF($Q772="KEEP","DO NOT DELETE — KEEP",IF(ISNUMBER(SEARCH("REVIEW",$Q772)),"DO NOT DELETE — REVIEW pending",$S772))))</f>
        <v>DO NOT DELETE — HOLD (Charlie review)</v>
      </c>
      <c r="Q772" t="str" cm="1">
        <f t="array" ref="Q772">_xlfn.IFS(AND($A772="thg-beauty",ISNUMBER(SEARCH("liveramp",$C772))),"DELETE",$A772="agile-bonbon-662",_xlfn.IFS(LEFT($G772,9)="Tranche 1","DELETE",$C772="Sessions_Level_1_All_Sites","KEEP",ISNUMBER(--$C772),"REVIEW — UA raw logs",$C772="Emag_Reporting","KEEP",$C772="Nutrition_Data_Archived_Tables","KEEP",$C772="EU_Data","KEEP",TRUE,"REVIEW"),OR($A772="thg-influencer",$A772="thg-ingenuity",$A772="thg-central-marketing",$A772="thg-seoclarity"),"HOLD",TRUE,"")</f>
        <v>HOLD</v>
      </c>
      <c r="R772" t="str" cm="1">
        <f t="array" ref="R772">_xlfn.IFS(AND($A772="thg-beauty",ISNUMBER(SEARCH("liveramp",$C772))),"thg-beauty Liveramp dataset — confirmed safe to delete",$A772="agile-bonbon-662",_xlfn.IFS(LEFT($G772,9)="Tranche 1","Tranche 1: cleared",$C772="Sessions_Level_1_All_Sites","Downstream aggregation of UA raw logs — keep if raw tables go",ISNUMBER(--$C772),"UA raw site logs (account ID) — keep pending audit-retention check",$C772="Emag_Reporting","Legacy but likely needed",$C772="Nutrition_Data_Archived_Tables","Worth keeping",$C772="EU_Data","Static lookup tables — scripts still reference (smoke-test risk)",TRUE,"Review"),OR($A772="thg-influencer",$A772="thg-ingenuity",$A772="thg-central-marketing",$A772="thg-seoclarity"),"HOLD — Charlie Stringer to review before deletion",TRUE,"")</f>
        <v>HOLD — Charlie Stringer to review before deletion</v>
      </c>
      <c r="S772" t="s">
        <v>1624</v>
      </c>
    </row>
    <row r="773" spans="1:19" hidden="1">
      <c r="A773" t="s">
        <v>38</v>
      </c>
      <c r="B773" t="s">
        <v>1619</v>
      </c>
      <c r="C773" t="s">
        <v>3312</v>
      </c>
      <c r="D773" s="2" t="s">
        <v>1621</v>
      </c>
      <c r="E773">
        <v>0</v>
      </c>
      <c r="F773">
        <v>0</v>
      </c>
      <c r="G773" t="s">
        <v>79</v>
      </c>
      <c r="H773" t="s">
        <v>81</v>
      </c>
      <c r="M773" s="2" t="s">
        <v>1715</v>
      </c>
      <c r="N773" s="2" t="s">
        <v>1701</v>
      </c>
      <c r="P773" t="str">
        <f>IF($Q773="DELETE",IF($S773="CONFIRMED: NO MODS &gt; 1YR","CONFIRMED: NO MODS &gt; 1YR","DO NOT DELETE — not defensibly confirmed"),IF($Q773="HOLD","DO NOT DELETE — HOLD (Charlie review)",IF($Q773="KEEP","DO NOT DELETE — KEEP",IF(ISNUMBER(SEARCH("REVIEW",$Q773)),"DO NOT DELETE — REVIEW pending",$S773))))</f>
        <v>DO NOT DELETE — HOLD (Charlie review)</v>
      </c>
      <c r="Q773" t="str" cm="1">
        <f t="array" ref="Q773">_xlfn.IFS(AND($A773="thg-beauty",ISNUMBER(SEARCH("liveramp",$C773))),"DELETE",$A773="agile-bonbon-662",_xlfn.IFS(LEFT($G773,9)="Tranche 1","DELETE",$C773="Sessions_Level_1_All_Sites","KEEP",ISNUMBER(--$C773),"REVIEW — UA raw logs",$C773="Emag_Reporting","KEEP",$C773="Nutrition_Data_Archived_Tables","KEEP",$C773="EU_Data","KEEP",TRUE,"REVIEW"),OR($A773="thg-influencer",$A773="thg-ingenuity",$A773="thg-central-marketing",$A773="thg-seoclarity"),"HOLD",TRUE,"")</f>
        <v>HOLD</v>
      </c>
      <c r="R773" t="str" cm="1">
        <f t="array" ref="R773">_xlfn.IFS(AND($A773="thg-beauty",ISNUMBER(SEARCH("liveramp",$C773))),"thg-beauty Liveramp dataset — confirmed safe to delete",$A773="agile-bonbon-662",_xlfn.IFS(LEFT($G773,9)="Tranche 1","Tranche 1: cleared",$C773="Sessions_Level_1_All_Sites","Downstream aggregation of UA raw logs — keep if raw tables go",ISNUMBER(--$C773),"UA raw site logs (account ID) — keep pending audit-retention check",$C773="Emag_Reporting","Legacy but likely needed",$C773="Nutrition_Data_Archived_Tables","Worth keeping",$C773="EU_Data","Static lookup tables — scripts still reference (smoke-test risk)",TRUE,"Review"),OR($A773="thg-influencer",$A773="thg-ingenuity",$A773="thg-central-marketing",$A773="thg-seoclarity"),"HOLD — Charlie Stringer to review before deletion",TRUE,"")</f>
        <v>HOLD — Charlie Stringer to review before deletion</v>
      </c>
      <c r="S773" t="s">
        <v>1624</v>
      </c>
    </row>
    <row r="774" spans="1:19" hidden="1">
      <c r="A774" t="s">
        <v>38</v>
      </c>
      <c r="B774" t="s">
        <v>1619</v>
      </c>
      <c r="C774" t="s">
        <v>3313</v>
      </c>
      <c r="D774" s="2" t="s">
        <v>1621</v>
      </c>
      <c r="E774">
        <v>0</v>
      </c>
      <c r="F774">
        <v>0</v>
      </c>
      <c r="G774" t="s">
        <v>79</v>
      </c>
      <c r="H774" t="s">
        <v>81</v>
      </c>
      <c r="M774" s="2" t="s">
        <v>1715</v>
      </c>
      <c r="N774" s="2" t="s">
        <v>1701</v>
      </c>
      <c r="P774" t="str">
        <f>IF($Q774="DELETE",IF($S774="CONFIRMED: NO MODS &gt; 1YR","CONFIRMED: NO MODS &gt; 1YR","DO NOT DELETE — not defensibly confirmed"),IF($Q774="HOLD","DO NOT DELETE — HOLD (Charlie review)",IF($Q774="KEEP","DO NOT DELETE — KEEP",IF(ISNUMBER(SEARCH("REVIEW",$Q774)),"DO NOT DELETE — REVIEW pending",$S774))))</f>
        <v>DO NOT DELETE — HOLD (Charlie review)</v>
      </c>
      <c r="Q774" t="str" cm="1">
        <f t="array" ref="Q774">_xlfn.IFS(AND($A774="thg-beauty",ISNUMBER(SEARCH("liveramp",$C774))),"DELETE",$A774="agile-bonbon-662",_xlfn.IFS(LEFT($G774,9)="Tranche 1","DELETE",$C774="Sessions_Level_1_All_Sites","KEEP",ISNUMBER(--$C774),"REVIEW — UA raw logs",$C774="Emag_Reporting","KEEP",$C774="Nutrition_Data_Archived_Tables","KEEP",$C774="EU_Data","KEEP",TRUE,"REVIEW"),OR($A774="thg-influencer",$A774="thg-ingenuity",$A774="thg-central-marketing",$A774="thg-seoclarity"),"HOLD",TRUE,"")</f>
        <v>HOLD</v>
      </c>
      <c r="R774" t="str" cm="1">
        <f t="array" ref="R774">_xlfn.IFS(AND($A774="thg-beauty",ISNUMBER(SEARCH("liveramp",$C774))),"thg-beauty Liveramp dataset — confirmed safe to delete",$A774="agile-bonbon-662",_xlfn.IFS(LEFT($G774,9)="Tranche 1","Tranche 1: cleared",$C774="Sessions_Level_1_All_Sites","Downstream aggregation of UA raw logs — keep if raw tables go",ISNUMBER(--$C774),"UA raw site logs (account ID) — keep pending audit-retention check",$C774="Emag_Reporting","Legacy but likely needed",$C774="Nutrition_Data_Archived_Tables","Worth keeping",$C774="EU_Data","Static lookup tables — scripts still reference (smoke-test risk)",TRUE,"Review"),OR($A774="thg-influencer",$A774="thg-ingenuity",$A774="thg-central-marketing",$A774="thg-seoclarity"),"HOLD — Charlie Stringer to review before deletion",TRUE,"")</f>
        <v>HOLD — Charlie Stringer to review before deletion</v>
      </c>
      <c r="S774" t="s">
        <v>1624</v>
      </c>
    </row>
    <row r="775" spans="1:19" hidden="1">
      <c r="A775" t="s">
        <v>2342</v>
      </c>
      <c r="B775" t="s">
        <v>1724</v>
      </c>
      <c r="C775" t="s">
        <v>3314</v>
      </c>
      <c r="D775" s="2" t="s">
        <v>1726</v>
      </c>
      <c r="E775">
        <v>0</v>
      </c>
      <c r="F775">
        <v>0</v>
      </c>
      <c r="G775" t="s">
        <v>79</v>
      </c>
      <c r="H775" t="s">
        <v>81</v>
      </c>
      <c r="M775" s="2" t="s">
        <v>1715</v>
      </c>
      <c r="N775" s="2" t="s">
        <v>1701</v>
      </c>
      <c r="P775" t="str">
        <f>IF($Q775="DELETE",IF($S775="CONFIRMED: NO MODS &gt; 1YR","CONFIRMED: NO MODS &gt; 1YR","DO NOT DELETE — not defensibly confirmed"),IF($Q775="HOLD","DO NOT DELETE — HOLD (Charlie review)",IF($Q775="KEEP","DO NOT DELETE — KEEP",IF(ISNUMBER(SEARCH("REVIEW",$Q775)),"DO NOT DELETE — REVIEW pending",$S775))))</f>
        <v>CONFIRMED: NO MODS &gt; 1YR</v>
      </c>
      <c r="Q775" t="str" cm="1">
        <f t="array" ref="Q775">_xlfn.IFS(AND($A775="thg-beauty",ISNUMBER(SEARCH("liveramp",$C775))),"DELETE",$A775="agile-bonbon-662",_xlfn.IFS(LEFT($G775,9)="Tranche 1","DELETE",$C775="Sessions_Level_1_All_Sites","KEEP",ISNUMBER(--$C775),"REVIEW — UA raw logs",$C775="Emag_Reporting","KEEP",$C775="Nutrition_Data_Archived_Tables","KEEP",$C775="EU_Data","KEEP",TRUE,"REVIEW"),OR($A775="thg-influencer",$A775="thg-ingenuity",$A775="thg-central-marketing",$A775="thg-seoclarity"),"HOLD",TRUE,"")</f>
        <v/>
      </c>
      <c r="R775" t="str" cm="1">
        <f t="array" ref="R775">_xlfn.IFS(AND($A775="thg-beauty",ISNUMBER(SEARCH("liveramp",$C775))),"thg-beauty Liveramp dataset — confirmed safe to delete",$A775="agile-bonbon-662",_xlfn.IFS(LEFT($G775,9)="Tranche 1","Tranche 1: cleared",$C775="Sessions_Level_1_All_Sites","Downstream aggregation of UA raw logs — keep if raw tables go",ISNUMBER(--$C775),"UA raw site logs (account ID) — keep pending audit-retention check",$C775="Emag_Reporting","Legacy but likely needed",$C775="Nutrition_Data_Archived_Tables","Worth keeping",$C775="EU_Data","Static lookup tables — scripts still reference (smoke-test risk)",TRUE,"Review"),OR($A775="thg-influencer",$A775="thg-ingenuity",$A775="thg-central-marketing",$A775="thg-seoclarity"),"HOLD — Charlie Stringer to review before deletion",TRUE,"")</f>
        <v/>
      </c>
      <c r="S775" t="s">
        <v>1624</v>
      </c>
    </row>
    <row r="776" spans="1:19" hidden="1">
      <c r="A776" t="s">
        <v>2342</v>
      </c>
      <c r="B776" t="s">
        <v>1724</v>
      </c>
      <c r="C776" t="s">
        <v>3315</v>
      </c>
      <c r="D776" s="2" t="s">
        <v>1621</v>
      </c>
      <c r="E776">
        <v>0</v>
      </c>
      <c r="F776">
        <v>0</v>
      </c>
      <c r="G776" t="s">
        <v>79</v>
      </c>
      <c r="H776" t="s">
        <v>81</v>
      </c>
      <c r="M776" s="2" t="s">
        <v>1715</v>
      </c>
      <c r="N776" s="2" t="s">
        <v>1701</v>
      </c>
      <c r="P776" t="str">
        <f>IF($Q776="DELETE",IF($S776="CONFIRMED: NO MODS &gt; 1YR","CONFIRMED: NO MODS &gt; 1YR","DO NOT DELETE — not defensibly confirmed"),IF($Q776="HOLD","DO NOT DELETE — HOLD (Charlie review)",IF($Q776="KEEP","DO NOT DELETE — KEEP",IF(ISNUMBER(SEARCH("REVIEW",$Q776)),"DO NOT DELETE — REVIEW pending",$S776))))</f>
        <v>CONFIRMED: NO MODS &gt; 1YR</v>
      </c>
      <c r="Q776" t="str" cm="1">
        <f t="array" ref="Q776">_xlfn.IFS(AND($A776="thg-beauty",ISNUMBER(SEARCH("liveramp",$C776))),"DELETE",$A776="agile-bonbon-662",_xlfn.IFS(LEFT($G776,9)="Tranche 1","DELETE",$C776="Sessions_Level_1_All_Sites","KEEP",ISNUMBER(--$C776),"REVIEW — UA raw logs",$C776="Emag_Reporting","KEEP",$C776="Nutrition_Data_Archived_Tables","KEEP",$C776="EU_Data","KEEP",TRUE,"REVIEW"),OR($A776="thg-influencer",$A776="thg-ingenuity",$A776="thg-central-marketing",$A776="thg-seoclarity"),"HOLD",TRUE,"")</f>
        <v/>
      </c>
      <c r="R776" t="str" cm="1">
        <f t="array" ref="R776">_xlfn.IFS(AND($A776="thg-beauty",ISNUMBER(SEARCH("liveramp",$C776))),"thg-beauty Liveramp dataset — confirmed safe to delete",$A776="agile-bonbon-662",_xlfn.IFS(LEFT($G776,9)="Tranche 1","Tranche 1: cleared",$C776="Sessions_Level_1_All_Sites","Downstream aggregation of UA raw logs — keep if raw tables go",ISNUMBER(--$C776),"UA raw site logs (account ID) — keep pending audit-retention check",$C776="Emag_Reporting","Legacy but likely needed",$C776="Nutrition_Data_Archived_Tables","Worth keeping",$C776="EU_Data","Static lookup tables — scripts still reference (smoke-test risk)",TRUE,"Review"),OR($A776="thg-influencer",$A776="thg-ingenuity",$A776="thg-central-marketing",$A776="thg-seoclarity"),"HOLD — Charlie Stringer to review before deletion",TRUE,"")</f>
        <v/>
      </c>
      <c r="S776" t="s">
        <v>1624</v>
      </c>
    </row>
    <row r="777" spans="1:19" hidden="1">
      <c r="A777" t="s">
        <v>93</v>
      </c>
      <c r="B777" t="s">
        <v>1619</v>
      </c>
      <c r="C777" t="s">
        <v>3316</v>
      </c>
      <c r="D777" s="2" t="s">
        <v>1621</v>
      </c>
      <c r="E777">
        <v>0</v>
      </c>
      <c r="F777">
        <v>0</v>
      </c>
      <c r="G777" t="s">
        <v>79</v>
      </c>
      <c r="H777" t="s">
        <v>81</v>
      </c>
      <c r="M777" s="2" t="s">
        <v>1715</v>
      </c>
      <c r="N777" s="2" t="s">
        <v>1701</v>
      </c>
      <c r="P777" t="str">
        <f>IF($Q777="DELETE",IF($S777="CONFIRMED: NO MODS &gt; 1YR","CONFIRMED: NO MODS &gt; 1YR","DO NOT DELETE — not defensibly confirmed"),IF($Q777="HOLD","DO NOT DELETE — HOLD (Charlie review)",IF($Q777="KEEP","DO NOT DELETE — KEEP",IF(ISNUMBER(SEARCH("REVIEW",$Q777)),"DO NOT DELETE — REVIEW pending",$S777))))</f>
        <v>CONFIRMED: NO MODS &gt; 1YR</v>
      </c>
      <c r="Q777" t="str" cm="1">
        <f t="array" ref="Q777">_xlfn.IFS(AND($A777="thg-beauty",ISNUMBER(SEARCH("liveramp",$C777))),"DELETE",$A777="agile-bonbon-662",_xlfn.IFS(LEFT($G777,9)="Tranche 1","DELETE",$C777="Sessions_Level_1_All_Sites","KEEP",ISNUMBER(--$C777),"REVIEW — UA raw logs",$C777="Emag_Reporting","KEEP",$C777="Nutrition_Data_Archived_Tables","KEEP",$C777="EU_Data","KEEP",TRUE,"REVIEW"),OR($A777="thg-influencer",$A777="thg-ingenuity",$A777="thg-central-marketing",$A777="thg-seoclarity"),"HOLD",TRUE,"")</f>
        <v/>
      </c>
      <c r="R777" t="str" cm="1">
        <f t="array" ref="R777">_xlfn.IFS(AND($A777="thg-beauty",ISNUMBER(SEARCH("liveramp",$C777))),"thg-beauty Liveramp dataset — confirmed safe to delete",$A777="agile-bonbon-662",_xlfn.IFS(LEFT($G777,9)="Tranche 1","Tranche 1: cleared",$C777="Sessions_Level_1_All_Sites","Downstream aggregation of UA raw logs — keep if raw tables go",ISNUMBER(--$C777),"UA raw site logs (account ID) — keep pending audit-retention check",$C777="Emag_Reporting","Legacy but likely needed",$C777="Nutrition_Data_Archived_Tables","Worth keeping",$C777="EU_Data","Static lookup tables — scripts still reference (smoke-test risk)",TRUE,"Review"),OR($A777="thg-influencer",$A777="thg-ingenuity",$A777="thg-central-marketing",$A777="thg-seoclarity"),"HOLD — Charlie Stringer to review before deletion",TRUE,"")</f>
        <v/>
      </c>
      <c r="S777" t="s">
        <v>1624</v>
      </c>
    </row>
    <row r="778" spans="1:19" hidden="1">
      <c r="A778" t="s">
        <v>1723</v>
      </c>
      <c r="B778" t="s">
        <v>1724</v>
      </c>
      <c r="C778" t="s">
        <v>3317</v>
      </c>
      <c r="D778" s="2" t="s">
        <v>1726</v>
      </c>
      <c r="E778">
        <v>0</v>
      </c>
      <c r="F778">
        <v>0</v>
      </c>
      <c r="G778" t="s">
        <v>79</v>
      </c>
      <c r="H778" t="s">
        <v>81</v>
      </c>
      <c r="M778" s="2" t="s">
        <v>1715</v>
      </c>
      <c r="N778" s="2" t="s">
        <v>1701</v>
      </c>
      <c r="P778" t="str">
        <f>IF($Q778="DELETE",IF($S778="CONFIRMED: NO MODS &gt; 1YR","CONFIRMED: NO MODS &gt; 1YR","DO NOT DELETE — not defensibly confirmed"),IF($Q778="HOLD","DO NOT DELETE — HOLD (Charlie review)",IF($Q778="KEEP","DO NOT DELETE — KEEP",IF(ISNUMBER(SEARCH("REVIEW",$Q778)),"DO NOT DELETE — REVIEW pending",$S778))))</f>
        <v>CONFIRMED: NO MODS &gt; 1YR</v>
      </c>
      <c r="Q778" t="str" cm="1">
        <f t="array" ref="Q778">_xlfn.IFS(AND($A778="thg-beauty",ISNUMBER(SEARCH("liveramp",$C778))),"DELETE",$A778="agile-bonbon-662",_xlfn.IFS(LEFT($G778,9)="Tranche 1","DELETE",$C778="Sessions_Level_1_All_Sites","KEEP",ISNUMBER(--$C778),"REVIEW — UA raw logs",$C778="Emag_Reporting","KEEP",$C778="Nutrition_Data_Archived_Tables","KEEP",$C778="EU_Data","KEEP",TRUE,"REVIEW"),OR($A778="thg-influencer",$A778="thg-ingenuity",$A778="thg-central-marketing",$A778="thg-seoclarity"),"HOLD",TRUE,"")</f>
        <v/>
      </c>
      <c r="R778" t="str" cm="1">
        <f t="array" ref="R778">_xlfn.IFS(AND($A778="thg-beauty",ISNUMBER(SEARCH("liveramp",$C778))),"thg-beauty Liveramp dataset — confirmed safe to delete",$A778="agile-bonbon-662",_xlfn.IFS(LEFT($G778,9)="Tranche 1","Tranche 1: cleared",$C778="Sessions_Level_1_All_Sites","Downstream aggregation of UA raw logs — keep if raw tables go",ISNUMBER(--$C778),"UA raw site logs (account ID) — keep pending audit-retention check",$C778="Emag_Reporting","Legacy but likely needed",$C778="Nutrition_Data_Archived_Tables","Worth keeping",$C778="EU_Data","Static lookup tables — scripts still reference (smoke-test risk)",TRUE,"Review"),OR($A778="thg-influencer",$A778="thg-ingenuity",$A778="thg-central-marketing",$A778="thg-seoclarity"),"HOLD — Charlie Stringer to review before deletion",TRUE,"")</f>
        <v/>
      </c>
      <c r="S778" t="s">
        <v>1624</v>
      </c>
    </row>
    <row r="779" spans="1:19" hidden="1">
      <c r="A779" t="s">
        <v>1723</v>
      </c>
      <c r="B779" t="s">
        <v>1724</v>
      </c>
      <c r="C779" t="s">
        <v>3318</v>
      </c>
      <c r="D779" s="2" t="s">
        <v>1726</v>
      </c>
      <c r="E779">
        <v>0</v>
      </c>
      <c r="F779">
        <v>0</v>
      </c>
      <c r="G779" t="s">
        <v>79</v>
      </c>
      <c r="H779" t="s">
        <v>81</v>
      </c>
      <c r="M779" s="2" t="s">
        <v>1715</v>
      </c>
      <c r="N779" s="2" t="s">
        <v>1701</v>
      </c>
      <c r="P779" t="str">
        <f>IF($Q779="DELETE",IF($S779="CONFIRMED: NO MODS &gt; 1YR","CONFIRMED: NO MODS &gt; 1YR","DO NOT DELETE — not defensibly confirmed"),IF($Q779="HOLD","DO NOT DELETE — HOLD (Charlie review)",IF($Q779="KEEP","DO NOT DELETE — KEEP",IF(ISNUMBER(SEARCH("REVIEW",$Q779)),"DO NOT DELETE — REVIEW pending",$S779))))</f>
        <v>CONFIRMED: NO MODS &gt; 1YR</v>
      </c>
      <c r="Q779" t="str" cm="1">
        <f t="array" ref="Q779">_xlfn.IFS(AND($A779="thg-beauty",ISNUMBER(SEARCH("liveramp",$C779))),"DELETE",$A779="agile-bonbon-662",_xlfn.IFS(LEFT($G779,9)="Tranche 1","DELETE",$C779="Sessions_Level_1_All_Sites","KEEP",ISNUMBER(--$C779),"REVIEW — UA raw logs",$C779="Emag_Reporting","KEEP",$C779="Nutrition_Data_Archived_Tables","KEEP",$C779="EU_Data","KEEP",TRUE,"REVIEW"),OR($A779="thg-influencer",$A779="thg-ingenuity",$A779="thg-central-marketing",$A779="thg-seoclarity"),"HOLD",TRUE,"")</f>
        <v/>
      </c>
      <c r="R779" t="str" cm="1">
        <f t="array" ref="R779">_xlfn.IFS(AND($A779="thg-beauty",ISNUMBER(SEARCH("liveramp",$C779))),"thg-beauty Liveramp dataset — confirmed safe to delete",$A779="agile-bonbon-662",_xlfn.IFS(LEFT($G779,9)="Tranche 1","Tranche 1: cleared",$C779="Sessions_Level_1_All_Sites","Downstream aggregation of UA raw logs — keep if raw tables go",ISNUMBER(--$C779),"UA raw site logs (account ID) — keep pending audit-retention check",$C779="Emag_Reporting","Legacy but likely needed",$C779="Nutrition_Data_Archived_Tables","Worth keeping",$C779="EU_Data","Static lookup tables — scripts still reference (smoke-test risk)",TRUE,"Review"),OR($A779="thg-influencer",$A779="thg-ingenuity",$A779="thg-central-marketing",$A779="thg-seoclarity"),"HOLD — Charlie Stringer to review before deletion",TRUE,"")</f>
        <v/>
      </c>
      <c r="S779" t="s">
        <v>1624</v>
      </c>
    </row>
    <row r="780" spans="1:19" hidden="1">
      <c r="A780" t="s">
        <v>95</v>
      </c>
      <c r="B780" t="s">
        <v>1619</v>
      </c>
      <c r="C780" t="s">
        <v>3319</v>
      </c>
      <c r="D780" s="2" t="s">
        <v>1621</v>
      </c>
      <c r="E780">
        <v>0</v>
      </c>
      <c r="F780">
        <v>0</v>
      </c>
      <c r="G780" t="s">
        <v>79</v>
      </c>
      <c r="H780" t="s">
        <v>81</v>
      </c>
      <c r="M780" s="2" t="s">
        <v>1715</v>
      </c>
      <c r="N780" s="2" t="s">
        <v>1701</v>
      </c>
      <c r="P780" t="str">
        <f>IF($Q780="DELETE",IF($S780="CONFIRMED: NO MODS &gt; 1YR","CONFIRMED: NO MODS &gt; 1YR","DO NOT DELETE — not defensibly confirmed"),IF($Q780="HOLD","DO NOT DELETE — HOLD (Charlie review)",IF($Q780="KEEP","DO NOT DELETE — KEEP",IF(ISNUMBER(SEARCH("REVIEW",$Q780)),"DO NOT DELETE — REVIEW pending",$S780))))</f>
        <v>CONFIRMED: NO MODS &gt; 1YR</v>
      </c>
      <c r="Q780" t="str" cm="1">
        <f t="array" ref="Q780">_xlfn.IFS(AND($A780="thg-beauty",ISNUMBER(SEARCH("liveramp",$C780))),"DELETE",$A780="agile-bonbon-662",_xlfn.IFS(LEFT($G780,9)="Tranche 1","DELETE",$C780="Sessions_Level_1_All_Sites","KEEP",ISNUMBER(--$C780),"REVIEW — UA raw logs",$C780="Emag_Reporting","KEEP",$C780="Nutrition_Data_Archived_Tables","KEEP",$C780="EU_Data","KEEP",TRUE,"REVIEW"),OR($A780="thg-influencer",$A780="thg-ingenuity",$A780="thg-central-marketing",$A780="thg-seoclarity"),"HOLD",TRUE,"")</f>
        <v/>
      </c>
      <c r="R780" t="str" cm="1">
        <f t="array" ref="R780">_xlfn.IFS(AND($A780="thg-beauty",ISNUMBER(SEARCH("liveramp",$C780))),"thg-beauty Liveramp dataset — confirmed safe to delete",$A780="agile-bonbon-662",_xlfn.IFS(LEFT($G780,9)="Tranche 1","Tranche 1: cleared",$C780="Sessions_Level_1_All_Sites","Downstream aggregation of UA raw logs — keep if raw tables go",ISNUMBER(--$C780),"UA raw site logs (account ID) — keep pending audit-retention check",$C780="Emag_Reporting","Legacy but likely needed",$C780="Nutrition_Data_Archived_Tables","Worth keeping",$C780="EU_Data","Static lookup tables — scripts still reference (smoke-test risk)",TRUE,"Review"),OR($A780="thg-influencer",$A780="thg-ingenuity",$A780="thg-central-marketing",$A780="thg-seoclarity"),"HOLD — Charlie Stringer to review before deletion",TRUE,"")</f>
        <v/>
      </c>
      <c r="S780" t="s">
        <v>1624</v>
      </c>
    </row>
    <row r="781" spans="1:19" hidden="1">
      <c r="A781" t="s">
        <v>35</v>
      </c>
      <c r="B781" t="s">
        <v>1619</v>
      </c>
      <c r="C781" t="s">
        <v>3320</v>
      </c>
      <c r="D781" s="2" t="s">
        <v>1621</v>
      </c>
      <c r="E781">
        <v>0</v>
      </c>
      <c r="F781">
        <v>0</v>
      </c>
      <c r="G781" t="s">
        <v>79</v>
      </c>
      <c r="H781" t="s">
        <v>81</v>
      </c>
      <c r="M781" s="2" t="s">
        <v>1715</v>
      </c>
      <c r="N781" s="2" t="s">
        <v>1701</v>
      </c>
      <c r="P781" t="str">
        <f>IF($Q781="DELETE",IF($S781="CONFIRMED: NO MODS &gt; 1YR","CONFIRMED: NO MODS &gt; 1YR","DO NOT DELETE — not defensibly confirmed"),IF($Q781="HOLD","DO NOT DELETE — HOLD (Charlie review)",IF($Q781="KEEP","DO NOT DELETE — KEEP",IF(ISNUMBER(SEARCH("REVIEW",$Q781)),"DO NOT DELETE — REVIEW pending",$S781))))</f>
        <v>DO NOT DELETE — HOLD (Charlie review)</v>
      </c>
      <c r="Q781" t="str" cm="1">
        <f t="array" ref="Q781">_xlfn.IFS(AND($A781="thg-beauty",ISNUMBER(SEARCH("liveramp",$C781))),"DELETE",$A781="agile-bonbon-662",_xlfn.IFS(LEFT($G781,9)="Tranche 1","DELETE",$C781="Sessions_Level_1_All_Sites","KEEP",ISNUMBER(--$C781),"REVIEW — UA raw logs",$C781="Emag_Reporting","KEEP",$C781="Nutrition_Data_Archived_Tables","KEEP",$C781="EU_Data","KEEP",TRUE,"REVIEW"),OR($A781="thg-influencer",$A781="thg-ingenuity",$A781="thg-central-marketing",$A781="thg-seoclarity"),"HOLD",TRUE,"")</f>
        <v>HOLD</v>
      </c>
      <c r="R781" t="str" cm="1">
        <f t="array" ref="R781">_xlfn.IFS(AND($A781="thg-beauty",ISNUMBER(SEARCH("liveramp",$C781))),"thg-beauty Liveramp dataset — confirmed safe to delete",$A781="agile-bonbon-662",_xlfn.IFS(LEFT($G781,9)="Tranche 1","Tranche 1: cleared",$C781="Sessions_Level_1_All_Sites","Downstream aggregation of UA raw logs — keep if raw tables go",ISNUMBER(--$C781),"UA raw site logs (account ID) — keep pending audit-retention check",$C781="Emag_Reporting","Legacy but likely needed",$C781="Nutrition_Data_Archived_Tables","Worth keeping",$C781="EU_Data","Static lookup tables — scripts still reference (smoke-test risk)",TRUE,"Review"),OR($A781="thg-influencer",$A781="thg-ingenuity",$A781="thg-central-marketing",$A781="thg-seoclarity"),"HOLD — Charlie Stringer to review before deletion",TRUE,"")</f>
        <v>HOLD — Charlie Stringer to review before deletion</v>
      </c>
      <c r="S781" t="s">
        <v>1624</v>
      </c>
    </row>
    <row r="782" spans="1:19" hidden="1">
      <c r="A782" t="s">
        <v>35</v>
      </c>
      <c r="B782" t="s">
        <v>1619</v>
      </c>
      <c r="C782" t="s">
        <v>3321</v>
      </c>
      <c r="D782" s="2" t="s">
        <v>1621</v>
      </c>
      <c r="E782">
        <v>0</v>
      </c>
      <c r="F782">
        <v>0</v>
      </c>
      <c r="G782" t="s">
        <v>79</v>
      </c>
      <c r="H782" t="s">
        <v>81</v>
      </c>
      <c r="M782" s="2" t="s">
        <v>1715</v>
      </c>
      <c r="N782" s="2" t="s">
        <v>1701</v>
      </c>
      <c r="P782" t="str">
        <f>IF($Q782="DELETE",IF($S782="CONFIRMED: NO MODS &gt; 1YR","CONFIRMED: NO MODS &gt; 1YR","DO NOT DELETE — not defensibly confirmed"),IF($Q782="HOLD","DO NOT DELETE — HOLD (Charlie review)",IF($Q782="KEEP","DO NOT DELETE — KEEP",IF(ISNUMBER(SEARCH("REVIEW",$Q782)),"DO NOT DELETE — REVIEW pending",$S782))))</f>
        <v>DO NOT DELETE — HOLD (Charlie review)</v>
      </c>
      <c r="Q782" t="str" cm="1">
        <f t="array" ref="Q782">_xlfn.IFS(AND($A782="thg-beauty",ISNUMBER(SEARCH("liveramp",$C782))),"DELETE",$A782="agile-bonbon-662",_xlfn.IFS(LEFT($G782,9)="Tranche 1","DELETE",$C782="Sessions_Level_1_All_Sites","KEEP",ISNUMBER(--$C782),"REVIEW — UA raw logs",$C782="Emag_Reporting","KEEP",$C782="Nutrition_Data_Archived_Tables","KEEP",$C782="EU_Data","KEEP",TRUE,"REVIEW"),OR($A782="thg-influencer",$A782="thg-ingenuity",$A782="thg-central-marketing",$A782="thg-seoclarity"),"HOLD",TRUE,"")</f>
        <v>HOLD</v>
      </c>
      <c r="R782" t="str" cm="1">
        <f t="array" ref="R782">_xlfn.IFS(AND($A782="thg-beauty",ISNUMBER(SEARCH("liveramp",$C782))),"thg-beauty Liveramp dataset — confirmed safe to delete",$A782="agile-bonbon-662",_xlfn.IFS(LEFT($G782,9)="Tranche 1","Tranche 1: cleared",$C782="Sessions_Level_1_All_Sites","Downstream aggregation of UA raw logs — keep if raw tables go",ISNUMBER(--$C782),"UA raw site logs (account ID) — keep pending audit-retention check",$C782="Emag_Reporting","Legacy but likely needed",$C782="Nutrition_Data_Archived_Tables","Worth keeping",$C782="EU_Data","Static lookup tables — scripts still reference (smoke-test risk)",TRUE,"Review"),OR($A782="thg-influencer",$A782="thg-ingenuity",$A782="thg-central-marketing",$A782="thg-seoclarity"),"HOLD — Charlie Stringer to review before deletion",TRUE,"")</f>
        <v>HOLD — Charlie Stringer to review before deletion</v>
      </c>
      <c r="S782" t="s">
        <v>1624</v>
      </c>
    </row>
    <row r="783" spans="1:19" hidden="1">
      <c r="A783" t="s">
        <v>35</v>
      </c>
      <c r="B783" t="s">
        <v>1619</v>
      </c>
      <c r="C783" t="s">
        <v>3322</v>
      </c>
      <c r="D783" s="2" t="s">
        <v>1621</v>
      </c>
      <c r="E783">
        <v>0</v>
      </c>
      <c r="F783">
        <v>0</v>
      </c>
      <c r="G783" t="s">
        <v>79</v>
      </c>
      <c r="H783" t="s">
        <v>81</v>
      </c>
      <c r="M783" s="2" t="s">
        <v>1715</v>
      </c>
      <c r="N783" s="2" t="s">
        <v>1701</v>
      </c>
      <c r="P783" t="str">
        <f>IF($Q783="DELETE",IF($S783="CONFIRMED: NO MODS &gt; 1YR","CONFIRMED: NO MODS &gt; 1YR","DO NOT DELETE — not defensibly confirmed"),IF($Q783="HOLD","DO NOT DELETE — HOLD (Charlie review)",IF($Q783="KEEP","DO NOT DELETE — KEEP",IF(ISNUMBER(SEARCH("REVIEW",$Q783)),"DO NOT DELETE — REVIEW pending",$S783))))</f>
        <v>DO NOT DELETE — HOLD (Charlie review)</v>
      </c>
      <c r="Q783" t="str" cm="1">
        <f t="array" ref="Q783">_xlfn.IFS(AND($A783="thg-beauty",ISNUMBER(SEARCH("liveramp",$C783))),"DELETE",$A783="agile-bonbon-662",_xlfn.IFS(LEFT($G783,9)="Tranche 1","DELETE",$C783="Sessions_Level_1_All_Sites","KEEP",ISNUMBER(--$C783),"REVIEW — UA raw logs",$C783="Emag_Reporting","KEEP",$C783="Nutrition_Data_Archived_Tables","KEEP",$C783="EU_Data","KEEP",TRUE,"REVIEW"),OR($A783="thg-influencer",$A783="thg-ingenuity",$A783="thg-central-marketing",$A783="thg-seoclarity"),"HOLD",TRUE,"")</f>
        <v>HOLD</v>
      </c>
      <c r="R783" t="str" cm="1">
        <f t="array" ref="R783">_xlfn.IFS(AND($A783="thg-beauty",ISNUMBER(SEARCH("liveramp",$C783))),"thg-beauty Liveramp dataset — confirmed safe to delete",$A783="agile-bonbon-662",_xlfn.IFS(LEFT($G783,9)="Tranche 1","Tranche 1: cleared",$C783="Sessions_Level_1_All_Sites","Downstream aggregation of UA raw logs — keep if raw tables go",ISNUMBER(--$C783),"UA raw site logs (account ID) — keep pending audit-retention check",$C783="Emag_Reporting","Legacy but likely needed",$C783="Nutrition_Data_Archived_Tables","Worth keeping",$C783="EU_Data","Static lookup tables — scripts still reference (smoke-test risk)",TRUE,"Review"),OR($A783="thg-influencer",$A783="thg-ingenuity",$A783="thg-central-marketing",$A783="thg-seoclarity"),"HOLD — Charlie Stringer to review before deletion",TRUE,"")</f>
        <v>HOLD — Charlie Stringer to review before deletion</v>
      </c>
      <c r="S783" t="s">
        <v>1624</v>
      </c>
    </row>
    <row r="784" spans="1:19" hidden="1">
      <c r="A784" t="s">
        <v>35</v>
      </c>
      <c r="B784" t="s">
        <v>1619</v>
      </c>
      <c r="C784" t="s">
        <v>3323</v>
      </c>
      <c r="D784" s="2" t="s">
        <v>1621</v>
      </c>
      <c r="E784">
        <v>0</v>
      </c>
      <c r="F784">
        <v>0</v>
      </c>
      <c r="G784" t="s">
        <v>79</v>
      </c>
      <c r="H784" t="s">
        <v>81</v>
      </c>
      <c r="M784" s="2" t="s">
        <v>1715</v>
      </c>
      <c r="N784" s="2" t="s">
        <v>1701</v>
      </c>
      <c r="P784" t="str">
        <f>IF($Q784="DELETE",IF($S784="CONFIRMED: NO MODS &gt; 1YR","CONFIRMED: NO MODS &gt; 1YR","DO NOT DELETE — not defensibly confirmed"),IF($Q784="HOLD","DO NOT DELETE — HOLD (Charlie review)",IF($Q784="KEEP","DO NOT DELETE — KEEP",IF(ISNUMBER(SEARCH("REVIEW",$Q784)),"DO NOT DELETE — REVIEW pending",$S784))))</f>
        <v>DO NOT DELETE — HOLD (Charlie review)</v>
      </c>
      <c r="Q784" t="str" cm="1">
        <f t="array" ref="Q784">_xlfn.IFS(AND($A784="thg-beauty",ISNUMBER(SEARCH("liveramp",$C784))),"DELETE",$A784="agile-bonbon-662",_xlfn.IFS(LEFT($G784,9)="Tranche 1","DELETE",$C784="Sessions_Level_1_All_Sites","KEEP",ISNUMBER(--$C784),"REVIEW — UA raw logs",$C784="Emag_Reporting","KEEP",$C784="Nutrition_Data_Archived_Tables","KEEP",$C784="EU_Data","KEEP",TRUE,"REVIEW"),OR($A784="thg-influencer",$A784="thg-ingenuity",$A784="thg-central-marketing",$A784="thg-seoclarity"),"HOLD",TRUE,"")</f>
        <v>HOLD</v>
      </c>
      <c r="R784" t="str" cm="1">
        <f t="array" ref="R784">_xlfn.IFS(AND($A784="thg-beauty",ISNUMBER(SEARCH("liveramp",$C784))),"thg-beauty Liveramp dataset — confirmed safe to delete",$A784="agile-bonbon-662",_xlfn.IFS(LEFT($G784,9)="Tranche 1","Tranche 1: cleared",$C784="Sessions_Level_1_All_Sites","Downstream aggregation of UA raw logs — keep if raw tables go",ISNUMBER(--$C784),"UA raw site logs (account ID) — keep pending audit-retention check",$C784="Emag_Reporting","Legacy but likely needed",$C784="Nutrition_Data_Archived_Tables","Worth keeping",$C784="EU_Data","Static lookup tables — scripts still reference (smoke-test risk)",TRUE,"Review"),OR($A784="thg-influencer",$A784="thg-ingenuity",$A784="thg-central-marketing",$A784="thg-seoclarity"),"HOLD — Charlie Stringer to review before deletion",TRUE,"")</f>
        <v>HOLD — Charlie Stringer to review before deletion</v>
      </c>
      <c r="S784" t="s">
        <v>1624</v>
      </c>
    </row>
    <row r="785" spans="1:19" hidden="1">
      <c r="A785" t="s">
        <v>35</v>
      </c>
      <c r="B785" t="s">
        <v>1619</v>
      </c>
      <c r="C785" t="s">
        <v>3324</v>
      </c>
      <c r="D785" s="2" t="s">
        <v>1621</v>
      </c>
      <c r="E785">
        <v>0</v>
      </c>
      <c r="F785">
        <v>0</v>
      </c>
      <c r="G785" t="s">
        <v>79</v>
      </c>
      <c r="H785" t="s">
        <v>81</v>
      </c>
      <c r="M785" s="2" t="s">
        <v>1715</v>
      </c>
      <c r="N785" s="2" t="s">
        <v>1701</v>
      </c>
      <c r="P785" t="str">
        <f>IF($Q785="DELETE",IF($S785="CONFIRMED: NO MODS &gt; 1YR","CONFIRMED: NO MODS &gt; 1YR","DO NOT DELETE — not defensibly confirmed"),IF($Q785="HOLD","DO NOT DELETE — HOLD (Charlie review)",IF($Q785="KEEP","DO NOT DELETE — KEEP",IF(ISNUMBER(SEARCH("REVIEW",$Q785)),"DO NOT DELETE — REVIEW pending",$S785))))</f>
        <v>DO NOT DELETE — HOLD (Charlie review)</v>
      </c>
      <c r="Q785" t="str" cm="1">
        <f t="array" ref="Q785">_xlfn.IFS(AND($A785="thg-beauty",ISNUMBER(SEARCH("liveramp",$C785))),"DELETE",$A785="agile-bonbon-662",_xlfn.IFS(LEFT($G785,9)="Tranche 1","DELETE",$C785="Sessions_Level_1_All_Sites","KEEP",ISNUMBER(--$C785),"REVIEW — UA raw logs",$C785="Emag_Reporting","KEEP",$C785="Nutrition_Data_Archived_Tables","KEEP",$C785="EU_Data","KEEP",TRUE,"REVIEW"),OR($A785="thg-influencer",$A785="thg-ingenuity",$A785="thg-central-marketing",$A785="thg-seoclarity"),"HOLD",TRUE,"")</f>
        <v>HOLD</v>
      </c>
      <c r="R785" t="str" cm="1">
        <f t="array" ref="R785">_xlfn.IFS(AND($A785="thg-beauty",ISNUMBER(SEARCH("liveramp",$C785))),"thg-beauty Liveramp dataset — confirmed safe to delete",$A785="agile-bonbon-662",_xlfn.IFS(LEFT($G785,9)="Tranche 1","Tranche 1: cleared",$C785="Sessions_Level_1_All_Sites","Downstream aggregation of UA raw logs — keep if raw tables go",ISNUMBER(--$C785),"UA raw site logs (account ID) — keep pending audit-retention check",$C785="Emag_Reporting","Legacy but likely needed",$C785="Nutrition_Data_Archived_Tables","Worth keeping",$C785="EU_Data","Static lookup tables — scripts still reference (smoke-test risk)",TRUE,"Review"),OR($A785="thg-influencer",$A785="thg-ingenuity",$A785="thg-central-marketing",$A785="thg-seoclarity"),"HOLD — Charlie Stringer to review before deletion",TRUE,"")</f>
        <v>HOLD — Charlie Stringer to review before deletion</v>
      </c>
      <c r="S785" t="s">
        <v>1624</v>
      </c>
    </row>
    <row r="786" spans="1:19" hidden="1">
      <c r="A786" t="s">
        <v>2513</v>
      </c>
      <c r="B786" t="s">
        <v>1619</v>
      </c>
      <c r="C786" t="s">
        <v>3325</v>
      </c>
      <c r="D786" s="2" t="s">
        <v>1621</v>
      </c>
      <c r="E786">
        <v>0</v>
      </c>
      <c r="F786">
        <v>0</v>
      </c>
      <c r="G786" t="s">
        <v>79</v>
      </c>
      <c r="H786" t="s">
        <v>81</v>
      </c>
      <c r="M786" s="2" t="s">
        <v>1715</v>
      </c>
      <c r="N786" s="2" t="s">
        <v>1701</v>
      </c>
      <c r="P786" t="str">
        <f>IF($Q786="DELETE",IF($S786="CONFIRMED: NO MODS &gt; 1YR","CONFIRMED: NO MODS &gt; 1YR","DO NOT DELETE — not defensibly confirmed"),IF($Q786="HOLD","DO NOT DELETE — HOLD (Charlie review)",IF($Q786="KEEP","DO NOT DELETE — KEEP",IF(ISNUMBER(SEARCH("REVIEW",$Q786)),"DO NOT DELETE — REVIEW pending",$S786))))</f>
        <v>CONFIRMED: NO MODS &gt; 1YR</v>
      </c>
      <c r="Q786" t="str" cm="1">
        <f t="array" ref="Q786">_xlfn.IFS(AND($A786="thg-beauty",ISNUMBER(SEARCH("liveramp",$C786))),"DELETE",$A786="agile-bonbon-662",_xlfn.IFS(LEFT($G786,9)="Tranche 1","DELETE",$C786="Sessions_Level_1_All_Sites","KEEP",ISNUMBER(--$C786),"REVIEW — UA raw logs",$C786="Emag_Reporting","KEEP",$C786="Nutrition_Data_Archived_Tables","KEEP",$C786="EU_Data","KEEP",TRUE,"REVIEW"),OR($A786="thg-influencer",$A786="thg-ingenuity",$A786="thg-central-marketing",$A786="thg-seoclarity"),"HOLD",TRUE,"")</f>
        <v/>
      </c>
      <c r="R786" t="str" cm="1">
        <f t="array" ref="R786">_xlfn.IFS(AND($A786="thg-beauty",ISNUMBER(SEARCH("liveramp",$C786))),"thg-beauty Liveramp dataset — confirmed safe to delete",$A786="agile-bonbon-662",_xlfn.IFS(LEFT($G786,9)="Tranche 1","Tranche 1: cleared",$C786="Sessions_Level_1_All_Sites","Downstream aggregation of UA raw logs — keep if raw tables go",ISNUMBER(--$C786),"UA raw site logs (account ID) — keep pending audit-retention check",$C786="Emag_Reporting","Legacy but likely needed",$C786="Nutrition_Data_Archived_Tables","Worth keeping",$C786="EU_Data","Static lookup tables — scripts still reference (smoke-test risk)",TRUE,"Review"),OR($A786="thg-influencer",$A786="thg-ingenuity",$A786="thg-central-marketing",$A786="thg-seoclarity"),"HOLD — Charlie Stringer to review before deletion",TRUE,"")</f>
        <v/>
      </c>
      <c r="S786" t="s">
        <v>1624</v>
      </c>
    </row>
    <row r="787" spans="1:19" hidden="1">
      <c r="A787" t="s">
        <v>1749</v>
      </c>
      <c r="B787" t="s">
        <v>1724</v>
      </c>
      <c r="C787" t="s">
        <v>3317</v>
      </c>
      <c r="D787" s="2" t="s">
        <v>1621</v>
      </c>
      <c r="E787">
        <v>0</v>
      </c>
      <c r="F787">
        <v>0</v>
      </c>
      <c r="G787" t="s">
        <v>79</v>
      </c>
      <c r="H787" t="s">
        <v>81</v>
      </c>
      <c r="M787" s="2" t="s">
        <v>1715</v>
      </c>
      <c r="N787" s="2" t="s">
        <v>1701</v>
      </c>
      <c r="P787" t="str">
        <f>IF($Q787="DELETE",IF($S787="CONFIRMED: NO MODS &gt; 1YR","CONFIRMED: NO MODS &gt; 1YR","DO NOT DELETE — not defensibly confirmed"),IF($Q787="HOLD","DO NOT DELETE — HOLD (Charlie review)",IF($Q787="KEEP","DO NOT DELETE — KEEP",IF(ISNUMBER(SEARCH("REVIEW",$Q787)),"DO NOT DELETE — REVIEW pending",$S787))))</f>
        <v>CONFIRMED: NO MODS &gt; 1YR</v>
      </c>
      <c r="Q787" t="str" cm="1">
        <f t="array" ref="Q787">_xlfn.IFS(AND($A787="thg-beauty",ISNUMBER(SEARCH("liveramp",$C787))),"DELETE",$A787="agile-bonbon-662",_xlfn.IFS(LEFT($G787,9)="Tranche 1","DELETE",$C787="Sessions_Level_1_All_Sites","KEEP",ISNUMBER(--$C787),"REVIEW — UA raw logs",$C787="Emag_Reporting","KEEP",$C787="Nutrition_Data_Archived_Tables","KEEP",$C787="EU_Data","KEEP",TRUE,"REVIEW"),OR($A787="thg-influencer",$A787="thg-ingenuity",$A787="thg-central-marketing",$A787="thg-seoclarity"),"HOLD",TRUE,"")</f>
        <v/>
      </c>
      <c r="R787" t="str" cm="1">
        <f t="array" ref="R787">_xlfn.IFS(AND($A787="thg-beauty",ISNUMBER(SEARCH("liveramp",$C787))),"thg-beauty Liveramp dataset — confirmed safe to delete",$A787="agile-bonbon-662",_xlfn.IFS(LEFT($G787,9)="Tranche 1","Tranche 1: cleared",$C787="Sessions_Level_1_All_Sites","Downstream aggregation of UA raw logs — keep if raw tables go",ISNUMBER(--$C787),"UA raw site logs (account ID) — keep pending audit-retention check",$C787="Emag_Reporting","Legacy but likely needed",$C787="Nutrition_Data_Archived_Tables","Worth keeping",$C787="EU_Data","Static lookup tables — scripts still reference (smoke-test risk)",TRUE,"Review"),OR($A787="thg-influencer",$A787="thg-ingenuity",$A787="thg-central-marketing",$A787="thg-seoclarity"),"HOLD — Charlie Stringer to review before deletion",TRUE,"")</f>
        <v/>
      </c>
      <c r="S787" t="s">
        <v>1624</v>
      </c>
    </row>
    <row r="788" spans="1:19" hidden="1">
      <c r="A788" t="s">
        <v>1749</v>
      </c>
      <c r="B788" t="s">
        <v>1724</v>
      </c>
      <c r="C788" t="s">
        <v>1725</v>
      </c>
      <c r="D788" s="2" t="s">
        <v>1621</v>
      </c>
      <c r="E788">
        <v>0</v>
      </c>
      <c r="F788">
        <v>0</v>
      </c>
      <c r="G788" t="s">
        <v>79</v>
      </c>
      <c r="H788" t="s">
        <v>81</v>
      </c>
      <c r="M788" s="2" t="s">
        <v>1715</v>
      </c>
      <c r="N788" s="2" t="s">
        <v>1701</v>
      </c>
      <c r="P788" t="str">
        <f>IF($Q788="DELETE",IF($S788="CONFIRMED: NO MODS &gt; 1YR","CONFIRMED: NO MODS &gt; 1YR","DO NOT DELETE — not defensibly confirmed"),IF($Q788="HOLD","DO NOT DELETE — HOLD (Charlie review)",IF($Q788="KEEP","DO NOT DELETE — KEEP",IF(ISNUMBER(SEARCH("REVIEW",$Q788)),"DO NOT DELETE — REVIEW pending",$S788))))</f>
        <v>CONFIRMED: NO MODS &gt; 1YR</v>
      </c>
      <c r="Q788" t="str" cm="1">
        <f t="array" ref="Q788">_xlfn.IFS(AND($A788="thg-beauty",ISNUMBER(SEARCH("liveramp",$C788))),"DELETE",$A788="agile-bonbon-662",_xlfn.IFS(LEFT($G788,9)="Tranche 1","DELETE",$C788="Sessions_Level_1_All_Sites","KEEP",ISNUMBER(--$C788),"REVIEW — UA raw logs",$C788="Emag_Reporting","KEEP",$C788="Nutrition_Data_Archived_Tables","KEEP",$C788="EU_Data","KEEP",TRUE,"REVIEW"),OR($A788="thg-influencer",$A788="thg-ingenuity",$A788="thg-central-marketing",$A788="thg-seoclarity"),"HOLD",TRUE,"")</f>
        <v/>
      </c>
      <c r="R788" t="str" cm="1">
        <f t="array" ref="R788">_xlfn.IFS(AND($A788="thg-beauty",ISNUMBER(SEARCH("liveramp",$C788))),"thg-beauty Liveramp dataset — confirmed safe to delete",$A788="agile-bonbon-662",_xlfn.IFS(LEFT($G788,9)="Tranche 1","Tranche 1: cleared",$C788="Sessions_Level_1_All_Sites","Downstream aggregation of UA raw logs — keep if raw tables go",ISNUMBER(--$C788),"UA raw site logs (account ID) — keep pending audit-retention check",$C788="Emag_Reporting","Legacy but likely needed",$C788="Nutrition_Data_Archived_Tables","Worth keeping",$C788="EU_Data","Static lookup tables — scripts still reference (smoke-test risk)",TRUE,"Review"),OR($A788="thg-influencer",$A788="thg-ingenuity",$A788="thg-central-marketing",$A788="thg-seoclarity"),"HOLD — Charlie Stringer to review before deletion",TRUE,"")</f>
        <v/>
      </c>
      <c r="S788" t="s">
        <v>1624</v>
      </c>
    </row>
    <row r="789" spans="1:19" hidden="1">
      <c r="A789" t="s">
        <v>1749</v>
      </c>
      <c r="B789" t="s">
        <v>1724</v>
      </c>
      <c r="C789" t="s">
        <v>3318</v>
      </c>
      <c r="D789" s="2" t="s">
        <v>1726</v>
      </c>
      <c r="E789">
        <v>0</v>
      </c>
      <c r="F789">
        <v>0</v>
      </c>
      <c r="G789" t="s">
        <v>79</v>
      </c>
      <c r="H789" t="s">
        <v>81</v>
      </c>
      <c r="M789" s="2" t="s">
        <v>1715</v>
      </c>
      <c r="N789" s="2" t="s">
        <v>1701</v>
      </c>
      <c r="P789" t="str">
        <f>IF($Q789="DELETE",IF($S789="CONFIRMED: NO MODS &gt; 1YR","CONFIRMED: NO MODS &gt; 1YR","DO NOT DELETE — not defensibly confirmed"),IF($Q789="HOLD","DO NOT DELETE — HOLD (Charlie review)",IF($Q789="KEEP","DO NOT DELETE — KEEP",IF(ISNUMBER(SEARCH("REVIEW",$Q789)),"DO NOT DELETE — REVIEW pending",$S789))))</f>
        <v>CONFIRMED: NO MODS &gt; 1YR</v>
      </c>
      <c r="Q789" t="str" cm="1">
        <f t="array" ref="Q789">_xlfn.IFS(AND($A789="thg-beauty",ISNUMBER(SEARCH("liveramp",$C789))),"DELETE",$A789="agile-bonbon-662",_xlfn.IFS(LEFT($G789,9)="Tranche 1","DELETE",$C789="Sessions_Level_1_All_Sites","KEEP",ISNUMBER(--$C789),"REVIEW — UA raw logs",$C789="Emag_Reporting","KEEP",$C789="Nutrition_Data_Archived_Tables","KEEP",$C789="EU_Data","KEEP",TRUE,"REVIEW"),OR($A789="thg-influencer",$A789="thg-ingenuity",$A789="thg-central-marketing",$A789="thg-seoclarity"),"HOLD",TRUE,"")</f>
        <v/>
      </c>
      <c r="R789" t="str" cm="1">
        <f t="array" ref="R789">_xlfn.IFS(AND($A789="thg-beauty",ISNUMBER(SEARCH("liveramp",$C789))),"thg-beauty Liveramp dataset — confirmed safe to delete",$A789="agile-bonbon-662",_xlfn.IFS(LEFT($G789,9)="Tranche 1","Tranche 1: cleared",$C789="Sessions_Level_1_All_Sites","Downstream aggregation of UA raw logs — keep if raw tables go",ISNUMBER(--$C789),"UA raw site logs (account ID) — keep pending audit-retention check",$C789="Emag_Reporting","Legacy but likely needed",$C789="Nutrition_Data_Archived_Tables","Worth keeping",$C789="EU_Data","Static lookup tables — scripts still reference (smoke-test risk)",TRUE,"Review"),OR($A789="thg-influencer",$A789="thg-ingenuity",$A789="thg-central-marketing",$A789="thg-seoclarity"),"HOLD — Charlie Stringer to review before deletion",TRUE,"")</f>
        <v/>
      </c>
      <c r="S789" t="s">
        <v>1624</v>
      </c>
    </row>
    <row r="790" spans="1:19" hidden="1">
      <c r="A790" t="s">
        <v>38</v>
      </c>
      <c r="B790" t="s">
        <v>1619</v>
      </c>
      <c r="C790" t="s">
        <v>3326</v>
      </c>
      <c r="D790" s="2" t="s">
        <v>1621</v>
      </c>
      <c r="E790">
        <v>0</v>
      </c>
      <c r="F790">
        <v>0</v>
      </c>
      <c r="G790" t="s">
        <v>3327</v>
      </c>
      <c r="H790" t="s">
        <v>3328</v>
      </c>
      <c r="I790">
        <v>2183</v>
      </c>
      <c r="J790">
        <v>2183</v>
      </c>
      <c r="M790" s="2" t="s">
        <v>1715</v>
      </c>
      <c r="N790" s="2" t="s">
        <v>1701</v>
      </c>
      <c r="O790" s="5">
        <v>44013.628687789351</v>
      </c>
      <c r="P790" t="str">
        <f>IF($Q790="DELETE",IF($S790="CONFIRMED: NO MODS &gt; 1YR","CONFIRMED: NO MODS &gt; 1YR","DO NOT DELETE — not defensibly confirmed"),IF($Q790="HOLD","DO NOT DELETE — HOLD (Charlie review)",IF($Q790="KEEP","DO NOT DELETE — KEEP",IF(ISNUMBER(SEARCH("REVIEW",$Q790)),"DO NOT DELETE — REVIEW pending",$S790))))</f>
        <v>DO NOT DELETE — HOLD (Charlie review)</v>
      </c>
      <c r="Q790" t="str" cm="1">
        <f t="array" ref="Q790">_xlfn.IFS(AND($A790="thg-beauty",ISNUMBER(SEARCH("liveramp",$C790))),"DELETE",$A790="agile-bonbon-662",_xlfn.IFS(LEFT($G790,9)="Tranche 1","DELETE",$C790="Sessions_Level_1_All_Sites","KEEP",ISNUMBER(--$C790),"REVIEW — UA raw logs",$C790="Emag_Reporting","KEEP",$C790="Nutrition_Data_Archived_Tables","KEEP",$C790="EU_Data","KEEP",TRUE,"REVIEW"),OR($A790="thg-influencer",$A790="thg-ingenuity",$A790="thg-central-marketing",$A790="thg-seoclarity"),"HOLD",TRUE,"")</f>
        <v>HOLD</v>
      </c>
      <c r="R790" t="str" cm="1">
        <f t="array" ref="R790">_xlfn.IFS(AND($A790="thg-beauty",ISNUMBER(SEARCH("liveramp",$C790))),"thg-beauty Liveramp dataset — confirmed safe to delete",$A790="agile-bonbon-662",_xlfn.IFS(LEFT($G790,9)="Tranche 1","Tranche 1: cleared",$C790="Sessions_Level_1_All_Sites","Downstream aggregation of UA raw logs — keep if raw tables go",ISNUMBER(--$C790),"UA raw site logs (account ID) — keep pending audit-retention check",$C790="Emag_Reporting","Legacy but likely needed",$C790="Nutrition_Data_Archived_Tables","Worth keeping",$C790="EU_Data","Static lookup tables — scripts still reference (smoke-test risk)",TRUE,"Review"),OR($A790="thg-influencer",$A790="thg-ingenuity",$A790="thg-central-marketing",$A790="thg-seoclarity"),"HOLD — Charlie Stringer to review before deletion",TRUE,"")</f>
        <v>HOLD — Charlie Stringer to review before deletion</v>
      </c>
      <c r="S790" t="s">
        <v>1624</v>
      </c>
    </row>
    <row r="791" spans="1:19" hidden="1">
      <c r="A791" t="s">
        <v>38</v>
      </c>
      <c r="B791" t="s">
        <v>1619</v>
      </c>
      <c r="C791" t="s">
        <v>3329</v>
      </c>
      <c r="D791" s="2" t="s">
        <v>1621</v>
      </c>
      <c r="E791">
        <v>0.01</v>
      </c>
      <c r="F791">
        <v>0</v>
      </c>
      <c r="G791" t="s">
        <v>3327</v>
      </c>
      <c r="H791" t="s">
        <v>3328</v>
      </c>
      <c r="I791">
        <v>1452</v>
      </c>
      <c r="J791">
        <v>1452</v>
      </c>
      <c r="M791" s="2" t="s">
        <v>1715</v>
      </c>
      <c r="N791" s="2" t="s">
        <v>1701</v>
      </c>
      <c r="O791" s="5">
        <v>44745.129536215281</v>
      </c>
      <c r="P791" t="str">
        <f>IF($Q791="DELETE",IF($S791="CONFIRMED: NO MODS &gt; 1YR","CONFIRMED: NO MODS &gt; 1YR","DO NOT DELETE — not defensibly confirmed"),IF($Q791="HOLD","DO NOT DELETE — HOLD (Charlie review)",IF($Q791="KEEP","DO NOT DELETE — KEEP",IF(ISNUMBER(SEARCH("REVIEW",$Q791)),"DO NOT DELETE — REVIEW pending",$S791))))</f>
        <v>DO NOT DELETE — HOLD (Charlie review)</v>
      </c>
      <c r="Q791" t="str" cm="1">
        <f t="array" ref="Q791">_xlfn.IFS(AND($A791="thg-beauty",ISNUMBER(SEARCH("liveramp",$C791))),"DELETE",$A791="agile-bonbon-662",_xlfn.IFS(LEFT($G791,9)="Tranche 1","DELETE",$C791="Sessions_Level_1_All_Sites","KEEP",ISNUMBER(--$C791),"REVIEW — UA raw logs",$C791="Emag_Reporting","KEEP",$C791="Nutrition_Data_Archived_Tables","KEEP",$C791="EU_Data","KEEP",TRUE,"REVIEW"),OR($A791="thg-influencer",$A791="thg-ingenuity",$A791="thg-central-marketing",$A791="thg-seoclarity"),"HOLD",TRUE,"")</f>
        <v>HOLD</v>
      </c>
      <c r="R791" t="str" cm="1">
        <f t="array" ref="R791">_xlfn.IFS(AND($A791="thg-beauty",ISNUMBER(SEARCH("liveramp",$C791))),"thg-beauty Liveramp dataset — confirmed safe to delete",$A791="agile-bonbon-662",_xlfn.IFS(LEFT($G791,9)="Tranche 1","Tranche 1: cleared",$C791="Sessions_Level_1_All_Sites","Downstream aggregation of UA raw logs — keep if raw tables go",ISNUMBER(--$C791),"UA raw site logs (account ID) — keep pending audit-retention check",$C791="Emag_Reporting","Legacy but likely needed",$C791="Nutrition_Data_Archived_Tables","Worth keeping",$C791="EU_Data","Static lookup tables — scripts still reference (smoke-test risk)",TRUE,"Review"),OR($A791="thg-influencer",$A791="thg-ingenuity",$A791="thg-central-marketing",$A791="thg-seoclarity"),"HOLD — Charlie Stringer to review before deletion",TRUE,"")</f>
        <v>HOLD — Charlie Stringer to review before deletion</v>
      </c>
      <c r="S791" t="s">
        <v>1624</v>
      </c>
    </row>
    <row r="792" spans="1:19" hidden="1">
      <c r="A792" t="s">
        <v>38</v>
      </c>
      <c r="B792" t="s">
        <v>1619</v>
      </c>
      <c r="C792" t="s">
        <v>3330</v>
      </c>
      <c r="D792" s="2" t="s">
        <v>1621</v>
      </c>
      <c r="E792">
        <v>0</v>
      </c>
      <c r="F792">
        <v>0</v>
      </c>
      <c r="G792" t="s">
        <v>3327</v>
      </c>
      <c r="H792" t="s">
        <v>3328</v>
      </c>
      <c r="I792">
        <v>1449</v>
      </c>
      <c r="J792">
        <v>1449</v>
      </c>
      <c r="M792" s="2" t="s">
        <v>1715</v>
      </c>
      <c r="N792" s="2" t="s">
        <v>1701</v>
      </c>
      <c r="O792" s="5">
        <v>44748.3686919213</v>
      </c>
      <c r="P792" t="str">
        <f>IF($Q792="DELETE",IF($S792="CONFIRMED: NO MODS &gt; 1YR","CONFIRMED: NO MODS &gt; 1YR","DO NOT DELETE — not defensibly confirmed"),IF($Q792="HOLD","DO NOT DELETE — HOLD (Charlie review)",IF($Q792="KEEP","DO NOT DELETE — KEEP",IF(ISNUMBER(SEARCH("REVIEW",$Q792)),"DO NOT DELETE — REVIEW pending",$S792))))</f>
        <v>DO NOT DELETE — HOLD (Charlie review)</v>
      </c>
      <c r="Q792" t="str" cm="1">
        <f t="array" ref="Q792">_xlfn.IFS(AND($A792="thg-beauty",ISNUMBER(SEARCH("liveramp",$C792))),"DELETE",$A792="agile-bonbon-662",_xlfn.IFS(LEFT($G792,9)="Tranche 1","DELETE",$C792="Sessions_Level_1_All_Sites","KEEP",ISNUMBER(--$C792),"REVIEW — UA raw logs",$C792="Emag_Reporting","KEEP",$C792="Nutrition_Data_Archived_Tables","KEEP",$C792="EU_Data","KEEP",TRUE,"REVIEW"),OR($A792="thg-influencer",$A792="thg-ingenuity",$A792="thg-central-marketing",$A792="thg-seoclarity"),"HOLD",TRUE,"")</f>
        <v>HOLD</v>
      </c>
      <c r="R792" t="str" cm="1">
        <f t="array" ref="R792">_xlfn.IFS(AND($A792="thg-beauty",ISNUMBER(SEARCH("liveramp",$C792))),"thg-beauty Liveramp dataset — confirmed safe to delete",$A792="agile-bonbon-662",_xlfn.IFS(LEFT($G792,9)="Tranche 1","Tranche 1: cleared",$C792="Sessions_Level_1_All_Sites","Downstream aggregation of UA raw logs — keep if raw tables go",ISNUMBER(--$C792),"UA raw site logs (account ID) — keep pending audit-retention check",$C792="Emag_Reporting","Legacy but likely needed",$C792="Nutrition_Data_Archived_Tables","Worth keeping",$C792="EU_Data","Static lookup tables — scripts still reference (smoke-test risk)",TRUE,"Review"),OR($A792="thg-influencer",$A792="thg-ingenuity",$A792="thg-central-marketing",$A792="thg-seoclarity"),"HOLD — Charlie Stringer to review before deletion",TRUE,"")</f>
        <v>HOLD — Charlie Stringer to review before deletion</v>
      </c>
      <c r="S792" t="s">
        <v>1624</v>
      </c>
    </row>
    <row r="793" spans="1:19" hidden="1">
      <c r="A793" t="s">
        <v>38</v>
      </c>
      <c r="B793" t="s">
        <v>1619</v>
      </c>
      <c r="C793" t="s">
        <v>3331</v>
      </c>
      <c r="D793" s="2" t="s">
        <v>1621</v>
      </c>
      <c r="E793">
        <v>0.01</v>
      </c>
      <c r="F793">
        <v>0</v>
      </c>
      <c r="G793" t="s">
        <v>3327</v>
      </c>
      <c r="H793" t="s">
        <v>3328</v>
      </c>
      <c r="I793">
        <v>1356</v>
      </c>
      <c r="J793">
        <v>1356</v>
      </c>
      <c r="M793" s="2" t="s">
        <v>1715</v>
      </c>
      <c r="N793" s="2" t="s">
        <v>1701</v>
      </c>
      <c r="O793" s="5">
        <v>44841.409048622692</v>
      </c>
      <c r="P793" t="str">
        <f>IF($Q793="DELETE",IF($S793="CONFIRMED: NO MODS &gt; 1YR","CONFIRMED: NO MODS &gt; 1YR","DO NOT DELETE — not defensibly confirmed"),IF($Q793="HOLD","DO NOT DELETE — HOLD (Charlie review)",IF($Q793="KEEP","DO NOT DELETE — KEEP",IF(ISNUMBER(SEARCH("REVIEW",$Q793)),"DO NOT DELETE — REVIEW pending",$S793))))</f>
        <v>DO NOT DELETE — HOLD (Charlie review)</v>
      </c>
      <c r="Q793" t="str" cm="1">
        <f t="array" ref="Q793">_xlfn.IFS(AND($A793="thg-beauty",ISNUMBER(SEARCH("liveramp",$C793))),"DELETE",$A793="agile-bonbon-662",_xlfn.IFS(LEFT($G793,9)="Tranche 1","DELETE",$C793="Sessions_Level_1_All_Sites","KEEP",ISNUMBER(--$C793),"REVIEW — UA raw logs",$C793="Emag_Reporting","KEEP",$C793="Nutrition_Data_Archived_Tables","KEEP",$C793="EU_Data","KEEP",TRUE,"REVIEW"),OR($A793="thg-influencer",$A793="thg-ingenuity",$A793="thg-central-marketing",$A793="thg-seoclarity"),"HOLD",TRUE,"")</f>
        <v>HOLD</v>
      </c>
      <c r="R793" t="str" cm="1">
        <f t="array" ref="R793">_xlfn.IFS(AND($A793="thg-beauty",ISNUMBER(SEARCH("liveramp",$C793))),"thg-beauty Liveramp dataset — confirmed safe to delete",$A793="agile-bonbon-662",_xlfn.IFS(LEFT($G793,9)="Tranche 1","Tranche 1: cleared",$C793="Sessions_Level_1_All_Sites","Downstream aggregation of UA raw logs — keep if raw tables go",ISNUMBER(--$C793),"UA raw site logs (account ID) — keep pending audit-retention check",$C793="Emag_Reporting","Legacy but likely needed",$C793="Nutrition_Data_Archived_Tables","Worth keeping",$C793="EU_Data","Static lookup tables — scripts still reference (smoke-test risk)",TRUE,"Review"),OR($A793="thg-influencer",$A793="thg-ingenuity",$A793="thg-central-marketing",$A793="thg-seoclarity"),"HOLD — Charlie Stringer to review before deletion",TRUE,"")</f>
        <v>HOLD — Charlie Stringer to review before deletion</v>
      </c>
      <c r="S793" t="s">
        <v>1624</v>
      </c>
    </row>
    <row r="794" spans="1:19" hidden="1">
      <c r="A794" t="s">
        <v>38</v>
      </c>
      <c r="B794" t="s">
        <v>1619</v>
      </c>
      <c r="C794" t="s">
        <v>280</v>
      </c>
      <c r="D794" s="2" t="s">
        <v>1621</v>
      </c>
      <c r="E794">
        <v>219.26</v>
      </c>
      <c r="F794">
        <v>4.3899999999999997</v>
      </c>
      <c r="G794" t="s">
        <v>3327</v>
      </c>
      <c r="H794" t="s">
        <v>3328</v>
      </c>
      <c r="I794">
        <v>839</v>
      </c>
      <c r="J794">
        <v>839</v>
      </c>
      <c r="M794" s="2" t="s">
        <v>1715</v>
      </c>
      <c r="N794" s="2" t="s">
        <v>1701</v>
      </c>
      <c r="O794" s="5">
        <v>45357.488023993057</v>
      </c>
      <c r="P794" t="str">
        <f>IF($Q794="DELETE",IF($S794="CONFIRMED: NO MODS &gt; 1YR","CONFIRMED: NO MODS &gt; 1YR","DO NOT DELETE — not defensibly confirmed"),IF($Q794="HOLD","DO NOT DELETE — HOLD (Charlie review)",IF($Q794="KEEP","DO NOT DELETE — KEEP",IF(ISNUMBER(SEARCH("REVIEW",$Q794)),"DO NOT DELETE — REVIEW pending",$S794))))</f>
        <v>DO NOT DELETE — HOLD (Charlie review)</v>
      </c>
      <c r="Q794" t="str" cm="1">
        <f t="array" ref="Q794">_xlfn.IFS(AND($A794="thg-beauty",ISNUMBER(SEARCH("liveramp",$C794))),"DELETE",$A794="agile-bonbon-662",_xlfn.IFS(LEFT($G794,9)="Tranche 1","DELETE",$C794="Sessions_Level_1_All_Sites","KEEP",ISNUMBER(--$C794),"REVIEW — UA raw logs",$C794="Emag_Reporting","KEEP",$C794="Nutrition_Data_Archived_Tables","KEEP",$C794="EU_Data","KEEP",TRUE,"REVIEW"),OR($A794="thg-influencer",$A794="thg-ingenuity",$A794="thg-central-marketing",$A794="thg-seoclarity"),"HOLD",TRUE,"")</f>
        <v>HOLD</v>
      </c>
      <c r="R794" t="str" cm="1">
        <f t="array" ref="R794">_xlfn.IFS(AND($A794="thg-beauty",ISNUMBER(SEARCH("liveramp",$C794))),"thg-beauty Liveramp dataset — confirmed safe to delete",$A794="agile-bonbon-662",_xlfn.IFS(LEFT($G794,9)="Tranche 1","Tranche 1: cleared",$C794="Sessions_Level_1_All_Sites","Downstream aggregation of UA raw logs — keep if raw tables go",ISNUMBER(--$C794),"UA raw site logs (account ID) — keep pending audit-retention check",$C794="Emag_Reporting","Legacy but likely needed",$C794="Nutrition_Data_Archived_Tables","Worth keeping",$C794="EU_Data","Static lookup tables — scripts still reference (smoke-test risk)",TRUE,"Review"),OR($A794="thg-influencer",$A794="thg-ingenuity",$A794="thg-central-marketing",$A794="thg-seoclarity"),"HOLD — Charlie Stringer to review before deletion",TRUE,"")</f>
        <v>HOLD — Charlie Stringer to review before deletion</v>
      </c>
      <c r="S794" t="s">
        <v>1624</v>
      </c>
    </row>
    <row r="795" spans="1:19" hidden="1">
      <c r="A795" t="s">
        <v>38</v>
      </c>
      <c r="B795" t="s">
        <v>1619</v>
      </c>
      <c r="C795" t="s">
        <v>3332</v>
      </c>
      <c r="D795" s="2" t="s">
        <v>1621</v>
      </c>
      <c r="E795">
        <v>1.65</v>
      </c>
      <c r="F795">
        <v>0.03</v>
      </c>
      <c r="G795" t="s">
        <v>3327</v>
      </c>
      <c r="H795" t="s">
        <v>3328</v>
      </c>
      <c r="I795">
        <v>700</v>
      </c>
      <c r="J795">
        <v>700</v>
      </c>
      <c r="M795" s="2" t="s">
        <v>1715</v>
      </c>
      <c r="N795" s="2" t="s">
        <v>1701</v>
      </c>
      <c r="O795" s="5">
        <v>45496.496796030093</v>
      </c>
      <c r="P795" t="str">
        <f>IF($Q795="DELETE",IF($S795="CONFIRMED: NO MODS &gt; 1YR","CONFIRMED: NO MODS &gt; 1YR","DO NOT DELETE — not defensibly confirmed"),IF($Q795="HOLD","DO NOT DELETE — HOLD (Charlie review)",IF($Q795="KEEP","DO NOT DELETE — KEEP",IF(ISNUMBER(SEARCH("REVIEW",$Q795)),"DO NOT DELETE — REVIEW pending",$S795))))</f>
        <v>DO NOT DELETE — HOLD (Charlie review)</v>
      </c>
      <c r="Q795" t="str" cm="1">
        <f t="array" ref="Q795">_xlfn.IFS(AND($A795="thg-beauty",ISNUMBER(SEARCH("liveramp",$C795))),"DELETE",$A795="agile-bonbon-662",_xlfn.IFS(LEFT($G795,9)="Tranche 1","DELETE",$C795="Sessions_Level_1_All_Sites","KEEP",ISNUMBER(--$C795),"REVIEW — UA raw logs",$C795="Emag_Reporting","KEEP",$C795="Nutrition_Data_Archived_Tables","KEEP",$C795="EU_Data","KEEP",TRUE,"REVIEW"),OR($A795="thg-influencer",$A795="thg-ingenuity",$A795="thg-central-marketing",$A795="thg-seoclarity"),"HOLD",TRUE,"")</f>
        <v>HOLD</v>
      </c>
      <c r="R795" t="str" cm="1">
        <f t="array" ref="R795">_xlfn.IFS(AND($A795="thg-beauty",ISNUMBER(SEARCH("liveramp",$C795))),"thg-beauty Liveramp dataset — confirmed safe to delete",$A795="agile-bonbon-662",_xlfn.IFS(LEFT($G795,9)="Tranche 1","Tranche 1: cleared",$C795="Sessions_Level_1_All_Sites","Downstream aggregation of UA raw logs — keep if raw tables go",ISNUMBER(--$C795),"UA raw site logs (account ID) — keep pending audit-retention check",$C795="Emag_Reporting","Legacy but likely needed",$C795="Nutrition_Data_Archived_Tables","Worth keeping",$C795="EU_Data","Static lookup tables — scripts still reference (smoke-test risk)",TRUE,"Review"),OR($A795="thg-influencer",$A795="thg-ingenuity",$A795="thg-central-marketing",$A795="thg-seoclarity"),"HOLD — Charlie Stringer to review before deletion",TRUE,"")</f>
        <v>HOLD — Charlie Stringer to review before deletion</v>
      </c>
      <c r="S795" t="s">
        <v>1624</v>
      </c>
    </row>
    <row r="796" spans="1:19" hidden="1">
      <c r="A796" t="s">
        <v>38</v>
      </c>
      <c r="B796" t="s">
        <v>1619</v>
      </c>
      <c r="C796" t="s">
        <v>3333</v>
      </c>
      <c r="D796" s="2" t="s">
        <v>1621</v>
      </c>
      <c r="E796">
        <v>166.4</v>
      </c>
      <c r="F796">
        <v>3.33</v>
      </c>
      <c r="G796" t="s">
        <v>3327</v>
      </c>
      <c r="H796" t="s">
        <v>3328</v>
      </c>
      <c r="I796">
        <v>698</v>
      </c>
      <c r="J796">
        <v>698</v>
      </c>
      <c r="M796" s="2" t="s">
        <v>1715</v>
      </c>
      <c r="N796" s="2" t="s">
        <v>1701</v>
      </c>
      <c r="O796" s="5">
        <v>45499.338986238428</v>
      </c>
      <c r="P796" t="str">
        <f>IF($Q796="DELETE",IF($S796="CONFIRMED: NO MODS &gt; 1YR","CONFIRMED: NO MODS &gt; 1YR","DO NOT DELETE — not defensibly confirmed"),IF($Q796="HOLD","DO NOT DELETE — HOLD (Charlie review)",IF($Q796="KEEP","DO NOT DELETE — KEEP",IF(ISNUMBER(SEARCH("REVIEW",$Q796)),"DO NOT DELETE — REVIEW pending",$S796))))</f>
        <v>DO NOT DELETE — HOLD (Charlie review)</v>
      </c>
      <c r="Q796" t="str" cm="1">
        <f t="array" ref="Q796">_xlfn.IFS(AND($A796="thg-beauty",ISNUMBER(SEARCH("liveramp",$C796))),"DELETE",$A796="agile-bonbon-662",_xlfn.IFS(LEFT($G796,9)="Tranche 1","DELETE",$C796="Sessions_Level_1_All_Sites","KEEP",ISNUMBER(--$C796),"REVIEW — UA raw logs",$C796="Emag_Reporting","KEEP",$C796="Nutrition_Data_Archived_Tables","KEEP",$C796="EU_Data","KEEP",TRUE,"REVIEW"),OR($A796="thg-influencer",$A796="thg-ingenuity",$A796="thg-central-marketing",$A796="thg-seoclarity"),"HOLD",TRUE,"")</f>
        <v>HOLD</v>
      </c>
      <c r="R796" t="str" cm="1">
        <f t="array" ref="R796">_xlfn.IFS(AND($A796="thg-beauty",ISNUMBER(SEARCH("liveramp",$C796))),"thg-beauty Liveramp dataset — confirmed safe to delete",$A796="agile-bonbon-662",_xlfn.IFS(LEFT($G796,9)="Tranche 1","Tranche 1: cleared",$C796="Sessions_Level_1_All_Sites","Downstream aggregation of UA raw logs — keep if raw tables go",ISNUMBER(--$C796),"UA raw site logs (account ID) — keep pending audit-retention check",$C796="Emag_Reporting","Legacy but likely needed",$C796="Nutrition_Data_Archived_Tables","Worth keeping",$C796="EU_Data","Static lookup tables — scripts still reference (smoke-test risk)",TRUE,"Review"),OR($A796="thg-influencer",$A796="thg-ingenuity",$A796="thg-central-marketing",$A796="thg-seoclarity"),"HOLD — Charlie Stringer to review before deletion",TRUE,"")</f>
        <v>HOLD — Charlie Stringer to review before deletion</v>
      </c>
      <c r="S796" t="s">
        <v>1624</v>
      </c>
    </row>
    <row r="797" spans="1:19">
      <c r="A797" t="s">
        <v>93</v>
      </c>
      <c r="B797" t="s">
        <v>1619</v>
      </c>
      <c r="C797" t="s">
        <v>3334</v>
      </c>
      <c r="D797" s="2" t="s">
        <v>1621</v>
      </c>
      <c r="E797">
        <v>0.05</v>
      </c>
      <c r="F797">
        <v>0</v>
      </c>
      <c r="G797" t="s">
        <v>55</v>
      </c>
      <c r="H797" t="s">
        <v>3328</v>
      </c>
      <c r="I797">
        <v>781</v>
      </c>
      <c r="J797">
        <v>781</v>
      </c>
      <c r="M797" s="2" t="s">
        <v>1715</v>
      </c>
      <c r="N797" s="2" t="s">
        <v>1701</v>
      </c>
      <c r="O797" s="5">
        <v>45415.578889849538</v>
      </c>
      <c r="P797" t="str">
        <f>IF($Q797="DELETE",IF($S797="CONFIRMED: NO MODS &gt; 1YR","CONFIRMED: NO MODS &gt; 1YR","DO NOT DELETE — not defensibly confirmed"),IF($Q797="HOLD","DO NOT DELETE — HOLD (Charlie review)",IF($Q797="KEEP","DO NOT DELETE — KEEP",IF(ISNUMBER(SEARCH("REVIEW",$Q797)),"DO NOT DELETE — REVIEW pending",$S797))))</f>
        <v>CONFIRMED: NO MODS &gt; 1YR</v>
      </c>
      <c r="Q797" t="s">
        <v>3335</v>
      </c>
      <c r="R797" t="str" cm="1">
        <f t="array" ref="R797">_xlfn.IFS(AND($A797="thg-beauty",ISNUMBER(SEARCH("liveramp",$C797))),"thg-beauty Liveramp dataset — confirmed safe to delete",$A797="agile-bonbon-662",_xlfn.IFS(LEFT($G797,9)="Tranche 1","Tranche 1: cleared",$C797="Sessions_Level_1_All_Sites","Downstream aggregation of UA raw logs — keep if raw tables go",ISNUMBER(--$C797),"UA raw site logs (account ID) — keep pending audit-retention check",$C797="Emag_Reporting","Legacy but likely needed",$C797="Nutrition_Data_Archived_Tables","Worth keeping",$C797="EU_Data","Static lookup tables — scripts still reference (smoke-test risk)",TRUE,"Review"),OR($A797="thg-influencer",$A797="thg-ingenuity",$A797="thg-central-marketing",$A797="thg-seoclarity"),"HOLD — Charlie Stringer to review before deletion",TRUE,"")</f>
        <v/>
      </c>
      <c r="S797" t="s">
        <v>1624</v>
      </c>
    </row>
    <row r="798" spans="1:19">
      <c r="A798" t="s">
        <v>93</v>
      </c>
      <c r="B798" t="s">
        <v>1619</v>
      </c>
      <c r="C798" t="s">
        <v>3336</v>
      </c>
      <c r="D798" s="2" t="s">
        <v>1621</v>
      </c>
      <c r="E798">
        <v>0</v>
      </c>
      <c r="F798">
        <v>0</v>
      </c>
      <c r="G798" t="s">
        <v>55</v>
      </c>
      <c r="H798" t="s">
        <v>3328</v>
      </c>
      <c r="I798">
        <v>673</v>
      </c>
      <c r="J798">
        <v>673</v>
      </c>
      <c r="M798" s="2" t="s">
        <v>1715</v>
      </c>
      <c r="N798" s="2" t="s">
        <v>1701</v>
      </c>
      <c r="O798" s="5">
        <v>45523.674780208326</v>
      </c>
      <c r="P798" t="str">
        <f>IF($Q798="DELETE",IF($S798="CONFIRMED: NO MODS &gt; 1YR","CONFIRMED: NO MODS &gt; 1YR","DO NOT DELETE — not defensibly confirmed"),IF($Q798="HOLD","DO NOT DELETE — HOLD (Charlie review)",IF($Q798="KEEP","DO NOT DELETE — KEEP",IF(ISNUMBER(SEARCH("REVIEW",$Q798)),"DO NOT DELETE — REVIEW pending",$S798))))</f>
        <v>CONFIRMED: NO MODS &gt; 1YR</v>
      </c>
      <c r="Q798" t="s">
        <v>3335</v>
      </c>
      <c r="R798" t="str" cm="1">
        <f t="array" ref="R798">_xlfn.IFS(AND($A798="thg-beauty",ISNUMBER(SEARCH("liveramp",$C798))),"thg-beauty Liveramp dataset — confirmed safe to delete",$A798="agile-bonbon-662",_xlfn.IFS(LEFT($G798,9)="Tranche 1","Tranche 1: cleared",$C798="Sessions_Level_1_All_Sites","Downstream aggregation of UA raw logs — keep if raw tables go",ISNUMBER(--$C798),"UA raw site logs (account ID) — keep pending audit-retention check",$C798="Emag_Reporting","Legacy but likely needed",$C798="Nutrition_Data_Archived_Tables","Worth keeping",$C798="EU_Data","Static lookup tables — scripts still reference (smoke-test risk)",TRUE,"Review"),OR($A798="thg-influencer",$A798="thg-ingenuity",$A798="thg-central-marketing",$A798="thg-seoclarity"),"HOLD — Charlie Stringer to review before deletion",TRUE,"")</f>
        <v/>
      </c>
      <c r="S798" t="s">
        <v>1624</v>
      </c>
    </row>
    <row r="799" spans="1:19">
      <c r="A799" t="s">
        <v>93</v>
      </c>
      <c r="B799" t="s">
        <v>1619</v>
      </c>
      <c r="C799" t="s">
        <v>3337</v>
      </c>
      <c r="D799" s="2" t="s">
        <v>1621</v>
      </c>
      <c r="E799">
        <v>0</v>
      </c>
      <c r="F799">
        <v>0</v>
      </c>
      <c r="G799" t="s">
        <v>55</v>
      </c>
      <c r="H799" t="s">
        <v>3328</v>
      </c>
      <c r="I799">
        <v>655</v>
      </c>
      <c r="J799">
        <v>655</v>
      </c>
      <c r="M799" s="2" t="s">
        <v>1715</v>
      </c>
      <c r="N799" s="2" t="s">
        <v>1701</v>
      </c>
      <c r="O799" s="5">
        <v>45541.683597418982</v>
      </c>
      <c r="P799" t="str">
        <f>IF($Q799="DELETE",IF($S799="CONFIRMED: NO MODS &gt; 1YR","CONFIRMED: NO MODS &gt; 1YR","DO NOT DELETE — not defensibly confirmed"),IF($Q799="HOLD","DO NOT DELETE — HOLD (Charlie review)",IF($Q799="KEEP","DO NOT DELETE — KEEP",IF(ISNUMBER(SEARCH("REVIEW",$Q799)),"DO NOT DELETE — REVIEW pending",$S799))))</f>
        <v>CONFIRMED: NO MODS &gt; 1YR</v>
      </c>
      <c r="Q799" t="s">
        <v>3335</v>
      </c>
      <c r="R799" t="str" cm="1">
        <f t="array" ref="R799">_xlfn.IFS(AND($A799="thg-beauty",ISNUMBER(SEARCH("liveramp",$C799))),"thg-beauty Liveramp dataset — confirmed safe to delete",$A799="agile-bonbon-662",_xlfn.IFS(LEFT($G799,9)="Tranche 1","Tranche 1: cleared",$C799="Sessions_Level_1_All_Sites","Downstream aggregation of UA raw logs — keep if raw tables go",ISNUMBER(--$C799),"UA raw site logs (account ID) — keep pending audit-retention check",$C799="Emag_Reporting","Legacy but likely needed",$C799="Nutrition_Data_Archived_Tables","Worth keeping",$C799="EU_Data","Static lookup tables — scripts still reference (smoke-test risk)",TRUE,"Review"),OR($A799="thg-influencer",$A799="thg-ingenuity",$A799="thg-central-marketing",$A799="thg-seoclarity"),"HOLD — Charlie Stringer to review before deletion",TRUE,"")</f>
        <v/>
      </c>
      <c r="S799" t="s">
        <v>1624</v>
      </c>
    </row>
    <row r="800" spans="1:19" ht="76.5">
      <c r="A800" t="s">
        <v>93</v>
      </c>
      <c r="B800" t="s">
        <v>1619</v>
      </c>
      <c r="C800" t="s">
        <v>3338</v>
      </c>
      <c r="D800" s="2" t="s">
        <v>1621</v>
      </c>
      <c r="E800">
        <v>661.79</v>
      </c>
      <c r="F800">
        <v>13.24</v>
      </c>
      <c r="G800" t="s">
        <v>55</v>
      </c>
      <c r="H800" t="s">
        <v>3328</v>
      </c>
      <c r="I800">
        <v>152</v>
      </c>
      <c r="J800">
        <v>526</v>
      </c>
      <c r="K800" s="5">
        <v>46045.399790810188</v>
      </c>
      <c r="M800" s="2" t="s">
        <v>3339</v>
      </c>
      <c r="N800" s="2" t="s">
        <v>1701</v>
      </c>
      <c r="O800" s="5">
        <v>45671.397201886582</v>
      </c>
      <c r="P800" t="str">
        <f>IF($Q800="DELETE",IF($S800="CONFIRMED: NO MODS &gt; 1YR","CONFIRMED: NO MODS &gt; 1YR","DO NOT DELETE — not defensibly confirmed"),IF($Q800="HOLD","DO NOT DELETE — HOLD (Charlie review)",IF($Q800="KEEP","DO NOT DELETE — KEEP",IF(ISNUMBER(SEARCH("REVIEW",$Q800)),"DO NOT DELETE — REVIEW pending",$S800))))</f>
        <v>CONFIRMED: NO MODS &gt; 1YR</v>
      </c>
      <c r="Q800" t="s">
        <v>3335</v>
      </c>
      <c r="R800" t="str" cm="1">
        <f t="array" ref="R800">_xlfn.IFS(AND($A800="thg-beauty",ISNUMBER(SEARCH("liveramp",$C800))),"thg-beauty Liveramp dataset — confirmed safe to delete",$A800="agile-bonbon-662",_xlfn.IFS(LEFT($G800,9)="Tranche 1","Tranche 1: cleared",$C800="Sessions_Level_1_All_Sites","Downstream aggregation of UA raw logs — keep if raw tables go",ISNUMBER(--$C800),"UA raw site logs (account ID) — keep pending audit-retention check",$C800="Emag_Reporting","Legacy but likely needed",$C800="Nutrition_Data_Archived_Tables","Worth keeping",$C800="EU_Data","Static lookup tables — scripts still reference (smoke-test risk)",TRUE,"Review"),OR($A800="thg-influencer",$A800="thg-ingenuity",$A800="thg-central-marketing",$A800="thg-seoclarity"),"HOLD — Charlie Stringer to review before deletion",TRUE,"")</f>
        <v/>
      </c>
      <c r="S800" t="s">
        <v>1624</v>
      </c>
    </row>
    <row r="801" spans="1:19">
      <c r="A801" t="s">
        <v>91</v>
      </c>
      <c r="B801" t="s">
        <v>1619</v>
      </c>
      <c r="C801" t="s">
        <v>267</v>
      </c>
      <c r="D801" s="2" t="s">
        <v>1621</v>
      </c>
      <c r="E801">
        <v>2144.3000000000002</v>
      </c>
      <c r="F801">
        <v>42.89</v>
      </c>
      <c r="G801" t="s">
        <v>55</v>
      </c>
      <c r="H801" t="s">
        <v>3328</v>
      </c>
      <c r="I801">
        <v>56</v>
      </c>
      <c r="J801">
        <v>1834</v>
      </c>
      <c r="K801" s="5">
        <v>46141.414420787027</v>
      </c>
      <c r="M801" s="2" t="s">
        <v>1815</v>
      </c>
      <c r="N801" s="2" t="s">
        <v>1701</v>
      </c>
      <c r="O801" s="5">
        <v>44363.412445856477</v>
      </c>
      <c r="P801" t="str">
        <f>IF($Q801="DELETE",IF($S801="CONFIRMED: NO MODS &gt; 1YR","CONFIRMED: NO MODS &gt; 1YR","DO NOT DELETE — not defensibly confirmed"),IF($Q801="HOLD","DO NOT DELETE — HOLD (Charlie review)",IF($Q801="KEEP","DO NOT DELETE — KEEP",IF(ISNUMBER(SEARCH("REVIEW",$Q801)),"DO NOT DELETE — REVIEW pending",$S801))))</f>
        <v>CONFIRMED: NO MODS &gt; 1YR</v>
      </c>
      <c r="Q801" t="s">
        <v>3335</v>
      </c>
      <c r="R801" t="str" cm="1">
        <f t="array" ref="R801">_xlfn.IFS(AND($A801="thg-beauty",ISNUMBER(SEARCH("liveramp",$C801))),"thg-beauty Liveramp dataset — confirmed safe to delete",$A801="agile-bonbon-662",_xlfn.IFS(LEFT($G801,9)="Tranche 1","Tranche 1: cleared",$C801="Sessions_Level_1_All_Sites","Downstream aggregation of UA raw logs — keep if raw tables go",ISNUMBER(--$C801),"UA raw site logs (account ID) — keep pending audit-retention check",$C801="Emag_Reporting","Legacy but likely needed",$C801="Nutrition_Data_Archived_Tables","Worth keeping",$C801="EU_Data","Static lookup tables — scripts still reference (smoke-test risk)",TRUE,"Review"),OR($A801="thg-influencer",$A801="thg-ingenuity",$A801="thg-central-marketing",$A801="thg-seoclarity"),"HOLD — Charlie Stringer to review before deletion",TRUE,"")</f>
        <v/>
      </c>
      <c r="S801" t="s">
        <v>1624</v>
      </c>
    </row>
    <row r="802" spans="1:19">
      <c r="A802" t="s">
        <v>90</v>
      </c>
      <c r="B802" t="s">
        <v>1619</v>
      </c>
      <c r="C802" t="s">
        <v>467</v>
      </c>
      <c r="D802" s="2" t="s">
        <v>1621</v>
      </c>
      <c r="E802">
        <v>379.49</v>
      </c>
      <c r="F802">
        <v>7.59</v>
      </c>
      <c r="G802" t="s">
        <v>55</v>
      </c>
      <c r="H802" t="s">
        <v>3328</v>
      </c>
      <c r="I802">
        <v>56</v>
      </c>
      <c r="J802">
        <v>2058</v>
      </c>
      <c r="K802" s="5">
        <v>46141.387823761572</v>
      </c>
      <c r="M802" s="2" t="s">
        <v>1800</v>
      </c>
      <c r="N802" s="2" t="s">
        <v>1701</v>
      </c>
      <c r="O802" s="5">
        <v>44138.63084730324</v>
      </c>
      <c r="P802" t="str">
        <f>IF($Q802="DELETE",IF($S802="CONFIRMED: NO MODS &gt; 1YR","CONFIRMED: NO MODS &gt; 1YR","DO NOT DELETE — not defensibly confirmed"),IF($Q802="HOLD","DO NOT DELETE — HOLD (Charlie review)",IF($Q802="KEEP","DO NOT DELETE — KEEP",IF(ISNUMBER(SEARCH("REVIEW",$Q802)),"DO NOT DELETE — REVIEW pending",$S802))))</f>
        <v>CONFIRMED: NO MODS &gt; 1YR</v>
      </c>
      <c r="Q802" t="s">
        <v>3335</v>
      </c>
      <c r="R802" t="str" cm="1">
        <f t="array" ref="R802">_xlfn.IFS(AND($A802="thg-beauty",ISNUMBER(SEARCH("liveramp",$C802))),"thg-beauty Liveramp dataset — confirmed safe to delete",$A802="agile-bonbon-662",_xlfn.IFS(LEFT($G802,9)="Tranche 1","Tranche 1: cleared",$C802="Sessions_Level_1_All_Sites","Downstream aggregation of UA raw logs — keep if raw tables go",ISNUMBER(--$C802),"UA raw site logs (account ID) — keep pending audit-retention check",$C802="Emag_Reporting","Legacy but likely needed",$C802="Nutrition_Data_Archived_Tables","Worth keeping",$C802="EU_Data","Static lookup tables — scripts still reference (smoke-test risk)",TRUE,"Review"),OR($A802="thg-influencer",$A802="thg-ingenuity",$A802="thg-central-marketing",$A802="thg-seoclarity"),"HOLD — Charlie Stringer to review before deletion",TRUE,"")</f>
        <v/>
      </c>
      <c r="S802" t="s">
        <v>1624</v>
      </c>
    </row>
    <row r="803" spans="1:19">
      <c r="A803" t="s">
        <v>90</v>
      </c>
      <c r="B803" t="s">
        <v>1619</v>
      </c>
      <c r="C803" t="s">
        <v>809</v>
      </c>
      <c r="D803" s="2" t="s">
        <v>1621</v>
      </c>
      <c r="E803">
        <v>87.8</v>
      </c>
      <c r="F803">
        <v>1.76</v>
      </c>
      <c r="G803" t="s">
        <v>55</v>
      </c>
      <c r="H803" t="s">
        <v>3328</v>
      </c>
      <c r="I803">
        <v>56</v>
      </c>
      <c r="J803">
        <v>1436</v>
      </c>
      <c r="K803" s="5">
        <v>46141.387723229163</v>
      </c>
      <c r="M803" s="2" t="s">
        <v>1800</v>
      </c>
      <c r="N803" s="2" t="s">
        <v>1701</v>
      </c>
      <c r="O803" s="5">
        <v>44760.552904155091</v>
      </c>
      <c r="P803" t="str">
        <f>IF($Q803="DELETE",IF($S803="CONFIRMED: NO MODS &gt; 1YR","CONFIRMED: NO MODS &gt; 1YR","DO NOT DELETE — not defensibly confirmed"),IF($Q803="HOLD","DO NOT DELETE — HOLD (Charlie review)",IF($Q803="KEEP","DO NOT DELETE — KEEP",IF(ISNUMBER(SEARCH("REVIEW",$Q803)),"DO NOT DELETE — REVIEW pending",$S803))))</f>
        <v>CONFIRMED: NO MODS &gt; 1YR</v>
      </c>
      <c r="Q803" t="s">
        <v>3335</v>
      </c>
      <c r="R803" t="str" cm="1">
        <f t="array" ref="R803">_xlfn.IFS(AND($A803="thg-beauty",ISNUMBER(SEARCH("liveramp",$C803))),"thg-beauty Liveramp dataset — confirmed safe to delete",$A803="agile-bonbon-662",_xlfn.IFS(LEFT($G803,9)="Tranche 1","Tranche 1: cleared",$C803="Sessions_Level_1_All_Sites","Downstream aggregation of UA raw logs — keep if raw tables go",ISNUMBER(--$C803),"UA raw site logs (account ID) — keep pending audit-retention check",$C803="Emag_Reporting","Legacy but likely needed",$C803="Nutrition_Data_Archived_Tables","Worth keeping",$C803="EU_Data","Static lookup tables — scripts still reference (smoke-test risk)",TRUE,"Review"),OR($A803="thg-influencer",$A803="thg-ingenuity",$A803="thg-central-marketing",$A803="thg-seoclarity"),"HOLD — Charlie Stringer to review before deletion",TRUE,"")</f>
        <v/>
      </c>
      <c r="S803" t="s">
        <v>1624</v>
      </c>
    </row>
    <row r="804" spans="1:19">
      <c r="A804" t="s">
        <v>90</v>
      </c>
      <c r="B804" t="s">
        <v>1619</v>
      </c>
      <c r="C804" t="s">
        <v>3340</v>
      </c>
      <c r="D804" s="2" t="s">
        <v>1621</v>
      </c>
      <c r="E804">
        <v>0.83</v>
      </c>
      <c r="F804">
        <v>0.02</v>
      </c>
      <c r="G804" t="s">
        <v>55</v>
      </c>
      <c r="H804" t="s">
        <v>3328</v>
      </c>
      <c r="I804">
        <v>56</v>
      </c>
      <c r="J804">
        <v>1965</v>
      </c>
      <c r="K804" s="5">
        <v>46141.387610752317</v>
      </c>
      <c r="M804" s="2" t="s">
        <v>1800</v>
      </c>
      <c r="N804" s="2" t="s">
        <v>1701</v>
      </c>
      <c r="O804" s="5">
        <v>44231.653130162027</v>
      </c>
      <c r="P804" t="str">
        <f>IF($Q804="DELETE",IF($S804="CONFIRMED: NO MODS &gt; 1YR","CONFIRMED: NO MODS &gt; 1YR","DO NOT DELETE — not defensibly confirmed"),IF($Q804="HOLD","DO NOT DELETE — HOLD (Charlie review)",IF($Q804="KEEP","DO NOT DELETE — KEEP",IF(ISNUMBER(SEARCH("REVIEW",$Q804)),"DO NOT DELETE — REVIEW pending",$S804))))</f>
        <v>CONFIRMED: NO MODS &gt; 1YR</v>
      </c>
      <c r="Q804" t="s">
        <v>3335</v>
      </c>
      <c r="R804" t="str" cm="1">
        <f t="array" ref="R804">_xlfn.IFS(AND($A804="thg-beauty",ISNUMBER(SEARCH("liveramp",$C804))),"thg-beauty Liveramp dataset — confirmed safe to delete",$A804="agile-bonbon-662",_xlfn.IFS(LEFT($G804,9)="Tranche 1","Tranche 1: cleared",$C804="Sessions_Level_1_All_Sites","Downstream aggregation of UA raw logs — keep if raw tables go",ISNUMBER(--$C804),"UA raw site logs (account ID) — keep pending audit-retention check",$C804="Emag_Reporting","Legacy but likely needed",$C804="Nutrition_Data_Archived_Tables","Worth keeping",$C804="EU_Data","Static lookup tables — scripts still reference (smoke-test risk)",TRUE,"Review"),OR($A804="thg-influencer",$A804="thg-ingenuity",$A804="thg-central-marketing",$A804="thg-seoclarity"),"HOLD — Charlie Stringer to review before deletion",TRUE,"")</f>
        <v/>
      </c>
      <c r="S804" t="s">
        <v>1624</v>
      </c>
    </row>
    <row r="805" spans="1:19">
      <c r="A805" t="s">
        <v>90</v>
      </c>
      <c r="B805" t="s">
        <v>1619</v>
      </c>
      <c r="C805" t="s">
        <v>3341</v>
      </c>
      <c r="D805" s="2" t="s">
        <v>1621</v>
      </c>
      <c r="E805">
        <v>0.33</v>
      </c>
      <c r="F805">
        <v>0.01</v>
      </c>
      <c r="G805" t="s">
        <v>55</v>
      </c>
      <c r="H805" t="s">
        <v>3328</v>
      </c>
      <c r="I805">
        <v>56</v>
      </c>
      <c r="J805">
        <v>1308</v>
      </c>
      <c r="K805" s="5">
        <v>46141.387259618059</v>
      </c>
      <c r="M805" s="2" t="s">
        <v>1807</v>
      </c>
      <c r="N805" s="2" t="s">
        <v>1701</v>
      </c>
      <c r="O805" s="5">
        <v>44888.743904780087</v>
      </c>
      <c r="P805" t="str">
        <f>IF($Q805="DELETE",IF($S805="CONFIRMED: NO MODS &gt; 1YR","CONFIRMED: NO MODS &gt; 1YR","DO NOT DELETE — not defensibly confirmed"),IF($Q805="HOLD","DO NOT DELETE — HOLD (Charlie review)",IF($Q805="KEEP","DO NOT DELETE — KEEP",IF(ISNUMBER(SEARCH("REVIEW",$Q805)),"DO NOT DELETE — REVIEW pending",$S805))))</f>
        <v>CONFIRMED: NO MODS &gt; 1YR</v>
      </c>
      <c r="Q805" t="s">
        <v>3335</v>
      </c>
      <c r="R805" t="str" cm="1">
        <f t="array" ref="R805">_xlfn.IFS(AND($A805="thg-beauty",ISNUMBER(SEARCH("liveramp",$C805))),"thg-beauty Liveramp dataset — confirmed safe to delete",$A805="agile-bonbon-662",_xlfn.IFS(LEFT($G805,9)="Tranche 1","Tranche 1: cleared",$C805="Sessions_Level_1_All_Sites","Downstream aggregation of UA raw logs — keep if raw tables go",ISNUMBER(--$C805),"UA raw site logs (account ID) — keep pending audit-retention check",$C805="Emag_Reporting","Legacy but likely needed",$C805="Nutrition_Data_Archived_Tables","Worth keeping",$C805="EU_Data","Static lookup tables — scripts still reference (smoke-test risk)",TRUE,"Review"),OR($A805="thg-influencer",$A805="thg-ingenuity",$A805="thg-central-marketing",$A805="thg-seoclarity"),"HOLD — Charlie Stringer to review before deletion",TRUE,"")</f>
        <v/>
      </c>
      <c r="S805" t="s">
        <v>1624</v>
      </c>
    </row>
    <row r="806" spans="1:19">
      <c r="A806" t="s">
        <v>91</v>
      </c>
      <c r="B806" t="s">
        <v>1619</v>
      </c>
      <c r="C806" t="s">
        <v>722</v>
      </c>
      <c r="D806" s="2" t="s">
        <v>1621</v>
      </c>
      <c r="E806">
        <v>7.0000000000000007E-2</v>
      </c>
      <c r="F806">
        <v>0</v>
      </c>
      <c r="G806" t="s">
        <v>55</v>
      </c>
      <c r="H806" t="s">
        <v>3328</v>
      </c>
      <c r="I806">
        <v>56</v>
      </c>
      <c r="J806">
        <v>977</v>
      </c>
      <c r="K806" s="5">
        <v>46141.415024872687</v>
      </c>
      <c r="M806" s="2" t="s">
        <v>1802</v>
      </c>
      <c r="N806" s="2" t="s">
        <v>1701</v>
      </c>
      <c r="O806" s="5">
        <v>45219.609572488429</v>
      </c>
      <c r="P806" t="str">
        <f>IF($Q806="DELETE",IF($S806="CONFIRMED: NO MODS &gt; 1YR","CONFIRMED: NO MODS &gt; 1YR","DO NOT DELETE — not defensibly confirmed"),IF($Q806="HOLD","DO NOT DELETE — HOLD (Charlie review)",IF($Q806="KEEP","DO NOT DELETE — KEEP",IF(ISNUMBER(SEARCH("REVIEW",$Q806)),"DO NOT DELETE — REVIEW pending",$S806))))</f>
        <v>CONFIRMED: NO MODS &gt; 1YR</v>
      </c>
      <c r="Q806" t="s">
        <v>3335</v>
      </c>
      <c r="R806" t="str" cm="1">
        <f t="array" ref="R806">_xlfn.IFS(AND($A806="thg-beauty",ISNUMBER(SEARCH("liveramp",$C806))),"thg-beauty Liveramp dataset — confirmed safe to delete",$A806="agile-bonbon-662",_xlfn.IFS(LEFT($G806,9)="Tranche 1","Tranche 1: cleared",$C806="Sessions_Level_1_All_Sites","Downstream aggregation of UA raw logs — keep if raw tables go",ISNUMBER(--$C806),"UA raw site logs (account ID) — keep pending audit-retention check",$C806="Emag_Reporting","Legacy but likely needed",$C806="Nutrition_Data_Archived_Tables","Worth keeping",$C806="EU_Data","Static lookup tables — scripts still reference (smoke-test risk)",TRUE,"Review"),OR($A806="thg-influencer",$A806="thg-ingenuity",$A806="thg-central-marketing",$A806="thg-seoclarity"),"HOLD — Charlie Stringer to review before deletion",TRUE,"")</f>
        <v/>
      </c>
      <c r="S806" t="s">
        <v>1624</v>
      </c>
    </row>
    <row r="807" spans="1:19">
      <c r="A807" t="s">
        <v>90</v>
      </c>
      <c r="B807" t="s">
        <v>1619</v>
      </c>
      <c r="C807" t="s">
        <v>3342</v>
      </c>
      <c r="D807" s="2" t="s">
        <v>1621</v>
      </c>
      <c r="E807">
        <v>0.04</v>
      </c>
      <c r="F807">
        <v>0</v>
      </c>
      <c r="G807" t="s">
        <v>55</v>
      </c>
      <c r="H807" t="s">
        <v>3328</v>
      </c>
      <c r="I807">
        <v>56</v>
      </c>
      <c r="J807">
        <v>509</v>
      </c>
      <c r="K807" s="5">
        <v>46141.388267071758</v>
      </c>
      <c r="M807" s="2" t="s">
        <v>1832</v>
      </c>
      <c r="N807" s="2" t="s">
        <v>1701</v>
      </c>
      <c r="O807" s="5">
        <v>45687.652536215282</v>
      </c>
      <c r="P807" t="str">
        <f>IF($Q807="DELETE",IF($S807="CONFIRMED: NO MODS &gt; 1YR","CONFIRMED: NO MODS &gt; 1YR","DO NOT DELETE — not defensibly confirmed"),IF($Q807="HOLD","DO NOT DELETE — HOLD (Charlie review)",IF($Q807="KEEP","DO NOT DELETE — KEEP",IF(ISNUMBER(SEARCH("REVIEW",$Q807)),"DO NOT DELETE — REVIEW pending",$S807))))</f>
        <v>CONFIRMED: NO MODS &gt; 1YR</v>
      </c>
      <c r="Q807" t="s">
        <v>3335</v>
      </c>
      <c r="R807" t="str" cm="1">
        <f t="array" ref="R807">_xlfn.IFS(AND($A807="thg-beauty",ISNUMBER(SEARCH("liveramp",$C807))),"thg-beauty Liveramp dataset — confirmed safe to delete",$A807="agile-bonbon-662",_xlfn.IFS(LEFT($G807,9)="Tranche 1","Tranche 1: cleared",$C807="Sessions_Level_1_All_Sites","Downstream aggregation of UA raw logs — keep if raw tables go",ISNUMBER(--$C807),"UA raw site logs (account ID) — keep pending audit-retention check",$C807="Emag_Reporting","Legacy but likely needed",$C807="Nutrition_Data_Archived_Tables","Worth keeping",$C807="EU_Data","Static lookup tables — scripts still reference (smoke-test risk)",TRUE,"Review"),OR($A807="thg-influencer",$A807="thg-ingenuity",$A807="thg-central-marketing",$A807="thg-seoclarity"),"HOLD — Charlie Stringer to review before deletion",TRUE,"")</f>
        <v/>
      </c>
      <c r="S807" t="s">
        <v>1624</v>
      </c>
    </row>
    <row r="808" spans="1:19">
      <c r="A808" t="s">
        <v>90</v>
      </c>
      <c r="B808" t="s">
        <v>1724</v>
      </c>
      <c r="C808" t="s">
        <v>3343</v>
      </c>
      <c r="D808" s="2" t="s">
        <v>1621</v>
      </c>
      <c r="E808">
        <v>0.03</v>
      </c>
      <c r="F808">
        <v>0</v>
      </c>
      <c r="G808" t="s">
        <v>55</v>
      </c>
      <c r="H808" t="s">
        <v>3328</v>
      </c>
      <c r="I808">
        <v>56</v>
      </c>
      <c r="J808">
        <v>509</v>
      </c>
      <c r="K808" s="5">
        <v>46141.387775752322</v>
      </c>
      <c r="M808" s="2" t="s">
        <v>1800</v>
      </c>
      <c r="N808" s="2" t="s">
        <v>1701</v>
      </c>
      <c r="O808" s="5">
        <v>45687.621333923613</v>
      </c>
      <c r="P808" t="str">
        <f>IF($Q808="DELETE",IF($S808="CONFIRMED: NO MODS &gt; 1YR","CONFIRMED: NO MODS &gt; 1YR","DO NOT DELETE — not defensibly confirmed"),IF($Q808="HOLD","DO NOT DELETE — HOLD (Charlie review)",IF($Q808="KEEP","DO NOT DELETE — KEEP",IF(ISNUMBER(SEARCH("REVIEW",$Q808)),"DO NOT DELETE — REVIEW pending",$S808))))</f>
        <v>CONFIRMED: NO MODS &gt; 1YR</v>
      </c>
      <c r="Q808" t="s">
        <v>3335</v>
      </c>
      <c r="R808" t="str" cm="1">
        <f t="array" ref="R808">_xlfn.IFS(AND($A808="thg-beauty",ISNUMBER(SEARCH("liveramp",$C808))),"thg-beauty Liveramp dataset — confirmed safe to delete",$A808="agile-bonbon-662",_xlfn.IFS(LEFT($G808,9)="Tranche 1","Tranche 1: cleared",$C808="Sessions_Level_1_All_Sites","Downstream aggregation of UA raw logs — keep if raw tables go",ISNUMBER(--$C808),"UA raw site logs (account ID) — keep pending audit-retention check",$C808="Emag_Reporting","Legacy but likely needed",$C808="Nutrition_Data_Archived_Tables","Worth keeping",$C808="EU_Data","Static lookup tables — scripts still reference (smoke-test risk)",TRUE,"Review"),OR($A808="thg-influencer",$A808="thg-ingenuity",$A808="thg-central-marketing",$A808="thg-seoclarity"),"HOLD — Charlie Stringer to review before deletion",TRUE,"")</f>
        <v/>
      </c>
      <c r="S808" t="s">
        <v>1624</v>
      </c>
    </row>
    <row r="809" spans="1:19">
      <c r="A809" t="s">
        <v>91</v>
      </c>
      <c r="B809" t="s">
        <v>1619</v>
      </c>
      <c r="C809" t="s">
        <v>3344</v>
      </c>
      <c r="D809" s="2" t="s">
        <v>1621</v>
      </c>
      <c r="E809">
        <v>0.03</v>
      </c>
      <c r="F809">
        <v>0</v>
      </c>
      <c r="G809" t="s">
        <v>55</v>
      </c>
      <c r="H809" t="s">
        <v>3328</v>
      </c>
      <c r="I809">
        <v>56</v>
      </c>
      <c r="J809">
        <v>1754</v>
      </c>
      <c r="K809" s="5">
        <v>46141.414653715277</v>
      </c>
      <c r="M809" s="2" t="s">
        <v>1802</v>
      </c>
      <c r="N809" s="2" t="s">
        <v>1701</v>
      </c>
      <c r="O809" s="5">
        <v>44442.665107349538</v>
      </c>
      <c r="P809" t="str">
        <f>IF($Q809="DELETE",IF($S809="CONFIRMED: NO MODS &gt; 1YR","CONFIRMED: NO MODS &gt; 1YR","DO NOT DELETE — not defensibly confirmed"),IF($Q809="HOLD","DO NOT DELETE — HOLD (Charlie review)",IF($Q809="KEEP","DO NOT DELETE — KEEP",IF(ISNUMBER(SEARCH("REVIEW",$Q809)),"DO NOT DELETE — REVIEW pending",$S809))))</f>
        <v>CONFIRMED: NO MODS &gt; 1YR</v>
      </c>
      <c r="Q809" t="s">
        <v>3335</v>
      </c>
      <c r="R809" t="str" cm="1">
        <f t="array" ref="R809">_xlfn.IFS(AND($A809="thg-beauty",ISNUMBER(SEARCH("liveramp",$C809))),"thg-beauty Liveramp dataset — confirmed safe to delete",$A809="agile-bonbon-662",_xlfn.IFS(LEFT($G809,9)="Tranche 1","Tranche 1: cleared",$C809="Sessions_Level_1_All_Sites","Downstream aggregation of UA raw logs — keep if raw tables go",ISNUMBER(--$C809),"UA raw site logs (account ID) — keep pending audit-retention check",$C809="Emag_Reporting","Legacy but likely needed",$C809="Nutrition_Data_Archived_Tables","Worth keeping",$C809="EU_Data","Static lookup tables — scripts still reference (smoke-test risk)",TRUE,"Review"),OR($A809="thg-influencer",$A809="thg-ingenuity",$A809="thg-central-marketing",$A809="thg-seoclarity"),"HOLD — Charlie Stringer to review before deletion",TRUE,"")</f>
        <v/>
      </c>
      <c r="S809" t="s">
        <v>1624</v>
      </c>
    </row>
    <row r="810" spans="1:19">
      <c r="A810" t="s">
        <v>90</v>
      </c>
      <c r="B810" t="s">
        <v>1619</v>
      </c>
      <c r="C810" t="s">
        <v>3345</v>
      </c>
      <c r="D810" s="2" t="s">
        <v>1621</v>
      </c>
      <c r="E810">
        <v>0</v>
      </c>
      <c r="F810">
        <v>0</v>
      </c>
      <c r="G810" t="s">
        <v>55</v>
      </c>
      <c r="H810" t="s">
        <v>3328</v>
      </c>
      <c r="I810">
        <v>56</v>
      </c>
      <c r="J810">
        <v>1965</v>
      </c>
      <c r="K810" s="5">
        <v>46141.387507453714</v>
      </c>
      <c r="M810" s="2" t="s">
        <v>1800</v>
      </c>
      <c r="N810" s="2" t="s">
        <v>1701</v>
      </c>
      <c r="O810" s="5">
        <v>44231.60233292824</v>
      </c>
      <c r="P810" t="str">
        <f>IF($Q810="DELETE",IF($S810="CONFIRMED: NO MODS &gt; 1YR","CONFIRMED: NO MODS &gt; 1YR","DO NOT DELETE — not defensibly confirmed"),IF($Q810="HOLD","DO NOT DELETE — HOLD (Charlie review)",IF($Q810="KEEP","DO NOT DELETE — KEEP",IF(ISNUMBER(SEARCH("REVIEW",$Q810)),"DO NOT DELETE — REVIEW pending",$S810))))</f>
        <v>CONFIRMED: NO MODS &gt; 1YR</v>
      </c>
      <c r="Q810" t="s">
        <v>3335</v>
      </c>
      <c r="R810" t="str" cm="1">
        <f t="array" ref="R810">_xlfn.IFS(AND($A810="thg-beauty",ISNUMBER(SEARCH("liveramp",$C810))),"thg-beauty Liveramp dataset — confirmed safe to delete",$A810="agile-bonbon-662",_xlfn.IFS(LEFT($G810,9)="Tranche 1","Tranche 1: cleared",$C810="Sessions_Level_1_All_Sites","Downstream aggregation of UA raw logs — keep if raw tables go",ISNUMBER(--$C810),"UA raw site logs (account ID) — keep pending audit-retention check",$C810="Emag_Reporting","Legacy but likely needed",$C810="Nutrition_Data_Archived_Tables","Worth keeping",$C810="EU_Data","Static lookup tables — scripts still reference (smoke-test risk)",TRUE,"Review"),OR($A810="thg-influencer",$A810="thg-ingenuity",$A810="thg-central-marketing",$A810="thg-seoclarity"),"HOLD — Charlie Stringer to review before deletion",TRUE,"")</f>
        <v/>
      </c>
      <c r="S810" t="s">
        <v>1624</v>
      </c>
    </row>
    <row r="811" spans="1:19">
      <c r="A811" t="s">
        <v>90</v>
      </c>
      <c r="B811" t="s">
        <v>1619</v>
      </c>
      <c r="C811" t="s">
        <v>3346</v>
      </c>
      <c r="D811" s="2" t="s">
        <v>1621</v>
      </c>
      <c r="E811">
        <v>0</v>
      </c>
      <c r="F811">
        <v>0</v>
      </c>
      <c r="G811" t="s">
        <v>55</v>
      </c>
      <c r="H811" t="s">
        <v>3328</v>
      </c>
      <c r="I811">
        <v>56</v>
      </c>
      <c r="J811">
        <v>578</v>
      </c>
      <c r="K811" s="5">
        <v>46141.387258356481</v>
      </c>
      <c r="M811" s="2" t="s">
        <v>1807</v>
      </c>
      <c r="N811" s="2" t="s">
        <v>1701</v>
      </c>
      <c r="O811" s="5">
        <v>45618.477741006936</v>
      </c>
      <c r="P811" t="str">
        <f>IF($Q811="DELETE",IF($S811="CONFIRMED: NO MODS &gt; 1YR","CONFIRMED: NO MODS &gt; 1YR","DO NOT DELETE — not defensibly confirmed"),IF($Q811="HOLD","DO NOT DELETE — HOLD (Charlie review)",IF($Q811="KEEP","DO NOT DELETE — KEEP",IF(ISNUMBER(SEARCH("REVIEW",$Q811)),"DO NOT DELETE — REVIEW pending",$S811))))</f>
        <v>CONFIRMED: NO MODS &gt; 1YR</v>
      </c>
      <c r="Q811" t="s">
        <v>3335</v>
      </c>
      <c r="R811" t="str" cm="1">
        <f t="array" ref="R811">_xlfn.IFS(AND($A811="thg-beauty",ISNUMBER(SEARCH("liveramp",$C811))),"thg-beauty Liveramp dataset — confirmed safe to delete",$A811="agile-bonbon-662",_xlfn.IFS(LEFT($G811,9)="Tranche 1","Tranche 1: cleared",$C811="Sessions_Level_1_All_Sites","Downstream aggregation of UA raw logs — keep if raw tables go",ISNUMBER(--$C811),"UA raw site logs (account ID) — keep pending audit-retention check",$C811="Emag_Reporting","Legacy but likely needed",$C811="Nutrition_Data_Archived_Tables","Worth keeping",$C811="EU_Data","Static lookup tables — scripts still reference (smoke-test risk)",TRUE,"Review"),OR($A811="thg-influencer",$A811="thg-ingenuity",$A811="thg-central-marketing",$A811="thg-seoclarity"),"HOLD — Charlie Stringer to review before deletion",TRUE,"")</f>
        <v/>
      </c>
      <c r="S811" t="s">
        <v>1624</v>
      </c>
    </row>
    <row r="812" spans="1:19">
      <c r="A812" t="s">
        <v>91</v>
      </c>
      <c r="B812" t="s">
        <v>1619</v>
      </c>
      <c r="C812" t="s">
        <v>3347</v>
      </c>
      <c r="D812" s="2" t="s">
        <v>1621</v>
      </c>
      <c r="E812">
        <v>0</v>
      </c>
      <c r="F812">
        <v>0</v>
      </c>
      <c r="G812" t="s">
        <v>55</v>
      </c>
      <c r="H812" t="s">
        <v>3328</v>
      </c>
      <c r="I812">
        <v>56</v>
      </c>
      <c r="J812">
        <v>1230</v>
      </c>
      <c r="K812" s="5">
        <v>46141.414512835647</v>
      </c>
      <c r="M812" s="2" t="s">
        <v>1815</v>
      </c>
      <c r="N812" s="2" t="s">
        <v>1701</v>
      </c>
      <c r="O812" s="5">
        <v>44966.544472141213</v>
      </c>
      <c r="P812" t="str">
        <f>IF($Q812="DELETE",IF($S812="CONFIRMED: NO MODS &gt; 1YR","CONFIRMED: NO MODS &gt; 1YR","DO NOT DELETE — not defensibly confirmed"),IF($Q812="HOLD","DO NOT DELETE — HOLD (Charlie review)",IF($Q812="KEEP","DO NOT DELETE — KEEP",IF(ISNUMBER(SEARCH("REVIEW",$Q812)),"DO NOT DELETE — REVIEW pending",$S812))))</f>
        <v>CONFIRMED: NO MODS &gt; 1YR</v>
      </c>
      <c r="Q812" t="s">
        <v>3335</v>
      </c>
      <c r="R812" t="str" cm="1">
        <f t="array" ref="R812">_xlfn.IFS(AND($A812="thg-beauty",ISNUMBER(SEARCH("liveramp",$C812))),"thg-beauty Liveramp dataset — confirmed safe to delete",$A812="agile-bonbon-662",_xlfn.IFS(LEFT($G812,9)="Tranche 1","Tranche 1: cleared",$C812="Sessions_Level_1_All_Sites","Downstream aggregation of UA raw logs — keep if raw tables go",ISNUMBER(--$C812),"UA raw site logs (account ID) — keep pending audit-retention check",$C812="Emag_Reporting","Legacy but likely needed",$C812="Nutrition_Data_Archived_Tables","Worth keeping",$C812="EU_Data","Static lookup tables — scripts still reference (smoke-test risk)",TRUE,"Review"),OR($A812="thg-influencer",$A812="thg-ingenuity",$A812="thg-central-marketing",$A812="thg-seoclarity"),"HOLD — Charlie Stringer to review before deletion",TRUE,"")</f>
        <v/>
      </c>
      <c r="S812" t="s">
        <v>1624</v>
      </c>
    </row>
    <row r="813" spans="1:19" ht="30.75">
      <c r="A813" s="48" t="s">
        <v>90</v>
      </c>
      <c r="B813" s="48" t="s">
        <v>1619</v>
      </c>
      <c r="C813" s="48" t="s">
        <v>146</v>
      </c>
      <c r="D813" s="49" t="s">
        <v>1621</v>
      </c>
      <c r="E813" s="48">
        <v>21960.2</v>
      </c>
      <c r="F813" s="48">
        <v>439.2</v>
      </c>
      <c r="G813" s="48" t="s">
        <v>55</v>
      </c>
      <c r="H813" s="48" t="s">
        <v>3328</v>
      </c>
      <c r="I813" s="48">
        <v>48</v>
      </c>
      <c r="J813" s="48">
        <v>489</v>
      </c>
      <c r="K813" s="50">
        <v>46149.362932534721</v>
      </c>
      <c r="L813" s="48"/>
      <c r="M813" s="49" t="s">
        <v>3348</v>
      </c>
      <c r="N813" s="49" t="s">
        <v>1701</v>
      </c>
      <c r="O813" s="50">
        <v>45707.53986005787</v>
      </c>
      <c r="P813" s="48" t="str">
        <f>IF($Q813="DELETE",IF($S813="CONFIRMED: NO MODS &gt; 1YR","CONFIRMED: NO MODS &gt; 1YR","DO NOT DELETE — not defensibly confirmed"),IF($Q813="HOLD","DO NOT DELETE — HOLD (Charlie review)",IF($Q813="KEEP","DO NOT DELETE — KEEP",IF(ISNUMBER(SEARCH("REVIEW",$Q813)),"DO NOT DELETE — REVIEW pending",$S813))))</f>
        <v>CONFIRMED: NO MODS &gt; 1YR</v>
      </c>
      <c r="Q813" t="s">
        <v>3335</v>
      </c>
      <c r="R813" t="str" cm="1">
        <f t="array" ref="R813">_xlfn.IFS(AND($A813="thg-beauty",ISNUMBER(SEARCH("liveramp",$C813))),"thg-beauty Liveramp dataset — confirmed safe to delete",$A813="agile-bonbon-662",_xlfn.IFS(LEFT($G813,9)="Tranche 1","Tranche 1: cleared",$C813="Sessions_Level_1_All_Sites","Downstream aggregation of UA raw logs — keep if raw tables go",ISNUMBER(--$C813),"UA raw site logs (account ID) — keep pending audit-retention check",$C813="Emag_Reporting","Legacy but likely needed",$C813="Nutrition_Data_Archived_Tables","Worth keeping",$C813="EU_Data","Static lookup tables — scripts still reference (smoke-test risk)",TRUE,"Review"),OR($A813="thg-influencer",$A813="thg-ingenuity",$A813="thg-central-marketing",$A813="thg-seoclarity"),"HOLD — Charlie Stringer to review before deletion",TRUE,"")</f>
        <v/>
      </c>
      <c r="S813" t="s">
        <v>1624</v>
      </c>
    </row>
    <row r="814" spans="1:19" ht="45.75">
      <c r="A814" t="s">
        <v>89</v>
      </c>
      <c r="B814" t="s">
        <v>1619</v>
      </c>
      <c r="C814" t="s">
        <v>280</v>
      </c>
      <c r="D814" s="2" t="s">
        <v>1621</v>
      </c>
      <c r="E814">
        <v>1625.43</v>
      </c>
      <c r="F814">
        <v>32.51</v>
      </c>
      <c r="G814" t="s">
        <v>55</v>
      </c>
      <c r="H814" t="s">
        <v>3328</v>
      </c>
      <c r="I814">
        <v>35</v>
      </c>
      <c r="J814">
        <v>839</v>
      </c>
      <c r="K814" s="5">
        <v>46161.623144097219</v>
      </c>
      <c r="M814" s="2" t="s">
        <v>3349</v>
      </c>
      <c r="N814" s="2" t="s">
        <v>1701</v>
      </c>
      <c r="O814" s="5">
        <v>45357.494736817127</v>
      </c>
      <c r="P814" t="str">
        <f>IF($Q814="DELETE",IF($S814="CONFIRMED: NO MODS &gt; 1YR","CONFIRMED: NO MODS &gt; 1YR","DO NOT DELETE — not defensibly confirmed"),IF($Q814="HOLD","DO NOT DELETE — HOLD (Charlie review)",IF($Q814="KEEP","DO NOT DELETE — KEEP",IF(ISNUMBER(SEARCH("REVIEW",$Q814)),"DO NOT DELETE — REVIEW pending",$S814))))</f>
        <v>CONFIRMED: NO MODS &gt; 1YR</v>
      </c>
      <c r="Q814" t="str" cm="1">
        <f t="array" ref="Q814">_xlfn.IFS(AND($A814="thg-beauty",ISNUMBER(SEARCH("liveramp",$C814))),"DELETE",$A814="agile-bonbon-662",_xlfn.IFS(LEFT($G814,9)="Tranche 1","DELETE",$C814="Sessions_Level_1_All_Sites","KEEP",ISNUMBER(--$C814),"REVIEW — UA raw logs",$C814="Emag_Reporting","KEEP",$C814="Nutrition_Data_Archived_Tables","KEEP",$C814="EU_Data","KEEP",TRUE,"REVIEW"),OR($A814="thg-influencer",$A814="thg-ingenuity",$A814="thg-central-marketing",$A814="thg-seoclarity"),"HOLD",TRUE,"")</f>
        <v>DELETE</v>
      </c>
      <c r="R814" t="str" cm="1">
        <f t="array" ref="R814">_xlfn.IFS(AND($A814="thg-beauty",ISNUMBER(SEARCH("liveramp",$C814))),"thg-beauty Liveramp dataset — confirmed safe to delete",$A814="agile-bonbon-662",_xlfn.IFS(LEFT($G814,9)="Tranche 1","Tranche 1: cleared",$C814="Sessions_Level_1_All_Sites","Downstream aggregation of UA raw logs — keep if raw tables go",ISNUMBER(--$C814),"UA raw site logs (account ID) — keep pending audit-retention check",$C814="Emag_Reporting","Legacy but likely needed",$C814="Nutrition_Data_Archived_Tables","Worth keeping",$C814="EU_Data","Static lookup tables — scripts still reference (smoke-test risk)",TRUE,"Review"),OR($A814="thg-influencer",$A814="thg-ingenuity",$A814="thg-central-marketing",$A814="thg-seoclarity"),"HOLD — Charlie Stringer to review before deletion",TRUE,"")</f>
        <v>Tranche 1: cleared</v>
      </c>
      <c r="S814" t="s">
        <v>1624</v>
      </c>
    </row>
    <row r="815" spans="1:19" ht="76.5">
      <c r="A815" t="s">
        <v>89</v>
      </c>
      <c r="B815" t="s">
        <v>1619</v>
      </c>
      <c r="C815" t="s">
        <v>722</v>
      </c>
      <c r="D815" s="2" t="s">
        <v>1621</v>
      </c>
      <c r="E815">
        <v>133.31</v>
      </c>
      <c r="F815">
        <v>2.67</v>
      </c>
      <c r="G815" t="s">
        <v>55</v>
      </c>
      <c r="H815" t="s">
        <v>3328</v>
      </c>
      <c r="I815">
        <v>35</v>
      </c>
      <c r="J815">
        <v>705</v>
      </c>
      <c r="K815" s="5">
        <v>46161.623626574074</v>
      </c>
      <c r="M815" s="2" t="s">
        <v>3350</v>
      </c>
      <c r="N815" s="2" t="s">
        <v>1701</v>
      </c>
      <c r="O815" s="5">
        <v>45491.625887118047</v>
      </c>
      <c r="P815" t="str">
        <f>IF($Q815="DELETE",IF($S815="CONFIRMED: NO MODS &gt; 1YR","CONFIRMED: NO MODS &gt; 1YR","DO NOT DELETE — not defensibly confirmed"),IF($Q815="HOLD","DO NOT DELETE — HOLD (Charlie review)",IF($Q815="KEEP","DO NOT DELETE — KEEP",IF(ISNUMBER(SEARCH("REVIEW",$Q815)),"DO NOT DELETE — REVIEW pending",$S815))))</f>
        <v>CONFIRMED: NO MODS &gt; 1YR</v>
      </c>
      <c r="Q815" t="str" cm="1">
        <f t="array" ref="Q815">_xlfn.IFS(AND($A815="thg-beauty",ISNUMBER(SEARCH("liveramp",$C815))),"DELETE",$A815="agile-bonbon-662",_xlfn.IFS(LEFT($G815,9)="Tranche 1","DELETE",$C815="Sessions_Level_1_All_Sites","KEEP",ISNUMBER(--$C815),"REVIEW — UA raw logs",$C815="Emag_Reporting","KEEP",$C815="Nutrition_Data_Archived_Tables","KEEP",$C815="EU_Data","KEEP",TRUE,"REVIEW"),OR($A815="thg-influencer",$A815="thg-ingenuity",$A815="thg-central-marketing",$A815="thg-seoclarity"),"HOLD",TRUE,"")</f>
        <v>DELETE</v>
      </c>
      <c r="R815" t="str" cm="1">
        <f t="array" ref="R815">_xlfn.IFS(AND($A815="thg-beauty",ISNUMBER(SEARCH("liveramp",$C815))),"thg-beauty Liveramp dataset — confirmed safe to delete",$A815="agile-bonbon-662",_xlfn.IFS(LEFT($G815,9)="Tranche 1","Tranche 1: cleared",$C815="Sessions_Level_1_All_Sites","Downstream aggregation of UA raw logs — keep if raw tables go",ISNUMBER(--$C815),"UA raw site logs (account ID) — keep pending audit-retention check",$C815="Emag_Reporting","Legacy but likely needed",$C815="Nutrition_Data_Archived_Tables","Worth keeping",$C815="EU_Data","Static lookup tables — scripts still reference (smoke-test risk)",TRUE,"Review"),OR($A815="thg-influencer",$A815="thg-ingenuity",$A815="thg-central-marketing",$A815="thg-seoclarity"),"HOLD — Charlie Stringer to review before deletion",TRUE,"")</f>
        <v>Tranche 1: cleared</v>
      </c>
      <c r="S815" t="s">
        <v>1624</v>
      </c>
    </row>
    <row r="816" spans="1:19" ht="45.75">
      <c r="A816" t="s">
        <v>89</v>
      </c>
      <c r="B816" t="s">
        <v>1619</v>
      </c>
      <c r="C816" t="s">
        <v>863</v>
      </c>
      <c r="D816" s="2" t="s">
        <v>1621</v>
      </c>
      <c r="E816">
        <v>71.209999999999994</v>
      </c>
      <c r="F816">
        <v>1.42</v>
      </c>
      <c r="G816" t="s">
        <v>55</v>
      </c>
      <c r="H816" t="s">
        <v>3328</v>
      </c>
      <c r="I816">
        <v>35</v>
      </c>
      <c r="J816">
        <v>642</v>
      </c>
      <c r="K816" s="5">
        <v>46161.622796620373</v>
      </c>
      <c r="M816" s="2" t="s">
        <v>3351</v>
      </c>
      <c r="N816" s="2" t="s">
        <v>1701</v>
      </c>
      <c r="O816" s="5">
        <v>45554.477519270833</v>
      </c>
      <c r="P816" t="str">
        <f>IF($Q816="DELETE",IF($S816="CONFIRMED: NO MODS &gt; 1YR","CONFIRMED: NO MODS &gt; 1YR","DO NOT DELETE — not defensibly confirmed"),IF($Q816="HOLD","DO NOT DELETE — HOLD (Charlie review)",IF($Q816="KEEP","DO NOT DELETE — KEEP",IF(ISNUMBER(SEARCH("REVIEW",$Q816)),"DO NOT DELETE — REVIEW pending",$S816))))</f>
        <v>CONFIRMED: NO MODS &gt; 1YR</v>
      </c>
      <c r="Q816" t="str" cm="1">
        <f t="array" ref="Q816">_xlfn.IFS(AND($A816="thg-beauty",ISNUMBER(SEARCH("liveramp",$C816))),"DELETE",$A816="agile-bonbon-662",_xlfn.IFS(LEFT($G816,9)="Tranche 1","DELETE",$C816="Sessions_Level_1_All_Sites","KEEP",ISNUMBER(--$C816),"REVIEW — UA raw logs",$C816="Emag_Reporting","KEEP",$C816="Nutrition_Data_Archived_Tables","KEEP",$C816="EU_Data","KEEP",TRUE,"REVIEW"),OR($A816="thg-influencer",$A816="thg-ingenuity",$A816="thg-central-marketing",$A816="thg-seoclarity"),"HOLD",TRUE,"")</f>
        <v>DELETE</v>
      </c>
      <c r="R816" t="str" cm="1">
        <f t="array" ref="R816">_xlfn.IFS(AND($A816="thg-beauty",ISNUMBER(SEARCH("liveramp",$C816))),"thg-beauty Liveramp dataset — confirmed safe to delete",$A816="agile-bonbon-662",_xlfn.IFS(LEFT($G816,9)="Tranche 1","Tranche 1: cleared",$C816="Sessions_Level_1_All_Sites","Downstream aggregation of UA raw logs — keep if raw tables go",ISNUMBER(--$C816),"UA raw site logs (account ID) — keep pending audit-retention check",$C816="Emag_Reporting","Legacy but likely needed",$C816="Nutrition_Data_Archived_Tables","Worth keeping",$C816="EU_Data","Static lookup tables — scripts still reference (smoke-test risk)",TRUE,"Review"),OR($A816="thg-influencer",$A816="thg-ingenuity",$A816="thg-central-marketing",$A816="thg-seoclarity"),"HOLD — Charlie Stringer to review before deletion",TRUE,"")</f>
        <v>Tranche 1: cleared</v>
      </c>
      <c r="S816" t="s">
        <v>1624</v>
      </c>
    </row>
    <row r="817" spans="1:19" ht="45.75">
      <c r="A817" t="s">
        <v>89</v>
      </c>
      <c r="B817" t="s">
        <v>1619</v>
      </c>
      <c r="C817" t="s">
        <v>1085</v>
      </c>
      <c r="D817" s="2" t="s">
        <v>1621</v>
      </c>
      <c r="E817">
        <v>37.119999999999997</v>
      </c>
      <c r="F817">
        <v>0.74</v>
      </c>
      <c r="G817" t="s">
        <v>55</v>
      </c>
      <c r="H817" t="s">
        <v>3328</v>
      </c>
      <c r="I817">
        <v>35</v>
      </c>
      <c r="J817">
        <v>700</v>
      </c>
      <c r="K817" s="5">
        <v>46161.623667372682</v>
      </c>
      <c r="M817" s="2" t="s">
        <v>3352</v>
      </c>
      <c r="N817" s="2" t="s">
        <v>1701</v>
      </c>
      <c r="O817" s="5">
        <v>45496.527436643519</v>
      </c>
      <c r="P817" t="str">
        <f>IF($Q817="DELETE",IF($S817="CONFIRMED: NO MODS &gt; 1YR","CONFIRMED: NO MODS &gt; 1YR","DO NOT DELETE — not defensibly confirmed"),IF($Q817="HOLD","DO NOT DELETE — HOLD (Charlie review)",IF($Q817="KEEP","DO NOT DELETE — KEEP",IF(ISNUMBER(SEARCH("REVIEW",$Q817)),"DO NOT DELETE — REVIEW pending",$S817))))</f>
        <v>CONFIRMED: NO MODS &gt; 1YR</v>
      </c>
      <c r="Q817" t="str" cm="1">
        <f t="array" ref="Q817">_xlfn.IFS(AND($A817="thg-beauty",ISNUMBER(SEARCH("liveramp",$C817))),"DELETE",$A817="agile-bonbon-662",_xlfn.IFS(LEFT($G817,9)="Tranche 1","DELETE",$C817="Sessions_Level_1_All_Sites","KEEP",ISNUMBER(--$C817),"REVIEW — UA raw logs",$C817="Emag_Reporting","KEEP",$C817="Nutrition_Data_Archived_Tables","KEEP",$C817="EU_Data","KEEP",TRUE,"REVIEW"),OR($A817="thg-influencer",$A817="thg-ingenuity",$A817="thg-central-marketing",$A817="thg-seoclarity"),"HOLD",TRUE,"")</f>
        <v>DELETE</v>
      </c>
      <c r="R817" t="str" cm="1">
        <f t="array" ref="R817">_xlfn.IFS(AND($A817="thg-beauty",ISNUMBER(SEARCH("liveramp",$C817))),"thg-beauty Liveramp dataset — confirmed safe to delete",$A817="agile-bonbon-662",_xlfn.IFS(LEFT($G817,9)="Tranche 1","Tranche 1: cleared",$C817="Sessions_Level_1_All_Sites","Downstream aggregation of UA raw logs — keep if raw tables go",ISNUMBER(--$C817),"UA raw site logs (account ID) — keep pending audit-retention check",$C817="Emag_Reporting","Legacy but likely needed",$C817="Nutrition_Data_Archived_Tables","Worth keeping",$C817="EU_Data","Static lookup tables — scripts still reference (smoke-test risk)",TRUE,"Review"),OR($A817="thg-influencer",$A817="thg-ingenuity",$A817="thg-central-marketing",$A817="thg-seoclarity"),"HOLD — Charlie Stringer to review before deletion",TRUE,"")</f>
        <v>Tranche 1: cleared</v>
      </c>
      <c r="S817" t="s">
        <v>1624</v>
      </c>
    </row>
    <row r="818" spans="1:19" ht="45.75">
      <c r="A818" t="s">
        <v>89</v>
      </c>
      <c r="B818" t="s">
        <v>1619</v>
      </c>
      <c r="C818" t="s">
        <v>3353</v>
      </c>
      <c r="D818" s="2" t="s">
        <v>1621</v>
      </c>
      <c r="E818">
        <v>2.91</v>
      </c>
      <c r="F818">
        <v>0.06</v>
      </c>
      <c r="G818" t="s">
        <v>55</v>
      </c>
      <c r="H818" t="s">
        <v>3328</v>
      </c>
      <c r="I818">
        <v>35</v>
      </c>
      <c r="J818">
        <v>1966</v>
      </c>
      <c r="K818" s="5">
        <v>46161.622170104158</v>
      </c>
      <c r="M818" s="2" t="s">
        <v>3354</v>
      </c>
      <c r="N818" s="2" t="s">
        <v>1701</v>
      </c>
      <c r="O818" s="5">
        <v>44231.185132210638</v>
      </c>
      <c r="P818" t="str">
        <f>IF($Q818="DELETE",IF($S818="CONFIRMED: NO MODS &gt; 1YR","CONFIRMED: NO MODS &gt; 1YR","DO NOT DELETE — not defensibly confirmed"),IF($Q818="HOLD","DO NOT DELETE — HOLD (Charlie review)",IF($Q818="KEEP","DO NOT DELETE — KEEP",IF(ISNUMBER(SEARCH("REVIEW",$Q818)),"DO NOT DELETE — REVIEW pending",$S818))))</f>
        <v>CONFIRMED: NO MODS &gt; 1YR</v>
      </c>
      <c r="Q818" t="str" cm="1">
        <f t="array" ref="Q818">_xlfn.IFS(AND($A818="thg-beauty",ISNUMBER(SEARCH("liveramp",$C818))),"DELETE",$A818="agile-bonbon-662",_xlfn.IFS(LEFT($G818,9)="Tranche 1","DELETE",$C818="Sessions_Level_1_All_Sites","KEEP",ISNUMBER(--$C818),"REVIEW — UA raw logs",$C818="Emag_Reporting","KEEP",$C818="Nutrition_Data_Archived_Tables","KEEP",$C818="EU_Data","KEEP",TRUE,"REVIEW"),OR($A818="thg-influencer",$A818="thg-ingenuity",$A818="thg-central-marketing",$A818="thg-seoclarity"),"HOLD",TRUE,"")</f>
        <v>DELETE</v>
      </c>
      <c r="R818" t="str" cm="1">
        <f t="array" ref="R818">_xlfn.IFS(AND($A818="thg-beauty",ISNUMBER(SEARCH("liveramp",$C818))),"thg-beauty Liveramp dataset — confirmed safe to delete",$A818="agile-bonbon-662",_xlfn.IFS(LEFT($G818,9)="Tranche 1","Tranche 1: cleared",$C818="Sessions_Level_1_All_Sites","Downstream aggregation of UA raw logs — keep if raw tables go",ISNUMBER(--$C818),"UA raw site logs (account ID) — keep pending audit-retention check",$C818="Emag_Reporting","Legacy but likely needed",$C818="Nutrition_Data_Archived_Tables","Worth keeping",$C818="EU_Data","Static lookup tables — scripts still reference (smoke-test risk)",TRUE,"Review"),OR($A818="thg-influencer",$A818="thg-ingenuity",$A818="thg-central-marketing",$A818="thg-seoclarity"),"HOLD — Charlie Stringer to review before deletion",TRUE,"")</f>
        <v>Tranche 1: cleared</v>
      </c>
      <c r="S818" t="s">
        <v>1624</v>
      </c>
    </row>
    <row r="819" spans="1:19" ht="45.75">
      <c r="A819" t="s">
        <v>89</v>
      </c>
      <c r="B819" t="s">
        <v>1619</v>
      </c>
      <c r="C819" t="s">
        <v>3355</v>
      </c>
      <c r="D819" s="2" t="s">
        <v>1621</v>
      </c>
      <c r="E819">
        <v>0.83</v>
      </c>
      <c r="F819">
        <v>0.02</v>
      </c>
      <c r="G819" t="s">
        <v>55</v>
      </c>
      <c r="H819" t="s">
        <v>3328</v>
      </c>
      <c r="I819">
        <v>35</v>
      </c>
      <c r="J819">
        <v>1966</v>
      </c>
      <c r="K819" s="5">
        <v>46161.622274027781</v>
      </c>
      <c r="M819" s="2" t="s">
        <v>3356</v>
      </c>
      <c r="N819" s="2" t="s">
        <v>1701</v>
      </c>
      <c r="O819" s="5">
        <v>44231.190785798608</v>
      </c>
      <c r="P819" t="str">
        <f>IF($Q819="DELETE",IF($S819="CONFIRMED: NO MODS &gt; 1YR","CONFIRMED: NO MODS &gt; 1YR","DO NOT DELETE — not defensibly confirmed"),IF($Q819="HOLD","DO NOT DELETE — HOLD (Charlie review)",IF($Q819="KEEP","DO NOT DELETE — KEEP",IF(ISNUMBER(SEARCH("REVIEW",$Q819)),"DO NOT DELETE — REVIEW pending",$S819))))</f>
        <v>CONFIRMED: NO MODS &gt; 1YR</v>
      </c>
      <c r="Q819" t="str" cm="1">
        <f t="array" ref="Q819">_xlfn.IFS(AND($A819="thg-beauty",ISNUMBER(SEARCH("liveramp",$C819))),"DELETE",$A819="agile-bonbon-662",_xlfn.IFS(LEFT($G819,9)="Tranche 1","DELETE",$C819="Sessions_Level_1_All_Sites","KEEP",ISNUMBER(--$C819),"REVIEW — UA raw logs",$C819="Emag_Reporting","KEEP",$C819="Nutrition_Data_Archived_Tables","KEEP",$C819="EU_Data","KEEP",TRUE,"REVIEW"),OR($A819="thg-influencer",$A819="thg-ingenuity",$A819="thg-central-marketing",$A819="thg-seoclarity"),"HOLD",TRUE,"")</f>
        <v>DELETE</v>
      </c>
      <c r="R819" t="str" cm="1">
        <f t="array" ref="R819">_xlfn.IFS(AND($A819="thg-beauty",ISNUMBER(SEARCH("liveramp",$C819))),"thg-beauty Liveramp dataset — confirmed safe to delete",$A819="agile-bonbon-662",_xlfn.IFS(LEFT($G819,9)="Tranche 1","Tranche 1: cleared",$C819="Sessions_Level_1_All_Sites","Downstream aggregation of UA raw logs — keep if raw tables go",ISNUMBER(--$C819),"UA raw site logs (account ID) — keep pending audit-retention check",$C819="Emag_Reporting","Legacy but likely needed",$C819="Nutrition_Data_Archived_Tables","Worth keeping",$C819="EU_Data","Static lookup tables — scripts still reference (smoke-test risk)",TRUE,"Review"),OR($A819="thg-influencer",$A819="thg-ingenuity",$A819="thg-central-marketing",$A819="thg-seoclarity"),"HOLD — Charlie Stringer to review before deletion",TRUE,"")</f>
        <v>Tranche 1: cleared</v>
      </c>
      <c r="S819" t="s">
        <v>1624</v>
      </c>
    </row>
    <row r="820" spans="1:19" ht="45.75">
      <c r="A820" t="s">
        <v>89</v>
      </c>
      <c r="B820" t="s">
        <v>1619</v>
      </c>
      <c r="C820" t="s">
        <v>3357</v>
      </c>
      <c r="D820" s="2" t="s">
        <v>1621</v>
      </c>
      <c r="E820">
        <v>0.54</v>
      </c>
      <c r="F820">
        <v>0.01</v>
      </c>
      <c r="G820" t="s">
        <v>55</v>
      </c>
      <c r="H820" t="s">
        <v>3328</v>
      </c>
      <c r="I820">
        <v>35</v>
      </c>
      <c r="J820">
        <v>2410</v>
      </c>
      <c r="K820" s="5">
        <v>46161.607134282407</v>
      </c>
      <c r="M820" s="2" t="s">
        <v>2062</v>
      </c>
      <c r="N820" s="2" t="s">
        <v>1701</v>
      </c>
      <c r="O820" s="5">
        <v>43786.480515925927</v>
      </c>
      <c r="P820" t="str">
        <f>IF($Q820="DELETE",IF($S820="CONFIRMED: NO MODS &gt; 1YR","CONFIRMED: NO MODS &gt; 1YR","DO NOT DELETE — not defensibly confirmed"),IF($Q820="HOLD","DO NOT DELETE — HOLD (Charlie review)",IF($Q820="KEEP","DO NOT DELETE — KEEP",IF(ISNUMBER(SEARCH("REVIEW",$Q820)),"DO NOT DELETE — REVIEW pending",$S820))))</f>
        <v>CONFIRMED: NO MODS &gt; 1YR</v>
      </c>
      <c r="Q820" t="str" cm="1">
        <f t="array" ref="Q820">_xlfn.IFS(AND($A820="thg-beauty",ISNUMBER(SEARCH("liveramp",$C820))),"DELETE",$A820="agile-bonbon-662",_xlfn.IFS(LEFT($G820,9)="Tranche 1","DELETE",$C820="Sessions_Level_1_All_Sites","KEEP",ISNUMBER(--$C820),"REVIEW — UA raw logs",$C820="Emag_Reporting","KEEP",$C820="Nutrition_Data_Archived_Tables","KEEP",$C820="EU_Data","KEEP",TRUE,"REVIEW"),OR($A820="thg-influencer",$A820="thg-ingenuity",$A820="thg-central-marketing",$A820="thg-seoclarity"),"HOLD",TRUE,"")</f>
        <v>DELETE</v>
      </c>
      <c r="R820" t="str" cm="1">
        <f t="array" ref="R820">_xlfn.IFS(AND($A820="thg-beauty",ISNUMBER(SEARCH("liveramp",$C820))),"thg-beauty Liveramp dataset — confirmed safe to delete",$A820="agile-bonbon-662",_xlfn.IFS(LEFT($G820,9)="Tranche 1","Tranche 1: cleared",$C820="Sessions_Level_1_All_Sites","Downstream aggregation of UA raw logs — keep if raw tables go",ISNUMBER(--$C820),"UA raw site logs (account ID) — keep pending audit-retention check",$C820="Emag_Reporting","Legacy but likely needed",$C820="Nutrition_Data_Archived_Tables","Worth keeping",$C820="EU_Data","Static lookup tables — scripts still reference (smoke-test risk)",TRUE,"Review"),OR($A820="thg-influencer",$A820="thg-ingenuity",$A820="thg-central-marketing",$A820="thg-seoclarity"),"HOLD — Charlie Stringer to review before deletion",TRUE,"")</f>
        <v>Tranche 1: cleared</v>
      </c>
      <c r="S820" t="s">
        <v>1624</v>
      </c>
    </row>
    <row r="821" spans="1:19" ht="45.75">
      <c r="A821" t="s">
        <v>89</v>
      </c>
      <c r="B821" t="s">
        <v>1619</v>
      </c>
      <c r="C821" t="s">
        <v>3358</v>
      </c>
      <c r="D821" s="2" t="s">
        <v>1621</v>
      </c>
      <c r="E821">
        <v>0.03</v>
      </c>
      <c r="F821">
        <v>0</v>
      </c>
      <c r="G821" t="s">
        <v>55</v>
      </c>
      <c r="H821" t="s">
        <v>3328</v>
      </c>
      <c r="I821">
        <v>35</v>
      </c>
      <c r="J821">
        <v>1966</v>
      </c>
      <c r="K821" s="5">
        <v>46161.621713148154</v>
      </c>
      <c r="M821" s="2" t="s">
        <v>3359</v>
      </c>
      <c r="N821" s="2" t="s">
        <v>1701</v>
      </c>
      <c r="O821" s="5">
        <v>44230.865693148153</v>
      </c>
      <c r="P821" t="str">
        <f>IF($Q821="DELETE",IF($S821="CONFIRMED: NO MODS &gt; 1YR","CONFIRMED: NO MODS &gt; 1YR","DO NOT DELETE — not defensibly confirmed"),IF($Q821="HOLD","DO NOT DELETE — HOLD (Charlie review)",IF($Q821="KEEP","DO NOT DELETE — KEEP",IF(ISNUMBER(SEARCH("REVIEW",$Q821)),"DO NOT DELETE — REVIEW pending",$S821))))</f>
        <v>CONFIRMED: NO MODS &gt; 1YR</v>
      </c>
      <c r="Q821" t="str" cm="1">
        <f t="array" ref="Q821">_xlfn.IFS(AND($A821="thg-beauty",ISNUMBER(SEARCH("liveramp",$C821))),"DELETE",$A821="agile-bonbon-662",_xlfn.IFS(LEFT($G821,9)="Tranche 1","DELETE",$C821="Sessions_Level_1_All_Sites","KEEP",ISNUMBER(--$C821),"REVIEW — UA raw logs",$C821="Emag_Reporting","KEEP",$C821="Nutrition_Data_Archived_Tables","KEEP",$C821="EU_Data","KEEP",TRUE,"REVIEW"),OR($A821="thg-influencer",$A821="thg-ingenuity",$A821="thg-central-marketing",$A821="thg-seoclarity"),"HOLD",TRUE,"")</f>
        <v>DELETE</v>
      </c>
      <c r="R821" t="str" cm="1">
        <f t="array" ref="R821">_xlfn.IFS(AND($A821="thg-beauty",ISNUMBER(SEARCH("liveramp",$C821))),"thg-beauty Liveramp dataset — confirmed safe to delete",$A821="agile-bonbon-662",_xlfn.IFS(LEFT($G821,9)="Tranche 1","Tranche 1: cleared",$C821="Sessions_Level_1_All_Sites","Downstream aggregation of UA raw logs — keep if raw tables go",ISNUMBER(--$C821),"UA raw site logs (account ID) — keep pending audit-retention check",$C821="Emag_Reporting","Legacy but likely needed",$C821="Nutrition_Data_Archived_Tables","Worth keeping",$C821="EU_Data","Static lookup tables — scripts still reference (smoke-test risk)",TRUE,"Review"),OR($A821="thg-influencer",$A821="thg-ingenuity",$A821="thg-central-marketing",$A821="thg-seoclarity"),"HOLD — Charlie Stringer to review before deletion",TRUE,"")</f>
        <v>Tranche 1: cleared</v>
      </c>
      <c r="S821" t="s">
        <v>1624</v>
      </c>
    </row>
    <row r="822" spans="1:19" ht="45.75">
      <c r="A822" t="s">
        <v>89</v>
      </c>
      <c r="B822" t="s">
        <v>1619</v>
      </c>
      <c r="C822" t="s">
        <v>3360</v>
      </c>
      <c r="D822" s="2" t="s">
        <v>1621</v>
      </c>
      <c r="E822">
        <v>0.01</v>
      </c>
      <c r="F822">
        <v>0</v>
      </c>
      <c r="G822" t="s">
        <v>55</v>
      </c>
      <c r="H822" t="s">
        <v>3328</v>
      </c>
      <c r="I822">
        <v>35</v>
      </c>
      <c r="J822">
        <v>1966</v>
      </c>
      <c r="K822" s="5">
        <v>46161.622284965277</v>
      </c>
      <c r="M822" s="2" t="s">
        <v>3356</v>
      </c>
      <c r="N822" s="2" t="s">
        <v>1701</v>
      </c>
      <c r="O822" s="5">
        <v>44231.191178564812</v>
      </c>
      <c r="P822" t="str">
        <f>IF($Q822="DELETE",IF($S822="CONFIRMED: NO MODS &gt; 1YR","CONFIRMED: NO MODS &gt; 1YR","DO NOT DELETE — not defensibly confirmed"),IF($Q822="HOLD","DO NOT DELETE — HOLD (Charlie review)",IF($Q822="KEEP","DO NOT DELETE — KEEP",IF(ISNUMBER(SEARCH("REVIEW",$Q822)),"DO NOT DELETE — REVIEW pending",$S822))))</f>
        <v>CONFIRMED: NO MODS &gt; 1YR</v>
      </c>
      <c r="Q822" t="str" cm="1">
        <f t="array" ref="Q822">_xlfn.IFS(AND($A822="thg-beauty",ISNUMBER(SEARCH("liveramp",$C822))),"DELETE",$A822="agile-bonbon-662",_xlfn.IFS(LEFT($G822,9)="Tranche 1","DELETE",$C822="Sessions_Level_1_All_Sites","KEEP",ISNUMBER(--$C822),"REVIEW — UA raw logs",$C822="Emag_Reporting","KEEP",$C822="Nutrition_Data_Archived_Tables","KEEP",$C822="EU_Data","KEEP",TRUE,"REVIEW"),OR($A822="thg-influencer",$A822="thg-ingenuity",$A822="thg-central-marketing",$A822="thg-seoclarity"),"HOLD",TRUE,"")</f>
        <v>DELETE</v>
      </c>
      <c r="R822" t="str" cm="1">
        <f t="array" ref="R822">_xlfn.IFS(AND($A822="thg-beauty",ISNUMBER(SEARCH("liveramp",$C822))),"thg-beauty Liveramp dataset — confirmed safe to delete",$A822="agile-bonbon-662",_xlfn.IFS(LEFT($G822,9)="Tranche 1","Tranche 1: cleared",$C822="Sessions_Level_1_All_Sites","Downstream aggregation of UA raw logs — keep if raw tables go",ISNUMBER(--$C822),"UA raw site logs (account ID) — keep pending audit-retention check",$C822="Emag_Reporting","Legacy but likely needed",$C822="Nutrition_Data_Archived_Tables","Worth keeping",$C822="EU_Data","Static lookup tables — scripts still reference (smoke-test risk)",TRUE,"Review"),OR($A822="thg-influencer",$A822="thg-ingenuity",$A822="thg-central-marketing",$A822="thg-seoclarity"),"HOLD — Charlie Stringer to review before deletion",TRUE,"")</f>
        <v>Tranche 1: cleared</v>
      </c>
      <c r="S822" t="s">
        <v>1624</v>
      </c>
    </row>
    <row r="823" spans="1:19" ht="45.75">
      <c r="A823" t="s">
        <v>89</v>
      </c>
      <c r="B823" t="s">
        <v>1619</v>
      </c>
      <c r="C823" t="s">
        <v>3361</v>
      </c>
      <c r="D823" s="2" t="s">
        <v>1621</v>
      </c>
      <c r="E823">
        <v>0.01</v>
      </c>
      <c r="F823">
        <v>0</v>
      </c>
      <c r="G823" t="s">
        <v>55</v>
      </c>
      <c r="H823" t="s">
        <v>3328</v>
      </c>
      <c r="I823">
        <v>35</v>
      </c>
      <c r="J823">
        <v>664</v>
      </c>
      <c r="K823" s="5">
        <v>46161.623364490741</v>
      </c>
      <c r="M823" s="2" t="s">
        <v>1933</v>
      </c>
      <c r="N823" s="2" t="s">
        <v>1701</v>
      </c>
      <c r="O823" s="5">
        <v>45532.882401678238</v>
      </c>
      <c r="P823" t="str">
        <f>IF($Q823="DELETE",IF($S823="CONFIRMED: NO MODS &gt; 1YR","CONFIRMED: NO MODS &gt; 1YR","DO NOT DELETE — not defensibly confirmed"),IF($Q823="HOLD","DO NOT DELETE — HOLD (Charlie review)",IF($Q823="KEEP","DO NOT DELETE — KEEP",IF(ISNUMBER(SEARCH("REVIEW",$Q823)),"DO NOT DELETE — REVIEW pending",$S823))))</f>
        <v>CONFIRMED: NO MODS &gt; 1YR</v>
      </c>
      <c r="Q823" t="str" cm="1">
        <f t="array" ref="Q823">_xlfn.IFS(AND($A823="thg-beauty",ISNUMBER(SEARCH("liveramp",$C823))),"DELETE",$A823="agile-bonbon-662",_xlfn.IFS(LEFT($G823,9)="Tranche 1","DELETE",$C823="Sessions_Level_1_All_Sites","KEEP",ISNUMBER(--$C823),"REVIEW — UA raw logs",$C823="Emag_Reporting","KEEP",$C823="Nutrition_Data_Archived_Tables","KEEP",$C823="EU_Data","KEEP",TRUE,"REVIEW"),OR($A823="thg-influencer",$A823="thg-ingenuity",$A823="thg-central-marketing",$A823="thg-seoclarity"),"HOLD",TRUE,"")</f>
        <v>DELETE</v>
      </c>
      <c r="R823" t="str" cm="1">
        <f t="array" ref="R823">_xlfn.IFS(AND($A823="thg-beauty",ISNUMBER(SEARCH("liveramp",$C823))),"thg-beauty Liveramp dataset — confirmed safe to delete",$A823="agile-bonbon-662",_xlfn.IFS(LEFT($G823,9)="Tranche 1","Tranche 1: cleared",$C823="Sessions_Level_1_All_Sites","Downstream aggregation of UA raw logs — keep if raw tables go",ISNUMBER(--$C823),"UA raw site logs (account ID) — keep pending audit-retention check",$C823="Emag_Reporting","Legacy but likely needed",$C823="Nutrition_Data_Archived_Tables","Worth keeping",$C823="EU_Data","Static lookup tables — scripts still reference (smoke-test risk)",TRUE,"Review"),OR($A823="thg-influencer",$A823="thg-ingenuity",$A823="thg-central-marketing",$A823="thg-seoclarity"),"HOLD — Charlie Stringer to review before deletion",TRUE,"")</f>
        <v>Tranche 1: cleared</v>
      </c>
      <c r="S823" t="s">
        <v>1624</v>
      </c>
    </row>
    <row r="824" spans="1:19" ht="45.75">
      <c r="A824" t="s">
        <v>89</v>
      </c>
      <c r="B824" t="s">
        <v>1619</v>
      </c>
      <c r="C824" t="s">
        <v>3362</v>
      </c>
      <c r="D824" s="2" t="s">
        <v>1621</v>
      </c>
      <c r="E824">
        <v>0</v>
      </c>
      <c r="F824">
        <v>0</v>
      </c>
      <c r="G824" t="s">
        <v>55</v>
      </c>
      <c r="H824" t="s">
        <v>3328</v>
      </c>
      <c r="I824">
        <v>35</v>
      </c>
      <c r="J824">
        <v>1966</v>
      </c>
      <c r="K824" s="5">
        <v>46161.622214907409</v>
      </c>
      <c r="M824" s="2" t="s">
        <v>3354</v>
      </c>
      <c r="N824" s="2" t="s">
        <v>1701</v>
      </c>
      <c r="O824" s="5">
        <v>44231.185258541656</v>
      </c>
      <c r="P824" t="str">
        <f>IF($Q824="DELETE",IF($S824="CONFIRMED: NO MODS &gt; 1YR","CONFIRMED: NO MODS &gt; 1YR","DO NOT DELETE — not defensibly confirmed"),IF($Q824="HOLD","DO NOT DELETE — HOLD (Charlie review)",IF($Q824="KEEP","DO NOT DELETE — KEEP",IF(ISNUMBER(SEARCH("REVIEW",$Q824)),"DO NOT DELETE — REVIEW pending",$S824))))</f>
        <v>CONFIRMED: NO MODS &gt; 1YR</v>
      </c>
      <c r="Q824" t="str" cm="1">
        <f t="array" ref="Q824">_xlfn.IFS(AND($A824="thg-beauty",ISNUMBER(SEARCH("liveramp",$C824))),"DELETE",$A824="agile-bonbon-662",_xlfn.IFS(LEFT($G824,9)="Tranche 1","DELETE",$C824="Sessions_Level_1_All_Sites","KEEP",ISNUMBER(--$C824),"REVIEW — UA raw logs",$C824="Emag_Reporting","KEEP",$C824="Nutrition_Data_Archived_Tables","KEEP",$C824="EU_Data","KEEP",TRUE,"REVIEW"),OR($A824="thg-influencer",$A824="thg-ingenuity",$A824="thg-central-marketing",$A824="thg-seoclarity"),"HOLD",TRUE,"")</f>
        <v>DELETE</v>
      </c>
      <c r="R824" t="str" cm="1">
        <f t="array" ref="R824">_xlfn.IFS(AND($A824="thg-beauty",ISNUMBER(SEARCH("liveramp",$C824))),"thg-beauty Liveramp dataset — confirmed safe to delete",$A824="agile-bonbon-662",_xlfn.IFS(LEFT($G824,9)="Tranche 1","Tranche 1: cleared",$C824="Sessions_Level_1_All_Sites","Downstream aggregation of UA raw logs — keep if raw tables go",ISNUMBER(--$C824),"UA raw site logs (account ID) — keep pending audit-retention check",$C824="Emag_Reporting","Legacy but likely needed",$C824="Nutrition_Data_Archived_Tables","Worth keeping",$C824="EU_Data","Static lookup tables — scripts still reference (smoke-test risk)",TRUE,"Review"),OR($A824="thg-influencer",$A824="thg-ingenuity",$A824="thg-central-marketing",$A824="thg-seoclarity"),"HOLD — Charlie Stringer to review before deletion",TRUE,"")</f>
        <v>Tranche 1: cleared</v>
      </c>
      <c r="S824" t="s">
        <v>1624</v>
      </c>
    </row>
    <row r="825" spans="1:19" ht="45.75">
      <c r="A825" t="s">
        <v>89</v>
      </c>
      <c r="B825" t="s">
        <v>1619</v>
      </c>
      <c r="C825" t="s">
        <v>3363</v>
      </c>
      <c r="D825" s="2" t="s">
        <v>1621</v>
      </c>
      <c r="E825">
        <v>0</v>
      </c>
      <c r="F825">
        <v>0</v>
      </c>
      <c r="G825" t="s">
        <v>55</v>
      </c>
      <c r="H825" t="s">
        <v>3328</v>
      </c>
      <c r="I825">
        <v>35</v>
      </c>
      <c r="J825">
        <v>2540</v>
      </c>
      <c r="K825" s="5">
        <v>46161.607147060182</v>
      </c>
      <c r="M825" s="2" t="s">
        <v>2062</v>
      </c>
      <c r="N825" s="2" t="s">
        <v>1701</v>
      </c>
      <c r="O825" s="5">
        <v>43656.66542931713</v>
      </c>
      <c r="P825" t="str">
        <f>IF($Q825="DELETE",IF($S825="CONFIRMED: NO MODS &gt; 1YR","CONFIRMED: NO MODS &gt; 1YR","DO NOT DELETE — not defensibly confirmed"),IF($Q825="HOLD","DO NOT DELETE — HOLD (Charlie review)",IF($Q825="KEEP","DO NOT DELETE — KEEP",IF(ISNUMBER(SEARCH("REVIEW",$Q825)),"DO NOT DELETE — REVIEW pending",$S825))))</f>
        <v>CONFIRMED: NO MODS &gt; 1YR</v>
      </c>
      <c r="Q825" t="str" cm="1">
        <f t="array" ref="Q825">_xlfn.IFS(AND($A825="thg-beauty",ISNUMBER(SEARCH("liveramp",$C825))),"DELETE",$A825="agile-bonbon-662",_xlfn.IFS(LEFT($G825,9)="Tranche 1","DELETE",$C825="Sessions_Level_1_All_Sites","KEEP",ISNUMBER(--$C825),"REVIEW — UA raw logs",$C825="Emag_Reporting","KEEP",$C825="Nutrition_Data_Archived_Tables","KEEP",$C825="EU_Data","KEEP",TRUE,"REVIEW"),OR($A825="thg-influencer",$A825="thg-ingenuity",$A825="thg-central-marketing",$A825="thg-seoclarity"),"HOLD",TRUE,"")</f>
        <v>DELETE</v>
      </c>
      <c r="R825" t="str" cm="1">
        <f t="array" ref="R825">_xlfn.IFS(AND($A825="thg-beauty",ISNUMBER(SEARCH("liveramp",$C825))),"thg-beauty Liveramp dataset — confirmed safe to delete",$A825="agile-bonbon-662",_xlfn.IFS(LEFT($G825,9)="Tranche 1","Tranche 1: cleared",$C825="Sessions_Level_1_All_Sites","Downstream aggregation of UA raw logs — keep if raw tables go",ISNUMBER(--$C825),"UA raw site logs (account ID) — keep pending audit-retention check",$C825="Emag_Reporting","Legacy but likely needed",$C825="Nutrition_Data_Archived_Tables","Worth keeping",$C825="EU_Data","Static lookup tables — scripts still reference (smoke-test risk)",TRUE,"Review"),OR($A825="thg-influencer",$A825="thg-ingenuity",$A825="thg-central-marketing",$A825="thg-seoclarity"),"HOLD — Charlie Stringer to review before deletion",TRUE,"")</f>
        <v>Tranche 1: cleared</v>
      </c>
      <c r="S825" t="s">
        <v>1624</v>
      </c>
    </row>
    <row r="826" spans="1:19">
      <c r="A826" t="s">
        <v>92</v>
      </c>
      <c r="B826" t="s">
        <v>1619</v>
      </c>
      <c r="C826" t="s">
        <v>3364</v>
      </c>
      <c r="D826" s="2" t="s">
        <v>1621</v>
      </c>
      <c r="E826">
        <v>0.5</v>
      </c>
      <c r="F826">
        <v>0.01</v>
      </c>
      <c r="G826" t="s">
        <v>55</v>
      </c>
      <c r="H826" t="s">
        <v>3328</v>
      </c>
      <c r="I826">
        <v>2041</v>
      </c>
      <c r="J826">
        <v>2041</v>
      </c>
      <c r="M826" s="2" t="s">
        <v>1715</v>
      </c>
      <c r="N826" s="2" t="s">
        <v>1701</v>
      </c>
      <c r="O826" s="5">
        <v>44155.72663222222</v>
      </c>
      <c r="P826" t="str">
        <f>IF($Q826="DELETE",IF($S826="CONFIRMED: NO MODS &gt; 1YR","CONFIRMED: NO MODS &gt; 1YR","DO NOT DELETE — not defensibly confirmed"),IF($Q826="HOLD","DO NOT DELETE — HOLD (Charlie review)",IF($Q826="KEEP","DO NOT DELETE — KEEP",IF(ISNUMBER(SEARCH("REVIEW",$Q826)),"DO NOT DELETE — REVIEW pending",$S826))))</f>
        <v>CONFIRMED: NO MODS &gt; 1YR</v>
      </c>
      <c r="Q826" t="str" cm="1">
        <f t="array" ref="Q826">_xlfn.IFS(AND($A826="thg-beauty",ISNUMBER(SEARCH("liveramp",$C826))),"DELETE",$A826="agile-bonbon-662",_xlfn.IFS(LEFT($G826,9)="Tranche 1","DELETE",$C826="Sessions_Level_1_All_Sites","KEEP",ISNUMBER(--$C826),"REVIEW — UA raw logs",$C826="Emag_Reporting","KEEP",$C826="Nutrition_Data_Archived_Tables","KEEP",$C826="EU_Data","KEEP",TRUE,"REVIEW"),OR($A826="thg-influencer",$A826="thg-ingenuity",$A826="thg-central-marketing",$A826="thg-seoclarity"),"HOLD",TRUE,"")</f>
        <v/>
      </c>
      <c r="R826" t="str" cm="1">
        <f t="array" ref="R826">_xlfn.IFS(AND($A826="thg-beauty",ISNUMBER(SEARCH("liveramp",$C826))),"thg-beauty Liveramp dataset — confirmed safe to delete",$A826="agile-bonbon-662",_xlfn.IFS(LEFT($G826,9)="Tranche 1","Tranche 1: cleared",$C826="Sessions_Level_1_All_Sites","Downstream aggregation of UA raw logs — keep if raw tables go",ISNUMBER(--$C826),"UA raw site logs (account ID) — keep pending audit-retention check",$C826="Emag_Reporting","Legacy but likely needed",$C826="Nutrition_Data_Archived_Tables","Worth keeping",$C826="EU_Data","Static lookup tables — scripts still reference (smoke-test risk)",TRUE,"Review"),OR($A826="thg-influencer",$A826="thg-ingenuity",$A826="thg-central-marketing",$A826="thg-seoclarity"),"HOLD — Charlie Stringer to review before deletion",TRUE,"")</f>
        <v/>
      </c>
      <c r="S826" t="s">
        <v>1624</v>
      </c>
    </row>
    <row r="827" spans="1:19" hidden="1">
      <c r="A827" t="s">
        <v>35</v>
      </c>
      <c r="B827" t="s">
        <v>1619</v>
      </c>
      <c r="C827" t="s">
        <v>3365</v>
      </c>
      <c r="D827" s="2" t="s">
        <v>1621</v>
      </c>
      <c r="E827">
        <v>115.16</v>
      </c>
      <c r="F827">
        <v>2.2999999999999998</v>
      </c>
      <c r="G827" t="s">
        <v>3366</v>
      </c>
      <c r="H827" t="s">
        <v>3328</v>
      </c>
      <c r="I827">
        <v>1891</v>
      </c>
      <c r="J827">
        <v>1891</v>
      </c>
      <c r="M827" s="2" t="s">
        <v>1715</v>
      </c>
      <c r="N827" s="2" t="s">
        <v>1701</v>
      </c>
      <c r="O827" s="5">
        <v>44306.405554710647</v>
      </c>
      <c r="P827" t="str">
        <f>IF($Q827="DELETE",IF($S827="CONFIRMED: NO MODS &gt; 1YR","CONFIRMED: NO MODS &gt; 1YR","DO NOT DELETE — not defensibly confirmed"),IF($Q827="HOLD","DO NOT DELETE — HOLD (Charlie review)",IF($Q827="KEEP","DO NOT DELETE — KEEP",IF(ISNUMBER(SEARCH("REVIEW",$Q827)),"DO NOT DELETE — REVIEW pending",$S827))))</f>
        <v>DO NOT DELETE — HOLD (Charlie review)</v>
      </c>
      <c r="Q827" t="str" cm="1">
        <f t="array" ref="Q827">_xlfn.IFS(AND($A827="thg-beauty",ISNUMBER(SEARCH("liveramp",$C827))),"DELETE",$A827="agile-bonbon-662",_xlfn.IFS(LEFT($G827,9)="Tranche 1","DELETE",$C827="Sessions_Level_1_All_Sites","KEEP",ISNUMBER(--$C827),"REVIEW — UA raw logs",$C827="Emag_Reporting","KEEP",$C827="Nutrition_Data_Archived_Tables","KEEP",$C827="EU_Data","KEEP",TRUE,"REVIEW"),OR($A827="thg-influencer",$A827="thg-ingenuity",$A827="thg-central-marketing",$A827="thg-seoclarity"),"HOLD",TRUE,"")</f>
        <v>HOLD</v>
      </c>
      <c r="R827" t="str" cm="1">
        <f t="array" ref="R827">_xlfn.IFS(AND($A827="thg-beauty",ISNUMBER(SEARCH("liveramp",$C827))),"thg-beauty Liveramp dataset — confirmed safe to delete",$A827="agile-bonbon-662",_xlfn.IFS(LEFT($G827,9)="Tranche 1","Tranche 1: cleared",$C827="Sessions_Level_1_All_Sites","Downstream aggregation of UA raw logs — keep if raw tables go",ISNUMBER(--$C827),"UA raw site logs (account ID) — keep pending audit-retention check",$C827="Emag_Reporting","Legacy but likely needed",$C827="Nutrition_Data_Archived_Tables","Worth keeping",$C827="EU_Data","Static lookup tables — scripts still reference (smoke-test risk)",TRUE,"Review"),OR($A827="thg-influencer",$A827="thg-ingenuity",$A827="thg-central-marketing",$A827="thg-seoclarity"),"HOLD — Charlie Stringer to review before deletion",TRUE,"")</f>
        <v>HOLD — Charlie Stringer to review before deletion</v>
      </c>
      <c r="S827" t="s">
        <v>1624</v>
      </c>
    </row>
    <row r="828" spans="1:19" hidden="1">
      <c r="A828" t="s">
        <v>38</v>
      </c>
      <c r="B828" t="s">
        <v>1619</v>
      </c>
      <c r="C828" t="s">
        <v>3367</v>
      </c>
      <c r="D828" s="2" t="s">
        <v>1621</v>
      </c>
      <c r="E828">
        <v>337.73</v>
      </c>
      <c r="F828">
        <v>6.75</v>
      </c>
      <c r="G828" t="s">
        <v>3366</v>
      </c>
      <c r="H828" t="s">
        <v>3328</v>
      </c>
      <c r="I828">
        <v>723</v>
      </c>
      <c r="J828">
        <v>723</v>
      </c>
      <c r="M828" s="2" t="s">
        <v>1715</v>
      </c>
      <c r="N828" s="2" t="s">
        <v>1701</v>
      </c>
      <c r="O828" s="5">
        <v>45474.27606802083</v>
      </c>
      <c r="P828" t="str">
        <f>IF($Q828="DELETE",IF($S828="CONFIRMED: NO MODS &gt; 1YR","CONFIRMED: NO MODS &gt; 1YR","DO NOT DELETE — not defensibly confirmed"),IF($Q828="HOLD","DO NOT DELETE — HOLD (Charlie review)",IF($Q828="KEEP","DO NOT DELETE — KEEP",IF(ISNUMBER(SEARCH("REVIEW",$Q828)),"DO NOT DELETE — REVIEW pending",$S828))))</f>
        <v>DO NOT DELETE — HOLD (Charlie review)</v>
      </c>
      <c r="Q828" t="str" cm="1">
        <f t="array" ref="Q828">_xlfn.IFS(AND($A828="thg-beauty",ISNUMBER(SEARCH("liveramp",$C828))),"DELETE",$A828="agile-bonbon-662",_xlfn.IFS(LEFT($G828,9)="Tranche 1","DELETE",$C828="Sessions_Level_1_All_Sites","KEEP",ISNUMBER(--$C828),"REVIEW — UA raw logs",$C828="Emag_Reporting","KEEP",$C828="Nutrition_Data_Archived_Tables","KEEP",$C828="EU_Data","KEEP",TRUE,"REVIEW"),OR($A828="thg-influencer",$A828="thg-ingenuity",$A828="thg-central-marketing",$A828="thg-seoclarity"),"HOLD",TRUE,"")</f>
        <v>HOLD</v>
      </c>
      <c r="R828" t="str" cm="1">
        <f t="array" ref="R828">_xlfn.IFS(AND($A828="thg-beauty",ISNUMBER(SEARCH("liveramp",$C828))),"thg-beauty Liveramp dataset — confirmed safe to delete",$A828="agile-bonbon-662",_xlfn.IFS(LEFT($G828,9)="Tranche 1","Tranche 1: cleared",$C828="Sessions_Level_1_All_Sites","Downstream aggregation of UA raw logs — keep if raw tables go",ISNUMBER(--$C828),"UA raw site logs (account ID) — keep pending audit-retention check",$C828="Emag_Reporting","Legacy but likely needed",$C828="Nutrition_Data_Archived_Tables","Worth keeping",$C828="EU_Data","Static lookup tables — scripts still reference (smoke-test risk)",TRUE,"Review"),OR($A828="thg-influencer",$A828="thg-ingenuity",$A828="thg-central-marketing",$A828="thg-seoclarity"),"HOLD — Charlie Stringer to review before deletion",TRUE,"")</f>
        <v>HOLD — Charlie Stringer to review before deletion</v>
      </c>
      <c r="S828" t="s">
        <v>1624</v>
      </c>
    </row>
    <row r="829" spans="1:19" hidden="1">
      <c r="A829" t="s">
        <v>38</v>
      </c>
      <c r="B829" t="s">
        <v>1619</v>
      </c>
      <c r="C829" t="s">
        <v>3368</v>
      </c>
      <c r="D829" s="2" t="s">
        <v>1621</v>
      </c>
      <c r="E829">
        <v>303.66000000000003</v>
      </c>
      <c r="F829">
        <v>6.07</v>
      </c>
      <c r="G829" t="s">
        <v>3366</v>
      </c>
      <c r="H829" t="s">
        <v>3328</v>
      </c>
      <c r="I829">
        <v>723</v>
      </c>
      <c r="J829">
        <v>723</v>
      </c>
      <c r="M829" s="2" t="s">
        <v>1715</v>
      </c>
      <c r="N829" s="2" t="s">
        <v>1701</v>
      </c>
      <c r="O829" s="5">
        <v>45474.339836192128</v>
      </c>
      <c r="P829" t="str">
        <f>IF($Q829="DELETE",IF($S829="CONFIRMED: NO MODS &gt; 1YR","CONFIRMED: NO MODS &gt; 1YR","DO NOT DELETE — not defensibly confirmed"),IF($Q829="HOLD","DO NOT DELETE — HOLD (Charlie review)",IF($Q829="KEEP","DO NOT DELETE — KEEP",IF(ISNUMBER(SEARCH("REVIEW",$Q829)),"DO NOT DELETE — REVIEW pending",$S829))))</f>
        <v>DO NOT DELETE — HOLD (Charlie review)</v>
      </c>
      <c r="Q829" t="str" cm="1">
        <f t="array" ref="Q829">_xlfn.IFS(AND($A829="thg-beauty",ISNUMBER(SEARCH("liveramp",$C829))),"DELETE",$A829="agile-bonbon-662",_xlfn.IFS(LEFT($G829,9)="Tranche 1","DELETE",$C829="Sessions_Level_1_All_Sites","KEEP",ISNUMBER(--$C829),"REVIEW — UA raw logs",$C829="Emag_Reporting","KEEP",$C829="Nutrition_Data_Archived_Tables","KEEP",$C829="EU_Data","KEEP",TRUE,"REVIEW"),OR($A829="thg-influencer",$A829="thg-ingenuity",$A829="thg-central-marketing",$A829="thg-seoclarity"),"HOLD",TRUE,"")</f>
        <v>HOLD</v>
      </c>
      <c r="R829" t="str" cm="1">
        <f t="array" ref="R829">_xlfn.IFS(AND($A829="thg-beauty",ISNUMBER(SEARCH("liveramp",$C829))),"thg-beauty Liveramp dataset — confirmed safe to delete",$A829="agile-bonbon-662",_xlfn.IFS(LEFT($G829,9)="Tranche 1","Tranche 1: cleared",$C829="Sessions_Level_1_All_Sites","Downstream aggregation of UA raw logs — keep if raw tables go",ISNUMBER(--$C829),"UA raw site logs (account ID) — keep pending audit-retention check",$C829="Emag_Reporting","Legacy but likely needed",$C829="Nutrition_Data_Archived_Tables","Worth keeping",$C829="EU_Data","Static lookup tables — scripts still reference (smoke-test risk)",TRUE,"Review"),OR($A829="thg-influencer",$A829="thg-ingenuity",$A829="thg-central-marketing",$A829="thg-seoclarity"),"HOLD — Charlie Stringer to review before deletion",TRUE,"")</f>
        <v>HOLD — Charlie Stringer to review before deletion</v>
      </c>
      <c r="S829" t="s">
        <v>1624</v>
      </c>
    </row>
    <row r="830" spans="1:19" hidden="1">
      <c r="A830" t="s">
        <v>38</v>
      </c>
      <c r="B830" t="s">
        <v>1619</v>
      </c>
      <c r="C830" t="s">
        <v>3369</v>
      </c>
      <c r="D830" s="2" t="s">
        <v>1621</v>
      </c>
      <c r="E830">
        <v>266.08999999999997</v>
      </c>
      <c r="F830">
        <v>5.32</v>
      </c>
      <c r="G830" t="s">
        <v>3366</v>
      </c>
      <c r="H830" t="s">
        <v>3328</v>
      </c>
      <c r="I830">
        <v>723</v>
      </c>
      <c r="J830">
        <v>723</v>
      </c>
      <c r="M830" s="2" t="s">
        <v>1715</v>
      </c>
      <c r="N830" s="2" t="s">
        <v>1701</v>
      </c>
      <c r="O830" s="5">
        <v>45474.338324687502</v>
      </c>
      <c r="P830" t="str">
        <f>IF($Q830="DELETE",IF($S830="CONFIRMED: NO MODS &gt; 1YR","CONFIRMED: NO MODS &gt; 1YR","DO NOT DELETE — not defensibly confirmed"),IF($Q830="HOLD","DO NOT DELETE — HOLD (Charlie review)",IF($Q830="KEEP","DO NOT DELETE — KEEP",IF(ISNUMBER(SEARCH("REVIEW",$Q830)),"DO NOT DELETE — REVIEW pending",$S830))))</f>
        <v>DO NOT DELETE — HOLD (Charlie review)</v>
      </c>
      <c r="Q830" t="str" cm="1">
        <f t="array" ref="Q830">_xlfn.IFS(AND($A830="thg-beauty",ISNUMBER(SEARCH("liveramp",$C830))),"DELETE",$A830="agile-bonbon-662",_xlfn.IFS(LEFT($G830,9)="Tranche 1","DELETE",$C830="Sessions_Level_1_All_Sites","KEEP",ISNUMBER(--$C830),"REVIEW — UA raw logs",$C830="Emag_Reporting","KEEP",$C830="Nutrition_Data_Archived_Tables","KEEP",$C830="EU_Data","KEEP",TRUE,"REVIEW"),OR($A830="thg-influencer",$A830="thg-ingenuity",$A830="thg-central-marketing",$A830="thg-seoclarity"),"HOLD",TRUE,"")</f>
        <v>HOLD</v>
      </c>
      <c r="R830" t="str" cm="1">
        <f t="array" ref="R830">_xlfn.IFS(AND($A830="thg-beauty",ISNUMBER(SEARCH("liveramp",$C830))),"thg-beauty Liveramp dataset — confirmed safe to delete",$A830="agile-bonbon-662",_xlfn.IFS(LEFT($G830,9)="Tranche 1","Tranche 1: cleared",$C830="Sessions_Level_1_All_Sites","Downstream aggregation of UA raw logs — keep if raw tables go",ISNUMBER(--$C830),"UA raw site logs (account ID) — keep pending audit-retention check",$C830="Emag_Reporting","Legacy but likely needed",$C830="Nutrition_Data_Archived_Tables","Worth keeping",$C830="EU_Data","Static lookup tables — scripts still reference (smoke-test risk)",TRUE,"Review"),OR($A830="thg-influencer",$A830="thg-ingenuity",$A830="thg-central-marketing",$A830="thg-seoclarity"),"HOLD — Charlie Stringer to review before deletion",TRUE,"")</f>
        <v>HOLD — Charlie Stringer to review before deletion</v>
      </c>
      <c r="S830" t="s">
        <v>1624</v>
      </c>
    </row>
    <row r="831" spans="1:19" hidden="1">
      <c r="A831" t="s">
        <v>38</v>
      </c>
      <c r="B831" t="s">
        <v>1619</v>
      </c>
      <c r="C831" t="s">
        <v>3370</v>
      </c>
      <c r="D831" s="2" t="s">
        <v>1621</v>
      </c>
      <c r="E831">
        <v>247.63</v>
      </c>
      <c r="F831">
        <v>4.95</v>
      </c>
      <c r="G831" t="s">
        <v>3366</v>
      </c>
      <c r="H831" t="s">
        <v>3328</v>
      </c>
      <c r="I831">
        <v>723</v>
      </c>
      <c r="J831">
        <v>723</v>
      </c>
      <c r="M831" s="2" t="s">
        <v>1715</v>
      </c>
      <c r="N831" s="2" t="s">
        <v>1701</v>
      </c>
      <c r="O831" s="5">
        <v>45474.281005231482</v>
      </c>
      <c r="P831" t="str">
        <f>IF($Q831="DELETE",IF($S831="CONFIRMED: NO MODS &gt; 1YR","CONFIRMED: NO MODS &gt; 1YR","DO NOT DELETE — not defensibly confirmed"),IF($Q831="HOLD","DO NOT DELETE — HOLD (Charlie review)",IF($Q831="KEEP","DO NOT DELETE — KEEP",IF(ISNUMBER(SEARCH("REVIEW",$Q831)),"DO NOT DELETE — REVIEW pending",$S831))))</f>
        <v>DO NOT DELETE — HOLD (Charlie review)</v>
      </c>
      <c r="Q831" t="str" cm="1">
        <f t="array" ref="Q831">_xlfn.IFS(AND($A831="thg-beauty",ISNUMBER(SEARCH("liveramp",$C831))),"DELETE",$A831="agile-bonbon-662",_xlfn.IFS(LEFT($G831,9)="Tranche 1","DELETE",$C831="Sessions_Level_1_All_Sites","KEEP",ISNUMBER(--$C831),"REVIEW — UA raw logs",$C831="Emag_Reporting","KEEP",$C831="Nutrition_Data_Archived_Tables","KEEP",$C831="EU_Data","KEEP",TRUE,"REVIEW"),OR($A831="thg-influencer",$A831="thg-ingenuity",$A831="thg-central-marketing",$A831="thg-seoclarity"),"HOLD",TRUE,"")</f>
        <v>HOLD</v>
      </c>
      <c r="R831" t="str" cm="1">
        <f t="array" ref="R831">_xlfn.IFS(AND($A831="thg-beauty",ISNUMBER(SEARCH("liveramp",$C831))),"thg-beauty Liveramp dataset — confirmed safe to delete",$A831="agile-bonbon-662",_xlfn.IFS(LEFT($G831,9)="Tranche 1","Tranche 1: cleared",$C831="Sessions_Level_1_All_Sites","Downstream aggregation of UA raw logs — keep if raw tables go",ISNUMBER(--$C831),"UA raw site logs (account ID) — keep pending audit-retention check",$C831="Emag_Reporting","Legacy but likely needed",$C831="Nutrition_Data_Archived_Tables","Worth keeping",$C831="EU_Data","Static lookup tables — scripts still reference (smoke-test risk)",TRUE,"Review"),OR($A831="thg-influencer",$A831="thg-ingenuity",$A831="thg-central-marketing",$A831="thg-seoclarity"),"HOLD — Charlie Stringer to review before deletion",TRUE,"")</f>
        <v>HOLD — Charlie Stringer to review before deletion</v>
      </c>
      <c r="S831" t="s">
        <v>1624</v>
      </c>
    </row>
    <row r="832" spans="1:19" hidden="1">
      <c r="A832" t="s">
        <v>38</v>
      </c>
      <c r="B832" t="s">
        <v>1619</v>
      </c>
      <c r="C832" t="s">
        <v>3371</v>
      </c>
      <c r="D832" s="2" t="s">
        <v>1621</v>
      </c>
      <c r="E832">
        <v>247.07</v>
      </c>
      <c r="F832">
        <v>4.9400000000000004</v>
      </c>
      <c r="G832" t="s">
        <v>3366</v>
      </c>
      <c r="H832" t="s">
        <v>3328</v>
      </c>
      <c r="I832">
        <v>723</v>
      </c>
      <c r="J832">
        <v>723</v>
      </c>
      <c r="M832" s="2" t="s">
        <v>1715</v>
      </c>
      <c r="N832" s="2" t="s">
        <v>1701</v>
      </c>
      <c r="O832" s="5">
        <v>45474.338156840276</v>
      </c>
      <c r="P832" t="str">
        <f>IF($Q832="DELETE",IF($S832="CONFIRMED: NO MODS &gt; 1YR","CONFIRMED: NO MODS &gt; 1YR","DO NOT DELETE — not defensibly confirmed"),IF($Q832="HOLD","DO NOT DELETE — HOLD (Charlie review)",IF($Q832="KEEP","DO NOT DELETE — KEEP",IF(ISNUMBER(SEARCH("REVIEW",$Q832)),"DO NOT DELETE — REVIEW pending",$S832))))</f>
        <v>DO NOT DELETE — HOLD (Charlie review)</v>
      </c>
      <c r="Q832" t="str" cm="1">
        <f t="array" ref="Q832">_xlfn.IFS(AND($A832="thg-beauty",ISNUMBER(SEARCH("liveramp",$C832))),"DELETE",$A832="agile-bonbon-662",_xlfn.IFS(LEFT($G832,9)="Tranche 1","DELETE",$C832="Sessions_Level_1_All_Sites","KEEP",ISNUMBER(--$C832),"REVIEW — UA raw logs",$C832="Emag_Reporting","KEEP",$C832="Nutrition_Data_Archived_Tables","KEEP",$C832="EU_Data","KEEP",TRUE,"REVIEW"),OR($A832="thg-influencer",$A832="thg-ingenuity",$A832="thg-central-marketing",$A832="thg-seoclarity"),"HOLD",TRUE,"")</f>
        <v>HOLD</v>
      </c>
      <c r="R832" t="str" cm="1">
        <f t="array" ref="R832">_xlfn.IFS(AND($A832="thg-beauty",ISNUMBER(SEARCH("liveramp",$C832))),"thg-beauty Liveramp dataset — confirmed safe to delete",$A832="agile-bonbon-662",_xlfn.IFS(LEFT($G832,9)="Tranche 1","Tranche 1: cleared",$C832="Sessions_Level_1_All_Sites","Downstream aggregation of UA raw logs — keep if raw tables go",ISNUMBER(--$C832),"UA raw site logs (account ID) — keep pending audit-retention check",$C832="Emag_Reporting","Legacy but likely needed",$C832="Nutrition_Data_Archived_Tables","Worth keeping",$C832="EU_Data","Static lookup tables — scripts still reference (smoke-test risk)",TRUE,"Review"),OR($A832="thg-influencer",$A832="thg-ingenuity",$A832="thg-central-marketing",$A832="thg-seoclarity"),"HOLD — Charlie Stringer to review before deletion",TRUE,"")</f>
        <v>HOLD — Charlie Stringer to review before deletion</v>
      </c>
      <c r="S832" t="s">
        <v>1624</v>
      </c>
    </row>
    <row r="833" spans="1:19" hidden="1">
      <c r="A833" t="s">
        <v>38</v>
      </c>
      <c r="B833" t="s">
        <v>1619</v>
      </c>
      <c r="C833" t="s">
        <v>3372</v>
      </c>
      <c r="D833" s="2" t="s">
        <v>1621</v>
      </c>
      <c r="E833">
        <v>141.59</v>
      </c>
      <c r="F833">
        <v>2.83</v>
      </c>
      <c r="G833" t="s">
        <v>3366</v>
      </c>
      <c r="H833" t="s">
        <v>3328</v>
      </c>
      <c r="I833">
        <v>723</v>
      </c>
      <c r="J833">
        <v>723</v>
      </c>
      <c r="M833" s="2" t="s">
        <v>1715</v>
      </c>
      <c r="N833" s="2" t="s">
        <v>1701</v>
      </c>
      <c r="O833" s="5">
        <v>45474.282514016202</v>
      </c>
      <c r="P833" t="str">
        <f>IF($Q833="DELETE",IF($S833="CONFIRMED: NO MODS &gt; 1YR","CONFIRMED: NO MODS &gt; 1YR","DO NOT DELETE — not defensibly confirmed"),IF($Q833="HOLD","DO NOT DELETE — HOLD (Charlie review)",IF($Q833="KEEP","DO NOT DELETE — KEEP",IF(ISNUMBER(SEARCH("REVIEW",$Q833)),"DO NOT DELETE — REVIEW pending",$S833))))</f>
        <v>DO NOT DELETE — HOLD (Charlie review)</v>
      </c>
      <c r="Q833" t="str" cm="1">
        <f t="array" ref="Q833">_xlfn.IFS(AND($A833="thg-beauty",ISNUMBER(SEARCH("liveramp",$C833))),"DELETE",$A833="agile-bonbon-662",_xlfn.IFS(LEFT($G833,9)="Tranche 1","DELETE",$C833="Sessions_Level_1_All_Sites","KEEP",ISNUMBER(--$C833),"REVIEW — UA raw logs",$C833="Emag_Reporting","KEEP",$C833="Nutrition_Data_Archived_Tables","KEEP",$C833="EU_Data","KEEP",TRUE,"REVIEW"),OR($A833="thg-influencer",$A833="thg-ingenuity",$A833="thg-central-marketing",$A833="thg-seoclarity"),"HOLD",TRUE,"")</f>
        <v>HOLD</v>
      </c>
      <c r="R833" t="str" cm="1">
        <f t="array" ref="R833">_xlfn.IFS(AND($A833="thg-beauty",ISNUMBER(SEARCH("liveramp",$C833))),"thg-beauty Liveramp dataset — confirmed safe to delete",$A833="agile-bonbon-662",_xlfn.IFS(LEFT($G833,9)="Tranche 1","Tranche 1: cleared",$C833="Sessions_Level_1_All_Sites","Downstream aggregation of UA raw logs — keep if raw tables go",ISNUMBER(--$C833),"UA raw site logs (account ID) — keep pending audit-retention check",$C833="Emag_Reporting","Legacy but likely needed",$C833="Nutrition_Data_Archived_Tables","Worth keeping",$C833="EU_Data","Static lookup tables — scripts still reference (smoke-test risk)",TRUE,"Review"),OR($A833="thg-influencer",$A833="thg-ingenuity",$A833="thg-central-marketing",$A833="thg-seoclarity"),"HOLD — Charlie Stringer to review before deletion",TRUE,"")</f>
        <v>HOLD — Charlie Stringer to review before deletion</v>
      </c>
      <c r="S833" t="s">
        <v>1624</v>
      </c>
    </row>
    <row r="834" spans="1:19" hidden="1">
      <c r="A834" t="s">
        <v>38</v>
      </c>
      <c r="B834" t="s">
        <v>1619</v>
      </c>
      <c r="C834" t="s">
        <v>3373</v>
      </c>
      <c r="D834" s="2" t="s">
        <v>1621</v>
      </c>
      <c r="E834">
        <v>118.63</v>
      </c>
      <c r="F834">
        <v>2.37</v>
      </c>
      <c r="G834" t="s">
        <v>3366</v>
      </c>
      <c r="H834" t="s">
        <v>3328</v>
      </c>
      <c r="I834">
        <v>723</v>
      </c>
      <c r="J834">
        <v>723</v>
      </c>
      <c r="M834" s="2" t="s">
        <v>1715</v>
      </c>
      <c r="N834" s="2" t="s">
        <v>1701</v>
      </c>
      <c r="O834" s="5">
        <v>45474.339703344907</v>
      </c>
      <c r="P834" t="str">
        <f>IF($Q834="DELETE",IF($S834="CONFIRMED: NO MODS &gt; 1YR","CONFIRMED: NO MODS &gt; 1YR","DO NOT DELETE — not defensibly confirmed"),IF($Q834="HOLD","DO NOT DELETE — HOLD (Charlie review)",IF($Q834="KEEP","DO NOT DELETE — KEEP",IF(ISNUMBER(SEARCH("REVIEW",$Q834)),"DO NOT DELETE — REVIEW pending",$S834))))</f>
        <v>DO NOT DELETE — HOLD (Charlie review)</v>
      </c>
      <c r="Q834" t="str" cm="1">
        <f t="array" ref="Q834">_xlfn.IFS(AND($A834="thg-beauty",ISNUMBER(SEARCH("liveramp",$C834))),"DELETE",$A834="agile-bonbon-662",_xlfn.IFS(LEFT($G834,9)="Tranche 1","DELETE",$C834="Sessions_Level_1_All_Sites","KEEP",ISNUMBER(--$C834),"REVIEW — UA raw logs",$C834="Emag_Reporting","KEEP",$C834="Nutrition_Data_Archived_Tables","KEEP",$C834="EU_Data","KEEP",TRUE,"REVIEW"),OR($A834="thg-influencer",$A834="thg-ingenuity",$A834="thg-central-marketing",$A834="thg-seoclarity"),"HOLD",TRUE,"")</f>
        <v>HOLD</v>
      </c>
      <c r="R834" t="str" cm="1">
        <f t="array" ref="R834">_xlfn.IFS(AND($A834="thg-beauty",ISNUMBER(SEARCH("liveramp",$C834))),"thg-beauty Liveramp dataset — confirmed safe to delete",$A834="agile-bonbon-662",_xlfn.IFS(LEFT($G834,9)="Tranche 1","Tranche 1: cleared",$C834="Sessions_Level_1_All_Sites","Downstream aggregation of UA raw logs — keep if raw tables go",ISNUMBER(--$C834),"UA raw site logs (account ID) — keep pending audit-retention check",$C834="Emag_Reporting","Legacy but likely needed",$C834="Nutrition_Data_Archived_Tables","Worth keeping",$C834="EU_Data","Static lookup tables — scripts still reference (smoke-test risk)",TRUE,"Review"),OR($A834="thg-influencer",$A834="thg-ingenuity",$A834="thg-central-marketing",$A834="thg-seoclarity"),"HOLD — Charlie Stringer to review before deletion",TRUE,"")</f>
        <v>HOLD — Charlie Stringer to review before deletion</v>
      </c>
      <c r="S834" t="s">
        <v>1624</v>
      </c>
    </row>
    <row r="835" spans="1:19" hidden="1">
      <c r="A835" t="s">
        <v>38</v>
      </c>
      <c r="B835" t="s">
        <v>1619</v>
      </c>
      <c r="C835" t="s">
        <v>3374</v>
      </c>
      <c r="D835" s="2" t="s">
        <v>1621</v>
      </c>
      <c r="E835">
        <v>118.25</v>
      </c>
      <c r="F835">
        <v>2.37</v>
      </c>
      <c r="G835" t="s">
        <v>3366</v>
      </c>
      <c r="H835" t="s">
        <v>3328</v>
      </c>
      <c r="I835">
        <v>723</v>
      </c>
      <c r="J835">
        <v>723</v>
      </c>
      <c r="M835" s="2" t="s">
        <v>1715</v>
      </c>
      <c r="N835" s="2" t="s">
        <v>1701</v>
      </c>
      <c r="O835" s="5">
        <v>45474.278574270837</v>
      </c>
      <c r="P835" t="str">
        <f>IF($Q835="DELETE",IF($S835="CONFIRMED: NO MODS &gt; 1YR","CONFIRMED: NO MODS &gt; 1YR","DO NOT DELETE — not defensibly confirmed"),IF($Q835="HOLD","DO NOT DELETE — HOLD (Charlie review)",IF($Q835="KEEP","DO NOT DELETE — KEEP",IF(ISNUMBER(SEARCH("REVIEW",$Q835)),"DO NOT DELETE — REVIEW pending",$S835))))</f>
        <v>DO NOT DELETE — HOLD (Charlie review)</v>
      </c>
      <c r="Q835" t="str" cm="1">
        <f t="array" ref="Q835">_xlfn.IFS(AND($A835="thg-beauty",ISNUMBER(SEARCH("liveramp",$C835))),"DELETE",$A835="agile-bonbon-662",_xlfn.IFS(LEFT($G835,9)="Tranche 1","DELETE",$C835="Sessions_Level_1_All_Sites","KEEP",ISNUMBER(--$C835),"REVIEW — UA raw logs",$C835="Emag_Reporting","KEEP",$C835="Nutrition_Data_Archived_Tables","KEEP",$C835="EU_Data","KEEP",TRUE,"REVIEW"),OR($A835="thg-influencer",$A835="thg-ingenuity",$A835="thg-central-marketing",$A835="thg-seoclarity"),"HOLD",TRUE,"")</f>
        <v>HOLD</v>
      </c>
      <c r="R835" t="str" cm="1">
        <f t="array" ref="R835">_xlfn.IFS(AND($A835="thg-beauty",ISNUMBER(SEARCH("liveramp",$C835))),"thg-beauty Liveramp dataset — confirmed safe to delete",$A835="agile-bonbon-662",_xlfn.IFS(LEFT($G835,9)="Tranche 1","Tranche 1: cleared",$C835="Sessions_Level_1_All_Sites","Downstream aggregation of UA raw logs — keep if raw tables go",ISNUMBER(--$C835),"UA raw site logs (account ID) — keep pending audit-retention check",$C835="Emag_Reporting","Legacy but likely needed",$C835="Nutrition_Data_Archived_Tables","Worth keeping",$C835="EU_Data","Static lookup tables — scripts still reference (smoke-test risk)",TRUE,"Review"),OR($A835="thg-influencer",$A835="thg-ingenuity",$A835="thg-central-marketing",$A835="thg-seoclarity"),"HOLD — Charlie Stringer to review before deletion",TRUE,"")</f>
        <v>HOLD — Charlie Stringer to review before deletion</v>
      </c>
      <c r="S835" t="s">
        <v>1624</v>
      </c>
    </row>
    <row r="836" spans="1:19" hidden="1">
      <c r="A836" t="s">
        <v>38</v>
      </c>
      <c r="B836" t="s">
        <v>1619</v>
      </c>
      <c r="C836" t="s">
        <v>3375</v>
      </c>
      <c r="D836" s="2" t="s">
        <v>1621</v>
      </c>
      <c r="E836">
        <v>111.25</v>
      </c>
      <c r="F836">
        <v>2.2200000000000002</v>
      </c>
      <c r="G836" t="s">
        <v>3366</v>
      </c>
      <c r="H836" t="s">
        <v>3328</v>
      </c>
      <c r="I836">
        <v>723</v>
      </c>
      <c r="J836">
        <v>723</v>
      </c>
      <c r="M836" s="2" t="s">
        <v>1715</v>
      </c>
      <c r="N836" s="2" t="s">
        <v>1701</v>
      </c>
      <c r="O836" s="5">
        <v>45474.267530428238</v>
      </c>
      <c r="P836" t="str">
        <f>IF($Q836="DELETE",IF($S836="CONFIRMED: NO MODS &gt; 1YR","CONFIRMED: NO MODS &gt; 1YR","DO NOT DELETE — not defensibly confirmed"),IF($Q836="HOLD","DO NOT DELETE — HOLD (Charlie review)",IF($Q836="KEEP","DO NOT DELETE — KEEP",IF(ISNUMBER(SEARCH("REVIEW",$Q836)),"DO NOT DELETE — REVIEW pending",$S836))))</f>
        <v>DO NOT DELETE — HOLD (Charlie review)</v>
      </c>
      <c r="Q836" t="str" cm="1">
        <f t="array" ref="Q836">_xlfn.IFS(AND($A836="thg-beauty",ISNUMBER(SEARCH("liveramp",$C836))),"DELETE",$A836="agile-bonbon-662",_xlfn.IFS(LEFT($G836,9)="Tranche 1","DELETE",$C836="Sessions_Level_1_All_Sites","KEEP",ISNUMBER(--$C836),"REVIEW — UA raw logs",$C836="Emag_Reporting","KEEP",$C836="Nutrition_Data_Archived_Tables","KEEP",$C836="EU_Data","KEEP",TRUE,"REVIEW"),OR($A836="thg-influencer",$A836="thg-ingenuity",$A836="thg-central-marketing",$A836="thg-seoclarity"),"HOLD",TRUE,"")</f>
        <v>HOLD</v>
      </c>
      <c r="R836" t="str" cm="1">
        <f t="array" ref="R836">_xlfn.IFS(AND($A836="thg-beauty",ISNUMBER(SEARCH("liveramp",$C836))),"thg-beauty Liveramp dataset — confirmed safe to delete",$A836="agile-bonbon-662",_xlfn.IFS(LEFT($G836,9)="Tranche 1","Tranche 1: cleared",$C836="Sessions_Level_1_All_Sites","Downstream aggregation of UA raw logs — keep if raw tables go",ISNUMBER(--$C836),"UA raw site logs (account ID) — keep pending audit-retention check",$C836="Emag_Reporting","Legacy but likely needed",$C836="Nutrition_Data_Archived_Tables","Worth keeping",$C836="EU_Data","Static lookup tables — scripts still reference (smoke-test risk)",TRUE,"Review"),OR($A836="thg-influencer",$A836="thg-ingenuity",$A836="thg-central-marketing",$A836="thg-seoclarity"),"HOLD — Charlie Stringer to review before deletion",TRUE,"")</f>
        <v>HOLD — Charlie Stringer to review before deletion</v>
      </c>
      <c r="S836" t="s">
        <v>1624</v>
      </c>
    </row>
    <row r="837" spans="1:19" hidden="1">
      <c r="A837" t="s">
        <v>96</v>
      </c>
      <c r="B837" t="s">
        <v>1619</v>
      </c>
      <c r="C837" t="s">
        <v>3376</v>
      </c>
      <c r="D837" s="2" t="s">
        <v>1621</v>
      </c>
      <c r="E837">
        <v>1875.14</v>
      </c>
      <c r="F837">
        <v>37.5</v>
      </c>
      <c r="G837" t="s">
        <v>3366</v>
      </c>
      <c r="H837" t="s">
        <v>3328</v>
      </c>
      <c r="I837">
        <v>664</v>
      </c>
      <c r="J837">
        <v>664</v>
      </c>
      <c r="M837" s="2" t="s">
        <v>1715</v>
      </c>
      <c r="N837" s="2" t="s">
        <v>1701</v>
      </c>
      <c r="O837" s="5">
        <v>45533.293303761573</v>
      </c>
      <c r="P837" t="str">
        <f>IF($Q837="DELETE",IF($S837="CONFIRMED: NO MODS &gt; 1YR","CONFIRMED: NO MODS &gt; 1YR","DO NOT DELETE — not defensibly confirmed"),IF($Q837="HOLD","DO NOT DELETE — HOLD (Charlie review)",IF($Q837="KEEP","DO NOT DELETE — KEEP",IF(ISNUMBER(SEARCH("REVIEW",$Q837)),"DO NOT DELETE — REVIEW pending",$S837))))</f>
        <v>DO NOT DELETE — HOLD (Charlie review)</v>
      </c>
      <c r="Q837" t="str" cm="1">
        <f t="array" ref="Q837">_xlfn.IFS(AND($A837="thg-beauty",ISNUMBER(SEARCH("liveramp",$C837))),"DELETE",$A837="agile-bonbon-662",_xlfn.IFS(LEFT($G837,9)="Tranche 1","DELETE",$C837="Sessions_Level_1_All_Sites","KEEP",ISNUMBER(--$C837),"REVIEW — UA raw logs",$C837="Emag_Reporting","KEEP",$C837="Nutrition_Data_Archived_Tables","KEEP",$C837="EU_Data","KEEP",TRUE,"REVIEW"),OR($A837="thg-influencer",$A837="thg-ingenuity",$A837="thg-central-marketing",$A837="thg-seoclarity"),"HOLD",TRUE,"")</f>
        <v>HOLD</v>
      </c>
      <c r="R837" t="str" cm="1">
        <f t="array" ref="R837">_xlfn.IFS(AND($A837="thg-beauty",ISNUMBER(SEARCH("liveramp",$C837))),"thg-beauty Liveramp dataset — confirmed safe to delete",$A837="agile-bonbon-662",_xlfn.IFS(LEFT($G837,9)="Tranche 1","Tranche 1: cleared",$C837="Sessions_Level_1_All_Sites","Downstream aggregation of UA raw logs — keep if raw tables go",ISNUMBER(--$C837),"UA raw site logs (account ID) — keep pending audit-retention check",$C837="Emag_Reporting","Legacy but likely needed",$C837="Nutrition_Data_Archived_Tables","Worth keeping",$C837="EU_Data","Static lookup tables — scripts still reference (smoke-test risk)",TRUE,"Review"),OR($A837="thg-influencer",$A837="thg-ingenuity",$A837="thg-central-marketing",$A837="thg-seoclarity"),"HOLD — Charlie Stringer to review before deletion",TRUE,"")</f>
        <v>HOLD — Charlie Stringer to review before deletion</v>
      </c>
      <c r="S837" t="s">
        <v>1624</v>
      </c>
    </row>
    <row r="838" spans="1:19" hidden="1">
      <c r="A838" t="s">
        <v>38</v>
      </c>
      <c r="B838" t="s">
        <v>1619</v>
      </c>
      <c r="C838" t="s">
        <v>3377</v>
      </c>
      <c r="D838" s="2" t="s">
        <v>1621</v>
      </c>
      <c r="E838">
        <v>109.77</v>
      </c>
      <c r="F838">
        <v>2.2000000000000002</v>
      </c>
      <c r="G838" t="s">
        <v>3366</v>
      </c>
      <c r="H838" t="s">
        <v>3328</v>
      </c>
      <c r="I838">
        <v>515</v>
      </c>
      <c r="J838">
        <v>515</v>
      </c>
      <c r="M838" s="2" t="s">
        <v>1715</v>
      </c>
      <c r="N838" s="2" t="s">
        <v>1701</v>
      </c>
      <c r="O838" s="5">
        <v>45682.36806980324</v>
      </c>
      <c r="P838" t="str">
        <f>IF($Q838="DELETE",IF($S838="CONFIRMED: NO MODS &gt; 1YR","CONFIRMED: NO MODS &gt; 1YR","DO NOT DELETE — not defensibly confirmed"),IF($Q838="HOLD","DO NOT DELETE — HOLD (Charlie review)",IF($Q838="KEEP","DO NOT DELETE — KEEP",IF(ISNUMBER(SEARCH("REVIEW",$Q838)),"DO NOT DELETE — REVIEW pending",$S838))))</f>
        <v>DO NOT DELETE — HOLD (Charlie review)</v>
      </c>
      <c r="Q838" t="str" cm="1">
        <f t="array" ref="Q838">_xlfn.IFS(AND($A838="thg-beauty",ISNUMBER(SEARCH("liveramp",$C838))),"DELETE",$A838="agile-bonbon-662",_xlfn.IFS(LEFT($G838,9)="Tranche 1","DELETE",$C838="Sessions_Level_1_All_Sites","KEEP",ISNUMBER(--$C838),"REVIEW — UA raw logs",$C838="Emag_Reporting","KEEP",$C838="Nutrition_Data_Archived_Tables","KEEP",$C838="EU_Data","KEEP",TRUE,"REVIEW"),OR($A838="thg-influencer",$A838="thg-ingenuity",$A838="thg-central-marketing",$A838="thg-seoclarity"),"HOLD",TRUE,"")</f>
        <v>HOLD</v>
      </c>
      <c r="R838" t="str" cm="1">
        <f t="array" ref="R838">_xlfn.IFS(AND($A838="thg-beauty",ISNUMBER(SEARCH("liveramp",$C838))),"thg-beauty Liveramp dataset — confirmed safe to delete",$A838="agile-bonbon-662",_xlfn.IFS(LEFT($G838,9)="Tranche 1","Tranche 1: cleared",$C838="Sessions_Level_1_All_Sites","Downstream aggregation of UA raw logs — keep if raw tables go",ISNUMBER(--$C838),"UA raw site logs (account ID) — keep pending audit-retention check",$C838="Emag_Reporting","Legacy but likely needed",$C838="Nutrition_Data_Archived_Tables","Worth keeping",$C838="EU_Data","Static lookup tables — scripts still reference (smoke-test risk)",TRUE,"Review"),OR($A838="thg-influencer",$A838="thg-ingenuity",$A838="thg-central-marketing",$A838="thg-seoclarity"),"HOLD — Charlie Stringer to review before deletion",TRUE,"")</f>
        <v>HOLD — Charlie Stringer to review before deletion</v>
      </c>
      <c r="S838" t="s">
        <v>1624</v>
      </c>
    </row>
    <row r="839" spans="1:19" hidden="1">
      <c r="A839" t="s">
        <v>38</v>
      </c>
      <c r="B839" t="s">
        <v>1619</v>
      </c>
      <c r="C839" t="s">
        <v>3378</v>
      </c>
      <c r="D839" s="2" t="s">
        <v>1621</v>
      </c>
      <c r="E839">
        <v>177.04</v>
      </c>
      <c r="F839">
        <v>3.54</v>
      </c>
      <c r="G839" t="s">
        <v>3366</v>
      </c>
      <c r="H839" t="s">
        <v>3328</v>
      </c>
      <c r="I839">
        <v>490</v>
      </c>
      <c r="J839">
        <v>490</v>
      </c>
      <c r="M839" s="2" t="s">
        <v>1715</v>
      </c>
      <c r="N839" s="2" t="s">
        <v>1701</v>
      </c>
      <c r="O839" s="5">
        <v>45706.724710532413</v>
      </c>
      <c r="P839" t="str">
        <f>IF($Q839="DELETE",IF($S839="CONFIRMED: NO MODS &gt; 1YR","CONFIRMED: NO MODS &gt; 1YR","DO NOT DELETE — not defensibly confirmed"),IF($Q839="HOLD","DO NOT DELETE — HOLD (Charlie review)",IF($Q839="KEEP","DO NOT DELETE — KEEP",IF(ISNUMBER(SEARCH("REVIEW",$Q839)),"DO NOT DELETE — REVIEW pending",$S839))))</f>
        <v>DO NOT DELETE — HOLD (Charlie review)</v>
      </c>
      <c r="Q839" t="str" cm="1">
        <f t="array" ref="Q839">_xlfn.IFS(AND($A839="thg-beauty",ISNUMBER(SEARCH("liveramp",$C839))),"DELETE",$A839="agile-bonbon-662",_xlfn.IFS(LEFT($G839,9)="Tranche 1","DELETE",$C839="Sessions_Level_1_All_Sites","KEEP",ISNUMBER(--$C839),"REVIEW — UA raw logs",$C839="Emag_Reporting","KEEP",$C839="Nutrition_Data_Archived_Tables","KEEP",$C839="EU_Data","KEEP",TRUE,"REVIEW"),OR($A839="thg-influencer",$A839="thg-ingenuity",$A839="thg-central-marketing",$A839="thg-seoclarity"),"HOLD",TRUE,"")</f>
        <v>HOLD</v>
      </c>
      <c r="R839" t="str" cm="1">
        <f t="array" ref="R839">_xlfn.IFS(AND($A839="thg-beauty",ISNUMBER(SEARCH("liveramp",$C839))),"thg-beauty Liveramp dataset — confirmed safe to delete",$A839="agile-bonbon-662",_xlfn.IFS(LEFT($G839,9)="Tranche 1","Tranche 1: cleared",$C839="Sessions_Level_1_All_Sites","Downstream aggregation of UA raw logs — keep if raw tables go",ISNUMBER(--$C839),"UA raw site logs (account ID) — keep pending audit-retention check",$C839="Emag_Reporting","Legacy but likely needed",$C839="Nutrition_Data_Archived_Tables","Worth keeping",$C839="EU_Data","Static lookup tables — scripts still reference (smoke-test risk)",TRUE,"Review"),OR($A839="thg-influencer",$A839="thg-ingenuity",$A839="thg-central-marketing",$A839="thg-seoclarity"),"HOLD — Charlie Stringer to review before deletion",TRUE,"")</f>
        <v>HOLD — Charlie Stringer to review before deletion</v>
      </c>
      <c r="S839" t="s">
        <v>1624</v>
      </c>
    </row>
    <row r="840" spans="1:19" hidden="1">
      <c r="A840" t="s">
        <v>38</v>
      </c>
      <c r="B840" t="s">
        <v>1619</v>
      </c>
      <c r="C840" t="s">
        <v>3379</v>
      </c>
      <c r="D840" s="2" t="s">
        <v>1621</v>
      </c>
      <c r="E840">
        <v>890.2</v>
      </c>
      <c r="F840">
        <v>17.8</v>
      </c>
      <c r="G840" t="s">
        <v>3366</v>
      </c>
      <c r="H840" t="s">
        <v>3328</v>
      </c>
      <c r="I840">
        <v>488</v>
      </c>
      <c r="J840">
        <v>488</v>
      </c>
      <c r="M840" s="2" t="s">
        <v>1715</v>
      </c>
      <c r="N840" s="2" t="s">
        <v>1701</v>
      </c>
      <c r="O840" s="5">
        <v>45709.426246180563</v>
      </c>
      <c r="P840" t="str">
        <f>IF($Q840="DELETE",IF($S840="CONFIRMED: NO MODS &gt; 1YR","CONFIRMED: NO MODS &gt; 1YR","DO NOT DELETE — not defensibly confirmed"),IF($Q840="HOLD","DO NOT DELETE — HOLD (Charlie review)",IF($Q840="KEEP","DO NOT DELETE — KEEP",IF(ISNUMBER(SEARCH("REVIEW",$Q840)),"DO NOT DELETE — REVIEW pending",$S840))))</f>
        <v>DO NOT DELETE — HOLD (Charlie review)</v>
      </c>
      <c r="Q840" t="str" cm="1">
        <f t="array" ref="Q840">_xlfn.IFS(AND($A840="thg-beauty",ISNUMBER(SEARCH("liveramp",$C840))),"DELETE",$A840="agile-bonbon-662",_xlfn.IFS(LEFT($G840,9)="Tranche 1","DELETE",$C840="Sessions_Level_1_All_Sites","KEEP",ISNUMBER(--$C840),"REVIEW — UA raw logs",$C840="Emag_Reporting","KEEP",$C840="Nutrition_Data_Archived_Tables","KEEP",$C840="EU_Data","KEEP",TRUE,"REVIEW"),OR($A840="thg-influencer",$A840="thg-ingenuity",$A840="thg-central-marketing",$A840="thg-seoclarity"),"HOLD",TRUE,"")</f>
        <v>HOLD</v>
      </c>
      <c r="R840" t="str" cm="1">
        <f t="array" ref="R840">_xlfn.IFS(AND($A840="thg-beauty",ISNUMBER(SEARCH("liveramp",$C840))),"thg-beauty Liveramp dataset — confirmed safe to delete",$A840="agile-bonbon-662",_xlfn.IFS(LEFT($G840,9)="Tranche 1","Tranche 1: cleared",$C840="Sessions_Level_1_All_Sites","Downstream aggregation of UA raw logs — keep if raw tables go",ISNUMBER(--$C840),"UA raw site logs (account ID) — keep pending audit-retention check",$C840="Emag_Reporting","Legacy but likely needed",$C840="Nutrition_Data_Archived_Tables","Worth keeping",$C840="EU_Data","Static lookup tables — scripts still reference (smoke-test risk)",TRUE,"Review"),OR($A840="thg-influencer",$A840="thg-ingenuity",$A840="thg-central-marketing",$A840="thg-seoclarity"),"HOLD — Charlie Stringer to review before deletion",TRUE,"")</f>
        <v>HOLD — Charlie Stringer to review before deletion</v>
      </c>
      <c r="S840" t="s">
        <v>1624</v>
      </c>
    </row>
    <row r="841" spans="1:19" hidden="1">
      <c r="A841" t="s">
        <v>38</v>
      </c>
      <c r="B841" t="s">
        <v>1619</v>
      </c>
      <c r="C841" t="s">
        <v>3380</v>
      </c>
      <c r="D841" s="2" t="s">
        <v>1621</v>
      </c>
      <c r="E841">
        <v>462.53</v>
      </c>
      <c r="F841">
        <v>9.25</v>
      </c>
      <c r="G841" t="s">
        <v>3366</v>
      </c>
      <c r="H841" t="s">
        <v>3328</v>
      </c>
      <c r="I841">
        <v>474</v>
      </c>
      <c r="J841">
        <v>474</v>
      </c>
      <c r="M841" s="2" t="s">
        <v>1715</v>
      </c>
      <c r="N841" s="2" t="s">
        <v>1701</v>
      </c>
      <c r="O841" s="5">
        <v>45723.370431747688</v>
      </c>
      <c r="P841" t="str">
        <f>IF($Q841="DELETE",IF($S841="CONFIRMED: NO MODS &gt; 1YR","CONFIRMED: NO MODS &gt; 1YR","DO NOT DELETE — not defensibly confirmed"),IF($Q841="HOLD","DO NOT DELETE — HOLD (Charlie review)",IF($Q841="KEEP","DO NOT DELETE — KEEP",IF(ISNUMBER(SEARCH("REVIEW",$Q841)),"DO NOT DELETE — REVIEW pending",$S841))))</f>
        <v>DO NOT DELETE — HOLD (Charlie review)</v>
      </c>
      <c r="Q841" t="str" cm="1">
        <f t="array" ref="Q841">_xlfn.IFS(AND($A841="thg-beauty",ISNUMBER(SEARCH("liveramp",$C841))),"DELETE",$A841="agile-bonbon-662",_xlfn.IFS(LEFT($G841,9)="Tranche 1","DELETE",$C841="Sessions_Level_1_All_Sites","KEEP",ISNUMBER(--$C841),"REVIEW — UA raw logs",$C841="Emag_Reporting","KEEP",$C841="Nutrition_Data_Archived_Tables","KEEP",$C841="EU_Data","KEEP",TRUE,"REVIEW"),OR($A841="thg-influencer",$A841="thg-ingenuity",$A841="thg-central-marketing",$A841="thg-seoclarity"),"HOLD",TRUE,"")</f>
        <v>HOLD</v>
      </c>
      <c r="R841" t="str" cm="1">
        <f t="array" ref="R841">_xlfn.IFS(AND($A841="thg-beauty",ISNUMBER(SEARCH("liveramp",$C841))),"thg-beauty Liveramp dataset — confirmed safe to delete",$A841="agile-bonbon-662",_xlfn.IFS(LEFT($G841,9)="Tranche 1","Tranche 1: cleared",$C841="Sessions_Level_1_All_Sites","Downstream aggregation of UA raw logs — keep if raw tables go",ISNUMBER(--$C841),"UA raw site logs (account ID) — keep pending audit-retention check",$C841="Emag_Reporting","Legacy but likely needed",$C841="Nutrition_Data_Archived_Tables","Worth keeping",$C841="EU_Data","Static lookup tables — scripts still reference (smoke-test risk)",TRUE,"Review"),OR($A841="thg-influencer",$A841="thg-ingenuity",$A841="thg-central-marketing",$A841="thg-seoclarity"),"HOLD — Charlie Stringer to review before deletion",TRUE,"")</f>
        <v>HOLD — Charlie Stringer to review before deletion</v>
      </c>
      <c r="S841" t="s">
        <v>1624</v>
      </c>
    </row>
    <row r="842" spans="1:19" hidden="1">
      <c r="A842" t="s">
        <v>38</v>
      </c>
      <c r="B842" t="s">
        <v>1619</v>
      </c>
      <c r="C842" t="s">
        <v>3381</v>
      </c>
      <c r="D842" s="2" t="s">
        <v>1621</v>
      </c>
      <c r="E842">
        <v>676.79</v>
      </c>
      <c r="F842">
        <v>13.54</v>
      </c>
      <c r="G842" t="s">
        <v>3366</v>
      </c>
      <c r="H842" t="s">
        <v>3328</v>
      </c>
      <c r="I842">
        <v>470</v>
      </c>
      <c r="J842">
        <v>470</v>
      </c>
      <c r="M842" s="2" t="s">
        <v>1715</v>
      </c>
      <c r="N842" s="2" t="s">
        <v>1701</v>
      </c>
      <c r="O842" s="5">
        <v>45726.552570173611</v>
      </c>
      <c r="P842" t="str">
        <f>IF($Q842="DELETE",IF($S842="CONFIRMED: NO MODS &gt; 1YR","CONFIRMED: NO MODS &gt; 1YR","DO NOT DELETE — not defensibly confirmed"),IF($Q842="HOLD","DO NOT DELETE — HOLD (Charlie review)",IF($Q842="KEEP","DO NOT DELETE — KEEP",IF(ISNUMBER(SEARCH("REVIEW",$Q842)),"DO NOT DELETE — REVIEW pending",$S842))))</f>
        <v>DO NOT DELETE — HOLD (Charlie review)</v>
      </c>
      <c r="Q842" t="str" cm="1">
        <f t="array" ref="Q842">_xlfn.IFS(AND($A842="thg-beauty",ISNUMBER(SEARCH("liveramp",$C842))),"DELETE",$A842="agile-bonbon-662",_xlfn.IFS(LEFT($G842,9)="Tranche 1","DELETE",$C842="Sessions_Level_1_All_Sites","KEEP",ISNUMBER(--$C842),"REVIEW — UA raw logs",$C842="Emag_Reporting","KEEP",$C842="Nutrition_Data_Archived_Tables","KEEP",$C842="EU_Data","KEEP",TRUE,"REVIEW"),OR($A842="thg-influencer",$A842="thg-ingenuity",$A842="thg-central-marketing",$A842="thg-seoclarity"),"HOLD",TRUE,"")</f>
        <v>HOLD</v>
      </c>
      <c r="R842" t="str" cm="1">
        <f t="array" ref="R842">_xlfn.IFS(AND($A842="thg-beauty",ISNUMBER(SEARCH("liveramp",$C842))),"thg-beauty Liveramp dataset — confirmed safe to delete",$A842="agile-bonbon-662",_xlfn.IFS(LEFT($G842,9)="Tranche 1","Tranche 1: cleared",$C842="Sessions_Level_1_All_Sites","Downstream aggregation of UA raw logs — keep if raw tables go",ISNUMBER(--$C842),"UA raw site logs (account ID) — keep pending audit-retention check",$C842="Emag_Reporting","Legacy but likely needed",$C842="Nutrition_Data_Archived_Tables","Worth keeping",$C842="EU_Data","Static lookup tables — scripts still reference (smoke-test risk)",TRUE,"Review"),OR($A842="thg-influencer",$A842="thg-ingenuity",$A842="thg-central-marketing",$A842="thg-seoclarity"),"HOLD — Charlie Stringer to review before deletion",TRUE,"")</f>
        <v>HOLD — Charlie Stringer to review before deletion</v>
      </c>
      <c r="S842" t="s">
        <v>1624</v>
      </c>
    </row>
    <row r="843" spans="1:19" hidden="1">
      <c r="A843" t="s">
        <v>38</v>
      </c>
      <c r="B843" t="s">
        <v>1619</v>
      </c>
      <c r="C843" t="s">
        <v>3382</v>
      </c>
      <c r="D843" s="2" t="s">
        <v>1621</v>
      </c>
      <c r="E843">
        <v>123.65</v>
      </c>
      <c r="F843">
        <v>2.4700000000000002</v>
      </c>
      <c r="G843" t="s">
        <v>3366</v>
      </c>
      <c r="H843" t="s">
        <v>3328</v>
      </c>
      <c r="I843">
        <v>470</v>
      </c>
      <c r="J843">
        <v>470</v>
      </c>
      <c r="M843" s="2" t="s">
        <v>1715</v>
      </c>
      <c r="N843" s="2" t="s">
        <v>1701</v>
      </c>
      <c r="O843" s="5">
        <v>45726.492668449071</v>
      </c>
      <c r="P843" t="str">
        <f>IF($Q843="DELETE",IF($S843="CONFIRMED: NO MODS &gt; 1YR","CONFIRMED: NO MODS &gt; 1YR","DO NOT DELETE — not defensibly confirmed"),IF($Q843="HOLD","DO NOT DELETE — HOLD (Charlie review)",IF($Q843="KEEP","DO NOT DELETE — KEEP",IF(ISNUMBER(SEARCH("REVIEW",$Q843)),"DO NOT DELETE — REVIEW pending",$S843))))</f>
        <v>DO NOT DELETE — HOLD (Charlie review)</v>
      </c>
      <c r="Q843" t="str" cm="1">
        <f t="array" ref="Q843">_xlfn.IFS(AND($A843="thg-beauty",ISNUMBER(SEARCH("liveramp",$C843))),"DELETE",$A843="agile-bonbon-662",_xlfn.IFS(LEFT($G843,9)="Tranche 1","DELETE",$C843="Sessions_Level_1_All_Sites","KEEP",ISNUMBER(--$C843),"REVIEW — UA raw logs",$C843="Emag_Reporting","KEEP",$C843="Nutrition_Data_Archived_Tables","KEEP",$C843="EU_Data","KEEP",TRUE,"REVIEW"),OR($A843="thg-influencer",$A843="thg-ingenuity",$A843="thg-central-marketing",$A843="thg-seoclarity"),"HOLD",TRUE,"")</f>
        <v>HOLD</v>
      </c>
      <c r="R843" t="str" cm="1">
        <f t="array" ref="R843">_xlfn.IFS(AND($A843="thg-beauty",ISNUMBER(SEARCH("liveramp",$C843))),"thg-beauty Liveramp dataset — confirmed safe to delete",$A843="agile-bonbon-662",_xlfn.IFS(LEFT($G843,9)="Tranche 1","Tranche 1: cleared",$C843="Sessions_Level_1_All_Sites","Downstream aggregation of UA raw logs — keep if raw tables go",ISNUMBER(--$C843),"UA raw site logs (account ID) — keep pending audit-retention check",$C843="Emag_Reporting","Legacy but likely needed",$C843="Nutrition_Data_Archived_Tables","Worth keeping",$C843="EU_Data","Static lookup tables — scripts still reference (smoke-test risk)",TRUE,"Review"),OR($A843="thg-influencer",$A843="thg-ingenuity",$A843="thg-central-marketing",$A843="thg-seoclarity"),"HOLD — Charlie Stringer to review before deletion",TRUE,"")</f>
        <v>HOLD — Charlie Stringer to review before deletion</v>
      </c>
      <c r="S843" t="s">
        <v>1624</v>
      </c>
    </row>
    <row r="844" spans="1:19" hidden="1">
      <c r="A844" t="s">
        <v>38</v>
      </c>
      <c r="B844" t="s">
        <v>1619</v>
      </c>
      <c r="C844" t="s">
        <v>3383</v>
      </c>
      <c r="D844" s="2" t="s">
        <v>1621</v>
      </c>
      <c r="E844">
        <v>520.76</v>
      </c>
      <c r="F844">
        <v>10.42</v>
      </c>
      <c r="G844" t="s">
        <v>3366</v>
      </c>
      <c r="H844" t="s">
        <v>3328</v>
      </c>
      <c r="I844">
        <v>468</v>
      </c>
      <c r="J844">
        <v>468</v>
      </c>
      <c r="M844" s="2" t="s">
        <v>1715</v>
      </c>
      <c r="N844" s="2" t="s">
        <v>1701</v>
      </c>
      <c r="O844" s="5">
        <v>45729.408564201389</v>
      </c>
      <c r="P844" t="str">
        <f>IF($Q844="DELETE",IF($S844="CONFIRMED: NO MODS &gt; 1YR","CONFIRMED: NO MODS &gt; 1YR","DO NOT DELETE — not defensibly confirmed"),IF($Q844="HOLD","DO NOT DELETE — HOLD (Charlie review)",IF($Q844="KEEP","DO NOT DELETE — KEEP",IF(ISNUMBER(SEARCH("REVIEW",$Q844)),"DO NOT DELETE — REVIEW pending",$S844))))</f>
        <v>DO NOT DELETE — HOLD (Charlie review)</v>
      </c>
      <c r="Q844" t="str" cm="1">
        <f t="array" ref="Q844">_xlfn.IFS(AND($A844="thg-beauty",ISNUMBER(SEARCH("liveramp",$C844))),"DELETE",$A844="agile-bonbon-662",_xlfn.IFS(LEFT($G844,9)="Tranche 1","DELETE",$C844="Sessions_Level_1_All_Sites","KEEP",ISNUMBER(--$C844),"REVIEW — UA raw logs",$C844="Emag_Reporting","KEEP",$C844="Nutrition_Data_Archived_Tables","KEEP",$C844="EU_Data","KEEP",TRUE,"REVIEW"),OR($A844="thg-influencer",$A844="thg-ingenuity",$A844="thg-central-marketing",$A844="thg-seoclarity"),"HOLD",TRUE,"")</f>
        <v>HOLD</v>
      </c>
      <c r="R844" t="str" cm="1">
        <f t="array" ref="R844">_xlfn.IFS(AND($A844="thg-beauty",ISNUMBER(SEARCH("liveramp",$C844))),"thg-beauty Liveramp dataset — confirmed safe to delete",$A844="agile-bonbon-662",_xlfn.IFS(LEFT($G844,9)="Tranche 1","Tranche 1: cleared",$C844="Sessions_Level_1_All_Sites","Downstream aggregation of UA raw logs — keep if raw tables go",ISNUMBER(--$C844),"UA raw site logs (account ID) — keep pending audit-retention check",$C844="Emag_Reporting","Legacy but likely needed",$C844="Nutrition_Data_Archived_Tables","Worth keeping",$C844="EU_Data","Static lookup tables — scripts still reference (smoke-test risk)",TRUE,"Review"),OR($A844="thg-influencer",$A844="thg-ingenuity",$A844="thg-central-marketing",$A844="thg-seoclarity"),"HOLD — Charlie Stringer to review before deletion",TRUE,"")</f>
        <v>HOLD — Charlie Stringer to review before deletion</v>
      </c>
      <c r="S844" t="s">
        <v>1624</v>
      </c>
    </row>
    <row r="845" spans="1:19" hidden="1">
      <c r="A845" t="s">
        <v>38</v>
      </c>
      <c r="B845" t="s">
        <v>1619</v>
      </c>
      <c r="C845" t="s">
        <v>3384</v>
      </c>
      <c r="D845" s="2" t="s">
        <v>1621</v>
      </c>
      <c r="E845">
        <v>182.98</v>
      </c>
      <c r="F845">
        <v>3.66</v>
      </c>
      <c r="G845" t="s">
        <v>3366</v>
      </c>
      <c r="H845" t="s">
        <v>3328</v>
      </c>
      <c r="I845">
        <v>468</v>
      </c>
      <c r="J845">
        <v>468</v>
      </c>
      <c r="M845" s="2" t="s">
        <v>1715</v>
      </c>
      <c r="N845" s="2" t="s">
        <v>1701</v>
      </c>
      <c r="O845" s="5">
        <v>45729.415739953707</v>
      </c>
      <c r="P845" t="str">
        <f>IF($Q845="DELETE",IF($S845="CONFIRMED: NO MODS &gt; 1YR","CONFIRMED: NO MODS &gt; 1YR","DO NOT DELETE — not defensibly confirmed"),IF($Q845="HOLD","DO NOT DELETE — HOLD (Charlie review)",IF($Q845="KEEP","DO NOT DELETE — KEEP",IF(ISNUMBER(SEARCH("REVIEW",$Q845)),"DO NOT DELETE — REVIEW pending",$S845))))</f>
        <v>DO NOT DELETE — HOLD (Charlie review)</v>
      </c>
      <c r="Q845" t="str" cm="1">
        <f t="array" ref="Q845">_xlfn.IFS(AND($A845="thg-beauty",ISNUMBER(SEARCH("liveramp",$C845))),"DELETE",$A845="agile-bonbon-662",_xlfn.IFS(LEFT($G845,9)="Tranche 1","DELETE",$C845="Sessions_Level_1_All_Sites","KEEP",ISNUMBER(--$C845),"REVIEW — UA raw logs",$C845="Emag_Reporting","KEEP",$C845="Nutrition_Data_Archived_Tables","KEEP",$C845="EU_Data","KEEP",TRUE,"REVIEW"),OR($A845="thg-influencer",$A845="thg-ingenuity",$A845="thg-central-marketing",$A845="thg-seoclarity"),"HOLD",TRUE,"")</f>
        <v>HOLD</v>
      </c>
      <c r="R845" t="str" cm="1">
        <f t="array" ref="R845">_xlfn.IFS(AND($A845="thg-beauty",ISNUMBER(SEARCH("liveramp",$C845))),"thg-beauty Liveramp dataset — confirmed safe to delete",$A845="agile-bonbon-662",_xlfn.IFS(LEFT($G845,9)="Tranche 1","Tranche 1: cleared",$C845="Sessions_Level_1_All_Sites","Downstream aggregation of UA raw logs — keep if raw tables go",ISNUMBER(--$C845),"UA raw site logs (account ID) — keep pending audit-retention check",$C845="Emag_Reporting","Legacy but likely needed",$C845="Nutrition_Data_Archived_Tables","Worth keeping",$C845="EU_Data","Static lookup tables — scripts still reference (smoke-test risk)",TRUE,"Review"),OR($A845="thg-influencer",$A845="thg-ingenuity",$A845="thg-central-marketing",$A845="thg-seoclarity"),"HOLD — Charlie Stringer to review before deletion",TRUE,"")</f>
        <v>HOLD — Charlie Stringer to review before deletion</v>
      </c>
      <c r="S845" t="s">
        <v>1624</v>
      </c>
    </row>
    <row r="846" spans="1:19" hidden="1">
      <c r="A846" t="s">
        <v>38</v>
      </c>
      <c r="B846" t="s">
        <v>1619</v>
      </c>
      <c r="C846" t="s">
        <v>3385</v>
      </c>
      <c r="D846" s="2" t="s">
        <v>1621</v>
      </c>
      <c r="E846">
        <v>148.93</v>
      </c>
      <c r="F846">
        <v>2.98</v>
      </c>
      <c r="G846" t="s">
        <v>3366</v>
      </c>
      <c r="H846" t="s">
        <v>3328</v>
      </c>
      <c r="I846">
        <v>468</v>
      </c>
      <c r="J846">
        <v>468</v>
      </c>
      <c r="M846" s="2" t="s">
        <v>1715</v>
      </c>
      <c r="N846" s="2" t="s">
        <v>1701</v>
      </c>
      <c r="O846" s="5">
        <v>45729.450738587962</v>
      </c>
      <c r="P846" t="str">
        <f>IF($Q846="DELETE",IF($S846="CONFIRMED: NO MODS &gt; 1YR","CONFIRMED: NO MODS &gt; 1YR","DO NOT DELETE — not defensibly confirmed"),IF($Q846="HOLD","DO NOT DELETE — HOLD (Charlie review)",IF($Q846="KEEP","DO NOT DELETE — KEEP",IF(ISNUMBER(SEARCH("REVIEW",$Q846)),"DO NOT DELETE — REVIEW pending",$S846))))</f>
        <v>DO NOT DELETE — HOLD (Charlie review)</v>
      </c>
      <c r="Q846" t="str" cm="1">
        <f t="array" ref="Q846">_xlfn.IFS(AND($A846="thg-beauty",ISNUMBER(SEARCH("liveramp",$C846))),"DELETE",$A846="agile-bonbon-662",_xlfn.IFS(LEFT($G846,9)="Tranche 1","DELETE",$C846="Sessions_Level_1_All_Sites","KEEP",ISNUMBER(--$C846),"REVIEW — UA raw logs",$C846="Emag_Reporting","KEEP",$C846="Nutrition_Data_Archived_Tables","KEEP",$C846="EU_Data","KEEP",TRUE,"REVIEW"),OR($A846="thg-influencer",$A846="thg-ingenuity",$A846="thg-central-marketing",$A846="thg-seoclarity"),"HOLD",TRUE,"")</f>
        <v>HOLD</v>
      </c>
      <c r="R846" t="str" cm="1">
        <f t="array" ref="R846">_xlfn.IFS(AND($A846="thg-beauty",ISNUMBER(SEARCH("liveramp",$C846))),"thg-beauty Liveramp dataset — confirmed safe to delete",$A846="agile-bonbon-662",_xlfn.IFS(LEFT($G846,9)="Tranche 1","Tranche 1: cleared",$C846="Sessions_Level_1_All_Sites","Downstream aggregation of UA raw logs — keep if raw tables go",ISNUMBER(--$C846),"UA raw site logs (account ID) — keep pending audit-retention check",$C846="Emag_Reporting","Legacy but likely needed",$C846="Nutrition_Data_Archived_Tables","Worth keeping",$C846="EU_Data","Static lookup tables — scripts still reference (smoke-test risk)",TRUE,"Review"),OR($A846="thg-influencer",$A846="thg-ingenuity",$A846="thg-central-marketing",$A846="thg-seoclarity"),"HOLD — Charlie Stringer to review before deletion",TRUE,"")</f>
        <v>HOLD — Charlie Stringer to review before deletion</v>
      </c>
      <c r="S846" t="s">
        <v>1624</v>
      </c>
    </row>
    <row r="847" spans="1:19" hidden="1">
      <c r="A847" t="s">
        <v>38</v>
      </c>
      <c r="B847" t="s">
        <v>1619</v>
      </c>
      <c r="C847" t="s">
        <v>3386</v>
      </c>
      <c r="D847" s="2" t="s">
        <v>1621</v>
      </c>
      <c r="E847">
        <v>191</v>
      </c>
      <c r="F847">
        <v>3.82</v>
      </c>
      <c r="G847" t="s">
        <v>3366</v>
      </c>
      <c r="H847" t="s">
        <v>3328</v>
      </c>
      <c r="I847">
        <v>467</v>
      </c>
      <c r="J847">
        <v>467</v>
      </c>
      <c r="M847" s="2" t="s">
        <v>1715</v>
      </c>
      <c r="N847" s="2" t="s">
        <v>1701</v>
      </c>
      <c r="O847" s="5">
        <v>45729.79261271991</v>
      </c>
      <c r="P847" t="str">
        <f>IF($Q847="DELETE",IF($S847="CONFIRMED: NO MODS &gt; 1YR","CONFIRMED: NO MODS &gt; 1YR","DO NOT DELETE — not defensibly confirmed"),IF($Q847="HOLD","DO NOT DELETE — HOLD (Charlie review)",IF($Q847="KEEP","DO NOT DELETE — KEEP",IF(ISNUMBER(SEARCH("REVIEW",$Q847)),"DO NOT DELETE — REVIEW pending",$S847))))</f>
        <v>DO NOT DELETE — HOLD (Charlie review)</v>
      </c>
      <c r="Q847" t="str" cm="1">
        <f t="array" ref="Q847">_xlfn.IFS(AND($A847="thg-beauty",ISNUMBER(SEARCH("liveramp",$C847))),"DELETE",$A847="agile-bonbon-662",_xlfn.IFS(LEFT($G847,9)="Tranche 1","DELETE",$C847="Sessions_Level_1_All_Sites","KEEP",ISNUMBER(--$C847),"REVIEW — UA raw logs",$C847="Emag_Reporting","KEEP",$C847="Nutrition_Data_Archived_Tables","KEEP",$C847="EU_Data","KEEP",TRUE,"REVIEW"),OR($A847="thg-influencer",$A847="thg-ingenuity",$A847="thg-central-marketing",$A847="thg-seoclarity"),"HOLD",TRUE,"")</f>
        <v>HOLD</v>
      </c>
      <c r="R847" t="str" cm="1">
        <f t="array" ref="R847">_xlfn.IFS(AND($A847="thg-beauty",ISNUMBER(SEARCH("liveramp",$C847))),"thg-beauty Liveramp dataset — confirmed safe to delete",$A847="agile-bonbon-662",_xlfn.IFS(LEFT($G847,9)="Tranche 1","Tranche 1: cleared",$C847="Sessions_Level_1_All_Sites","Downstream aggregation of UA raw logs — keep if raw tables go",ISNUMBER(--$C847),"UA raw site logs (account ID) — keep pending audit-retention check",$C847="Emag_Reporting","Legacy but likely needed",$C847="Nutrition_Data_Archived_Tables","Worth keeping",$C847="EU_Data","Static lookup tables — scripts still reference (smoke-test risk)",TRUE,"Review"),OR($A847="thg-influencer",$A847="thg-ingenuity",$A847="thg-central-marketing",$A847="thg-seoclarity"),"HOLD — Charlie Stringer to review before deletion",TRUE,"")</f>
        <v>HOLD — Charlie Stringer to review before deletion</v>
      </c>
      <c r="S847" t="s">
        <v>1624</v>
      </c>
    </row>
    <row r="848" spans="1:19" ht="76.5" hidden="1">
      <c r="A848" t="s">
        <v>39</v>
      </c>
      <c r="B848" t="s">
        <v>1619</v>
      </c>
      <c r="C848" t="s">
        <v>754</v>
      </c>
      <c r="D848" s="2" t="s">
        <v>1621</v>
      </c>
      <c r="E848">
        <v>116.68</v>
      </c>
      <c r="F848">
        <v>2.33</v>
      </c>
      <c r="G848" t="s">
        <v>3366</v>
      </c>
      <c r="H848" t="s">
        <v>3328</v>
      </c>
      <c r="I848">
        <v>169</v>
      </c>
      <c r="J848">
        <v>628</v>
      </c>
      <c r="K848" s="5">
        <v>46027.531621655093</v>
      </c>
      <c r="M848" s="2" t="s">
        <v>2431</v>
      </c>
      <c r="N848" s="2" t="s">
        <v>1701</v>
      </c>
      <c r="O848" s="5">
        <v>45568.701347141206</v>
      </c>
      <c r="P848" t="str">
        <f>IF($Q848="DELETE",IF($S848="CONFIRMED: NO MODS &gt; 1YR","CONFIRMED: NO MODS &gt; 1YR","DO NOT DELETE — not defensibly confirmed"),IF($Q848="HOLD","DO NOT DELETE — HOLD (Charlie review)",IF($Q848="KEEP","DO NOT DELETE — KEEP",IF(ISNUMBER(SEARCH("REVIEW",$Q848)),"DO NOT DELETE — REVIEW pending",$S848))))</f>
        <v>DO NOT DELETE — HOLD (Charlie review)</v>
      </c>
      <c r="Q848" t="str" cm="1">
        <f t="array" ref="Q848">_xlfn.IFS(AND($A848="thg-beauty",ISNUMBER(SEARCH("liveramp",$C848))),"DELETE",$A848="agile-bonbon-662",_xlfn.IFS(LEFT($G848,9)="Tranche 1","DELETE",$C848="Sessions_Level_1_All_Sites","KEEP",ISNUMBER(--$C848),"REVIEW — UA raw logs",$C848="Emag_Reporting","KEEP",$C848="Nutrition_Data_Archived_Tables","KEEP",$C848="EU_Data","KEEP",TRUE,"REVIEW"),OR($A848="thg-influencer",$A848="thg-ingenuity",$A848="thg-central-marketing",$A848="thg-seoclarity"),"HOLD",TRUE,"")</f>
        <v>HOLD</v>
      </c>
      <c r="R848" t="str" cm="1">
        <f t="array" ref="R848">_xlfn.IFS(AND($A848="thg-beauty",ISNUMBER(SEARCH("liveramp",$C848))),"thg-beauty Liveramp dataset — confirmed safe to delete",$A848="agile-bonbon-662",_xlfn.IFS(LEFT($G848,9)="Tranche 1","Tranche 1: cleared",$C848="Sessions_Level_1_All_Sites","Downstream aggregation of UA raw logs — keep if raw tables go",ISNUMBER(--$C848),"UA raw site logs (account ID) — keep pending audit-retention check",$C848="Emag_Reporting","Legacy but likely needed",$C848="Nutrition_Data_Archived_Tables","Worth keeping",$C848="EU_Data","Static lookup tables — scripts still reference (smoke-test risk)",TRUE,"Review"),OR($A848="thg-influencer",$A848="thg-ingenuity",$A848="thg-central-marketing",$A848="thg-seoclarity"),"HOLD — Charlie Stringer to review before deletion",TRUE,"")</f>
        <v>HOLD — Charlie Stringer to review before deletion</v>
      </c>
      <c r="S848" t="s">
        <v>1624</v>
      </c>
    </row>
    <row r="849" spans="1:19" ht="76.5" hidden="1">
      <c r="A849" t="s">
        <v>38</v>
      </c>
      <c r="B849" t="s">
        <v>1619</v>
      </c>
      <c r="C849" t="s">
        <v>3387</v>
      </c>
      <c r="D849" s="2" t="s">
        <v>1621</v>
      </c>
      <c r="E849">
        <v>1610.69</v>
      </c>
      <c r="F849">
        <v>32.21</v>
      </c>
      <c r="G849" t="s">
        <v>3366</v>
      </c>
      <c r="H849" t="s">
        <v>3328</v>
      </c>
      <c r="I849">
        <v>3</v>
      </c>
      <c r="J849">
        <v>674</v>
      </c>
      <c r="K849" s="5">
        <v>46194.298071203702</v>
      </c>
      <c r="M849" s="2" t="s">
        <v>3388</v>
      </c>
      <c r="N849" s="2" t="s">
        <v>1701</v>
      </c>
      <c r="O849" s="5">
        <v>45523.250078287027</v>
      </c>
      <c r="P849" t="str">
        <f>IF($Q849="DELETE",IF($S849="CONFIRMED: NO MODS &gt; 1YR","CONFIRMED: NO MODS &gt; 1YR","DO NOT DELETE — not defensibly confirmed"),IF($Q849="HOLD","DO NOT DELETE — HOLD (Charlie review)",IF($Q849="KEEP","DO NOT DELETE — KEEP",IF(ISNUMBER(SEARCH("REVIEW",$Q849)),"DO NOT DELETE — REVIEW pending",$S849))))</f>
        <v>DO NOT DELETE — HOLD (Charlie review)</v>
      </c>
      <c r="Q849" t="str" cm="1">
        <f t="array" ref="Q849">_xlfn.IFS(AND($A849="thg-beauty",ISNUMBER(SEARCH("liveramp",$C849))),"DELETE",$A849="agile-bonbon-662",_xlfn.IFS(LEFT($G849,9)="Tranche 1","DELETE",$C849="Sessions_Level_1_All_Sites","KEEP",ISNUMBER(--$C849),"REVIEW — UA raw logs",$C849="Emag_Reporting","KEEP",$C849="Nutrition_Data_Archived_Tables","KEEP",$C849="EU_Data","KEEP",TRUE,"REVIEW"),OR($A849="thg-influencer",$A849="thg-ingenuity",$A849="thg-central-marketing",$A849="thg-seoclarity"),"HOLD",TRUE,"")</f>
        <v>HOLD</v>
      </c>
      <c r="R849" t="str" cm="1">
        <f t="array" ref="R849">_xlfn.IFS(AND($A849="thg-beauty",ISNUMBER(SEARCH("liveramp",$C849))),"thg-beauty Liveramp dataset — confirmed safe to delete",$A849="agile-bonbon-662",_xlfn.IFS(LEFT($G849,9)="Tranche 1","Tranche 1: cleared",$C849="Sessions_Level_1_All_Sites","Downstream aggregation of UA raw logs — keep if raw tables go",ISNUMBER(--$C849),"UA raw site logs (account ID) — keep pending audit-retention check",$C849="Emag_Reporting","Legacy but likely needed",$C849="Nutrition_Data_Archived_Tables","Worth keeping",$C849="EU_Data","Static lookup tables — scripts still reference (smoke-test risk)",TRUE,"Review"),OR($A849="thg-influencer",$A849="thg-ingenuity",$A849="thg-central-marketing",$A849="thg-seoclarity"),"HOLD — Charlie Stringer to review before deletion",TRUE,"")</f>
        <v>HOLD — Charlie Stringer to review before deletion</v>
      </c>
      <c r="S849" t="s">
        <v>1624</v>
      </c>
    </row>
    <row r="850" spans="1:19" hidden="1">
      <c r="A850" t="s">
        <v>95</v>
      </c>
      <c r="B850" t="s">
        <v>1619</v>
      </c>
      <c r="C850" t="s">
        <v>3389</v>
      </c>
      <c r="D850" s="2" t="s">
        <v>1621</v>
      </c>
      <c r="E850">
        <v>1085.4000000000001</v>
      </c>
      <c r="F850">
        <v>21.71</v>
      </c>
      <c r="G850" t="s">
        <v>63</v>
      </c>
      <c r="H850" t="s">
        <v>3328</v>
      </c>
      <c r="I850">
        <v>1215</v>
      </c>
      <c r="J850">
        <v>1215</v>
      </c>
      <c r="M850" s="2" t="s">
        <v>1715</v>
      </c>
      <c r="N850" s="2" t="s">
        <v>1701</v>
      </c>
      <c r="O850" s="5">
        <v>44981.593657534722</v>
      </c>
      <c r="P850" t="str">
        <f>IF($Q850="DELETE",IF($S850="CONFIRMED: NO MODS &gt; 1YR","CONFIRMED: NO MODS &gt; 1YR","DO NOT DELETE — not defensibly confirmed"),IF($Q850="HOLD","DO NOT DELETE — HOLD (Charlie review)",IF($Q850="KEEP","DO NOT DELETE — KEEP",IF(ISNUMBER(SEARCH("REVIEW",$Q850)),"DO NOT DELETE — REVIEW pending",$S850))))</f>
        <v>CONFIRMED: NO MODS &gt; 1YR</v>
      </c>
      <c r="Q850" t="str" cm="1">
        <f t="array" ref="Q850">_xlfn.IFS(AND($A850="thg-beauty",ISNUMBER(SEARCH("liveramp",$C850))),"DELETE",$A850="agile-bonbon-662",_xlfn.IFS(LEFT($G850,9)="Tranche 1","DELETE",$C850="Sessions_Level_1_All_Sites","KEEP",ISNUMBER(--$C850),"REVIEW — UA raw logs",$C850="Emag_Reporting","KEEP",$C850="Nutrition_Data_Archived_Tables","KEEP",$C850="EU_Data","KEEP",TRUE,"REVIEW"),OR($A850="thg-influencer",$A850="thg-ingenuity",$A850="thg-central-marketing",$A850="thg-seoclarity"),"HOLD",TRUE,"")</f>
        <v/>
      </c>
      <c r="R850" t="str" cm="1">
        <f t="array" ref="R850">_xlfn.IFS(AND($A850="thg-beauty",ISNUMBER(SEARCH("liveramp",$C850))),"thg-beauty Liveramp dataset — confirmed safe to delete",$A850="agile-bonbon-662",_xlfn.IFS(LEFT($G850,9)="Tranche 1","Tranche 1: cleared",$C850="Sessions_Level_1_All_Sites","Downstream aggregation of UA raw logs — keep if raw tables go",ISNUMBER(--$C850),"UA raw site logs (account ID) — keep pending audit-retention check",$C850="Emag_Reporting","Legacy but likely needed",$C850="Nutrition_Data_Archived_Tables","Worth keeping",$C850="EU_Data","Static lookup tables — scripts still reference (smoke-test risk)",TRUE,"Review"),OR($A850="thg-influencer",$A850="thg-ingenuity",$A850="thg-central-marketing",$A850="thg-seoclarity"),"HOLD — Charlie Stringer to review before deletion",TRUE,"")</f>
        <v/>
      </c>
      <c r="S850" t="s">
        <v>1624</v>
      </c>
    </row>
    <row r="851" spans="1:19" hidden="1">
      <c r="A851" t="s">
        <v>92</v>
      </c>
      <c r="B851" t="s">
        <v>1619</v>
      </c>
      <c r="C851" t="s">
        <v>3390</v>
      </c>
      <c r="D851" s="2" t="s">
        <v>1621</v>
      </c>
      <c r="E851">
        <v>759.14</v>
      </c>
      <c r="F851">
        <v>15.18</v>
      </c>
      <c r="G851" t="s">
        <v>63</v>
      </c>
      <c r="H851" t="s">
        <v>3328</v>
      </c>
      <c r="I851">
        <v>504</v>
      </c>
      <c r="J851">
        <v>504</v>
      </c>
      <c r="M851" s="2" t="s">
        <v>1715</v>
      </c>
      <c r="N851" s="2" t="s">
        <v>1701</v>
      </c>
      <c r="O851" s="5">
        <v>45692.483028564813</v>
      </c>
      <c r="P851" t="str">
        <f>IF($Q851="DELETE",IF($S851="CONFIRMED: NO MODS &gt; 1YR","CONFIRMED: NO MODS &gt; 1YR","DO NOT DELETE — not defensibly confirmed"),IF($Q851="HOLD","DO NOT DELETE — HOLD (Charlie review)",IF($Q851="KEEP","DO NOT DELETE — KEEP",IF(ISNUMBER(SEARCH("REVIEW",$Q851)),"DO NOT DELETE — REVIEW pending",$S851))))</f>
        <v>CONFIRMED: NO MODS &gt; 1YR</v>
      </c>
      <c r="Q851" t="str" cm="1">
        <f t="array" ref="Q851">_xlfn.IFS(AND($A851="thg-beauty",ISNUMBER(SEARCH("liveramp",$C851))),"DELETE",$A851="agile-bonbon-662",_xlfn.IFS(LEFT($G851,9)="Tranche 1","DELETE",$C851="Sessions_Level_1_All_Sites","KEEP",ISNUMBER(--$C851),"REVIEW — UA raw logs",$C851="Emag_Reporting","KEEP",$C851="Nutrition_Data_Archived_Tables","KEEP",$C851="EU_Data","KEEP",TRUE,"REVIEW"),OR($A851="thg-influencer",$A851="thg-ingenuity",$A851="thg-central-marketing",$A851="thg-seoclarity"),"HOLD",TRUE,"")</f>
        <v/>
      </c>
      <c r="R851" t="str" cm="1">
        <f t="array" ref="R851">_xlfn.IFS(AND($A851="thg-beauty",ISNUMBER(SEARCH("liveramp",$C851))),"thg-beauty Liveramp dataset — confirmed safe to delete",$A851="agile-bonbon-662",_xlfn.IFS(LEFT($G851,9)="Tranche 1","Tranche 1: cleared",$C851="Sessions_Level_1_All_Sites","Downstream aggregation of UA raw logs — keep if raw tables go",ISNUMBER(--$C851),"UA raw site logs (account ID) — keep pending audit-retention check",$C851="Emag_Reporting","Legacy but likely needed",$C851="Nutrition_Data_Archived_Tables","Worth keeping",$C851="EU_Data","Static lookup tables — scripts still reference (smoke-test risk)",TRUE,"Review"),OR($A851="thg-influencer",$A851="thg-ingenuity",$A851="thg-central-marketing",$A851="thg-seoclarity"),"HOLD — Charlie Stringer to review before deletion",TRUE,"")</f>
        <v/>
      </c>
      <c r="S851" t="s">
        <v>1624</v>
      </c>
    </row>
    <row r="852" spans="1:19" hidden="1">
      <c r="A852" t="s">
        <v>93</v>
      </c>
      <c r="B852" t="s">
        <v>1619</v>
      </c>
      <c r="C852" t="s">
        <v>3391</v>
      </c>
      <c r="E852">
        <v>1197.82</v>
      </c>
      <c r="F852">
        <v>23.96</v>
      </c>
      <c r="G852" t="s">
        <v>63</v>
      </c>
      <c r="H852" t="s">
        <v>3328</v>
      </c>
      <c r="I852">
        <v>487</v>
      </c>
      <c r="J852">
        <v>487</v>
      </c>
      <c r="M852" s="2" t="s">
        <v>1715</v>
      </c>
      <c r="N852" s="2" t="s">
        <v>1701</v>
      </c>
      <c r="O852" s="5">
        <v>45709.654716712961</v>
      </c>
      <c r="P852" t="str">
        <f>IF($Q852="DELETE",IF($S852="CONFIRMED: NO MODS &gt; 1YR","CONFIRMED: NO MODS &gt; 1YR","DO NOT DELETE — not defensibly confirmed"),IF($Q852="HOLD","DO NOT DELETE — HOLD (Charlie review)",IF($Q852="KEEP","DO NOT DELETE — KEEP",IF(ISNUMBER(SEARCH("REVIEW",$Q852)),"DO NOT DELETE — REVIEW pending",$S852))))</f>
        <v>CONFIRMED: NO MODS &gt; 1YR</v>
      </c>
      <c r="Q852" t="str" cm="1">
        <f t="array" ref="Q852">_xlfn.IFS(AND($A852="thg-beauty",ISNUMBER(SEARCH("liveramp",$C852))),"DELETE",$A852="agile-bonbon-662",_xlfn.IFS(LEFT($G852,9)="Tranche 1","DELETE",$C852="Sessions_Level_1_All_Sites","KEEP",ISNUMBER(--$C852),"REVIEW — UA raw logs",$C852="Emag_Reporting","KEEP",$C852="Nutrition_Data_Archived_Tables","KEEP",$C852="EU_Data","KEEP",TRUE,"REVIEW"),OR($A852="thg-influencer",$A852="thg-ingenuity",$A852="thg-central-marketing",$A852="thg-seoclarity"),"HOLD",TRUE,"")</f>
        <v/>
      </c>
      <c r="R852" t="str" cm="1">
        <f t="array" ref="R852">_xlfn.IFS(AND($A852="thg-beauty",ISNUMBER(SEARCH("liveramp",$C852))),"thg-beauty Liveramp dataset — confirmed safe to delete",$A852="agile-bonbon-662",_xlfn.IFS(LEFT($G852,9)="Tranche 1","Tranche 1: cleared",$C852="Sessions_Level_1_All_Sites","Downstream aggregation of UA raw logs — keep if raw tables go",ISNUMBER(--$C852),"UA raw site logs (account ID) — keep pending audit-retention check",$C852="Emag_Reporting","Legacy but likely needed",$C852="Nutrition_Data_Archived_Tables","Worth keeping",$C852="EU_Data","Static lookup tables — scripts still reference (smoke-test risk)",TRUE,"Review"),OR($A852="thg-influencer",$A852="thg-ingenuity",$A852="thg-central-marketing",$A852="thg-seoclarity"),"HOLD — Charlie Stringer to review before deletion",TRUE,"")</f>
        <v/>
      </c>
      <c r="S852" t="s">
        <v>1624</v>
      </c>
    </row>
    <row r="853" spans="1:19" hidden="1">
      <c r="A853" t="s">
        <v>92</v>
      </c>
      <c r="B853" t="s">
        <v>1619</v>
      </c>
      <c r="C853" t="s">
        <v>3392</v>
      </c>
      <c r="D853" s="2" t="s">
        <v>1621</v>
      </c>
      <c r="E853">
        <v>210.22</v>
      </c>
      <c r="F853">
        <v>4.2</v>
      </c>
      <c r="G853" t="s">
        <v>63</v>
      </c>
      <c r="H853" t="s">
        <v>3328</v>
      </c>
      <c r="I853">
        <v>1182</v>
      </c>
      <c r="J853">
        <v>1182</v>
      </c>
      <c r="M853" s="2" t="s">
        <v>1715</v>
      </c>
      <c r="N853" s="2" t="s">
        <v>1701</v>
      </c>
      <c r="O853" s="5">
        <v>45015.042101921303</v>
      </c>
      <c r="P853" t="str">
        <f>IF($Q853="DELETE",IF($S853="CONFIRMED: NO MODS &gt; 1YR","CONFIRMED: NO MODS &gt; 1YR","DO NOT DELETE — not defensibly confirmed"),IF($Q853="HOLD","DO NOT DELETE — HOLD (Charlie review)",IF($Q853="KEEP","DO NOT DELETE — KEEP",IF(ISNUMBER(SEARCH("REVIEW",$Q853)),"DO NOT DELETE — REVIEW pending",$S853))))</f>
        <v>CONFIRMED: NO MODS &gt; 1YR</v>
      </c>
      <c r="Q853" t="str" cm="1">
        <f t="array" ref="Q853">_xlfn.IFS(AND($A853="thg-beauty",ISNUMBER(SEARCH("liveramp",$C853))),"DELETE",$A853="agile-bonbon-662",_xlfn.IFS(LEFT($G853,9)="Tranche 1","DELETE",$C853="Sessions_Level_1_All_Sites","KEEP",ISNUMBER(--$C853),"REVIEW — UA raw logs",$C853="Emag_Reporting","KEEP",$C853="Nutrition_Data_Archived_Tables","KEEP",$C853="EU_Data","KEEP",TRUE,"REVIEW"),OR($A853="thg-influencer",$A853="thg-ingenuity",$A853="thg-central-marketing",$A853="thg-seoclarity"),"HOLD",TRUE,"")</f>
        <v/>
      </c>
      <c r="R853" t="str" cm="1">
        <f t="array" ref="R853">_xlfn.IFS(AND($A853="thg-beauty",ISNUMBER(SEARCH("liveramp",$C853))),"thg-beauty Liveramp dataset — confirmed safe to delete",$A853="agile-bonbon-662",_xlfn.IFS(LEFT($G853,9)="Tranche 1","Tranche 1: cleared",$C853="Sessions_Level_1_All_Sites","Downstream aggregation of UA raw logs — keep if raw tables go",ISNUMBER(--$C853),"UA raw site logs (account ID) — keep pending audit-retention check",$C853="Emag_Reporting","Legacy but likely needed",$C853="Nutrition_Data_Archived_Tables","Worth keeping",$C853="EU_Data","Static lookup tables — scripts still reference (smoke-test risk)",TRUE,"Review"),OR($A853="thg-influencer",$A853="thg-ingenuity",$A853="thg-central-marketing",$A853="thg-seoclarity"),"HOLD — Charlie Stringer to review before deletion",TRUE,"")</f>
        <v/>
      </c>
      <c r="S853" t="s">
        <v>1624</v>
      </c>
    </row>
    <row r="854" spans="1:19" hidden="1">
      <c r="A854" t="s">
        <v>91</v>
      </c>
      <c r="B854" t="s">
        <v>1619</v>
      </c>
      <c r="C854" t="s">
        <v>136</v>
      </c>
      <c r="D854" s="2" t="s">
        <v>1621</v>
      </c>
      <c r="E854">
        <v>105879.22</v>
      </c>
      <c r="F854">
        <v>2117.58</v>
      </c>
      <c r="G854" t="s">
        <v>63</v>
      </c>
      <c r="H854" t="s">
        <v>3328</v>
      </c>
      <c r="I854">
        <v>56</v>
      </c>
      <c r="J854">
        <v>462</v>
      </c>
      <c r="K854" s="5">
        <v>46141.414465671303</v>
      </c>
      <c r="M854" s="2" t="s">
        <v>1815</v>
      </c>
      <c r="N854" s="2" t="s">
        <v>1701</v>
      </c>
      <c r="O854" s="5">
        <v>45735.423012962972</v>
      </c>
      <c r="P854" t="str">
        <f>IF($Q854="DELETE",IF($S854="CONFIRMED: NO MODS &gt; 1YR","CONFIRMED: NO MODS &gt; 1YR","DO NOT DELETE — not defensibly confirmed"),IF($Q854="HOLD","DO NOT DELETE — HOLD (Charlie review)",IF($Q854="KEEP","DO NOT DELETE — KEEP",IF(ISNUMBER(SEARCH("REVIEW",$Q854)),"DO NOT DELETE — REVIEW pending",$S854))))</f>
        <v>CONFIRMED: NO MODS &gt; 1YR</v>
      </c>
      <c r="Q854" t="str" cm="1">
        <f t="array" ref="Q854">_xlfn.IFS(AND($A854="thg-beauty",ISNUMBER(SEARCH("liveramp",$C854))),"DELETE",$A854="agile-bonbon-662",_xlfn.IFS(LEFT($G854,9)="Tranche 1","DELETE",$C854="Sessions_Level_1_All_Sites","KEEP",ISNUMBER(--$C854),"REVIEW — UA raw logs",$C854="Emag_Reporting","KEEP",$C854="Nutrition_Data_Archived_Tables","KEEP",$C854="EU_Data","KEEP",TRUE,"REVIEW"),OR($A854="thg-influencer",$A854="thg-ingenuity",$A854="thg-central-marketing",$A854="thg-seoclarity"),"HOLD",TRUE,"")</f>
        <v/>
      </c>
      <c r="R854" t="str" cm="1">
        <f t="array" ref="R854">_xlfn.IFS(AND($A854="thg-beauty",ISNUMBER(SEARCH("liveramp",$C854))),"thg-beauty Liveramp dataset — confirmed safe to delete",$A854="agile-bonbon-662",_xlfn.IFS(LEFT($G854,9)="Tranche 1","Tranche 1: cleared",$C854="Sessions_Level_1_All_Sites","Downstream aggregation of UA raw logs — keep if raw tables go",ISNUMBER(--$C854),"UA raw site logs (account ID) — keep pending audit-retention check",$C854="Emag_Reporting","Legacy but likely needed",$C854="Nutrition_Data_Archived_Tables","Worth keeping",$C854="EU_Data","Static lookup tables — scripts still reference (smoke-test risk)",TRUE,"Review"),OR($A854="thg-influencer",$A854="thg-ingenuity",$A854="thg-central-marketing",$A854="thg-seoclarity"),"HOLD — Charlie Stringer to review before deletion",TRUE,"")</f>
        <v/>
      </c>
      <c r="S854" t="s">
        <v>1624</v>
      </c>
    </row>
    <row r="855" spans="1:19" hidden="1">
      <c r="A855" t="s">
        <v>90</v>
      </c>
      <c r="B855" t="s">
        <v>1619</v>
      </c>
      <c r="C855" t="s">
        <v>161</v>
      </c>
      <c r="D855" s="2" t="s">
        <v>1621</v>
      </c>
      <c r="E855">
        <v>18031.47</v>
      </c>
      <c r="F855">
        <v>360.63</v>
      </c>
      <c r="G855" t="s">
        <v>63</v>
      </c>
      <c r="H855" t="s">
        <v>3328</v>
      </c>
      <c r="I855">
        <v>56</v>
      </c>
      <c r="J855">
        <v>1458</v>
      </c>
      <c r="K855" s="5">
        <v>46141.388055868047</v>
      </c>
      <c r="M855" s="2" t="s">
        <v>1800</v>
      </c>
      <c r="N855" s="2" t="s">
        <v>1701</v>
      </c>
      <c r="O855" s="5">
        <v>44739.375186770827</v>
      </c>
      <c r="P855" t="str">
        <f>IF($Q855="DELETE",IF($S855="CONFIRMED: NO MODS &gt; 1YR","CONFIRMED: NO MODS &gt; 1YR","DO NOT DELETE — not defensibly confirmed"),IF($Q855="HOLD","DO NOT DELETE — HOLD (Charlie review)",IF($Q855="KEEP","DO NOT DELETE — KEEP",IF(ISNUMBER(SEARCH("REVIEW",$Q855)),"DO NOT DELETE — REVIEW pending",$S855))))</f>
        <v>CONFIRMED: NO MODS &gt; 1YR</v>
      </c>
      <c r="Q855" t="str" cm="1">
        <f t="array" ref="Q855">_xlfn.IFS(AND($A855="thg-beauty",ISNUMBER(SEARCH("liveramp",$C855))),"DELETE",$A855="agile-bonbon-662",_xlfn.IFS(LEFT($G855,9)="Tranche 1","DELETE",$C855="Sessions_Level_1_All_Sites","KEEP",ISNUMBER(--$C855),"REVIEW — UA raw logs",$C855="Emag_Reporting","KEEP",$C855="Nutrition_Data_Archived_Tables","KEEP",$C855="EU_Data","KEEP",TRUE,"REVIEW"),OR($A855="thg-influencer",$A855="thg-ingenuity",$A855="thg-central-marketing",$A855="thg-seoclarity"),"HOLD",TRUE,"")</f>
        <v/>
      </c>
      <c r="R855" t="str" cm="1">
        <f t="array" ref="R855">_xlfn.IFS(AND($A855="thg-beauty",ISNUMBER(SEARCH("liveramp",$C855))),"thg-beauty Liveramp dataset — confirmed safe to delete",$A855="agile-bonbon-662",_xlfn.IFS(LEFT($G855,9)="Tranche 1","Tranche 1: cleared",$C855="Sessions_Level_1_All_Sites","Downstream aggregation of UA raw logs — keep if raw tables go",ISNUMBER(--$C855),"UA raw site logs (account ID) — keep pending audit-retention check",$C855="Emag_Reporting","Legacy but likely needed",$C855="Nutrition_Data_Archived_Tables","Worth keeping",$C855="EU_Data","Static lookup tables — scripts still reference (smoke-test risk)",TRUE,"Review"),OR($A855="thg-influencer",$A855="thg-ingenuity",$A855="thg-central-marketing",$A855="thg-seoclarity"),"HOLD — Charlie Stringer to review before deletion",TRUE,"")</f>
        <v/>
      </c>
      <c r="S855" t="s">
        <v>1624</v>
      </c>
    </row>
    <row r="856" spans="1:19" hidden="1">
      <c r="A856" t="s">
        <v>90</v>
      </c>
      <c r="B856" t="s">
        <v>1619</v>
      </c>
      <c r="C856" t="s">
        <v>183</v>
      </c>
      <c r="D856" s="2" t="s">
        <v>1621</v>
      </c>
      <c r="E856">
        <v>10315.790000000001</v>
      </c>
      <c r="F856">
        <v>206.32</v>
      </c>
      <c r="G856" t="s">
        <v>63</v>
      </c>
      <c r="H856" t="s">
        <v>3328</v>
      </c>
      <c r="I856">
        <v>56</v>
      </c>
      <c r="J856">
        <v>1965</v>
      </c>
      <c r="K856" s="5">
        <v>46141.387661180554</v>
      </c>
      <c r="M856" s="2" t="s">
        <v>1800</v>
      </c>
      <c r="N856" s="2" t="s">
        <v>1701</v>
      </c>
      <c r="O856" s="5">
        <v>44231.66247505787</v>
      </c>
      <c r="P856" t="str">
        <f>IF($Q856="DELETE",IF($S856="CONFIRMED: NO MODS &gt; 1YR","CONFIRMED: NO MODS &gt; 1YR","DO NOT DELETE — not defensibly confirmed"),IF($Q856="HOLD","DO NOT DELETE — HOLD (Charlie review)",IF($Q856="KEEP","DO NOT DELETE — KEEP",IF(ISNUMBER(SEARCH("REVIEW",$Q856)),"DO NOT DELETE — REVIEW pending",$S856))))</f>
        <v>CONFIRMED: NO MODS &gt; 1YR</v>
      </c>
      <c r="Q856" t="str" cm="1">
        <f t="array" ref="Q856">_xlfn.IFS(AND($A856="thg-beauty",ISNUMBER(SEARCH("liveramp",$C856))),"DELETE",$A856="agile-bonbon-662",_xlfn.IFS(LEFT($G856,9)="Tranche 1","DELETE",$C856="Sessions_Level_1_All_Sites","KEEP",ISNUMBER(--$C856),"REVIEW — UA raw logs",$C856="Emag_Reporting","KEEP",$C856="Nutrition_Data_Archived_Tables","KEEP",$C856="EU_Data","KEEP",TRUE,"REVIEW"),OR($A856="thg-influencer",$A856="thg-ingenuity",$A856="thg-central-marketing",$A856="thg-seoclarity"),"HOLD",TRUE,"")</f>
        <v/>
      </c>
      <c r="R856" t="str" cm="1">
        <f t="array" ref="R856">_xlfn.IFS(AND($A856="thg-beauty",ISNUMBER(SEARCH("liveramp",$C856))),"thg-beauty Liveramp dataset — confirmed safe to delete",$A856="agile-bonbon-662",_xlfn.IFS(LEFT($G856,9)="Tranche 1","Tranche 1: cleared",$C856="Sessions_Level_1_All_Sites","Downstream aggregation of UA raw logs — keep if raw tables go",ISNUMBER(--$C856),"UA raw site logs (account ID) — keep pending audit-retention check",$C856="Emag_Reporting","Legacy but likely needed",$C856="Nutrition_Data_Archived_Tables","Worth keeping",$C856="EU_Data","Static lookup tables — scripts still reference (smoke-test risk)",TRUE,"Review"),OR($A856="thg-influencer",$A856="thg-ingenuity",$A856="thg-central-marketing",$A856="thg-seoclarity"),"HOLD — Charlie Stringer to review before deletion",TRUE,"")</f>
        <v/>
      </c>
      <c r="S856" t="s">
        <v>1624</v>
      </c>
    </row>
    <row r="857" spans="1:19" hidden="1">
      <c r="A857" t="s">
        <v>90</v>
      </c>
      <c r="B857" t="s">
        <v>1619</v>
      </c>
      <c r="C857" t="s">
        <v>188</v>
      </c>
      <c r="D857" s="2" t="s">
        <v>3393</v>
      </c>
      <c r="E857">
        <v>8843.08</v>
      </c>
      <c r="F857">
        <v>176.86</v>
      </c>
      <c r="G857" t="s">
        <v>63</v>
      </c>
      <c r="H857" t="s">
        <v>3328</v>
      </c>
      <c r="I857">
        <v>56</v>
      </c>
      <c r="J857">
        <v>1966</v>
      </c>
      <c r="K857" s="5">
        <v>46141.388266516202</v>
      </c>
      <c r="M857" s="2" t="s">
        <v>1832</v>
      </c>
      <c r="N857" s="2" t="s">
        <v>1701</v>
      </c>
      <c r="O857" s="5">
        <v>44231.047093402784</v>
      </c>
      <c r="P857" t="str">
        <f>IF($Q857="DELETE",IF($S857="CONFIRMED: NO MODS &gt; 1YR","CONFIRMED: NO MODS &gt; 1YR","DO NOT DELETE — not defensibly confirmed"),IF($Q857="HOLD","DO NOT DELETE — HOLD (Charlie review)",IF($Q857="KEEP","DO NOT DELETE — KEEP",IF(ISNUMBER(SEARCH("REVIEW",$Q857)),"DO NOT DELETE — REVIEW pending",$S857))))</f>
        <v>CONFIRMED: NO MODS &gt; 1YR</v>
      </c>
      <c r="Q857" t="str" cm="1">
        <f t="array" ref="Q857">_xlfn.IFS(AND($A857="thg-beauty",ISNUMBER(SEARCH("liveramp",$C857))),"DELETE",$A857="agile-bonbon-662",_xlfn.IFS(LEFT($G857,9)="Tranche 1","DELETE",$C857="Sessions_Level_1_All_Sites","KEEP",ISNUMBER(--$C857),"REVIEW — UA raw logs",$C857="Emag_Reporting","KEEP",$C857="Nutrition_Data_Archived_Tables","KEEP",$C857="EU_Data","KEEP",TRUE,"REVIEW"),OR($A857="thg-influencer",$A857="thg-ingenuity",$A857="thg-central-marketing",$A857="thg-seoclarity"),"HOLD",TRUE,"")</f>
        <v/>
      </c>
      <c r="R857" t="str" cm="1">
        <f t="array" ref="R857">_xlfn.IFS(AND($A857="thg-beauty",ISNUMBER(SEARCH("liveramp",$C857))),"thg-beauty Liveramp dataset — confirmed safe to delete",$A857="agile-bonbon-662",_xlfn.IFS(LEFT($G857,9)="Tranche 1","Tranche 1: cleared",$C857="Sessions_Level_1_All_Sites","Downstream aggregation of UA raw logs — keep if raw tables go",ISNUMBER(--$C857),"UA raw site logs (account ID) — keep pending audit-retention check",$C857="Emag_Reporting","Legacy but likely needed",$C857="Nutrition_Data_Archived_Tables","Worth keeping",$C857="EU_Data","Static lookup tables — scripts still reference (smoke-test risk)",TRUE,"Review"),OR($A857="thg-influencer",$A857="thg-ingenuity",$A857="thg-central-marketing",$A857="thg-seoclarity"),"HOLD — Charlie Stringer to review before deletion",TRUE,"")</f>
        <v/>
      </c>
      <c r="S857" t="s">
        <v>1624</v>
      </c>
    </row>
    <row r="858" spans="1:19" hidden="1">
      <c r="A858" t="s">
        <v>91</v>
      </c>
      <c r="B858" t="s">
        <v>1619</v>
      </c>
      <c r="C858" t="s">
        <v>211</v>
      </c>
      <c r="D858" s="2" t="s">
        <v>1621</v>
      </c>
      <c r="E858">
        <v>6163.66</v>
      </c>
      <c r="F858">
        <v>123.27</v>
      </c>
      <c r="G858" t="s">
        <v>63</v>
      </c>
      <c r="H858" t="s">
        <v>3328</v>
      </c>
      <c r="I858">
        <v>56</v>
      </c>
      <c r="J858">
        <v>1871</v>
      </c>
      <c r="K858" s="5">
        <v>46141.414747372677</v>
      </c>
      <c r="M858" s="2" t="s">
        <v>1802</v>
      </c>
      <c r="N858" s="2" t="s">
        <v>1701</v>
      </c>
      <c r="O858" s="5">
        <v>44326.454304965278</v>
      </c>
      <c r="P858" t="str">
        <f>IF($Q858="DELETE",IF($S858="CONFIRMED: NO MODS &gt; 1YR","CONFIRMED: NO MODS &gt; 1YR","DO NOT DELETE — not defensibly confirmed"),IF($Q858="HOLD","DO NOT DELETE — HOLD (Charlie review)",IF($Q858="KEEP","DO NOT DELETE — KEEP",IF(ISNUMBER(SEARCH("REVIEW",$Q858)),"DO NOT DELETE — REVIEW pending",$S858))))</f>
        <v>CONFIRMED: NO MODS &gt; 1YR</v>
      </c>
      <c r="Q858" t="str" cm="1">
        <f t="array" ref="Q858">_xlfn.IFS(AND($A858="thg-beauty",ISNUMBER(SEARCH("liveramp",$C858))),"DELETE",$A858="agile-bonbon-662",_xlfn.IFS(LEFT($G858,9)="Tranche 1","DELETE",$C858="Sessions_Level_1_All_Sites","KEEP",ISNUMBER(--$C858),"REVIEW — UA raw logs",$C858="Emag_Reporting","KEEP",$C858="Nutrition_Data_Archived_Tables","KEEP",$C858="EU_Data","KEEP",TRUE,"REVIEW"),OR($A858="thg-influencer",$A858="thg-ingenuity",$A858="thg-central-marketing",$A858="thg-seoclarity"),"HOLD",TRUE,"")</f>
        <v/>
      </c>
      <c r="R858" t="str" cm="1">
        <f t="array" ref="R858">_xlfn.IFS(AND($A858="thg-beauty",ISNUMBER(SEARCH("liveramp",$C858))),"thg-beauty Liveramp dataset — confirmed safe to delete",$A858="agile-bonbon-662",_xlfn.IFS(LEFT($G858,9)="Tranche 1","Tranche 1: cleared",$C858="Sessions_Level_1_All_Sites","Downstream aggregation of UA raw logs — keep if raw tables go",ISNUMBER(--$C858),"UA raw site logs (account ID) — keep pending audit-retention check",$C858="Emag_Reporting","Legacy but likely needed",$C858="Nutrition_Data_Archived_Tables","Worth keeping",$C858="EU_Data","Static lookup tables — scripts still reference (smoke-test risk)",TRUE,"Review"),OR($A858="thg-influencer",$A858="thg-ingenuity",$A858="thg-central-marketing",$A858="thg-seoclarity"),"HOLD — Charlie Stringer to review before deletion",TRUE,"")</f>
        <v/>
      </c>
      <c r="S858" t="s">
        <v>1624</v>
      </c>
    </row>
    <row r="859" spans="1:19" hidden="1">
      <c r="A859" t="s">
        <v>90</v>
      </c>
      <c r="B859" t="s">
        <v>1619</v>
      </c>
      <c r="C859" t="s">
        <v>258</v>
      </c>
      <c r="D859" s="2" t="s">
        <v>3394</v>
      </c>
      <c r="E859">
        <v>2402.54</v>
      </c>
      <c r="F859">
        <v>48.05</v>
      </c>
      <c r="G859" t="s">
        <v>63</v>
      </c>
      <c r="H859" t="s">
        <v>3328</v>
      </c>
      <c r="I859">
        <v>56</v>
      </c>
      <c r="J859">
        <v>1969</v>
      </c>
      <c r="K859" s="5">
        <v>46141.38792390046</v>
      </c>
      <c r="M859" s="2" t="s">
        <v>1800</v>
      </c>
      <c r="N859" s="2" t="s">
        <v>1701</v>
      </c>
      <c r="O859" s="5">
        <v>44228.105249872693</v>
      </c>
      <c r="P859" t="str">
        <f>IF($Q859="DELETE",IF($S859="CONFIRMED: NO MODS &gt; 1YR","CONFIRMED: NO MODS &gt; 1YR","DO NOT DELETE — not defensibly confirmed"),IF($Q859="HOLD","DO NOT DELETE — HOLD (Charlie review)",IF($Q859="KEEP","DO NOT DELETE — KEEP",IF(ISNUMBER(SEARCH("REVIEW",$Q859)),"DO NOT DELETE — REVIEW pending",$S859))))</f>
        <v>CONFIRMED: NO MODS &gt; 1YR</v>
      </c>
      <c r="Q859" t="str" cm="1">
        <f t="array" ref="Q859">_xlfn.IFS(AND($A859="thg-beauty",ISNUMBER(SEARCH("liveramp",$C859))),"DELETE",$A859="agile-bonbon-662",_xlfn.IFS(LEFT($G859,9)="Tranche 1","DELETE",$C859="Sessions_Level_1_All_Sites","KEEP",ISNUMBER(--$C859),"REVIEW — UA raw logs",$C859="Emag_Reporting","KEEP",$C859="Nutrition_Data_Archived_Tables","KEEP",$C859="EU_Data","KEEP",TRUE,"REVIEW"),OR($A859="thg-influencer",$A859="thg-ingenuity",$A859="thg-central-marketing",$A859="thg-seoclarity"),"HOLD",TRUE,"")</f>
        <v/>
      </c>
      <c r="R859" t="str" cm="1">
        <f t="array" ref="R859">_xlfn.IFS(AND($A859="thg-beauty",ISNUMBER(SEARCH("liveramp",$C859))),"thg-beauty Liveramp dataset — confirmed safe to delete",$A859="agile-bonbon-662",_xlfn.IFS(LEFT($G859,9)="Tranche 1","Tranche 1: cleared",$C859="Sessions_Level_1_All_Sites","Downstream aggregation of UA raw logs — keep if raw tables go",ISNUMBER(--$C859),"UA raw site logs (account ID) — keep pending audit-retention check",$C859="Emag_Reporting","Legacy but likely needed",$C859="Nutrition_Data_Archived_Tables","Worth keeping",$C859="EU_Data","Static lookup tables — scripts still reference (smoke-test risk)",TRUE,"Review"),OR($A859="thg-influencer",$A859="thg-ingenuity",$A859="thg-central-marketing",$A859="thg-seoclarity"),"HOLD — Charlie Stringer to review before deletion",TRUE,"")</f>
        <v/>
      </c>
      <c r="S859" t="s">
        <v>1624</v>
      </c>
    </row>
    <row r="860" spans="1:19" hidden="1">
      <c r="A860" t="s">
        <v>90</v>
      </c>
      <c r="B860" t="s">
        <v>1619</v>
      </c>
      <c r="C860" t="s">
        <v>370</v>
      </c>
      <c r="D860" s="2" t="s">
        <v>1621</v>
      </c>
      <c r="E860">
        <v>689.09</v>
      </c>
      <c r="F860">
        <v>13.78</v>
      </c>
      <c r="G860" t="s">
        <v>63</v>
      </c>
      <c r="H860" t="s">
        <v>3328</v>
      </c>
      <c r="I860">
        <v>56</v>
      </c>
      <c r="J860">
        <v>369</v>
      </c>
      <c r="K860" s="5">
        <v>46141.387923622693</v>
      </c>
      <c r="M860" s="2" t="s">
        <v>1800</v>
      </c>
      <c r="N860" s="2" t="s">
        <v>1701</v>
      </c>
      <c r="O860" s="5">
        <v>45827.549389513893</v>
      </c>
      <c r="P860" t="str">
        <f>IF($Q860="DELETE",IF($S860="CONFIRMED: NO MODS &gt; 1YR","CONFIRMED: NO MODS &gt; 1YR","DO NOT DELETE — not defensibly confirmed"),IF($Q860="HOLD","DO NOT DELETE — HOLD (Charlie review)",IF($Q860="KEEP","DO NOT DELETE — KEEP",IF(ISNUMBER(SEARCH("REVIEW",$Q860)),"DO NOT DELETE — REVIEW pending",$S860))))</f>
        <v>CONFIRMED: NO MODS &gt; 1YR</v>
      </c>
      <c r="Q860" t="str" cm="1">
        <f t="array" ref="Q860">_xlfn.IFS(AND($A860="thg-beauty",ISNUMBER(SEARCH("liveramp",$C860))),"DELETE",$A860="agile-bonbon-662",_xlfn.IFS(LEFT($G860,9)="Tranche 1","DELETE",$C860="Sessions_Level_1_All_Sites","KEEP",ISNUMBER(--$C860),"REVIEW — UA raw logs",$C860="Emag_Reporting","KEEP",$C860="Nutrition_Data_Archived_Tables","KEEP",$C860="EU_Data","KEEP",TRUE,"REVIEW"),OR($A860="thg-influencer",$A860="thg-ingenuity",$A860="thg-central-marketing",$A860="thg-seoclarity"),"HOLD",TRUE,"")</f>
        <v/>
      </c>
      <c r="R860" t="str" cm="1">
        <f t="array" ref="R860">_xlfn.IFS(AND($A860="thg-beauty",ISNUMBER(SEARCH("liveramp",$C860))),"thg-beauty Liveramp dataset — confirmed safe to delete",$A860="agile-bonbon-662",_xlfn.IFS(LEFT($G860,9)="Tranche 1","Tranche 1: cleared",$C860="Sessions_Level_1_All_Sites","Downstream aggregation of UA raw logs — keep if raw tables go",ISNUMBER(--$C860),"UA raw site logs (account ID) — keep pending audit-retention check",$C860="Emag_Reporting","Legacy but likely needed",$C860="Nutrition_Data_Archived_Tables","Worth keeping",$C860="EU_Data","Static lookup tables — scripts still reference (smoke-test risk)",TRUE,"Review"),OR($A860="thg-influencer",$A860="thg-ingenuity",$A860="thg-central-marketing",$A860="thg-seoclarity"),"HOLD — Charlie Stringer to review before deletion",TRUE,"")</f>
        <v/>
      </c>
      <c r="S860" t="s">
        <v>1624</v>
      </c>
    </row>
    <row r="861" spans="1:19" hidden="1">
      <c r="A861" t="s">
        <v>90</v>
      </c>
      <c r="B861" t="s">
        <v>1619</v>
      </c>
      <c r="C861" t="s">
        <v>520</v>
      </c>
      <c r="D861" s="2" t="s">
        <v>1621</v>
      </c>
      <c r="E861">
        <v>306.5</v>
      </c>
      <c r="F861">
        <v>6.13</v>
      </c>
      <c r="G861" t="s">
        <v>63</v>
      </c>
      <c r="H861" t="s">
        <v>3328</v>
      </c>
      <c r="I861">
        <v>56</v>
      </c>
      <c r="J861">
        <v>1965</v>
      </c>
      <c r="K861" s="5">
        <v>46141.387560324067</v>
      </c>
      <c r="M861" s="2" t="s">
        <v>1800</v>
      </c>
      <c r="N861" s="2" t="s">
        <v>1701</v>
      </c>
      <c r="O861" s="5">
        <v>44231.618653981481</v>
      </c>
      <c r="P861" t="str">
        <f>IF($Q861="DELETE",IF($S861="CONFIRMED: NO MODS &gt; 1YR","CONFIRMED: NO MODS &gt; 1YR","DO NOT DELETE — not defensibly confirmed"),IF($Q861="HOLD","DO NOT DELETE — HOLD (Charlie review)",IF($Q861="KEEP","DO NOT DELETE — KEEP",IF(ISNUMBER(SEARCH("REVIEW",$Q861)),"DO NOT DELETE — REVIEW pending",$S861))))</f>
        <v>CONFIRMED: NO MODS &gt; 1YR</v>
      </c>
      <c r="Q861" t="str" cm="1">
        <f t="array" ref="Q861">_xlfn.IFS(AND($A861="thg-beauty",ISNUMBER(SEARCH("liveramp",$C861))),"DELETE",$A861="agile-bonbon-662",_xlfn.IFS(LEFT($G861,9)="Tranche 1","DELETE",$C861="Sessions_Level_1_All_Sites","KEEP",ISNUMBER(--$C861),"REVIEW — UA raw logs",$C861="Emag_Reporting","KEEP",$C861="Nutrition_Data_Archived_Tables","KEEP",$C861="EU_Data","KEEP",TRUE,"REVIEW"),OR($A861="thg-influencer",$A861="thg-ingenuity",$A861="thg-central-marketing",$A861="thg-seoclarity"),"HOLD",TRUE,"")</f>
        <v/>
      </c>
      <c r="R861" t="str" cm="1">
        <f t="array" ref="R861">_xlfn.IFS(AND($A861="thg-beauty",ISNUMBER(SEARCH("liveramp",$C861))),"thg-beauty Liveramp dataset — confirmed safe to delete",$A861="agile-bonbon-662",_xlfn.IFS(LEFT($G861,9)="Tranche 1","Tranche 1: cleared",$C861="Sessions_Level_1_All_Sites","Downstream aggregation of UA raw logs — keep if raw tables go",ISNUMBER(--$C861),"UA raw site logs (account ID) — keep pending audit-retention check",$C861="Emag_Reporting","Legacy but likely needed",$C861="Nutrition_Data_Archived_Tables","Worth keeping",$C861="EU_Data","Static lookup tables — scripts still reference (smoke-test risk)",TRUE,"Review"),OR($A861="thg-influencer",$A861="thg-ingenuity",$A861="thg-central-marketing",$A861="thg-seoclarity"),"HOLD — Charlie Stringer to review before deletion",TRUE,"")</f>
        <v/>
      </c>
      <c r="S861" t="s">
        <v>1624</v>
      </c>
    </row>
    <row r="862" spans="1:19" ht="30.75" hidden="1">
      <c r="A862" t="s">
        <v>91</v>
      </c>
      <c r="B862" t="s">
        <v>1619</v>
      </c>
      <c r="C862" t="s">
        <v>717</v>
      </c>
      <c r="D862" s="2" t="s">
        <v>1621</v>
      </c>
      <c r="E862">
        <v>135.87</v>
      </c>
      <c r="F862">
        <v>2.72</v>
      </c>
      <c r="G862" t="s">
        <v>63</v>
      </c>
      <c r="H862" t="s">
        <v>3328</v>
      </c>
      <c r="I862">
        <v>56</v>
      </c>
      <c r="J862">
        <v>1547</v>
      </c>
      <c r="K862" s="5">
        <v>46141.414924201388</v>
      </c>
      <c r="M862" s="2" t="s">
        <v>3395</v>
      </c>
      <c r="N862" s="2" t="s">
        <v>1701</v>
      </c>
      <c r="O862" s="5">
        <v>44650.055932754629</v>
      </c>
      <c r="P862" t="str">
        <f>IF($Q862="DELETE",IF($S862="CONFIRMED: NO MODS &gt; 1YR","CONFIRMED: NO MODS &gt; 1YR","DO NOT DELETE — not defensibly confirmed"),IF($Q862="HOLD","DO NOT DELETE — HOLD (Charlie review)",IF($Q862="KEEP","DO NOT DELETE — KEEP",IF(ISNUMBER(SEARCH("REVIEW",$Q862)),"DO NOT DELETE — REVIEW pending",$S862))))</f>
        <v>CONFIRMED: NO MODS &gt; 1YR</v>
      </c>
      <c r="Q862" t="str" cm="1">
        <f t="array" ref="Q862">_xlfn.IFS(AND($A862="thg-beauty",ISNUMBER(SEARCH("liveramp",$C862))),"DELETE",$A862="agile-bonbon-662",_xlfn.IFS(LEFT($G862,9)="Tranche 1","DELETE",$C862="Sessions_Level_1_All_Sites","KEEP",ISNUMBER(--$C862),"REVIEW — UA raw logs",$C862="Emag_Reporting","KEEP",$C862="Nutrition_Data_Archived_Tables","KEEP",$C862="EU_Data","KEEP",TRUE,"REVIEW"),OR($A862="thg-influencer",$A862="thg-ingenuity",$A862="thg-central-marketing",$A862="thg-seoclarity"),"HOLD",TRUE,"")</f>
        <v/>
      </c>
      <c r="R862" t="str" cm="1">
        <f t="array" ref="R862">_xlfn.IFS(AND($A862="thg-beauty",ISNUMBER(SEARCH("liveramp",$C862))),"thg-beauty Liveramp dataset — confirmed safe to delete",$A862="agile-bonbon-662",_xlfn.IFS(LEFT($G862,9)="Tranche 1","Tranche 1: cleared",$C862="Sessions_Level_1_All_Sites","Downstream aggregation of UA raw logs — keep if raw tables go",ISNUMBER(--$C862),"UA raw site logs (account ID) — keep pending audit-retention check",$C862="Emag_Reporting","Legacy but likely needed",$C862="Nutrition_Data_Archived_Tables","Worth keeping",$C862="EU_Data","Static lookup tables — scripts still reference (smoke-test risk)",TRUE,"Review"),OR($A862="thg-influencer",$A862="thg-ingenuity",$A862="thg-central-marketing",$A862="thg-seoclarity"),"HOLD — Charlie Stringer to review before deletion",TRUE,"")</f>
        <v/>
      </c>
      <c r="S862" t="s">
        <v>1624</v>
      </c>
    </row>
    <row r="863" spans="1:19" hidden="1">
      <c r="A863" t="s">
        <v>91</v>
      </c>
      <c r="B863" t="s">
        <v>1619</v>
      </c>
      <c r="C863" t="s">
        <v>188</v>
      </c>
      <c r="D863" s="2" t="s">
        <v>1621</v>
      </c>
      <c r="E863">
        <v>109.21</v>
      </c>
      <c r="F863">
        <v>2.1800000000000002</v>
      </c>
      <c r="G863" t="s">
        <v>63</v>
      </c>
      <c r="H863" t="s">
        <v>3328</v>
      </c>
      <c r="I863">
        <v>56</v>
      </c>
      <c r="J863">
        <v>2079</v>
      </c>
      <c r="K863" s="5">
        <v>46141.414976342603</v>
      </c>
      <c r="M863" s="2" t="s">
        <v>1802</v>
      </c>
      <c r="N863" s="2" t="s">
        <v>1701</v>
      </c>
      <c r="O863" s="5">
        <v>44117.660194942131</v>
      </c>
      <c r="P863" t="str">
        <f>IF($Q863="DELETE",IF($S863="CONFIRMED: NO MODS &gt; 1YR","CONFIRMED: NO MODS &gt; 1YR","DO NOT DELETE — not defensibly confirmed"),IF($Q863="HOLD","DO NOT DELETE — HOLD (Charlie review)",IF($Q863="KEEP","DO NOT DELETE — KEEP",IF(ISNUMBER(SEARCH("REVIEW",$Q863)),"DO NOT DELETE — REVIEW pending",$S863))))</f>
        <v>CONFIRMED: NO MODS &gt; 1YR</v>
      </c>
      <c r="Q863" t="str" cm="1">
        <f t="array" ref="Q863">_xlfn.IFS(AND($A863="thg-beauty",ISNUMBER(SEARCH("liveramp",$C863))),"DELETE",$A863="agile-bonbon-662",_xlfn.IFS(LEFT($G863,9)="Tranche 1","DELETE",$C863="Sessions_Level_1_All_Sites","KEEP",ISNUMBER(--$C863),"REVIEW — UA raw logs",$C863="Emag_Reporting","KEEP",$C863="Nutrition_Data_Archived_Tables","KEEP",$C863="EU_Data","KEEP",TRUE,"REVIEW"),OR($A863="thg-influencer",$A863="thg-ingenuity",$A863="thg-central-marketing",$A863="thg-seoclarity"),"HOLD",TRUE,"")</f>
        <v/>
      </c>
      <c r="R863" t="str" cm="1">
        <f t="array" ref="R863">_xlfn.IFS(AND($A863="thg-beauty",ISNUMBER(SEARCH("liveramp",$C863))),"thg-beauty Liveramp dataset — confirmed safe to delete",$A863="agile-bonbon-662",_xlfn.IFS(LEFT($G863,9)="Tranche 1","Tranche 1: cleared",$C863="Sessions_Level_1_All_Sites","Downstream aggregation of UA raw logs — keep if raw tables go",ISNUMBER(--$C863),"UA raw site logs (account ID) — keep pending audit-retention check",$C863="Emag_Reporting","Legacy but likely needed",$C863="Nutrition_Data_Archived_Tables","Worth keeping",$C863="EU_Data","Static lookup tables — scripts still reference (smoke-test risk)",TRUE,"Review"),OR($A863="thg-influencer",$A863="thg-ingenuity",$A863="thg-central-marketing",$A863="thg-seoclarity"),"HOLD — Charlie Stringer to review before deletion",TRUE,"")</f>
        <v/>
      </c>
      <c r="S863" t="s">
        <v>1624</v>
      </c>
    </row>
    <row r="864" spans="1:19" hidden="1">
      <c r="A864" t="s">
        <v>90</v>
      </c>
      <c r="B864" t="s">
        <v>1619</v>
      </c>
      <c r="C864" t="s">
        <v>780</v>
      </c>
      <c r="D864" s="2" t="s">
        <v>3393</v>
      </c>
      <c r="E864">
        <v>103.67</v>
      </c>
      <c r="F864">
        <v>2.0699999999999998</v>
      </c>
      <c r="G864" t="s">
        <v>63</v>
      </c>
      <c r="H864" t="s">
        <v>3328</v>
      </c>
      <c r="I864">
        <v>56</v>
      </c>
      <c r="J864">
        <v>1829</v>
      </c>
      <c r="K864" s="5">
        <v>46141.38809886574</v>
      </c>
      <c r="M864" s="2" t="s">
        <v>1800</v>
      </c>
      <c r="N864" s="2" t="s">
        <v>1701</v>
      </c>
      <c r="O864" s="5">
        <v>44368.423839664349</v>
      </c>
      <c r="P864" t="str">
        <f>IF($Q864="DELETE",IF($S864="CONFIRMED: NO MODS &gt; 1YR","CONFIRMED: NO MODS &gt; 1YR","DO NOT DELETE — not defensibly confirmed"),IF($Q864="HOLD","DO NOT DELETE — HOLD (Charlie review)",IF($Q864="KEEP","DO NOT DELETE — KEEP",IF(ISNUMBER(SEARCH("REVIEW",$Q864)),"DO NOT DELETE — REVIEW pending",$S864))))</f>
        <v>CONFIRMED: NO MODS &gt; 1YR</v>
      </c>
      <c r="Q864" t="str" cm="1">
        <f t="array" ref="Q864">_xlfn.IFS(AND($A864="thg-beauty",ISNUMBER(SEARCH("liveramp",$C864))),"DELETE",$A864="agile-bonbon-662",_xlfn.IFS(LEFT($G864,9)="Tranche 1","DELETE",$C864="Sessions_Level_1_All_Sites","KEEP",ISNUMBER(--$C864),"REVIEW — UA raw logs",$C864="Emag_Reporting","KEEP",$C864="Nutrition_Data_Archived_Tables","KEEP",$C864="EU_Data","KEEP",TRUE,"REVIEW"),OR($A864="thg-influencer",$A864="thg-ingenuity",$A864="thg-central-marketing",$A864="thg-seoclarity"),"HOLD",TRUE,"")</f>
        <v/>
      </c>
      <c r="R864" t="str" cm="1">
        <f t="array" ref="R864">_xlfn.IFS(AND($A864="thg-beauty",ISNUMBER(SEARCH("liveramp",$C864))),"thg-beauty Liveramp dataset — confirmed safe to delete",$A864="agile-bonbon-662",_xlfn.IFS(LEFT($G864,9)="Tranche 1","Tranche 1: cleared",$C864="Sessions_Level_1_All_Sites","Downstream aggregation of UA raw logs — keep if raw tables go",ISNUMBER(--$C864),"UA raw site logs (account ID) — keep pending audit-retention check",$C864="Emag_Reporting","Legacy but likely needed",$C864="Nutrition_Data_Archived_Tables","Worth keeping",$C864="EU_Data","Static lookup tables — scripts still reference (smoke-test risk)",TRUE,"Review"),OR($A864="thg-influencer",$A864="thg-ingenuity",$A864="thg-central-marketing",$A864="thg-seoclarity"),"HOLD — Charlie Stringer to review before deletion",TRUE,"")</f>
        <v/>
      </c>
      <c r="S864" t="s">
        <v>1624</v>
      </c>
    </row>
    <row r="865" spans="1:19" ht="76.5" hidden="1">
      <c r="A865" t="s">
        <v>89</v>
      </c>
      <c r="B865" t="s">
        <v>1619</v>
      </c>
      <c r="C865" t="s">
        <v>141</v>
      </c>
      <c r="D865" s="2" t="s">
        <v>1621</v>
      </c>
      <c r="E865">
        <v>65273.34</v>
      </c>
      <c r="F865">
        <v>1305.47</v>
      </c>
      <c r="G865" t="s">
        <v>63</v>
      </c>
      <c r="H865" t="s">
        <v>3328</v>
      </c>
      <c r="I865">
        <v>35</v>
      </c>
      <c r="J865">
        <v>723</v>
      </c>
      <c r="K865" s="5">
        <v>46161.602231273151</v>
      </c>
      <c r="M865" s="2" t="s">
        <v>3396</v>
      </c>
      <c r="N865" s="2" t="s">
        <v>1701</v>
      </c>
      <c r="O865" s="5">
        <v>45474.245355543979</v>
      </c>
      <c r="P865" t="str">
        <f>IF($Q865="DELETE",IF($S865="CONFIRMED: NO MODS &gt; 1YR","CONFIRMED: NO MODS &gt; 1YR","DO NOT DELETE — not defensibly confirmed"),IF($Q865="HOLD","DO NOT DELETE — HOLD (Charlie review)",IF($Q865="KEEP","DO NOT DELETE — KEEP",IF(ISNUMBER(SEARCH("REVIEW",$Q865)),"DO NOT DELETE — REVIEW pending",$S865))))</f>
        <v>DO NOT DELETE — REVIEW pending</v>
      </c>
      <c r="Q865" t="str" cm="1">
        <f t="array" ref="Q865">_xlfn.IFS(AND($A865="thg-beauty",ISNUMBER(SEARCH("liveramp",$C865))),"DELETE",$A865="agile-bonbon-662",_xlfn.IFS(LEFT($G865,9)="Tranche 1","DELETE",$C865="Sessions_Level_1_All_Sites","KEEP",ISNUMBER(--$C865),"REVIEW — UA raw logs",$C865="Emag_Reporting","KEEP",$C865="Nutrition_Data_Archived_Tables","KEEP",$C865="EU_Data","KEEP",TRUE,"REVIEW"),OR($A865="thg-influencer",$A865="thg-ingenuity",$A865="thg-central-marketing",$A865="thg-seoclarity"),"HOLD",TRUE,"")</f>
        <v>REVIEW — UA raw logs</v>
      </c>
      <c r="R865" t="str" cm="1">
        <f t="array" ref="R865">_xlfn.IFS(AND($A865="thg-beauty",ISNUMBER(SEARCH("liveramp",$C865))),"thg-beauty Liveramp dataset — confirmed safe to delete",$A865="agile-bonbon-662",_xlfn.IFS(LEFT($G865,9)="Tranche 1","Tranche 1: cleared",$C865="Sessions_Level_1_All_Sites","Downstream aggregation of UA raw logs — keep if raw tables go",ISNUMBER(--$C865),"UA raw site logs (account ID) — keep pending audit-retention check",$C865="Emag_Reporting","Legacy but likely needed",$C865="Nutrition_Data_Archived_Tables","Worth keeping",$C865="EU_Data","Static lookup tables — scripts still reference (smoke-test risk)",TRUE,"Review"),OR($A865="thg-influencer",$A865="thg-ingenuity",$A865="thg-central-marketing",$A865="thg-seoclarity"),"HOLD — Charlie Stringer to review before deletion",TRUE,"")</f>
        <v>UA raw site logs (account ID) — keep pending audit-retention check</v>
      </c>
      <c r="S865" t="s">
        <v>1624</v>
      </c>
    </row>
    <row r="866" spans="1:19" ht="45.75" hidden="1">
      <c r="A866" t="s">
        <v>89</v>
      </c>
      <c r="B866" t="s">
        <v>1619</v>
      </c>
      <c r="C866" t="s">
        <v>151</v>
      </c>
      <c r="D866" s="2" t="s">
        <v>1621</v>
      </c>
      <c r="E866">
        <v>21579.93</v>
      </c>
      <c r="F866">
        <v>431.6</v>
      </c>
      <c r="G866" t="s">
        <v>63</v>
      </c>
      <c r="H866" t="s">
        <v>3328</v>
      </c>
      <c r="I866">
        <v>35</v>
      </c>
      <c r="J866">
        <v>2518</v>
      </c>
      <c r="K866" s="5">
        <v>46161.611457395833</v>
      </c>
      <c r="M866" s="2" t="s">
        <v>3397</v>
      </c>
      <c r="N866" s="2" t="s">
        <v>1701</v>
      </c>
      <c r="O866" s="5">
        <v>43679.447609525458</v>
      </c>
      <c r="P866" t="str">
        <f>IF($Q866="DELETE",IF($S866="CONFIRMED: NO MODS &gt; 1YR","CONFIRMED: NO MODS &gt; 1YR","DO NOT DELETE — not defensibly confirmed"),IF($Q866="HOLD","DO NOT DELETE — HOLD (Charlie review)",IF($Q866="KEEP","DO NOT DELETE — KEEP",IF(ISNUMBER(SEARCH("REVIEW",$Q866)),"DO NOT DELETE — REVIEW pending",$S866))))</f>
        <v>DO NOT DELETE — REVIEW pending</v>
      </c>
      <c r="Q866" t="str" cm="1">
        <f t="array" ref="Q866">_xlfn.IFS(AND($A866="thg-beauty",ISNUMBER(SEARCH("liveramp",$C866))),"DELETE",$A866="agile-bonbon-662",_xlfn.IFS(LEFT($G866,9)="Tranche 1","DELETE",$C866="Sessions_Level_1_All_Sites","KEEP",ISNUMBER(--$C866),"REVIEW — UA raw logs",$C866="Emag_Reporting","KEEP",$C866="Nutrition_Data_Archived_Tables","KEEP",$C866="EU_Data","KEEP",TRUE,"REVIEW"),OR($A866="thg-influencer",$A866="thg-ingenuity",$A866="thg-central-marketing",$A866="thg-seoclarity"),"HOLD",TRUE,"")</f>
        <v>REVIEW</v>
      </c>
      <c r="R866" t="str" cm="1">
        <f t="array" ref="R866">_xlfn.IFS(AND($A866="thg-beauty",ISNUMBER(SEARCH("liveramp",$C866))),"thg-beauty Liveramp dataset — confirmed safe to delete",$A866="agile-bonbon-662",_xlfn.IFS(LEFT($G866,9)="Tranche 1","Tranche 1: cleared",$C866="Sessions_Level_1_All_Sites","Downstream aggregation of UA raw logs — keep if raw tables go",ISNUMBER(--$C866),"UA raw site logs (account ID) — keep pending audit-retention check",$C866="Emag_Reporting","Legacy but likely needed",$C866="Nutrition_Data_Archived_Tables","Worth keeping",$C866="EU_Data","Static lookup tables — scripts still reference (smoke-test risk)",TRUE,"Review"),OR($A866="thg-influencer",$A866="thg-ingenuity",$A866="thg-central-marketing",$A866="thg-seoclarity"),"HOLD — Charlie Stringer to review before deletion",TRUE,"")</f>
        <v>Review</v>
      </c>
      <c r="S866" t="s">
        <v>1624</v>
      </c>
    </row>
    <row r="867" spans="1:19" ht="76.5" hidden="1">
      <c r="A867" t="s">
        <v>89</v>
      </c>
      <c r="B867" t="s">
        <v>1619</v>
      </c>
      <c r="C867" t="s">
        <v>156</v>
      </c>
      <c r="D867" s="2" t="s">
        <v>1621</v>
      </c>
      <c r="E867">
        <v>20085.740000000002</v>
      </c>
      <c r="F867">
        <v>401.71</v>
      </c>
      <c r="G867" t="s">
        <v>63</v>
      </c>
      <c r="H867" t="s">
        <v>3328</v>
      </c>
      <c r="I867">
        <v>35</v>
      </c>
      <c r="J867">
        <v>1966</v>
      </c>
      <c r="K867" s="5">
        <v>46161.612099039347</v>
      </c>
      <c r="M867" s="2" t="s">
        <v>3398</v>
      </c>
      <c r="N867" s="2" t="s">
        <v>1701</v>
      </c>
      <c r="O867" s="5">
        <v>44231.208672893517</v>
      </c>
      <c r="P867" t="str">
        <f>IF($Q867="DELETE",IF($S867="CONFIRMED: NO MODS &gt; 1YR","CONFIRMED: NO MODS &gt; 1YR","DO NOT DELETE — not defensibly confirmed"),IF($Q867="HOLD","DO NOT DELETE — HOLD (Charlie review)",IF($Q867="KEEP","DO NOT DELETE — KEEP",IF(ISNUMBER(SEARCH("REVIEW",$Q867)),"DO NOT DELETE — REVIEW pending",$S867))))</f>
        <v>DO NOT DELETE — REVIEW pending</v>
      </c>
      <c r="Q867" t="str" cm="1">
        <f t="array" ref="Q867">_xlfn.IFS(AND($A867="thg-beauty",ISNUMBER(SEARCH("liveramp",$C867))),"DELETE",$A867="agile-bonbon-662",_xlfn.IFS(LEFT($G867,9)="Tranche 1","DELETE",$C867="Sessions_Level_1_All_Sites","KEEP",ISNUMBER(--$C867),"REVIEW — UA raw logs",$C867="Emag_Reporting","KEEP",$C867="Nutrition_Data_Archived_Tables","KEEP",$C867="EU_Data","KEEP",TRUE,"REVIEW"),OR($A867="thg-influencer",$A867="thg-ingenuity",$A867="thg-central-marketing",$A867="thg-seoclarity"),"HOLD",TRUE,"")</f>
        <v>REVIEW</v>
      </c>
      <c r="R867" t="str" cm="1">
        <f t="array" ref="R867">_xlfn.IFS(AND($A867="thg-beauty",ISNUMBER(SEARCH("liveramp",$C867))),"thg-beauty Liveramp dataset — confirmed safe to delete",$A867="agile-bonbon-662",_xlfn.IFS(LEFT($G867,9)="Tranche 1","Tranche 1: cleared",$C867="Sessions_Level_1_All_Sites","Downstream aggregation of UA raw logs — keep if raw tables go",ISNUMBER(--$C867),"UA raw site logs (account ID) — keep pending audit-retention check",$C867="Emag_Reporting","Legacy but likely needed",$C867="Nutrition_Data_Archived_Tables","Worth keeping",$C867="EU_Data","Static lookup tables — scripts still reference (smoke-test risk)",TRUE,"Review"),OR($A867="thg-influencer",$A867="thg-ingenuity",$A867="thg-central-marketing",$A867="thg-seoclarity"),"HOLD — Charlie Stringer to review before deletion",TRUE,"")</f>
        <v>Review</v>
      </c>
      <c r="S867" t="s">
        <v>1624</v>
      </c>
    </row>
    <row r="868" spans="1:19" ht="60.75" hidden="1">
      <c r="A868" t="s">
        <v>89</v>
      </c>
      <c r="B868" t="s">
        <v>1619</v>
      </c>
      <c r="C868" t="s">
        <v>166</v>
      </c>
      <c r="D868" s="2" t="s">
        <v>1621</v>
      </c>
      <c r="E868">
        <v>17344.72</v>
      </c>
      <c r="F868">
        <v>346.89</v>
      </c>
      <c r="G868" t="s">
        <v>63</v>
      </c>
      <c r="H868" t="s">
        <v>3328</v>
      </c>
      <c r="I868">
        <v>35</v>
      </c>
      <c r="J868">
        <v>723</v>
      </c>
      <c r="K868" s="5">
        <v>46161.591628425929</v>
      </c>
      <c r="M868" s="2" t="s">
        <v>3399</v>
      </c>
      <c r="N868" s="2" t="s">
        <v>1701</v>
      </c>
      <c r="O868" s="5">
        <v>45474.259769097232</v>
      </c>
      <c r="P868" t="str">
        <f>IF($Q868="DELETE",IF($S868="CONFIRMED: NO MODS &gt; 1YR","CONFIRMED: NO MODS &gt; 1YR","DO NOT DELETE — not defensibly confirmed"),IF($Q868="HOLD","DO NOT DELETE — HOLD (Charlie review)",IF($Q868="KEEP","DO NOT DELETE — KEEP",IF(ISNUMBER(SEARCH("REVIEW",$Q868)),"DO NOT DELETE — REVIEW pending",$S868))))</f>
        <v>DO NOT DELETE — REVIEW pending</v>
      </c>
      <c r="Q868" t="str" cm="1">
        <f t="array" ref="Q868">_xlfn.IFS(AND($A868="thg-beauty",ISNUMBER(SEARCH("liveramp",$C868))),"DELETE",$A868="agile-bonbon-662",_xlfn.IFS(LEFT($G868,9)="Tranche 1","DELETE",$C868="Sessions_Level_1_All_Sites","KEEP",ISNUMBER(--$C868),"REVIEW — UA raw logs",$C868="Emag_Reporting","KEEP",$C868="Nutrition_Data_Archived_Tables","KEEP",$C868="EU_Data","KEEP",TRUE,"REVIEW"),OR($A868="thg-influencer",$A868="thg-ingenuity",$A868="thg-central-marketing",$A868="thg-seoclarity"),"HOLD",TRUE,"")</f>
        <v>REVIEW — UA raw logs</v>
      </c>
      <c r="R868" t="str" cm="1">
        <f t="array" ref="R868">_xlfn.IFS(AND($A868="thg-beauty",ISNUMBER(SEARCH("liveramp",$C868))),"thg-beauty Liveramp dataset — confirmed safe to delete",$A868="agile-bonbon-662",_xlfn.IFS(LEFT($G868,9)="Tranche 1","Tranche 1: cleared",$C868="Sessions_Level_1_All_Sites","Downstream aggregation of UA raw logs — keep if raw tables go",ISNUMBER(--$C868),"UA raw site logs (account ID) — keep pending audit-retention check",$C868="Emag_Reporting","Legacy but likely needed",$C868="Nutrition_Data_Archived_Tables","Worth keeping",$C868="EU_Data","Static lookup tables — scripts still reference (smoke-test risk)",TRUE,"Review"),OR($A868="thg-influencer",$A868="thg-ingenuity",$A868="thg-central-marketing",$A868="thg-seoclarity"),"HOLD — Charlie Stringer to review before deletion",TRUE,"")</f>
        <v>UA raw site logs (account ID) — keep pending audit-retention check</v>
      </c>
      <c r="S868" t="s">
        <v>1624</v>
      </c>
    </row>
    <row r="869" spans="1:19" ht="45.75" hidden="1">
      <c r="A869" t="s">
        <v>89</v>
      </c>
      <c r="B869" t="s">
        <v>1619</v>
      </c>
      <c r="C869" t="s">
        <v>170</v>
      </c>
      <c r="D869" s="2" t="s">
        <v>1621</v>
      </c>
      <c r="E869">
        <v>15588.53</v>
      </c>
      <c r="F869">
        <v>311.77</v>
      </c>
      <c r="G869" t="s">
        <v>63</v>
      </c>
      <c r="H869" t="s">
        <v>3328</v>
      </c>
      <c r="I869">
        <v>35</v>
      </c>
      <c r="J869">
        <v>723</v>
      </c>
      <c r="K869" s="5">
        <v>46161.600811168981</v>
      </c>
      <c r="M869" s="2" t="s">
        <v>3400</v>
      </c>
      <c r="N869" s="2" t="s">
        <v>1701</v>
      </c>
      <c r="O869" s="5">
        <v>45474.263866886577</v>
      </c>
      <c r="P869" t="str">
        <f>IF($Q869="DELETE",IF($S869="CONFIRMED: NO MODS &gt; 1YR","CONFIRMED: NO MODS &gt; 1YR","DO NOT DELETE — not defensibly confirmed"),IF($Q869="HOLD","DO NOT DELETE — HOLD (Charlie review)",IF($Q869="KEEP","DO NOT DELETE — KEEP",IF(ISNUMBER(SEARCH("REVIEW",$Q869)),"DO NOT DELETE — REVIEW pending",$S869))))</f>
        <v>DO NOT DELETE — REVIEW pending</v>
      </c>
      <c r="Q869" t="str" cm="1">
        <f t="array" ref="Q869">_xlfn.IFS(AND($A869="thg-beauty",ISNUMBER(SEARCH("liveramp",$C869))),"DELETE",$A869="agile-bonbon-662",_xlfn.IFS(LEFT($G869,9)="Tranche 1","DELETE",$C869="Sessions_Level_1_All_Sites","KEEP",ISNUMBER(--$C869),"REVIEW — UA raw logs",$C869="Emag_Reporting","KEEP",$C869="Nutrition_Data_Archived_Tables","KEEP",$C869="EU_Data","KEEP",TRUE,"REVIEW"),OR($A869="thg-influencer",$A869="thg-ingenuity",$A869="thg-central-marketing",$A869="thg-seoclarity"),"HOLD",TRUE,"")</f>
        <v>REVIEW — UA raw logs</v>
      </c>
      <c r="R869" t="str" cm="1">
        <f t="array" ref="R869">_xlfn.IFS(AND($A869="thg-beauty",ISNUMBER(SEARCH("liveramp",$C869))),"thg-beauty Liveramp dataset — confirmed safe to delete",$A869="agile-bonbon-662",_xlfn.IFS(LEFT($G869,9)="Tranche 1","Tranche 1: cleared",$C869="Sessions_Level_1_All_Sites","Downstream aggregation of UA raw logs — keep if raw tables go",ISNUMBER(--$C869),"UA raw site logs (account ID) — keep pending audit-retention check",$C869="Emag_Reporting","Legacy but likely needed",$C869="Nutrition_Data_Archived_Tables","Worth keeping",$C869="EU_Data","Static lookup tables — scripts still reference (smoke-test risk)",TRUE,"Review"),OR($A869="thg-influencer",$A869="thg-ingenuity",$A869="thg-central-marketing",$A869="thg-seoclarity"),"HOLD — Charlie Stringer to review before deletion",TRUE,"")</f>
        <v>UA raw site logs (account ID) — keep pending audit-retention check</v>
      </c>
      <c r="S869" t="s">
        <v>1624</v>
      </c>
    </row>
    <row r="870" spans="1:19" ht="45.75" hidden="1">
      <c r="A870" t="s">
        <v>89</v>
      </c>
      <c r="B870" t="s">
        <v>1619</v>
      </c>
      <c r="C870" t="s">
        <v>174</v>
      </c>
      <c r="D870" s="2" t="s">
        <v>1621</v>
      </c>
      <c r="E870">
        <v>11641.81</v>
      </c>
      <c r="F870">
        <v>232.84</v>
      </c>
      <c r="G870" t="s">
        <v>63</v>
      </c>
      <c r="H870" t="s">
        <v>3328</v>
      </c>
      <c r="I870">
        <v>35</v>
      </c>
      <c r="J870">
        <v>723</v>
      </c>
      <c r="K870" s="5">
        <v>46161.598669583327</v>
      </c>
      <c r="M870" s="2" t="s">
        <v>3401</v>
      </c>
      <c r="N870" s="2" t="s">
        <v>1701</v>
      </c>
      <c r="O870" s="5">
        <v>45474.339547731477</v>
      </c>
      <c r="P870" t="str">
        <f>IF($Q870="DELETE",IF($S870="CONFIRMED: NO MODS &gt; 1YR","CONFIRMED: NO MODS &gt; 1YR","DO NOT DELETE — not defensibly confirmed"),IF($Q870="HOLD","DO NOT DELETE — HOLD (Charlie review)",IF($Q870="KEEP","DO NOT DELETE — KEEP",IF(ISNUMBER(SEARCH("REVIEW",$Q870)),"DO NOT DELETE — REVIEW pending",$S870))))</f>
        <v>DO NOT DELETE — REVIEW pending</v>
      </c>
      <c r="Q870" t="str" cm="1">
        <f t="array" ref="Q870">_xlfn.IFS(AND($A870="thg-beauty",ISNUMBER(SEARCH("liveramp",$C870))),"DELETE",$A870="agile-bonbon-662",_xlfn.IFS(LEFT($G870,9)="Tranche 1","DELETE",$C870="Sessions_Level_1_All_Sites","KEEP",ISNUMBER(--$C870),"REVIEW — UA raw logs",$C870="Emag_Reporting","KEEP",$C870="Nutrition_Data_Archived_Tables","KEEP",$C870="EU_Data","KEEP",TRUE,"REVIEW"),OR($A870="thg-influencer",$A870="thg-ingenuity",$A870="thg-central-marketing",$A870="thg-seoclarity"),"HOLD",TRUE,"")</f>
        <v>REVIEW — UA raw logs</v>
      </c>
      <c r="R870" t="str" cm="1">
        <f t="array" ref="R870">_xlfn.IFS(AND($A870="thg-beauty",ISNUMBER(SEARCH("liveramp",$C870))),"thg-beauty Liveramp dataset — confirmed safe to delete",$A870="agile-bonbon-662",_xlfn.IFS(LEFT($G870,9)="Tranche 1","Tranche 1: cleared",$C870="Sessions_Level_1_All_Sites","Downstream aggregation of UA raw logs — keep if raw tables go",ISNUMBER(--$C870),"UA raw site logs (account ID) — keep pending audit-retention check",$C870="Emag_Reporting","Legacy but likely needed",$C870="Nutrition_Data_Archived_Tables","Worth keeping",$C870="EU_Data","Static lookup tables — scripts still reference (smoke-test risk)",TRUE,"Review"),OR($A870="thg-influencer",$A870="thg-ingenuity",$A870="thg-central-marketing",$A870="thg-seoclarity"),"HOLD — Charlie Stringer to review before deletion",TRUE,"")</f>
        <v>UA raw site logs (account ID) — keep pending audit-retention check</v>
      </c>
      <c r="S870" t="s">
        <v>1624</v>
      </c>
    </row>
    <row r="871" spans="1:19" ht="45.75" hidden="1">
      <c r="A871" t="s">
        <v>89</v>
      </c>
      <c r="B871" t="s">
        <v>1619</v>
      </c>
      <c r="C871" t="s">
        <v>178</v>
      </c>
      <c r="D871" s="2" t="s">
        <v>1621</v>
      </c>
      <c r="E871">
        <v>11047.96</v>
      </c>
      <c r="F871">
        <v>220.96</v>
      </c>
      <c r="G871" t="s">
        <v>63</v>
      </c>
      <c r="H871" t="s">
        <v>3328</v>
      </c>
      <c r="I871">
        <v>35</v>
      </c>
      <c r="J871">
        <v>752</v>
      </c>
      <c r="K871" s="5">
        <v>46161.611149861114</v>
      </c>
      <c r="M871" s="2" t="s">
        <v>3397</v>
      </c>
      <c r="N871" s="2" t="s">
        <v>1701</v>
      </c>
      <c r="O871" s="5">
        <v>45445.386320486112</v>
      </c>
      <c r="P871" t="str">
        <f>IF($Q871="DELETE",IF($S871="CONFIRMED: NO MODS &gt; 1YR","CONFIRMED: NO MODS &gt; 1YR","DO NOT DELETE — not defensibly confirmed"),IF($Q871="HOLD","DO NOT DELETE — HOLD (Charlie review)",IF($Q871="KEEP","DO NOT DELETE — KEEP",IF(ISNUMBER(SEARCH("REVIEW",$Q871)),"DO NOT DELETE — REVIEW pending",$S871))))</f>
        <v>DO NOT DELETE — REVIEW pending</v>
      </c>
      <c r="Q871" t="str" cm="1">
        <f t="array" ref="Q871">_xlfn.IFS(AND($A871="thg-beauty",ISNUMBER(SEARCH("liveramp",$C871))),"DELETE",$A871="agile-bonbon-662",_xlfn.IFS(LEFT($G871,9)="Tranche 1","DELETE",$C871="Sessions_Level_1_All_Sites","KEEP",ISNUMBER(--$C871),"REVIEW — UA raw logs",$C871="Emag_Reporting","KEEP",$C871="Nutrition_Data_Archived_Tables","KEEP",$C871="EU_Data","KEEP",TRUE,"REVIEW"),OR($A871="thg-influencer",$A871="thg-ingenuity",$A871="thg-central-marketing",$A871="thg-seoclarity"),"HOLD",TRUE,"")</f>
        <v>REVIEW</v>
      </c>
      <c r="R871" t="str" cm="1">
        <f t="array" ref="R871">_xlfn.IFS(AND($A871="thg-beauty",ISNUMBER(SEARCH("liveramp",$C871))),"thg-beauty Liveramp dataset — confirmed safe to delete",$A871="agile-bonbon-662",_xlfn.IFS(LEFT($G871,9)="Tranche 1","Tranche 1: cleared",$C871="Sessions_Level_1_All_Sites","Downstream aggregation of UA raw logs — keep if raw tables go",ISNUMBER(--$C871),"UA raw site logs (account ID) — keep pending audit-retention check",$C871="Emag_Reporting","Legacy but likely needed",$C871="Nutrition_Data_Archived_Tables","Worth keeping",$C871="EU_Data","Static lookup tables — scripts still reference (smoke-test risk)",TRUE,"Review"),OR($A871="thg-influencer",$A871="thg-ingenuity",$A871="thg-central-marketing",$A871="thg-seoclarity"),"HOLD — Charlie Stringer to review before deletion",TRUE,"")</f>
        <v>Review</v>
      </c>
      <c r="S871" t="s">
        <v>1624</v>
      </c>
    </row>
    <row r="872" spans="1:19" ht="45.75" hidden="1">
      <c r="A872" t="s">
        <v>89</v>
      </c>
      <c r="B872" t="s">
        <v>1619</v>
      </c>
      <c r="C872" t="s">
        <v>197</v>
      </c>
      <c r="D872" s="2" t="s">
        <v>1621</v>
      </c>
      <c r="E872">
        <v>6813.38</v>
      </c>
      <c r="F872">
        <v>136.27000000000001</v>
      </c>
      <c r="G872" t="s">
        <v>63</v>
      </c>
      <c r="H872" t="s">
        <v>3328</v>
      </c>
      <c r="I872">
        <v>35</v>
      </c>
      <c r="J872">
        <v>1718</v>
      </c>
      <c r="K872" s="5">
        <v>46161.589778067129</v>
      </c>
      <c r="M872" s="2" t="s">
        <v>3402</v>
      </c>
      <c r="N872" s="2" t="s">
        <v>1701</v>
      </c>
      <c r="O872" s="5">
        <v>44478.67019921296</v>
      </c>
      <c r="P872" t="str">
        <f>IF($Q872="DELETE",IF($S872="CONFIRMED: NO MODS &gt; 1YR","CONFIRMED: NO MODS &gt; 1YR","DO NOT DELETE — not defensibly confirmed"),IF($Q872="HOLD","DO NOT DELETE — HOLD (Charlie review)",IF($Q872="KEEP","DO NOT DELETE — KEEP",IF(ISNUMBER(SEARCH("REVIEW",$Q872)),"DO NOT DELETE — REVIEW pending",$S872))))</f>
        <v>DO NOT DELETE — REVIEW pending</v>
      </c>
      <c r="Q872" t="str" cm="1">
        <f t="array" ref="Q872">_xlfn.IFS(AND($A872="thg-beauty",ISNUMBER(SEARCH("liveramp",$C872))),"DELETE",$A872="agile-bonbon-662",_xlfn.IFS(LEFT($G872,9)="Tranche 1","DELETE",$C872="Sessions_Level_1_All_Sites","KEEP",ISNUMBER(--$C872),"REVIEW — UA raw logs",$C872="Emag_Reporting","KEEP",$C872="Nutrition_Data_Archived_Tables","KEEP",$C872="EU_Data","KEEP",TRUE,"REVIEW"),OR($A872="thg-influencer",$A872="thg-ingenuity",$A872="thg-central-marketing",$A872="thg-seoclarity"),"HOLD",TRUE,"")</f>
        <v>REVIEW — UA raw logs</v>
      </c>
      <c r="R872" t="str" cm="1">
        <f t="array" ref="R872">_xlfn.IFS(AND($A872="thg-beauty",ISNUMBER(SEARCH("liveramp",$C872))),"thg-beauty Liveramp dataset — confirmed safe to delete",$A872="agile-bonbon-662",_xlfn.IFS(LEFT($G872,9)="Tranche 1","Tranche 1: cleared",$C872="Sessions_Level_1_All_Sites","Downstream aggregation of UA raw logs — keep if raw tables go",ISNUMBER(--$C872),"UA raw site logs (account ID) — keep pending audit-retention check",$C872="Emag_Reporting","Legacy but likely needed",$C872="Nutrition_Data_Archived_Tables","Worth keeping",$C872="EU_Data","Static lookup tables — scripts still reference (smoke-test risk)",TRUE,"Review"),OR($A872="thg-influencer",$A872="thg-ingenuity",$A872="thg-central-marketing",$A872="thg-seoclarity"),"HOLD — Charlie Stringer to review before deletion",TRUE,"")</f>
        <v>UA raw site logs (account ID) — keep pending audit-retention check</v>
      </c>
      <c r="S872" t="s">
        <v>1624</v>
      </c>
    </row>
    <row r="873" spans="1:19" ht="45.75" hidden="1">
      <c r="A873" t="s">
        <v>89</v>
      </c>
      <c r="B873" t="s">
        <v>1619</v>
      </c>
      <c r="C873" t="s">
        <v>202</v>
      </c>
      <c r="D873" s="2" t="s">
        <v>1621</v>
      </c>
      <c r="E873">
        <v>6330.22</v>
      </c>
      <c r="F873">
        <v>126.6</v>
      </c>
      <c r="G873" t="s">
        <v>63</v>
      </c>
      <c r="H873" t="s">
        <v>3328</v>
      </c>
      <c r="I873">
        <v>35</v>
      </c>
      <c r="J873">
        <v>723</v>
      </c>
      <c r="K873" s="5">
        <v>46161.588654004627</v>
      </c>
      <c r="M873" s="2" t="s">
        <v>3403</v>
      </c>
      <c r="N873" s="2" t="s">
        <v>1701</v>
      </c>
      <c r="O873" s="5">
        <v>45474.274588518521</v>
      </c>
      <c r="P873" t="str">
        <f>IF($Q873="DELETE",IF($S873="CONFIRMED: NO MODS &gt; 1YR","CONFIRMED: NO MODS &gt; 1YR","DO NOT DELETE — not defensibly confirmed"),IF($Q873="HOLD","DO NOT DELETE — HOLD (Charlie review)",IF($Q873="KEEP","DO NOT DELETE — KEEP",IF(ISNUMBER(SEARCH("REVIEW",$Q873)),"DO NOT DELETE — REVIEW pending",$S873))))</f>
        <v>DO NOT DELETE — REVIEW pending</v>
      </c>
      <c r="Q873" t="str" cm="1">
        <f t="array" ref="Q873">_xlfn.IFS(AND($A873="thg-beauty",ISNUMBER(SEARCH("liveramp",$C873))),"DELETE",$A873="agile-bonbon-662",_xlfn.IFS(LEFT($G873,9)="Tranche 1","DELETE",$C873="Sessions_Level_1_All_Sites","KEEP",ISNUMBER(--$C873),"REVIEW — UA raw logs",$C873="Emag_Reporting","KEEP",$C873="Nutrition_Data_Archived_Tables","KEEP",$C873="EU_Data","KEEP",TRUE,"REVIEW"),OR($A873="thg-influencer",$A873="thg-ingenuity",$A873="thg-central-marketing",$A873="thg-seoclarity"),"HOLD",TRUE,"")</f>
        <v>REVIEW — UA raw logs</v>
      </c>
      <c r="R873" t="str" cm="1">
        <f t="array" ref="R873">_xlfn.IFS(AND($A873="thg-beauty",ISNUMBER(SEARCH("liveramp",$C873))),"thg-beauty Liveramp dataset — confirmed safe to delete",$A873="agile-bonbon-662",_xlfn.IFS(LEFT($G873,9)="Tranche 1","Tranche 1: cleared",$C873="Sessions_Level_1_All_Sites","Downstream aggregation of UA raw logs — keep if raw tables go",ISNUMBER(--$C873),"UA raw site logs (account ID) — keep pending audit-retention check",$C873="Emag_Reporting","Legacy but likely needed",$C873="Nutrition_Data_Archived_Tables","Worth keeping",$C873="EU_Data","Static lookup tables — scripts still reference (smoke-test risk)",TRUE,"Review"),OR($A873="thg-influencer",$A873="thg-ingenuity",$A873="thg-central-marketing",$A873="thg-seoclarity"),"HOLD — Charlie Stringer to review before deletion",TRUE,"")</f>
        <v>UA raw site logs (account ID) — keep pending audit-retention check</v>
      </c>
      <c r="S873" t="s">
        <v>1624</v>
      </c>
    </row>
    <row r="874" spans="1:19" ht="76.5" hidden="1">
      <c r="A874" t="s">
        <v>89</v>
      </c>
      <c r="B874" t="s">
        <v>1619</v>
      </c>
      <c r="C874" t="s">
        <v>206</v>
      </c>
      <c r="D874" s="2" t="s">
        <v>1621</v>
      </c>
      <c r="E874">
        <v>6249</v>
      </c>
      <c r="F874">
        <v>124.98</v>
      </c>
      <c r="G874" t="s">
        <v>63</v>
      </c>
      <c r="H874" t="s">
        <v>3328</v>
      </c>
      <c r="I874">
        <v>35</v>
      </c>
      <c r="J874">
        <v>2157</v>
      </c>
      <c r="K874" s="5">
        <v>46161.62322671296</v>
      </c>
      <c r="M874" s="2" t="s">
        <v>3404</v>
      </c>
      <c r="N874" s="2" t="s">
        <v>1701</v>
      </c>
      <c r="O874" s="5">
        <v>44039.642507789351</v>
      </c>
      <c r="P874" t="str">
        <f>IF($Q874="DELETE",IF($S874="CONFIRMED: NO MODS &gt; 1YR","CONFIRMED: NO MODS &gt; 1YR","DO NOT DELETE — not defensibly confirmed"),IF($Q874="HOLD","DO NOT DELETE — HOLD (Charlie review)",IF($Q874="KEEP","DO NOT DELETE — KEEP",IF(ISNUMBER(SEARCH("REVIEW",$Q874)),"DO NOT DELETE — REVIEW pending",$S874))))</f>
        <v>DO NOT DELETE — REVIEW pending</v>
      </c>
      <c r="Q874" t="str" cm="1">
        <f t="array" ref="Q874">_xlfn.IFS(AND($A874="thg-beauty",ISNUMBER(SEARCH("liveramp",$C874))),"DELETE",$A874="agile-bonbon-662",_xlfn.IFS(LEFT($G874,9)="Tranche 1","DELETE",$C874="Sessions_Level_1_All_Sites","KEEP",ISNUMBER(--$C874),"REVIEW — UA raw logs",$C874="Emag_Reporting","KEEP",$C874="Nutrition_Data_Archived_Tables","KEEP",$C874="EU_Data","KEEP",TRUE,"REVIEW"),OR($A874="thg-influencer",$A874="thg-ingenuity",$A874="thg-central-marketing",$A874="thg-seoclarity"),"HOLD",TRUE,"")</f>
        <v>REVIEW</v>
      </c>
      <c r="R874" t="str" cm="1">
        <f t="array" ref="R874">_xlfn.IFS(AND($A874="thg-beauty",ISNUMBER(SEARCH("liveramp",$C874))),"thg-beauty Liveramp dataset — confirmed safe to delete",$A874="agile-bonbon-662",_xlfn.IFS(LEFT($G874,9)="Tranche 1","Tranche 1: cleared",$C874="Sessions_Level_1_All_Sites","Downstream aggregation of UA raw logs — keep if raw tables go",ISNUMBER(--$C874),"UA raw site logs (account ID) — keep pending audit-retention check",$C874="Emag_Reporting","Legacy but likely needed",$C874="Nutrition_Data_Archived_Tables","Worth keeping",$C874="EU_Data","Static lookup tables — scripts still reference (smoke-test risk)",TRUE,"Review"),OR($A874="thg-influencer",$A874="thg-ingenuity",$A874="thg-central-marketing",$A874="thg-seoclarity"),"HOLD — Charlie Stringer to review before deletion",TRUE,"")</f>
        <v>Review</v>
      </c>
      <c r="S874" t="s">
        <v>1624</v>
      </c>
    </row>
    <row r="875" spans="1:19" ht="45.75" hidden="1">
      <c r="A875" t="s">
        <v>89</v>
      </c>
      <c r="B875" t="s">
        <v>1619</v>
      </c>
      <c r="C875" t="s">
        <v>216</v>
      </c>
      <c r="D875" s="2" t="s">
        <v>1621</v>
      </c>
      <c r="E875">
        <v>5686.31</v>
      </c>
      <c r="F875">
        <v>113.73</v>
      </c>
      <c r="G875" t="s">
        <v>63</v>
      </c>
      <c r="H875" t="s">
        <v>3328</v>
      </c>
      <c r="I875">
        <v>35</v>
      </c>
      <c r="J875">
        <v>753</v>
      </c>
      <c r="K875" s="5">
        <v>46161.611137233798</v>
      </c>
      <c r="M875" s="2" t="s">
        <v>3397</v>
      </c>
      <c r="N875" s="2" t="s">
        <v>1701</v>
      </c>
      <c r="O875" s="5">
        <v>45444.393346296303</v>
      </c>
      <c r="P875" t="str">
        <f>IF($Q875="DELETE",IF($S875="CONFIRMED: NO MODS &gt; 1YR","CONFIRMED: NO MODS &gt; 1YR","DO NOT DELETE — not defensibly confirmed"),IF($Q875="HOLD","DO NOT DELETE — HOLD (Charlie review)",IF($Q875="KEEP","DO NOT DELETE — KEEP",IF(ISNUMBER(SEARCH("REVIEW",$Q875)),"DO NOT DELETE — REVIEW pending",$S875))))</f>
        <v>DO NOT DELETE — REVIEW pending</v>
      </c>
      <c r="Q875" t="str" cm="1">
        <f t="array" ref="Q875">_xlfn.IFS(AND($A875="thg-beauty",ISNUMBER(SEARCH("liveramp",$C875))),"DELETE",$A875="agile-bonbon-662",_xlfn.IFS(LEFT($G875,9)="Tranche 1","DELETE",$C875="Sessions_Level_1_All_Sites","KEEP",ISNUMBER(--$C875),"REVIEW — UA raw logs",$C875="Emag_Reporting","KEEP",$C875="Nutrition_Data_Archived_Tables","KEEP",$C875="EU_Data","KEEP",TRUE,"REVIEW"),OR($A875="thg-influencer",$A875="thg-ingenuity",$A875="thg-central-marketing",$A875="thg-seoclarity"),"HOLD",TRUE,"")</f>
        <v>REVIEW</v>
      </c>
      <c r="R875" t="str" cm="1">
        <f t="array" ref="R875">_xlfn.IFS(AND($A875="thg-beauty",ISNUMBER(SEARCH("liveramp",$C875))),"thg-beauty Liveramp dataset — confirmed safe to delete",$A875="agile-bonbon-662",_xlfn.IFS(LEFT($G875,9)="Tranche 1","Tranche 1: cleared",$C875="Sessions_Level_1_All_Sites","Downstream aggregation of UA raw logs — keep if raw tables go",ISNUMBER(--$C875),"UA raw site logs (account ID) — keep pending audit-retention check",$C875="Emag_Reporting","Legacy but likely needed",$C875="Nutrition_Data_Archived_Tables","Worth keeping",$C875="EU_Data","Static lookup tables — scripts still reference (smoke-test risk)",TRUE,"Review"),OR($A875="thg-influencer",$A875="thg-ingenuity",$A875="thg-central-marketing",$A875="thg-seoclarity"),"HOLD — Charlie Stringer to review before deletion",TRUE,"")</f>
        <v>Review</v>
      </c>
      <c r="S875" t="s">
        <v>1624</v>
      </c>
    </row>
    <row r="876" spans="1:19" ht="45.75" hidden="1">
      <c r="A876" t="s">
        <v>89</v>
      </c>
      <c r="B876" t="s">
        <v>1619</v>
      </c>
      <c r="C876" t="s">
        <v>221</v>
      </c>
      <c r="D876" s="2" t="s">
        <v>1621</v>
      </c>
      <c r="E876">
        <v>4422.38</v>
      </c>
      <c r="F876">
        <v>88.45</v>
      </c>
      <c r="G876" t="s">
        <v>63</v>
      </c>
      <c r="H876" t="s">
        <v>3328</v>
      </c>
      <c r="I876">
        <v>35</v>
      </c>
      <c r="J876">
        <v>723</v>
      </c>
      <c r="K876" s="5">
        <v>46161.599180104167</v>
      </c>
      <c r="M876" s="2" t="s">
        <v>3401</v>
      </c>
      <c r="N876" s="2" t="s">
        <v>1701</v>
      </c>
      <c r="O876" s="5">
        <v>45474.262998078702</v>
      </c>
      <c r="P876" t="str">
        <f>IF($Q876="DELETE",IF($S876="CONFIRMED: NO MODS &gt; 1YR","CONFIRMED: NO MODS &gt; 1YR","DO NOT DELETE — not defensibly confirmed"),IF($Q876="HOLD","DO NOT DELETE — HOLD (Charlie review)",IF($Q876="KEEP","DO NOT DELETE — KEEP",IF(ISNUMBER(SEARCH("REVIEW",$Q876)),"DO NOT DELETE — REVIEW pending",$S876))))</f>
        <v>DO NOT DELETE — REVIEW pending</v>
      </c>
      <c r="Q876" t="str" cm="1">
        <f t="array" ref="Q876">_xlfn.IFS(AND($A876="thg-beauty",ISNUMBER(SEARCH("liveramp",$C876))),"DELETE",$A876="agile-bonbon-662",_xlfn.IFS(LEFT($G876,9)="Tranche 1","DELETE",$C876="Sessions_Level_1_All_Sites","KEEP",ISNUMBER(--$C876),"REVIEW — UA raw logs",$C876="Emag_Reporting","KEEP",$C876="Nutrition_Data_Archived_Tables","KEEP",$C876="EU_Data","KEEP",TRUE,"REVIEW"),OR($A876="thg-influencer",$A876="thg-ingenuity",$A876="thg-central-marketing",$A876="thg-seoclarity"),"HOLD",TRUE,"")</f>
        <v>REVIEW — UA raw logs</v>
      </c>
      <c r="R876" t="str" cm="1">
        <f t="array" ref="R876">_xlfn.IFS(AND($A876="thg-beauty",ISNUMBER(SEARCH("liveramp",$C876))),"thg-beauty Liveramp dataset — confirmed safe to delete",$A876="agile-bonbon-662",_xlfn.IFS(LEFT($G876,9)="Tranche 1","Tranche 1: cleared",$C876="Sessions_Level_1_All_Sites","Downstream aggregation of UA raw logs — keep if raw tables go",ISNUMBER(--$C876),"UA raw site logs (account ID) — keep pending audit-retention check",$C876="Emag_Reporting","Legacy but likely needed",$C876="Nutrition_Data_Archived_Tables","Worth keeping",$C876="EU_Data","Static lookup tables — scripts still reference (smoke-test risk)",TRUE,"Review"),OR($A876="thg-influencer",$A876="thg-ingenuity",$A876="thg-central-marketing",$A876="thg-seoclarity"),"HOLD — Charlie Stringer to review before deletion",TRUE,"")</f>
        <v>UA raw site logs (account ID) — keep pending audit-retention check</v>
      </c>
      <c r="S876" t="s">
        <v>1624</v>
      </c>
    </row>
    <row r="877" spans="1:19" ht="45.75" hidden="1">
      <c r="A877" t="s">
        <v>89</v>
      </c>
      <c r="B877" t="s">
        <v>1619</v>
      </c>
      <c r="C877" t="s">
        <v>225</v>
      </c>
      <c r="D877" s="2" t="s">
        <v>1621</v>
      </c>
      <c r="E877">
        <v>4325.4799999999996</v>
      </c>
      <c r="F877">
        <v>86.51</v>
      </c>
      <c r="G877" t="s">
        <v>63</v>
      </c>
      <c r="H877" t="s">
        <v>3328</v>
      </c>
      <c r="I877">
        <v>35</v>
      </c>
      <c r="J877">
        <v>723</v>
      </c>
      <c r="K877" s="5">
        <v>46161.592645196761</v>
      </c>
      <c r="M877" s="2" t="s">
        <v>3405</v>
      </c>
      <c r="N877" s="2" t="s">
        <v>1701</v>
      </c>
      <c r="O877" s="5">
        <v>45474.298707476853</v>
      </c>
      <c r="P877" t="str">
        <f>IF($Q877="DELETE",IF($S877="CONFIRMED: NO MODS &gt; 1YR","CONFIRMED: NO MODS &gt; 1YR","DO NOT DELETE — not defensibly confirmed"),IF($Q877="HOLD","DO NOT DELETE — HOLD (Charlie review)",IF($Q877="KEEP","DO NOT DELETE — KEEP",IF(ISNUMBER(SEARCH("REVIEW",$Q877)),"DO NOT DELETE — REVIEW pending",$S877))))</f>
        <v>DO NOT DELETE — REVIEW pending</v>
      </c>
      <c r="Q877" t="str" cm="1">
        <f t="array" ref="Q877">_xlfn.IFS(AND($A877="thg-beauty",ISNUMBER(SEARCH("liveramp",$C877))),"DELETE",$A877="agile-bonbon-662",_xlfn.IFS(LEFT($G877,9)="Tranche 1","DELETE",$C877="Sessions_Level_1_All_Sites","KEEP",ISNUMBER(--$C877),"REVIEW — UA raw logs",$C877="Emag_Reporting","KEEP",$C877="Nutrition_Data_Archived_Tables","KEEP",$C877="EU_Data","KEEP",TRUE,"REVIEW"),OR($A877="thg-influencer",$A877="thg-ingenuity",$A877="thg-central-marketing",$A877="thg-seoclarity"),"HOLD",TRUE,"")</f>
        <v>REVIEW — UA raw logs</v>
      </c>
      <c r="R877" t="str" cm="1">
        <f t="array" ref="R877">_xlfn.IFS(AND($A877="thg-beauty",ISNUMBER(SEARCH("liveramp",$C877))),"thg-beauty Liveramp dataset — confirmed safe to delete",$A877="agile-bonbon-662",_xlfn.IFS(LEFT($G877,9)="Tranche 1","Tranche 1: cleared",$C877="Sessions_Level_1_All_Sites","Downstream aggregation of UA raw logs — keep if raw tables go",ISNUMBER(--$C877),"UA raw site logs (account ID) — keep pending audit-retention check",$C877="Emag_Reporting","Legacy but likely needed",$C877="Nutrition_Data_Archived_Tables","Worth keeping",$C877="EU_Data","Static lookup tables — scripts still reference (smoke-test risk)",TRUE,"Review"),OR($A877="thg-influencer",$A877="thg-ingenuity",$A877="thg-central-marketing",$A877="thg-seoclarity"),"HOLD — Charlie Stringer to review before deletion",TRUE,"")</f>
        <v>UA raw site logs (account ID) — keep pending audit-retention check</v>
      </c>
      <c r="S877" t="s">
        <v>1624</v>
      </c>
    </row>
    <row r="878" spans="1:19" ht="45.75" hidden="1">
      <c r="A878" t="s">
        <v>89</v>
      </c>
      <c r="B878" t="s">
        <v>1619</v>
      </c>
      <c r="C878" t="s">
        <v>229</v>
      </c>
      <c r="D878" s="2" t="s">
        <v>1621</v>
      </c>
      <c r="E878">
        <v>3863.79</v>
      </c>
      <c r="F878">
        <v>77.28</v>
      </c>
      <c r="G878" t="s">
        <v>63</v>
      </c>
      <c r="H878" t="s">
        <v>3328</v>
      </c>
      <c r="I878">
        <v>35</v>
      </c>
      <c r="J878">
        <v>2191</v>
      </c>
      <c r="K878" s="5">
        <v>46161.604518078697</v>
      </c>
      <c r="M878" s="2" t="s">
        <v>3406</v>
      </c>
      <c r="N878" s="2" t="s">
        <v>1701</v>
      </c>
      <c r="O878" s="5">
        <v>44006.419637071762</v>
      </c>
      <c r="P878" t="str">
        <f>IF($Q878="DELETE",IF($S878="CONFIRMED: NO MODS &gt; 1YR","CONFIRMED: NO MODS &gt; 1YR","DO NOT DELETE — not defensibly confirmed"),IF($Q878="HOLD","DO NOT DELETE — HOLD (Charlie review)",IF($Q878="KEEP","DO NOT DELETE — KEEP",IF(ISNUMBER(SEARCH("REVIEW",$Q878)),"DO NOT DELETE — REVIEW pending",$S878))))</f>
        <v>DO NOT DELETE — REVIEW pending</v>
      </c>
      <c r="Q878" t="str" cm="1">
        <f t="array" ref="Q878">_xlfn.IFS(AND($A878="thg-beauty",ISNUMBER(SEARCH("liveramp",$C878))),"DELETE",$A878="agile-bonbon-662",_xlfn.IFS(LEFT($G878,9)="Tranche 1","DELETE",$C878="Sessions_Level_1_All_Sites","KEEP",ISNUMBER(--$C878),"REVIEW — UA raw logs",$C878="Emag_Reporting","KEEP",$C878="Nutrition_Data_Archived_Tables","KEEP",$C878="EU_Data","KEEP",TRUE,"REVIEW"),OR($A878="thg-influencer",$A878="thg-ingenuity",$A878="thg-central-marketing",$A878="thg-seoclarity"),"HOLD",TRUE,"")</f>
        <v>REVIEW</v>
      </c>
      <c r="R878" t="str" cm="1">
        <f t="array" ref="R878">_xlfn.IFS(AND($A878="thg-beauty",ISNUMBER(SEARCH("liveramp",$C878))),"thg-beauty Liveramp dataset — confirmed safe to delete",$A878="agile-bonbon-662",_xlfn.IFS(LEFT($G878,9)="Tranche 1","Tranche 1: cleared",$C878="Sessions_Level_1_All_Sites","Downstream aggregation of UA raw logs — keep if raw tables go",ISNUMBER(--$C878),"UA raw site logs (account ID) — keep pending audit-retention check",$C878="Emag_Reporting","Legacy but likely needed",$C878="Nutrition_Data_Archived_Tables","Worth keeping",$C878="EU_Data","Static lookup tables — scripts still reference (smoke-test risk)",TRUE,"Review"),OR($A878="thg-influencer",$A878="thg-ingenuity",$A878="thg-central-marketing",$A878="thg-seoclarity"),"HOLD — Charlie Stringer to review before deletion",TRUE,"")</f>
        <v>Review</v>
      </c>
      <c r="S878" t="s">
        <v>1624</v>
      </c>
    </row>
    <row r="879" spans="1:19" ht="45.75" hidden="1">
      <c r="A879" t="s">
        <v>89</v>
      </c>
      <c r="B879" t="s">
        <v>1619</v>
      </c>
      <c r="C879" t="s">
        <v>234</v>
      </c>
      <c r="D879" s="2" t="s">
        <v>1621</v>
      </c>
      <c r="E879">
        <v>3254.43</v>
      </c>
      <c r="F879">
        <v>65.09</v>
      </c>
      <c r="G879" t="s">
        <v>63</v>
      </c>
      <c r="H879" t="s">
        <v>3328</v>
      </c>
      <c r="I879">
        <v>35</v>
      </c>
      <c r="J879">
        <v>723</v>
      </c>
      <c r="K879" s="5">
        <v>46161.598330937501</v>
      </c>
      <c r="M879" s="2" t="s">
        <v>3407</v>
      </c>
      <c r="N879" s="2" t="s">
        <v>1701</v>
      </c>
      <c r="O879" s="5">
        <v>45474.33890771991</v>
      </c>
      <c r="P879" t="str">
        <f>IF($Q879="DELETE",IF($S879="CONFIRMED: NO MODS &gt; 1YR","CONFIRMED: NO MODS &gt; 1YR","DO NOT DELETE — not defensibly confirmed"),IF($Q879="HOLD","DO NOT DELETE — HOLD (Charlie review)",IF($Q879="KEEP","DO NOT DELETE — KEEP",IF(ISNUMBER(SEARCH("REVIEW",$Q879)),"DO NOT DELETE — REVIEW pending",$S879))))</f>
        <v>DO NOT DELETE — REVIEW pending</v>
      </c>
      <c r="Q879" t="str" cm="1">
        <f t="array" ref="Q879">_xlfn.IFS(AND($A879="thg-beauty",ISNUMBER(SEARCH("liveramp",$C879))),"DELETE",$A879="agile-bonbon-662",_xlfn.IFS(LEFT($G879,9)="Tranche 1","DELETE",$C879="Sessions_Level_1_All_Sites","KEEP",ISNUMBER(--$C879),"REVIEW — UA raw logs",$C879="Emag_Reporting","KEEP",$C879="Nutrition_Data_Archived_Tables","KEEP",$C879="EU_Data","KEEP",TRUE,"REVIEW"),OR($A879="thg-influencer",$A879="thg-ingenuity",$A879="thg-central-marketing",$A879="thg-seoclarity"),"HOLD",TRUE,"")</f>
        <v>REVIEW — UA raw logs</v>
      </c>
      <c r="R879" t="str" cm="1">
        <f t="array" ref="R879">_xlfn.IFS(AND($A879="thg-beauty",ISNUMBER(SEARCH("liveramp",$C879))),"thg-beauty Liveramp dataset — confirmed safe to delete",$A879="agile-bonbon-662",_xlfn.IFS(LEFT($G879,9)="Tranche 1","Tranche 1: cleared",$C879="Sessions_Level_1_All_Sites","Downstream aggregation of UA raw logs — keep if raw tables go",ISNUMBER(--$C879),"UA raw site logs (account ID) — keep pending audit-retention check",$C879="Emag_Reporting","Legacy but likely needed",$C879="Nutrition_Data_Archived_Tables","Worth keeping",$C879="EU_Data","Static lookup tables — scripts still reference (smoke-test risk)",TRUE,"Review"),OR($A879="thg-influencer",$A879="thg-ingenuity",$A879="thg-central-marketing",$A879="thg-seoclarity"),"HOLD — Charlie Stringer to review before deletion",TRUE,"")</f>
        <v>UA raw site logs (account ID) — keep pending audit-retention check</v>
      </c>
      <c r="S879" t="s">
        <v>1624</v>
      </c>
    </row>
    <row r="880" spans="1:19" ht="45.75" hidden="1">
      <c r="A880" t="s">
        <v>89</v>
      </c>
      <c r="B880" t="s">
        <v>1619</v>
      </c>
      <c r="C880" t="s">
        <v>238</v>
      </c>
      <c r="D880" s="2" t="s">
        <v>1621</v>
      </c>
      <c r="E880">
        <v>3192.07</v>
      </c>
      <c r="F880">
        <v>63.84</v>
      </c>
      <c r="G880" t="s">
        <v>63</v>
      </c>
      <c r="H880" t="s">
        <v>3328</v>
      </c>
      <c r="I880">
        <v>35</v>
      </c>
      <c r="J880">
        <v>723</v>
      </c>
      <c r="K880" s="5">
        <v>46161.59631685185</v>
      </c>
      <c r="M880" s="2" t="s">
        <v>3408</v>
      </c>
      <c r="N880" s="2" t="s">
        <v>1701</v>
      </c>
      <c r="O880" s="5">
        <v>45474.338039479167</v>
      </c>
      <c r="P880" t="str">
        <f>IF($Q880="DELETE",IF($S880="CONFIRMED: NO MODS &gt; 1YR","CONFIRMED: NO MODS &gt; 1YR","DO NOT DELETE — not defensibly confirmed"),IF($Q880="HOLD","DO NOT DELETE — HOLD (Charlie review)",IF($Q880="KEEP","DO NOT DELETE — KEEP",IF(ISNUMBER(SEARCH("REVIEW",$Q880)),"DO NOT DELETE — REVIEW pending",$S880))))</f>
        <v>DO NOT DELETE — REVIEW pending</v>
      </c>
      <c r="Q880" t="str" cm="1">
        <f t="array" ref="Q880">_xlfn.IFS(AND($A880="thg-beauty",ISNUMBER(SEARCH("liveramp",$C880))),"DELETE",$A880="agile-bonbon-662",_xlfn.IFS(LEFT($G880,9)="Tranche 1","DELETE",$C880="Sessions_Level_1_All_Sites","KEEP",ISNUMBER(--$C880),"REVIEW — UA raw logs",$C880="Emag_Reporting","KEEP",$C880="Nutrition_Data_Archived_Tables","KEEP",$C880="EU_Data","KEEP",TRUE,"REVIEW"),OR($A880="thg-influencer",$A880="thg-ingenuity",$A880="thg-central-marketing",$A880="thg-seoclarity"),"HOLD",TRUE,"")</f>
        <v>REVIEW — UA raw logs</v>
      </c>
      <c r="R880" t="str" cm="1">
        <f t="array" ref="R880">_xlfn.IFS(AND($A880="thg-beauty",ISNUMBER(SEARCH("liveramp",$C880))),"thg-beauty Liveramp dataset — confirmed safe to delete",$A880="agile-bonbon-662",_xlfn.IFS(LEFT($G880,9)="Tranche 1","Tranche 1: cleared",$C880="Sessions_Level_1_All_Sites","Downstream aggregation of UA raw logs — keep if raw tables go",ISNUMBER(--$C880),"UA raw site logs (account ID) — keep pending audit-retention check",$C880="Emag_Reporting","Legacy but likely needed",$C880="Nutrition_Data_Archived_Tables","Worth keeping",$C880="EU_Data","Static lookup tables — scripts still reference (smoke-test risk)",TRUE,"Review"),OR($A880="thg-influencer",$A880="thg-ingenuity",$A880="thg-central-marketing",$A880="thg-seoclarity"),"HOLD — Charlie Stringer to review before deletion",TRUE,"")</f>
        <v>UA raw site logs (account ID) — keep pending audit-retention check</v>
      </c>
      <c r="S880" t="s">
        <v>1624</v>
      </c>
    </row>
    <row r="881" spans="1:19" ht="45.75" hidden="1">
      <c r="A881" t="s">
        <v>89</v>
      </c>
      <c r="B881" t="s">
        <v>1619</v>
      </c>
      <c r="C881" t="s">
        <v>242</v>
      </c>
      <c r="D881" s="2" t="s">
        <v>1621</v>
      </c>
      <c r="E881">
        <v>3041.98</v>
      </c>
      <c r="F881">
        <v>60.84</v>
      </c>
      <c r="G881" t="s">
        <v>63</v>
      </c>
      <c r="H881" t="s">
        <v>3328</v>
      </c>
      <c r="I881">
        <v>35</v>
      </c>
      <c r="J881">
        <v>723</v>
      </c>
      <c r="K881" s="5">
        <v>46161.589116180563</v>
      </c>
      <c r="M881" s="2" t="s">
        <v>3409</v>
      </c>
      <c r="N881" s="2" t="s">
        <v>1701</v>
      </c>
      <c r="O881" s="5">
        <v>45474.336675057872</v>
      </c>
      <c r="P881" t="str">
        <f>IF($Q881="DELETE",IF($S881="CONFIRMED: NO MODS &gt; 1YR","CONFIRMED: NO MODS &gt; 1YR","DO NOT DELETE — not defensibly confirmed"),IF($Q881="HOLD","DO NOT DELETE — HOLD (Charlie review)",IF($Q881="KEEP","DO NOT DELETE — KEEP",IF(ISNUMBER(SEARCH("REVIEW",$Q881)),"DO NOT DELETE — REVIEW pending",$S881))))</f>
        <v>DO NOT DELETE — REVIEW pending</v>
      </c>
      <c r="Q881" t="str" cm="1">
        <f t="array" ref="Q881">_xlfn.IFS(AND($A881="thg-beauty",ISNUMBER(SEARCH("liveramp",$C881))),"DELETE",$A881="agile-bonbon-662",_xlfn.IFS(LEFT($G881,9)="Tranche 1","DELETE",$C881="Sessions_Level_1_All_Sites","KEEP",ISNUMBER(--$C881),"REVIEW — UA raw logs",$C881="Emag_Reporting","KEEP",$C881="Nutrition_Data_Archived_Tables","KEEP",$C881="EU_Data","KEEP",TRUE,"REVIEW"),OR($A881="thg-influencer",$A881="thg-ingenuity",$A881="thg-central-marketing",$A881="thg-seoclarity"),"HOLD",TRUE,"")</f>
        <v>REVIEW — UA raw logs</v>
      </c>
      <c r="R881" t="str" cm="1">
        <f t="array" ref="R881">_xlfn.IFS(AND($A881="thg-beauty",ISNUMBER(SEARCH("liveramp",$C881))),"thg-beauty Liveramp dataset — confirmed safe to delete",$A881="agile-bonbon-662",_xlfn.IFS(LEFT($G881,9)="Tranche 1","Tranche 1: cleared",$C881="Sessions_Level_1_All_Sites","Downstream aggregation of UA raw logs — keep if raw tables go",ISNUMBER(--$C881),"UA raw site logs (account ID) — keep pending audit-retention check",$C881="Emag_Reporting","Legacy but likely needed",$C881="Nutrition_Data_Archived_Tables","Worth keeping",$C881="EU_Data","Static lookup tables — scripts still reference (smoke-test risk)",TRUE,"Review"),OR($A881="thg-influencer",$A881="thg-ingenuity",$A881="thg-central-marketing",$A881="thg-seoclarity"),"HOLD — Charlie Stringer to review before deletion",TRUE,"")</f>
        <v>UA raw site logs (account ID) — keep pending audit-retention check</v>
      </c>
      <c r="S881" t="s">
        <v>1624</v>
      </c>
    </row>
    <row r="882" spans="1:19" ht="45.75" hidden="1">
      <c r="A882" t="s">
        <v>89</v>
      </c>
      <c r="B882" t="s">
        <v>1619</v>
      </c>
      <c r="C882" t="s">
        <v>246</v>
      </c>
      <c r="D882" s="2" t="s">
        <v>1621</v>
      </c>
      <c r="E882">
        <v>2997.05</v>
      </c>
      <c r="F882">
        <v>59.94</v>
      </c>
      <c r="G882" t="s">
        <v>63</v>
      </c>
      <c r="H882" t="s">
        <v>3328</v>
      </c>
      <c r="I882">
        <v>35</v>
      </c>
      <c r="J882">
        <v>723</v>
      </c>
      <c r="K882" s="5">
        <v>46161.595799583331</v>
      </c>
      <c r="M882" s="2" t="s">
        <v>3410</v>
      </c>
      <c r="N882" s="2" t="s">
        <v>1701</v>
      </c>
      <c r="O882" s="5">
        <v>45474.260562280091</v>
      </c>
      <c r="P882" t="str">
        <f>IF($Q882="DELETE",IF($S882="CONFIRMED: NO MODS &gt; 1YR","CONFIRMED: NO MODS &gt; 1YR","DO NOT DELETE — not defensibly confirmed"),IF($Q882="HOLD","DO NOT DELETE — HOLD (Charlie review)",IF($Q882="KEEP","DO NOT DELETE — KEEP",IF(ISNUMBER(SEARCH("REVIEW",$Q882)),"DO NOT DELETE — REVIEW pending",$S882))))</f>
        <v>DO NOT DELETE — REVIEW pending</v>
      </c>
      <c r="Q882" t="str" cm="1">
        <f t="array" ref="Q882">_xlfn.IFS(AND($A882="thg-beauty",ISNUMBER(SEARCH("liveramp",$C882))),"DELETE",$A882="agile-bonbon-662",_xlfn.IFS(LEFT($G882,9)="Tranche 1","DELETE",$C882="Sessions_Level_1_All_Sites","KEEP",ISNUMBER(--$C882),"REVIEW — UA raw logs",$C882="Emag_Reporting","KEEP",$C882="Nutrition_Data_Archived_Tables","KEEP",$C882="EU_Data","KEEP",TRUE,"REVIEW"),OR($A882="thg-influencer",$A882="thg-ingenuity",$A882="thg-central-marketing",$A882="thg-seoclarity"),"HOLD",TRUE,"")</f>
        <v>REVIEW — UA raw logs</v>
      </c>
      <c r="R882" t="str" cm="1">
        <f t="array" ref="R882">_xlfn.IFS(AND($A882="thg-beauty",ISNUMBER(SEARCH("liveramp",$C882))),"thg-beauty Liveramp dataset — confirmed safe to delete",$A882="agile-bonbon-662",_xlfn.IFS(LEFT($G882,9)="Tranche 1","Tranche 1: cleared",$C882="Sessions_Level_1_All_Sites","Downstream aggregation of UA raw logs — keep if raw tables go",ISNUMBER(--$C882),"UA raw site logs (account ID) — keep pending audit-retention check",$C882="Emag_Reporting","Legacy but likely needed",$C882="Nutrition_Data_Archived_Tables","Worth keeping",$C882="EU_Data","Static lookup tables — scripts still reference (smoke-test risk)",TRUE,"Review"),OR($A882="thg-influencer",$A882="thg-ingenuity",$A882="thg-central-marketing",$A882="thg-seoclarity"),"HOLD — Charlie Stringer to review before deletion",TRUE,"")</f>
        <v>UA raw site logs (account ID) — keep pending audit-retention check</v>
      </c>
      <c r="S882" t="s">
        <v>1624</v>
      </c>
    </row>
    <row r="883" spans="1:19" ht="45.75" hidden="1">
      <c r="A883" t="s">
        <v>89</v>
      </c>
      <c r="B883" t="s">
        <v>1619</v>
      </c>
      <c r="C883" t="s">
        <v>250</v>
      </c>
      <c r="D883" s="2" t="s">
        <v>1621</v>
      </c>
      <c r="E883">
        <v>2963.13</v>
      </c>
      <c r="F883">
        <v>59.26</v>
      </c>
      <c r="G883" t="s">
        <v>63</v>
      </c>
      <c r="H883" t="s">
        <v>3328</v>
      </c>
      <c r="I883">
        <v>35</v>
      </c>
      <c r="J883">
        <v>723</v>
      </c>
      <c r="K883" s="5">
        <v>46161.596229027768</v>
      </c>
      <c r="M883" s="2" t="s">
        <v>3408</v>
      </c>
      <c r="N883" s="2" t="s">
        <v>1701</v>
      </c>
      <c r="O883" s="5">
        <v>45474.337926192129</v>
      </c>
      <c r="P883" t="str">
        <f>IF($Q883="DELETE",IF($S883="CONFIRMED: NO MODS &gt; 1YR","CONFIRMED: NO MODS &gt; 1YR","DO NOT DELETE — not defensibly confirmed"),IF($Q883="HOLD","DO NOT DELETE — HOLD (Charlie review)",IF($Q883="KEEP","DO NOT DELETE — KEEP",IF(ISNUMBER(SEARCH("REVIEW",$Q883)),"DO NOT DELETE — REVIEW pending",$S883))))</f>
        <v>DO NOT DELETE — REVIEW pending</v>
      </c>
      <c r="Q883" t="str" cm="1">
        <f t="array" ref="Q883">_xlfn.IFS(AND($A883="thg-beauty",ISNUMBER(SEARCH("liveramp",$C883))),"DELETE",$A883="agile-bonbon-662",_xlfn.IFS(LEFT($G883,9)="Tranche 1","DELETE",$C883="Sessions_Level_1_All_Sites","KEEP",ISNUMBER(--$C883),"REVIEW — UA raw logs",$C883="Emag_Reporting","KEEP",$C883="Nutrition_Data_Archived_Tables","KEEP",$C883="EU_Data","KEEP",TRUE,"REVIEW"),OR($A883="thg-influencer",$A883="thg-ingenuity",$A883="thg-central-marketing",$A883="thg-seoclarity"),"HOLD",TRUE,"")</f>
        <v>REVIEW — UA raw logs</v>
      </c>
      <c r="R883" t="str" cm="1">
        <f t="array" ref="R883">_xlfn.IFS(AND($A883="thg-beauty",ISNUMBER(SEARCH("liveramp",$C883))),"thg-beauty Liveramp dataset — confirmed safe to delete",$A883="agile-bonbon-662",_xlfn.IFS(LEFT($G883,9)="Tranche 1","Tranche 1: cleared",$C883="Sessions_Level_1_All_Sites","Downstream aggregation of UA raw logs — keep if raw tables go",ISNUMBER(--$C883),"UA raw site logs (account ID) — keep pending audit-retention check",$C883="Emag_Reporting","Legacy but likely needed",$C883="Nutrition_Data_Archived_Tables","Worth keeping",$C883="EU_Data","Static lookup tables — scripts still reference (smoke-test risk)",TRUE,"Review"),OR($A883="thg-influencer",$A883="thg-ingenuity",$A883="thg-central-marketing",$A883="thg-seoclarity"),"HOLD — Charlie Stringer to review before deletion",TRUE,"")</f>
        <v>UA raw site logs (account ID) — keep pending audit-retention check</v>
      </c>
      <c r="S883" t="s">
        <v>1624</v>
      </c>
    </row>
    <row r="884" spans="1:19" ht="45.75" hidden="1">
      <c r="A884" t="s">
        <v>89</v>
      </c>
      <c r="B884" t="s">
        <v>1619</v>
      </c>
      <c r="C884" t="s">
        <v>254</v>
      </c>
      <c r="D884" s="2" t="s">
        <v>1621</v>
      </c>
      <c r="E884">
        <v>2730.9</v>
      </c>
      <c r="F884">
        <v>54.62</v>
      </c>
      <c r="G884" t="s">
        <v>63</v>
      </c>
      <c r="H884" t="s">
        <v>3328</v>
      </c>
      <c r="I884">
        <v>35</v>
      </c>
      <c r="J884">
        <v>723</v>
      </c>
      <c r="K884" s="5">
        <v>46161.596645648147</v>
      </c>
      <c r="M884" s="2" t="s">
        <v>3411</v>
      </c>
      <c r="N884" s="2" t="s">
        <v>1701</v>
      </c>
      <c r="O884" s="5">
        <v>45474.338093356477</v>
      </c>
      <c r="P884" t="str">
        <f>IF($Q884="DELETE",IF($S884="CONFIRMED: NO MODS &gt; 1YR","CONFIRMED: NO MODS &gt; 1YR","DO NOT DELETE — not defensibly confirmed"),IF($Q884="HOLD","DO NOT DELETE — HOLD (Charlie review)",IF($Q884="KEEP","DO NOT DELETE — KEEP",IF(ISNUMBER(SEARCH("REVIEW",$Q884)),"DO NOT DELETE — REVIEW pending",$S884))))</f>
        <v>DO NOT DELETE — REVIEW pending</v>
      </c>
      <c r="Q884" t="str" cm="1">
        <f t="array" ref="Q884">_xlfn.IFS(AND($A884="thg-beauty",ISNUMBER(SEARCH("liveramp",$C884))),"DELETE",$A884="agile-bonbon-662",_xlfn.IFS(LEFT($G884,9)="Tranche 1","DELETE",$C884="Sessions_Level_1_All_Sites","KEEP",ISNUMBER(--$C884),"REVIEW — UA raw logs",$C884="Emag_Reporting","KEEP",$C884="Nutrition_Data_Archived_Tables","KEEP",$C884="EU_Data","KEEP",TRUE,"REVIEW"),OR($A884="thg-influencer",$A884="thg-ingenuity",$A884="thg-central-marketing",$A884="thg-seoclarity"),"HOLD",TRUE,"")</f>
        <v>REVIEW — UA raw logs</v>
      </c>
      <c r="R884" t="str" cm="1">
        <f t="array" ref="R884">_xlfn.IFS(AND($A884="thg-beauty",ISNUMBER(SEARCH("liveramp",$C884))),"thg-beauty Liveramp dataset — confirmed safe to delete",$A884="agile-bonbon-662",_xlfn.IFS(LEFT($G884,9)="Tranche 1","Tranche 1: cleared",$C884="Sessions_Level_1_All_Sites","Downstream aggregation of UA raw logs — keep if raw tables go",ISNUMBER(--$C884),"UA raw site logs (account ID) — keep pending audit-retention check",$C884="Emag_Reporting","Legacy but likely needed",$C884="Nutrition_Data_Archived_Tables","Worth keeping",$C884="EU_Data","Static lookup tables — scripts still reference (smoke-test risk)",TRUE,"Review"),OR($A884="thg-influencer",$A884="thg-ingenuity",$A884="thg-central-marketing",$A884="thg-seoclarity"),"HOLD — Charlie Stringer to review before deletion",TRUE,"")</f>
        <v>UA raw site logs (account ID) — keep pending audit-retention check</v>
      </c>
      <c r="S884" t="s">
        <v>1624</v>
      </c>
    </row>
    <row r="885" spans="1:19" ht="45.75" hidden="1">
      <c r="A885" t="s">
        <v>89</v>
      </c>
      <c r="B885" t="s">
        <v>1619</v>
      </c>
      <c r="C885" t="s">
        <v>263</v>
      </c>
      <c r="D885" s="2" t="s">
        <v>1621</v>
      </c>
      <c r="E885">
        <v>2238.73</v>
      </c>
      <c r="F885">
        <v>44.77</v>
      </c>
      <c r="G885" t="s">
        <v>63</v>
      </c>
      <c r="H885" t="s">
        <v>3328</v>
      </c>
      <c r="I885">
        <v>35</v>
      </c>
      <c r="J885">
        <v>723</v>
      </c>
      <c r="K885" s="5">
        <v>46161.596505740737</v>
      </c>
      <c r="M885" s="2" t="s">
        <v>3412</v>
      </c>
      <c r="N885" s="2" t="s">
        <v>1701</v>
      </c>
      <c r="O885" s="5">
        <v>45474.260694328703</v>
      </c>
      <c r="P885" t="str">
        <f>IF($Q885="DELETE",IF($S885="CONFIRMED: NO MODS &gt; 1YR","CONFIRMED: NO MODS &gt; 1YR","DO NOT DELETE — not defensibly confirmed"),IF($Q885="HOLD","DO NOT DELETE — HOLD (Charlie review)",IF($Q885="KEEP","DO NOT DELETE — KEEP",IF(ISNUMBER(SEARCH("REVIEW",$Q885)),"DO NOT DELETE — REVIEW pending",$S885))))</f>
        <v>DO NOT DELETE — REVIEW pending</v>
      </c>
      <c r="Q885" t="str" cm="1">
        <f t="array" ref="Q885">_xlfn.IFS(AND($A885="thg-beauty",ISNUMBER(SEARCH("liveramp",$C885))),"DELETE",$A885="agile-bonbon-662",_xlfn.IFS(LEFT($G885,9)="Tranche 1","DELETE",$C885="Sessions_Level_1_All_Sites","KEEP",ISNUMBER(--$C885),"REVIEW — UA raw logs",$C885="Emag_Reporting","KEEP",$C885="Nutrition_Data_Archived_Tables","KEEP",$C885="EU_Data","KEEP",TRUE,"REVIEW"),OR($A885="thg-influencer",$A885="thg-ingenuity",$A885="thg-central-marketing",$A885="thg-seoclarity"),"HOLD",TRUE,"")</f>
        <v>REVIEW — UA raw logs</v>
      </c>
      <c r="R885" t="str" cm="1">
        <f t="array" ref="R885">_xlfn.IFS(AND($A885="thg-beauty",ISNUMBER(SEARCH("liveramp",$C885))),"thg-beauty Liveramp dataset — confirmed safe to delete",$A885="agile-bonbon-662",_xlfn.IFS(LEFT($G885,9)="Tranche 1","Tranche 1: cleared",$C885="Sessions_Level_1_All_Sites","Downstream aggregation of UA raw logs — keep if raw tables go",ISNUMBER(--$C885),"UA raw site logs (account ID) — keep pending audit-retention check",$C885="Emag_Reporting","Legacy but likely needed",$C885="Nutrition_Data_Archived_Tables","Worth keeping",$C885="EU_Data","Static lookup tables — scripts still reference (smoke-test risk)",TRUE,"Review"),OR($A885="thg-influencer",$A885="thg-ingenuity",$A885="thg-central-marketing",$A885="thg-seoclarity"),"HOLD — Charlie Stringer to review before deletion",TRUE,"")</f>
        <v>UA raw site logs (account ID) — keep pending audit-retention check</v>
      </c>
      <c r="S885" t="s">
        <v>1624</v>
      </c>
    </row>
    <row r="886" spans="1:19" ht="45.75" hidden="1">
      <c r="A886" t="s">
        <v>89</v>
      </c>
      <c r="B886" t="s">
        <v>1619</v>
      </c>
      <c r="C886" t="s">
        <v>272</v>
      </c>
      <c r="D886" s="2" t="s">
        <v>1621</v>
      </c>
      <c r="E886">
        <v>2098.62</v>
      </c>
      <c r="F886">
        <v>41.97</v>
      </c>
      <c r="G886" t="s">
        <v>63</v>
      </c>
      <c r="H886" t="s">
        <v>3328</v>
      </c>
      <c r="I886">
        <v>35</v>
      </c>
      <c r="J886">
        <v>723</v>
      </c>
      <c r="K886" s="5">
        <v>46161.592679872687</v>
      </c>
      <c r="M886" s="2" t="s">
        <v>3405</v>
      </c>
      <c r="N886" s="2" t="s">
        <v>1701</v>
      </c>
      <c r="O886" s="5">
        <v>45474.29749164352</v>
      </c>
      <c r="P886" t="str">
        <f>IF($Q886="DELETE",IF($S886="CONFIRMED: NO MODS &gt; 1YR","CONFIRMED: NO MODS &gt; 1YR","DO NOT DELETE — not defensibly confirmed"),IF($Q886="HOLD","DO NOT DELETE — HOLD (Charlie review)",IF($Q886="KEEP","DO NOT DELETE — KEEP",IF(ISNUMBER(SEARCH("REVIEW",$Q886)),"DO NOT DELETE — REVIEW pending",$S886))))</f>
        <v>DO NOT DELETE — REVIEW pending</v>
      </c>
      <c r="Q886" t="str" cm="1">
        <f t="array" ref="Q886">_xlfn.IFS(AND($A886="thg-beauty",ISNUMBER(SEARCH("liveramp",$C886))),"DELETE",$A886="agile-bonbon-662",_xlfn.IFS(LEFT($G886,9)="Tranche 1","DELETE",$C886="Sessions_Level_1_All_Sites","KEEP",ISNUMBER(--$C886),"REVIEW — UA raw logs",$C886="Emag_Reporting","KEEP",$C886="Nutrition_Data_Archived_Tables","KEEP",$C886="EU_Data","KEEP",TRUE,"REVIEW"),OR($A886="thg-influencer",$A886="thg-ingenuity",$A886="thg-central-marketing",$A886="thg-seoclarity"),"HOLD",TRUE,"")</f>
        <v>REVIEW — UA raw logs</v>
      </c>
      <c r="R886" t="str" cm="1">
        <f t="array" ref="R886">_xlfn.IFS(AND($A886="thg-beauty",ISNUMBER(SEARCH("liveramp",$C886))),"thg-beauty Liveramp dataset — confirmed safe to delete",$A886="agile-bonbon-662",_xlfn.IFS(LEFT($G886,9)="Tranche 1","Tranche 1: cleared",$C886="Sessions_Level_1_All_Sites","Downstream aggregation of UA raw logs — keep if raw tables go",ISNUMBER(--$C886),"UA raw site logs (account ID) — keep pending audit-retention check",$C886="Emag_Reporting","Legacy but likely needed",$C886="Nutrition_Data_Archived_Tables","Worth keeping",$C886="EU_Data","Static lookup tables — scripts still reference (smoke-test risk)",TRUE,"Review"),OR($A886="thg-influencer",$A886="thg-ingenuity",$A886="thg-central-marketing",$A886="thg-seoclarity"),"HOLD — Charlie Stringer to review before deletion",TRUE,"")</f>
        <v>UA raw site logs (account ID) — keep pending audit-retention check</v>
      </c>
      <c r="S886" t="s">
        <v>1624</v>
      </c>
    </row>
    <row r="887" spans="1:19" ht="45.75" hidden="1">
      <c r="A887" t="s">
        <v>89</v>
      </c>
      <c r="B887" t="s">
        <v>1619</v>
      </c>
      <c r="C887" t="s">
        <v>276</v>
      </c>
      <c r="D887" s="2" t="s">
        <v>1621</v>
      </c>
      <c r="E887">
        <v>1763.82</v>
      </c>
      <c r="F887">
        <v>35.28</v>
      </c>
      <c r="G887" t="s">
        <v>63</v>
      </c>
      <c r="H887" t="s">
        <v>3328</v>
      </c>
      <c r="I887">
        <v>35</v>
      </c>
      <c r="J887">
        <v>723</v>
      </c>
      <c r="K887" s="5">
        <v>46161.588399293978</v>
      </c>
      <c r="M887" s="2" t="s">
        <v>3403</v>
      </c>
      <c r="N887" s="2" t="s">
        <v>1701</v>
      </c>
      <c r="O887" s="5">
        <v>45474.274238043981</v>
      </c>
      <c r="P887" t="str">
        <f>IF($Q887="DELETE",IF($S887="CONFIRMED: NO MODS &gt; 1YR","CONFIRMED: NO MODS &gt; 1YR","DO NOT DELETE — not defensibly confirmed"),IF($Q887="HOLD","DO NOT DELETE — HOLD (Charlie review)",IF($Q887="KEEP","DO NOT DELETE — KEEP",IF(ISNUMBER(SEARCH("REVIEW",$Q887)),"DO NOT DELETE — REVIEW pending",$S887))))</f>
        <v>DO NOT DELETE — REVIEW pending</v>
      </c>
      <c r="Q887" t="str" cm="1">
        <f t="array" ref="Q887">_xlfn.IFS(AND($A887="thg-beauty",ISNUMBER(SEARCH("liveramp",$C887))),"DELETE",$A887="agile-bonbon-662",_xlfn.IFS(LEFT($G887,9)="Tranche 1","DELETE",$C887="Sessions_Level_1_All_Sites","KEEP",ISNUMBER(--$C887),"REVIEW — UA raw logs",$C887="Emag_Reporting","KEEP",$C887="Nutrition_Data_Archived_Tables","KEEP",$C887="EU_Data","KEEP",TRUE,"REVIEW"),OR($A887="thg-influencer",$A887="thg-ingenuity",$A887="thg-central-marketing",$A887="thg-seoclarity"),"HOLD",TRUE,"")</f>
        <v>REVIEW — UA raw logs</v>
      </c>
      <c r="R887" t="str" cm="1">
        <f t="array" ref="R887">_xlfn.IFS(AND($A887="thg-beauty",ISNUMBER(SEARCH("liveramp",$C887))),"thg-beauty Liveramp dataset — confirmed safe to delete",$A887="agile-bonbon-662",_xlfn.IFS(LEFT($G887,9)="Tranche 1","Tranche 1: cleared",$C887="Sessions_Level_1_All_Sites","Downstream aggregation of UA raw logs — keep if raw tables go",ISNUMBER(--$C887),"UA raw site logs (account ID) — keep pending audit-retention check",$C887="Emag_Reporting","Legacy but likely needed",$C887="Nutrition_Data_Archived_Tables","Worth keeping",$C887="EU_Data","Static lookup tables — scripts still reference (smoke-test risk)",TRUE,"Review"),OR($A887="thg-influencer",$A887="thg-ingenuity",$A887="thg-central-marketing",$A887="thg-seoclarity"),"HOLD — Charlie Stringer to review before deletion",TRUE,"")</f>
        <v>UA raw site logs (account ID) — keep pending audit-retention check</v>
      </c>
      <c r="S887" t="s">
        <v>1624</v>
      </c>
    </row>
    <row r="888" spans="1:19" ht="45.75" hidden="1">
      <c r="A888" t="s">
        <v>89</v>
      </c>
      <c r="B888" t="s">
        <v>1619</v>
      </c>
      <c r="C888" t="s">
        <v>285</v>
      </c>
      <c r="D888" s="2" t="s">
        <v>1621</v>
      </c>
      <c r="E888">
        <v>1535.75</v>
      </c>
      <c r="F888">
        <v>30.72</v>
      </c>
      <c r="G888" t="s">
        <v>63</v>
      </c>
      <c r="H888" t="s">
        <v>3328</v>
      </c>
      <c r="I888">
        <v>35</v>
      </c>
      <c r="J888">
        <v>723</v>
      </c>
      <c r="K888" s="5">
        <v>46161.595846226854</v>
      </c>
      <c r="M888" s="2" t="s">
        <v>3408</v>
      </c>
      <c r="N888" s="2" t="s">
        <v>1701</v>
      </c>
      <c r="O888" s="5">
        <v>45474.260555370369</v>
      </c>
      <c r="P888" t="str">
        <f>IF($Q888="DELETE",IF($S888="CONFIRMED: NO MODS &gt; 1YR","CONFIRMED: NO MODS &gt; 1YR","DO NOT DELETE — not defensibly confirmed"),IF($Q888="HOLD","DO NOT DELETE — HOLD (Charlie review)",IF($Q888="KEEP","DO NOT DELETE — KEEP",IF(ISNUMBER(SEARCH("REVIEW",$Q888)),"DO NOT DELETE — REVIEW pending",$S888))))</f>
        <v>DO NOT DELETE — REVIEW pending</v>
      </c>
      <c r="Q888" t="str" cm="1">
        <f t="array" ref="Q888">_xlfn.IFS(AND($A888="thg-beauty",ISNUMBER(SEARCH("liveramp",$C888))),"DELETE",$A888="agile-bonbon-662",_xlfn.IFS(LEFT($G888,9)="Tranche 1","DELETE",$C888="Sessions_Level_1_All_Sites","KEEP",ISNUMBER(--$C888),"REVIEW — UA raw logs",$C888="Emag_Reporting","KEEP",$C888="Nutrition_Data_Archived_Tables","KEEP",$C888="EU_Data","KEEP",TRUE,"REVIEW"),OR($A888="thg-influencer",$A888="thg-ingenuity",$A888="thg-central-marketing",$A888="thg-seoclarity"),"HOLD",TRUE,"")</f>
        <v>REVIEW — UA raw logs</v>
      </c>
      <c r="R888" t="str" cm="1">
        <f t="array" ref="R888">_xlfn.IFS(AND($A888="thg-beauty",ISNUMBER(SEARCH("liveramp",$C888))),"thg-beauty Liveramp dataset — confirmed safe to delete",$A888="agile-bonbon-662",_xlfn.IFS(LEFT($G888,9)="Tranche 1","Tranche 1: cleared",$C888="Sessions_Level_1_All_Sites","Downstream aggregation of UA raw logs — keep if raw tables go",ISNUMBER(--$C888),"UA raw site logs (account ID) — keep pending audit-retention check",$C888="Emag_Reporting","Legacy but likely needed",$C888="Nutrition_Data_Archived_Tables","Worth keeping",$C888="EU_Data","Static lookup tables — scripts still reference (smoke-test risk)",TRUE,"Review"),OR($A888="thg-influencer",$A888="thg-ingenuity",$A888="thg-central-marketing",$A888="thg-seoclarity"),"HOLD — Charlie Stringer to review before deletion",TRUE,"")</f>
        <v>UA raw site logs (account ID) — keep pending audit-retention check</v>
      </c>
      <c r="S888" t="s">
        <v>1624</v>
      </c>
    </row>
    <row r="889" spans="1:19" ht="45.75" hidden="1">
      <c r="A889" t="s">
        <v>89</v>
      </c>
      <c r="B889" t="s">
        <v>1619</v>
      </c>
      <c r="C889" t="s">
        <v>289</v>
      </c>
      <c r="D889" s="2" t="s">
        <v>1621</v>
      </c>
      <c r="E889">
        <v>1292.4000000000001</v>
      </c>
      <c r="F889">
        <v>25.85</v>
      </c>
      <c r="G889" t="s">
        <v>63</v>
      </c>
      <c r="H889" t="s">
        <v>3328</v>
      </c>
      <c r="I889">
        <v>35</v>
      </c>
      <c r="J889">
        <v>723</v>
      </c>
      <c r="K889" s="5">
        <v>46161.588100104163</v>
      </c>
      <c r="M889" s="2" t="s">
        <v>3413</v>
      </c>
      <c r="N889" s="2" t="s">
        <v>1701</v>
      </c>
      <c r="O889" s="5">
        <v>45474.274102766212</v>
      </c>
      <c r="P889" t="str">
        <f>IF($Q889="DELETE",IF($S889="CONFIRMED: NO MODS &gt; 1YR","CONFIRMED: NO MODS &gt; 1YR","DO NOT DELETE — not defensibly confirmed"),IF($Q889="HOLD","DO NOT DELETE — HOLD (Charlie review)",IF($Q889="KEEP","DO NOT DELETE — KEEP",IF(ISNUMBER(SEARCH("REVIEW",$Q889)),"DO NOT DELETE — REVIEW pending",$S889))))</f>
        <v>DO NOT DELETE — REVIEW pending</v>
      </c>
      <c r="Q889" t="str" cm="1">
        <f t="array" ref="Q889">_xlfn.IFS(AND($A889="thg-beauty",ISNUMBER(SEARCH("liveramp",$C889))),"DELETE",$A889="agile-bonbon-662",_xlfn.IFS(LEFT($G889,9)="Tranche 1","DELETE",$C889="Sessions_Level_1_All_Sites","KEEP",ISNUMBER(--$C889),"REVIEW — UA raw logs",$C889="Emag_Reporting","KEEP",$C889="Nutrition_Data_Archived_Tables","KEEP",$C889="EU_Data","KEEP",TRUE,"REVIEW"),OR($A889="thg-influencer",$A889="thg-ingenuity",$A889="thg-central-marketing",$A889="thg-seoclarity"),"HOLD",TRUE,"")</f>
        <v>REVIEW — UA raw logs</v>
      </c>
      <c r="R889" t="str" cm="1">
        <f t="array" ref="R889">_xlfn.IFS(AND($A889="thg-beauty",ISNUMBER(SEARCH("liveramp",$C889))),"thg-beauty Liveramp dataset — confirmed safe to delete",$A889="agile-bonbon-662",_xlfn.IFS(LEFT($G889,9)="Tranche 1","Tranche 1: cleared",$C889="Sessions_Level_1_All_Sites","Downstream aggregation of UA raw logs — keep if raw tables go",ISNUMBER(--$C889),"UA raw site logs (account ID) — keep pending audit-retention check",$C889="Emag_Reporting","Legacy but likely needed",$C889="Nutrition_Data_Archived_Tables","Worth keeping",$C889="EU_Data","Static lookup tables — scripts still reference (smoke-test risk)",TRUE,"Review"),OR($A889="thg-influencer",$A889="thg-ingenuity",$A889="thg-central-marketing",$A889="thg-seoclarity"),"HOLD — Charlie Stringer to review before deletion",TRUE,"")</f>
        <v>UA raw site logs (account ID) — keep pending audit-retention check</v>
      </c>
      <c r="S889" t="s">
        <v>1624</v>
      </c>
    </row>
    <row r="890" spans="1:19" ht="45.75" hidden="1">
      <c r="A890" t="s">
        <v>89</v>
      </c>
      <c r="B890" t="s">
        <v>1619</v>
      </c>
      <c r="C890" t="s">
        <v>293</v>
      </c>
      <c r="D890" s="2" t="s">
        <v>1621</v>
      </c>
      <c r="E890">
        <v>1288.44</v>
      </c>
      <c r="F890">
        <v>25.77</v>
      </c>
      <c r="G890" t="s">
        <v>63</v>
      </c>
      <c r="H890" t="s">
        <v>3328</v>
      </c>
      <c r="I890">
        <v>35</v>
      </c>
      <c r="J890">
        <v>723</v>
      </c>
      <c r="K890" s="5">
        <v>46161.585523414353</v>
      </c>
      <c r="M890" s="2" t="s">
        <v>3414</v>
      </c>
      <c r="N890" s="2" t="s">
        <v>1701</v>
      </c>
      <c r="O890" s="5">
        <v>45474.273530810176</v>
      </c>
      <c r="P890" t="str">
        <f>IF($Q890="DELETE",IF($S890="CONFIRMED: NO MODS &gt; 1YR","CONFIRMED: NO MODS &gt; 1YR","DO NOT DELETE — not defensibly confirmed"),IF($Q890="HOLD","DO NOT DELETE — HOLD (Charlie review)",IF($Q890="KEEP","DO NOT DELETE — KEEP",IF(ISNUMBER(SEARCH("REVIEW",$Q890)),"DO NOT DELETE — REVIEW pending",$S890))))</f>
        <v>DO NOT DELETE — REVIEW pending</v>
      </c>
      <c r="Q890" t="str" cm="1">
        <f t="array" ref="Q890">_xlfn.IFS(AND($A890="thg-beauty",ISNUMBER(SEARCH("liveramp",$C890))),"DELETE",$A890="agile-bonbon-662",_xlfn.IFS(LEFT($G890,9)="Tranche 1","DELETE",$C890="Sessions_Level_1_All_Sites","KEEP",ISNUMBER(--$C890),"REVIEW — UA raw logs",$C890="Emag_Reporting","KEEP",$C890="Nutrition_Data_Archived_Tables","KEEP",$C890="EU_Data","KEEP",TRUE,"REVIEW"),OR($A890="thg-influencer",$A890="thg-ingenuity",$A890="thg-central-marketing",$A890="thg-seoclarity"),"HOLD",TRUE,"")</f>
        <v>REVIEW — UA raw logs</v>
      </c>
      <c r="R890" t="str" cm="1">
        <f t="array" ref="R890">_xlfn.IFS(AND($A890="thg-beauty",ISNUMBER(SEARCH("liveramp",$C890))),"thg-beauty Liveramp dataset — confirmed safe to delete",$A890="agile-bonbon-662",_xlfn.IFS(LEFT($G890,9)="Tranche 1","Tranche 1: cleared",$C890="Sessions_Level_1_All_Sites","Downstream aggregation of UA raw logs — keep if raw tables go",ISNUMBER(--$C890),"UA raw site logs (account ID) — keep pending audit-retention check",$C890="Emag_Reporting","Legacy but likely needed",$C890="Nutrition_Data_Archived_Tables","Worth keeping",$C890="EU_Data","Static lookup tables — scripts still reference (smoke-test risk)",TRUE,"Review"),OR($A890="thg-influencer",$A890="thg-ingenuity",$A890="thg-central-marketing",$A890="thg-seoclarity"),"HOLD — Charlie Stringer to review before deletion",TRUE,"")</f>
        <v>UA raw site logs (account ID) — keep pending audit-retention check</v>
      </c>
      <c r="S890" t="s">
        <v>1624</v>
      </c>
    </row>
    <row r="891" spans="1:19" ht="45.75" hidden="1">
      <c r="A891" t="s">
        <v>89</v>
      </c>
      <c r="B891" t="s">
        <v>1619</v>
      </c>
      <c r="C891" t="s">
        <v>297</v>
      </c>
      <c r="D891" s="2" t="s">
        <v>1621</v>
      </c>
      <c r="E891">
        <v>1274.7</v>
      </c>
      <c r="F891">
        <v>25.49</v>
      </c>
      <c r="G891" t="s">
        <v>63</v>
      </c>
      <c r="H891" t="s">
        <v>3328</v>
      </c>
      <c r="I891">
        <v>35</v>
      </c>
      <c r="J891">
        <v>723</v>
      </c>
      <c r="K891" s="5">
        <v>46161.598767615738</v>
      </c>
      <c r="M891" s="2" t="s">
        <v>3401</v>
      </c>
      <c r="N891" s="2" t="s">
        <v>1701</v>
      </c>
      <c r="O891" s="5">
        <v>45474.263011712967</v>
      </c>
      <c r="P891" t="str">
        <f>IF($Q891="DELETE",IF($S891="CONFIRMED: NO MODS &gt; 1YR","CONFIRMED: NO MODS &gt; 1YR","DO NOT DELETE — not defensibly confirmed"),IF($Q891="HOLD","DO NOT DELETE — HOLD (Charlie review)",IF($Q891="KEEP","DO NOT DELETE — KEEP",IF(ISNUMBER(SEARCH("REVIEW",$Q891)),"DO NOT DELETE — REVIEW pending",$S891))))</f>
        <v>DO NOT DELETE — REVIEW pending</v>
      </c>
      <c r="Q891" t="str" cm="1">
        <f t="array" ref="Q891">_xlfn.IFS(AND($A891="thg-beauty",ISNUMBER(SEARCH("liveramp",$C891))),"DELETE",$A891="agile-bonbon-662",_xlfn.IFS(LEFT($G891,9)="Tranche 1","DELETE",$C891="Sessions_Level_1_All_Sites","KEEP",ISNUMBER(--$C891),"REVIEW — UA raw logs",$C891="Emag_Reporting","KEEP",$C891="Nutrition_Data_Archived_Tables","KEEP",$C891="EU_Data","KEEP",TRUE,"REVIEW"),OR($A891="thg-influencer",$A891="thg-ingenuity",$A891="thg-central-marketing",$A891="thg-seoclarity"),"HOLD",TRUE,"")</f>
        <v>REVIEW — UA raw logs</v>
      </c>
      <c r="R891" t="str" cm="1">
        <f t="array" ref="R891">_xlfn.IFS(AND($A891="thg-beauty",ISNUMBER(SEARCH("liveramp",$C891))),"thg-beauty Liveramp dataset — confirmed safe to delete",$A891="agile-bonbon-662",_xlfn.IFS(LEFT($G891,9)="Tranche 1","Tranche 1: cleared",$C891="Sessions_Level_1_All_Sites","Downstream aggregation of UA raw logs — keep if raw tables go",ISNUMBER(--$C891),"UA raw site logs (account ID) — keep pending audit-retention check",$C891="Emag_Reporting","Legacy but likely needed",$C891="Nutrition_Data_Archived_Tables","Worth keeping",$C891="EU_Data","Static lookup tables — scripts still reference (smoke-test risk)",TRUE,"Review"),OR($A891="thg-influencer",$A891="thg-ingenuity",$A891="thg-central-marketing",$A891="thg-seoclarity"),"HOLD — Charlie Stringer to review before deletion",TRUE,"")</f>
        <v>UA raw site logs (account ID) — keep pending audit-retention check</v>
      </c>
      <c r="S891" t="s">
        <v>1624</v>
      </c>
    </row>
    <row r="892" spans="1:19" ht="45.75" hidden="1">
      <c r="A892" t="s">
        <v>89</v>
      </c>
      <c r="B892" t="s">
        <v>1619</v>
      </c>
      <c r="C892" t="s">
        <v>301</v>
      </c>
      <c r="D892" s="2" t="s">
        <v>1621</v>
      </c>
      <c r="E892">
        <v>1252.6400000000001</v>
      </c>
      <c r="F892">
        <v>25.05</v>
      </c>
      <c r="G892" t="s">
        <v>63</v>
      </c>
      <c r="H892" t="s">
        <v>3328</v>
      </c>
      <c r="I892">
        <v>35</v>
      </c>
      <c r="J892">
        <v>723</v>
      </c>
      <c r="K892" s="5">
        <v>46161.59976946759</v>
      </c>
      <c r="M892" s="2" t="s">
        <v>3415</v>
      </c>
      <c r="N892" s="2" t="s">
        <v>1701</v>
      </c>
      <c r="O892" s="5">
        <v>45474.26329127315</v>
      </c>
      <c r="P892" t="str">
        <f>IF($Q892="DELETE",IF($S892="CONFIRMED: NO MODS &gt; 1YR","CONFIRMED: NO MODS &gt; 1YR","DO NOT DELETE — not defensibly confirmed"),IF($Q892="HOLD","DO NOT DELETE — HOLD (Charlie review)",IF($Q892="KEEP","DO NOT DELETE — KEEP",IF(ISNUMBER(SEARCH("REVIEW",$Q892)),"DO NOT DELETE — REVIEW pending",$S892))))</f>
        <v>DO NOT DELETE — REVIEW pending</v>
      </c>
      <c r="Q892" t="str" cm="1">
        <f t="array" ref="Q892">_xlfn.IFS(AND($A892="thg-beauty",ISNUMBER(SEARCH("liveramp",$C892))),"DELETE",$A892="agile-bonbon-662",_xlfn.IFS(LEFT($G892,9)="Tranche 1","DELETE",$C892="Sessions_Level_1_All_Sites","KEEP",ISNUMBER(--$C892),"REVIEW — UA raw logs",$C892="Emag_Reporting","KEEP",$C892="Nutrition_Data_Archived_Tables","KEEP",$C892="EU_Data","KEEP",TRUE,"REVIEW"),OR($A892="thg-influencer",$A892="thg-ingenuity",$A892="thg-central-marketing",$A892="thg-seoclarity"),"HOLD",TRUE,"")</f>
        <v>REVIEW — UA raw logs</v>
      </c>
      <c r="R892" t="str" cm="1">
        <f t="array" ref="R892">_xlfn.IFS(AND($A892="thg-beauty",ISNUMBER(SEARCH("liveramp",$C892))),"thg-beauty Liveramp dataset — confirmed safe to delete",$A892="agile-bonbon-662",_xlfn.IFS(LEFT($G892,9)="Tranche 1","Tranche 1: cleared",$C892="Sessions_Level_1_All_Sites","Downstream aggregation of UA raw logs — keep if raw tables go",ISNUMBER(--$C892),"UA raw site logs (account ID) — keep pending audit-retention check",$C892="Emag_Reporting","Legacy but likely needed",$C892="Nutrition_Data_Archived_Tables","Worth keeping",$C892="EU_Data","Static lookup tables — scripts still reference (smoke-test risk)",TRUE,"Review"),OR($A892="thg-influencer",$A892="thg-ingenuity",$A892="thg-central-marketing",$A892="thg-seoclarity"),"HOLD — Charlie Stringer to review before deletion",TRUE,"")</f>
        <v>UA raw site logs (account ID) — keep pending audit-retention check</v>
      </c>
      <c r="S892" t="s">
        <v>1624</v>
      </c>
    </row>
    <row r="893" spans="1:19" ht="45.75" hidden="1">
      <c r="A893" t="s">
        <v>89</v>
      </c>
      <c r="B893" t="s">
        <v>1619</v>
      </c>
      <c r="C893" t="s">
        <v>305</v>
      </c>
      <c r="D893" s="2" t="s">
        <v>1621</v>
      </c>
      <c r="E893">
        <v>1220.7</v>
      </c>
      <c r="F893">
        <v>24.41</v>
      </c>
      <c r="G893" t="s">
        <v>63</v>
      </c>
      <c r="H893" t="s">
        <v>3328</v>
      </c>
      <c r="I893">
        <v>35</v>
      </c>
      <c r="J893">
        <v>723</v>
      </c>
      <c r="K893" s="5">
        <v>46161.599994629629</v>
      </c>
      <c r="M893" s="2" t="s">
        <v>3415</v>
      </c>
      <c r="N893" s="2" t="s">
        <v>1701</v>
      </c>
      <c r="O893" s="5">
        <v>45474.339637812503</v>
      </c>
      <c r="P893" t="str">
        <f>IF($Q893="DELETE",IF($S893="CONFIRMED: NO MODS &gt; 1YR","CONFIRMED: NO MODS &gt; 1YR","DO NOT DELETE — not defensibly confirmed"),IF($Q893="HOLD","DO NOT DELETE — HOLD (Charlie review)",IF($Q893="KEEP","DO NOT DELETE — KEEP",IF(ISNUMBER(SEARCH("REVIEW",$Q893)),"DO NOT DELETE — REVIEW pending",$S893))))</f>
        <v>DO NOT DELETE — REVIEW pending</v>
      </c>
      <c r="Q893" t="str" cm="1">
        <f t="array" ref="Q893">_xlfn.IFS(AND($A893="thg-beauty",ISNUMBER(SEARCH("liveramp",$C893))),"DELETE",$A893="agile-bonbon-662",_xlfn.IFS(LEFT($G893,9)="Tranche 1","DELETE",$C893="Sessions_Level_1_All_Sites","KEEP",ISNUMBER(--$C893),"REVIEW — UA raw logs",$C893="Emag_Reporting","KEEP",$C893="Nutrition_Data_Archived_Tables","KEEP",$C893="EU_Data","KEEP",TRUE,"REVIEW"),OR($A893="thg-influencer",$A893="thg-ingenuity",$A893="thg-central-marketing",$A893="thg-seoclarity"),"HOLD",TRUE,"")</f>
        <v>REVIEW — UA raw logs</v>
      </c>
      <c r="R893" t="str" cm="1">
        <f t="array" ref="R893">_xlfn.IFS(AND($A893="thg-beauty",ISNUMBER(SEARCH("liveramp",$C893))),"thg-beauty Liveramp dataset — confirmed safe to delete",$A893="agile-bonbon-662",_xlfn.IFS(LEFT($G893,9)="Tranche 1","Tranche 1: cleared",$C893="Sessions_Level_1_All_Sites","Downstream aggregation of UA raw logs — keep if raw tables go",ISNUMBER(--$C893),"UA raw site logs (account ID) — keep pending audit-retention check",$C893="Emag_Reporting","Legacy but likely needed",$C893="Nutrition_Data_Archived_Tables","Worth keeping",$C893="EU_Data","Static lookup tables — scripts still reference (smoke-test risk)",TRUE,"Review"),OR($A893="thg-influencer",$A893="thg-ingenuity",$A893="thg-central-marketing",$A893="thg-seoclarity"),"HOLD — Charlie Stringer to review before deletion",TRUE,"")</f>
        <v>UA raw site logs (account ID) — keep pending audit-retention check</v>
      </c>
      <c r="S893" t="s">
        <v>1624</v>
      </c>
    </row>
    <row r="894" spans="1:19" ht="45.75" hidden="1">
      <c r="A894" t="s">
        <v>89</v>
      </c>
      <c r="B894" t="s">
        <v>1619</v>
      </c>
      <c r="C894" t="s">
        <v>309</v>
      </c>
      <c r="D894" s="2" t="s">
        <v>1621</v>
      </c>
      <c r="E894">
        <v>1214.6400000000001</v>
      </c>
      <c r="F894">
        <v>24.29</v>
      </c>
      <c r="G894" t="s">
        <v>63</v>
      </c>
      <c r="H894" t="s">
        <v>3328</v>
      </c>
      <c r="I894">
        <v>35</v>
      </c>
      <c r="J894">
        <v>723</v>
      </c>
      <c r="K894" s="5">
        <v>46161.600878483798</v>
      </c>
      <c r="M894" s="2" t="s">
        <v>3400</v>
      </c>
      <c r="N894" s="2" t="s">
        <v>1701</v>
      </c>
      <c r="O894" s="5">
        <v>45474.263702071759</v>
      </c>
      <c r="P894" t="str">
        <f>IF($Q894="DELETE",IF($S894="CONFIRMED: NO MODS &gt; 1YR","CONFIRMED: NO MODS &gt; 1YR","DO NOT DELETE — not defensibly confirmed"),IF($Q894="HOLD","DO NOT DELETE — HOLD (Charlie review)",IF($Q894="KEEP","DO NOT DELETE — KEEP",IF(ISNUMBER(SEARCH("REVIEW",$Q894)),"DO NOT DELETE — REVIEW pending",$S894))))</f>
        <v>DO NOT DELETE — REVIEW pending</v>
      </c>
      <c r="Q894" t="str" cm="1">
        <f t="array" ref="Q894">_xlfn.IFS(AND($A894="thg-beauty",ISNUMBER(SEARCH("liveramp",$C894))),"DELETE",$A894="agile-bonbon-662",_xlfn.IFS(LEFT($G894,9)="Tranche 1","DELETE",$C894="Sessions_Level_1_All_Sites","KEEP",ISNUMBER(--$C894),"REVIEW — UA raw logs",$C894="Emag_Reporting","KEEP",$C894="Nutrition_Data_Archived_Tables","KEEP",$C894="EU_Data","KEEP",TRUE,"REVIEW"),OR($A894="thg-influencer",$A894="thg-ingenuity",$A894="thg-central-marketing",$A894="thg-seoclarity"),"HOLD",TRUE,"")</f>
        <v>REVIEW — UA raw logs</v>
      </c>
      <c r="R894" t="str" cm="1">
        <f t="array" ref="R894">_xlfn.IFS(AND($A894="thg-beauty",ISNUMBER(SEARCH("liveramp",$C894))),"thg-beauty Liveramp dataset — confirmed safe to delete",$A894="agile-bonbon-662",_xlfn.IFS(LEFT($G894,9)="Tranche 1","Tranche 1: cleared",$C894="Sessions_Level_1_All_Sites","Downstream aggregation of UA raw logs — keep if raw tables go",ISNUMBER(--$C894),"UA raw site logs (account ID) — keep pending audit-retention check",$C894="Emag_Reporting","Legacy but likely needed",$C894="Nutrition_Data_Archived_Tables","Worth keeping",$C894="EU_Data","Static lookup tables — scripts still reference (smoke-test risk)",TRUE,"Review"),OR($A894="thg-influencer",$A894="thg-ingenuity",$A894="thg-central-marketing",$A894="thg-seoclarity"),"HOLD — Charlie Stringer to review before deletion",TRUE,"")</f>
        <v>UA raw site logs (account ID) — keep pending audit-retention check</v>
      </c>
      <c r="S894" t="s">
        <v>1624</v>
      </c>
    </row>
    <row r="895" spans="1:19" ht="45.75" hidden="1">
      <c r="A895" t="s">
        <v>89</v>
      </c>
      <c r="B895" t="s">
        <v>1619</v>
      </c>
      <c r="C895" t="s">
        <v>313</v>
      </c>
      <c r="D895" s="2" t="s">
        <v>1621</v>
      </c>
      <c r="E895">
        <v>1121.8900000000001</v>
      </c>
      <c r="F895">
        <v>22.44</v>
      </c>
      <c r="G895" t="s">
        <v>63</v>
      </c>
      <c r="H895" t="s">
        <v>3328</v>
      </c>
      <c r="I895">
        <v>35</v>
      </c>
      <c r="J895">
        <v>723</v>
      </c>
      <c r="K895" s="5">
        <v>46161.597476249997</v>
      </c>
      <c r="M895" s="2" t="s">
        <v>3416</v>
      </c>
      <c r="N895" s="2" t="s">
        <v>1701</v>
      </c>
      <c r="O895" s="5">
        <v>45474.261045763888</v>
      </c>
      <c r="P895" t="str">
        <f>IF($Q895="DELETE",IF($S895="CONFIRMED: NO MODS &gt; 1YR","CONFIRMED: NO MODS &gt; 1YR","DO NOT DELETE — not defensibly confirmed"),IF($Q895="HOLD","DO NOT DELETE — HOLD (Charlie review)",IF($Q895="KEEP","DO NOT DELETE — KEEP",IF(ISNUMBER(SEARCH("REVIEW",$Q895)),"DO NOT DELETE — REVIEW pending",$S895))))</f>
        <v>DO NOT DELETE — REVIEW pending</v>
      </c>
      <c r="Q895" t="str" cm="1">
        <f t="array" ref="Q895">_xlfn.IFS(AND($A895="thg-beauty",ISNUMBER(SEARCH("liveramp",$C895))),"DELETE",$A895="agile-bonbon-662",_xlfn.IFS(LEFT($G895,9)="Tranche 1","DELETE",$C895="Sessions_Level_1_All_Sites","KEEP",ISNUMBER(--$C895),"REVIEW — UA raw logs",$C895="Emag_Reporting","KEEP",$C895="Nutrition_Data_Archived_Tables","KEEP",$C895="EU_Data","KEEP",TRUE,"REVIEW"),OR($A895="thg-influencer",$A895="thg-ingenuity",$A895="thg-central-marketing",$A895="thg-seoclarity"),"HOLD",TRUE,"")</f>
        <v>REVIEW — UA raw logs</v>
      </c>
      <c r="R895" t="str" cm="1">
        <f t="array" ref="R895">_xlfn.IFS(AND($A895="thg-beauty",ISNUMBER(SEARCH("liveramp",$C895))),"thg-beauty Liveramp dataset — confirmed safe to delete",$A895="agile-bonbon-662",_xlfn.IFS(LEFT($G895,9)="Tranche 1","Tranche 1: cleared",$C895="Sessions_Level_1_All_Sites","Downstream aggregation of UA raw logs — keep if raw tables go",ISNUMBER(--$C895),"UA raw site logs (account ID) — keep pending audit-retention check",$C895="Emag_Reporting","Legacy but likely needed",$C895="Nutrition_Data_Archived_Tables","Worth keeping",$C895="EU_Data","Static lookup tables — scripts still reference (smoke-test risk)",TRUE,"Review"),OR($A895="thg-influencer",$A895="thg-ingenuity",$A895="thg-central-marketing",$A895="thg-seoclarity"),"HOLD — Charlie Stringer to review before deletion",TRUE,"")</f>
        <v>UA raw site logs (account ID) — keep pending audit-retention check</v>
      </c>
      <c r="S895" t="s">
        <v>1624</v>
      </c>
    </row>
    <row r="896" spans="1:19" ht="45.75" hidden="1">
      <c r="A896" t="s">
        <v>89</v>
      </c>
      <c r="B896" t="s">
        <v>1619</v>
      </c>
      <c r="C896" t="s">
        <v>317</v>
      </c>
      <c r="D896" s="2" t="s">
        <v>1621</v>
      </c>
      <c r="E896">
        <v>1029.68</v>
      </c>
      <c r="F896">
        <v>20.59</v>
      </c>
      <c r="G896" t="s">
        <v>63</v>
      </c>
      <c r="H896" t="s">
        <v>3328</v>
      </c>
      <c r="I896">
        <v>35</v>
      </c>
      <c r="J896">
        <v>723</v>
      </c>
      <c r="K896" s="5">
        <v>46161.600708854166</v>
      </c>
      <c r="M896" s="2" t="s">
        <v>3400</v>
      </c>
      <c r="N896" s="2" t="s">
        <v>1701</v>
      </c>
      <c r="O896" s="5">
        <v>45474.263665902778</v>
      </c>
      <c r="P896" t="str">
        <f>IF($Q896="DELETE",IF($S896="CONFIRMED: NO MODS &gt; 1YR","CONFIRMED: NO MODS &gt; 1YR","DO NOT DELETE — not defensibly confirmed"),IF($Q896="HOLD","DO NOT DELETE — HOLD (Charlie review)",IF($Q896="KEEP","DO NOT DELETE — KEEP",IF(ISNUMBER(SEARCH("REVIEW",$Q896)),"DO NOT DELETE — REVIEW pending",$S896))))</f>
        <v>DO NOT DELETE — REVIEW pending</v>
      </c>
      <c r="Q896" t="str" cm="1">
        <f t="array" ref="Q896">_xlfn.IFS(AND($A896="thg-beauty",ISNUMBER(SEARCH("liveramp",$C896))),"DELETE",$A896="agile-bonbon-662",_xlfn.IFS(LEFT($G896,9)="Tranche 1","DELETE",$C896="Sessions_Level_1_All_Sites","KEEP",ISNUMBER(--$C896),"REVIEW — UA raw logs",$C896="Emag_Reporting","KEEP",$C896="Nutrition_Data_Archived_Tables","KEEP",$C896="EU_Data","KEEP",TRUE,"REVIEW"),OR($A896="thg-influencer",$A896="thg-ingenuity",$A896="thg-central-marketing",$A896="thg-seoclarity"),"HOLD",TRUE,"")</f>
        <v>REVIEW — UA raw logs</v>
      </c>
      <c r="R896" t="str" cm="1">
        <f t="array" ref="R896">_xlfn.IFS(AND($A896="thg-beauty",ISNUMBER(SEARCH("liveramp",$C896))),"thg-beauty Liveramp dataset — confirmed safe to delete",$A896="agile-bonbon-662",_xlfn.IFS(LEFT($G896,9)="Tranche 1","Tranche 1: cleared",$C896="Sessions_Level_1_All_Sites","Downstream aggregation of UA raw logs — keep if raw tables go",ISNUMBER(--$C896),"UA raw site logs (account ID) — keep pending audit-retention check",$C896="Emag_Reporting","Legacy but likely needed",$C896="Nutrition_Data_Archived_Tables","Worth keeping",$C896="EU_Data","Static lookup tables — scripts still reference (smoke-test risk)",TRUE,"Review"),OR($A896="thg-influencer",$A896="thg-ingenuity",$A896="thg-central-marketing",$A896="thg-seoclarity"),"HOLD — Charlie Stringer to review before deletion",TRUE,"")</f>
        <v>UA raw site logs (account ID) — keep pending audit-retention check</v>
      </c>
      <c r="S896" t="s">
        <v>1624</v>
      </c>
    </row>
    <row r="897" spans="1:19" ht="45.75" hidden="1">
      <c r="A897" t="s">
        <v>89</v>
      </c>
      <c r="B897" t="s">
        <v>1619</v>
      </c>
      <c r="C897" t="s">
        <v>321</v>
      </c>
      <c r="D897" s="2" t="s">
        <v>1621</v>
      </c>
      <c r="E897">
        <v>1007.62</v>
      </c>
      <c r="F897">
        <v>20.149999999999999</v>
      </c>
      <c r="G897" t="s">
        <v>63</v>
      </c>
      <c r="H897" t="s">
        <v>3328</v>
      </c>
      <c r="I897">
        <v>35</v>
      </c>
      <c r="J897">
        <v>723</v>
      </c>
      <c r="K897" s="5">
        <v>46161.584086377312</v>
      </c>
      <c r="M897" s="2" t="s">
        <v>3417</v>
      </c>
      <c r="N897" s="2" t="s">
        <v>1701</v>
      </c>
      <c r="O897" s="5">
        <v>45474.273465532409</v>
      </c>
      <c r="P897" t="str">
        <f>IF($Q897="DELETE",IF($S897="CONFIRMED: NO MODS &gt; 1YR","CONFIRMED: NO MODS &gt; 1YR","DO NOT DELETE — not defensibly confirmed"),IF($Q897="HOLD","DO NOT DELETE — HOLD (Charlie review)",IF($Q897="KEEP","DO NOT DELETE — KEEP",IF(ISNUMBER(SEARCH("REVIEW",$Q897)),"DO NOT DELETE — REVIEW pending",$S897))))</f>
        <v>DO NOT DELETE — REVIEW pending</v>
      </c>
      <c r="Q897" t="str" cm="1">
        <f t="array" ref="Q897">_xlfn.IFS(AND($A897="thg-beauty",ISNUMBER(SEARCH("liveramp",$C897))),"DELETE",$A897="agile-bonbon-662",_xlfn.IFS(LEFT($G897,9)="Tranche 1","DELETE",$C897="Sessions_Level_1_All_Sites","KEEP",ISNUMBER(--$C897),"REVIEW — UA raw logs",$C897="Emag_Reporting","KEEP",$C897="Nutrition_Data_Archived_Tables","KEEP",$C897="EU_Data","KEEP",TRUE,"REVIEW"),OR($A897="thg-influencer",$A897="thg-ingenuity",$A897="thg-central-marketing",$A897="thg-seoclarity"),"HOLD",TRUE,"")</f>
        <v>REVIEW — UA raw logs</v>
      </c>
      <c r="R897" t="str" cm="1">
        <f t="array" ref="R897">_xlfn.IFS(AND($A897="thg-beauty",ISNUMBER(SEARCH("liveramp",$C897))),"thg-beauty Liveramp dataset — confirmed safe to delete",$A897="agile-bonbon-662",_xlfn.IFS(LEFT($G897,9)="Tranche 1","Tranche 1: cleared",$C897="Sessions_Level_1_All_Sites","Downstream aggregation of UA raw logs — keep if raw tables go",ISNUMBER(--$C897),"UA raw site logs (account ID) — keep pending audit-retention check",$C897="Emag_Reporting","Legacy but likely needed",$C897="Nutrition_Data_Archived_Tables","Worth keeping",$C897="EU_Data","Static lookup tables — scripts still reference (smoke-test risk)",TRUE,"Review"),OR($A897="thg-influencer",$A897="thg-ingenuity",$A897="thg-central-marketing",$A897="thg-seoclarity"),"HOLD — Charlie Stringer to review before deletion",TRUE,"")</f>
        <v>UA raw site logs (account ID) — keep pending audit-retention check</v>
      </c>
      <c r="S897" t="s">
        <v>1624</v>
      </c>
    </row>
    <row r="898" spans="1:19" ht="45.75" hidden="1">
      <c r="A898" t="s">
        <v>89</v>
      </c>
      <c r="B898" t="s">
        <v>1619</v>
      </c>
      <c r="C898" t="s">
        <v>325</v>
      </c>
      <c r="D898" s="2" t="s">
        <v>1621</v>
      </c>
      <c r="E898">
        <v>968.15</v>
      </c>
      <c r="F898">
        <v>19.36</v>
      </c>
      <c r="G898" t="s">
        <v>63</v>
      </c>
      <c r="H898" t="s">
        <v>3328</v>
      </c>
      <c r="I898">
        <v>35</v>
      </c>
      <c r="J898">
        <v>723</v>
      </c>
      <c r="K898" s="5">
        <v>46161.58994662037</v>
      </c>
      <c r="M898" s="2" t="s">
        <v>3402</v>
      </c>
      <c r="N898" s="2" t="s">
        <v>1701</v>
      </c>
      <c r="O898" s="5">
        <v>45474.336787037028</v>
      </c>
      <c r="P898" t="str">
        <f>IF($Q898="DELETE",IF($S898="CONFIRMED: NO MODS &gt; 1YR","CONFIRMED: NO MODS &gt; 1YR","DO NOT DELETE — not defensibly confirmed"),IF($Q898="HOLD","DO NOT DELETE — HOLD (Charlie review)",IF($Q898="KEEP","DO NOT DELETE — KEEP",IF(ISNUMBER(SEARCH("REVIEW",$Q898)),"DO NOT DELETE — REVIEW pending",$S898))))</f>
        <v>DO NOT DELETE — REVIEW pending</v>
      </c>
      <c r="Q898" t="str" cm="1">
        <f t="array" ref="Q898">_xlfn.IFS(AND($A898="thg-beauty",ISNUMBER(SEARCH("liveramp",$C898))),"DELETE",$A898="agile-bonbon-662",_xlfn.IFS(LEFT($G898,9)="Tranche 1","DELETE",$C898="Sessions_Level_1_All_Sites","KEEP",ISNUMBER(--$C898),"REVIEW — UA raw logs",$C898="Emag_Reporting","KEEP",$C898="Nutrition_Data_Archived_Tables","KEEP",$C898="EU_Data","KEEP",TRUE,"REVIEW"),OR($A898="thg-influencer",$A898="thg-ingenuity",$A898="thg-central-marketing",$A898="thg-seoclarity"),"HOLD",TRUE,"")</f>
        <v>REVIEW — UA raw logs</v>
      </c>
      <c r="R898" t="str" cm="1">
        <f t="array" ref="R898">_xlfn.IFS(AND($A898="thg-beauty",ISNUMBER(SEARCH("liveramp",$C898))),"thg-beauty Liveramp dataset — confirmed safe to delete",$A898="agile-bonbon-662",_xlfn.IFS(LEFT($G898,9)="Tranche 1","Tranche 1: cleared",$C898="Sessions_Level_1_All_Sites","Downstream aggregation of UA raw logs — keep if raw tables go",ISNUMBER(--$C898),"UA raw site logs (account ID) — keep pending audit-retention check",$C898="Emag_Reporting","Legacy but likely needed",$C898="Nutrition_Data_Archived_Tables","Worth keeping",$C898="EU_Data","Static lookup tables — scripts still reference (smoke-test risk)",TRUE,"Review"),OR($A898="thg-influencer",$A898="thg-ingenuity",$A898="thg-central-marketing",$A898="thg-seoclarity"),"HOLD — Charlie Stringer to review before deletion",TRUE,"")</f>
        <v>UA raw site logs (account ID) — keep pending audit-retention check</v>
      </c>
      <c r="S898" t="s">
        <v>1624</v>
      </c>
    </row>
    <row r="899" spans="1:19" ht="45.75" hidden="1">
      <c r="A899" t="s">
        <v>89</v>
      </c>
      <c r="B899" t="s">
        <v>1619</v>
      </c>
      <c r="C899" t="s">
        <v>329</v>
      </c>
      <c r="D899" s="2" t="s">
        <v>1621</v>
      </c>
      <c r="E899">
        <v>924.34</v>
      </c>
      <c r="F899">
        <v>18.489999999999998</v>
      </c>
      <c r="G899" t="s">
        <v>63</v>
      </c>
      <c r="H899" t="s">
        <v>3328</v>
      </c>
      <c r="I899">
        <v>35</v>
      </c>
      <c r="J899">
        <v>723</v>
      </c>
      <c r="K899" s="5">
        <v>46161.596414201391</v>
      </c>
      <c r="M899" s="2" t="s">
        <v>3412</v>
      </c>
      <c r="N899" s="2" t="s">
        <v>1701</v>
      </c>
      <c r="O899" s="5">
        <v>45474.337942592603</v>
      </c>
      <c r="P899" t="str">
        <f>IF($Q899="DELETE",IF($S899="CONFIRMED: NO MODS &gt; 1YR","CONFIRMED: NO MODS &gt; 1YR","DO NOT DELETE — not defensibly confirmed"),IF($Q899="HOLD","DO NOT DELETE — HOLD (Charlie review)",IF($Q899="KEEP","DO NOT DELETE — KEEP",IF(ISNUMBER(SEARCH("REVIEW",$Q899)),"DO NOT DELETE — REVIEW pending",$S899))))</f>
        <v>DO NOT DELETE — REVIEW pending</v>
      </c>
      <c r="Q899" t="str" cm="1">
        <f t="array" ref="Q899">_xlfn.IFS(AND($A899="thg-beauty",ISNUMBER(SEARCH("liveramp",$C899))),"DELETE",$A899="agile-bonbon-662",_xlfn.IFS(LEFT($G899,9)="Tranche 1","DELETE",$C899="Sessions_Level_1_All_Sites","KEEP",ISNUMBER(--$C899),"REVIEW — UA raw logs",$C899="Emag_Reporting","KEEP",$C899="Nutrition_Data_Archived_Tables","KEEP",$C899="EU_Data","KEEP",TRUE,"REVIEW"),OR($A899="thg-influencer",$A899="thg-ingenuity",$A899="thg-central-marketing",$A899="thg-seoclarity"),"HOLD",TRUE,"")</f>
        <v>REVIEW — UA raw logs</v>
      </c>
      <c r="R899" t="str" cm="1">
        <f t="array" ref="R899">_xlfn.IFS(AND($A899="thg-beauty",ISNUMBER(SEARCH("liveramp",$C899))),"thg-beauty Liveramp dataset — confirmed safe to delete",$A899="agile-bonbon-662",_xlfn.IFS(LEFT($G899,9)="Tranche 1","Tranche 1: cleared",$C899="Sessions_Level_1_All_Sites","Downstream aggregation of UA raw logs — keep if raw tables go",ISNUMBER(--$C899),"UA raw site logs (account ID) — keep pending audit-retention check",$C899="Emag_Reporting","Legacy but likely needed",$C899="Nutrition_Data_Archived_Tables","Worth keeping",$C899="EU_Data","Static lookup tables — scripts still reference (smoke-test risk)",TRUE,"Review"),OR($A899="thg-influencer",$A899="thg-ingenuity",$A899="thg-central-marketing",$A899="thg-seoclarity"),"HOLD — Charlie Stringer to review before deletion",TRUE,"")</f>
        <v>UA raw site logs (account ID) — keep pending audit-retention check</v>
      </c>
      <c r="S899" t="s">
        <v>1624</v>
      </c>
    </row>
    <row r="900" spans="1:19" ht="45.75" hidden="1">
      <c r="A900" t="s">
        <v>89</v>
      </c>
      <c r="B900" t="s">
        <v>1619</v>
      </c>
      <c r="C900" t="s">
        <v>333</v>
      </c>
      <c r="D900" s="2" t="s">
        <v>1621</v>
      </c>
      <c r="E900">
        <v>919.79</v>
      </c>
      <c r="F900">
        <v>18.399999999999999</v>
      </c>
      <c r="G900" t="s">
        <v>63</v>
      </c>
      <c r="H900" t="s">
        <v>3328</v>
      </c>
      <c r="I900">
        <v>35</v>
      </c>
      <c r="J900">
        <v>723</v>
      </c>
      <c r="K900" s="5">
        <v>46161.591086261571</v>
      </c>
      <c r="M900" s="2" t="s">
        <v>3418</v>
      </c>
      <c r="N900" s="2" t="s">
        <v>1701</v>
      </c>
      <c r="O900" s="5">
        <v>45474.276702210649</v>
      </c>
      <c r="P900" t="str">
        <f>IF($Q900="DELETE",IF($S900="CONFIRMED: NO MODS &gt; 1YR","CONFIRMED: NO MODS &gt; 1YR","DO NOT DELETE — not defensibly confirmed"),IF($Q900="HOLD","DO NOT DELETE — HOLD (Charlie review)",IF($Q900="KEEP","DO NOT DELETE — KEEP",IF(ISNUMBER(SEARCH("REVIEW",$Q900)),"DO NOT DELETE — REVIEW pending",$S900))))</f>
        <v>DO NOT DELETE — REVIEW pending</v>
      </c>
      <c r="Q900" t="str" cm="1">
        <f t="array" ref="Q900">_xlfn.IFS(AND($A900="thg-beauty",ISNUMBER(SEARCH("liveramp",$C900))),"DELETE",$A900="agile-bonbon-662",_xlfn.IFS(LEFT($G900,9)="Tranche 1","DELETE",$C900="Sessions_Level_1_All_Sites","KEEP",ISNUMBER(--$C900),"REVIEW — UA raw logs",$C900="Emag_Reporting","KEEP",$C900="Nutrition_Data_Archived_Tables","KEEP",$C900="EU_Data","KEEP",TRUE,"REVIEW"),OR($A900="thg-influencer",$A900="thg-ingenuity",$A900="thg-central-marketing",$A900="thg-seoclarity"),"HOLD",TRUE,"")</f>
        <v>REVIEW — UA raw logs</v>
      </c>
      <c r="R900" t="str" cm="1">
        <f t="array" ref="R900">_xlfn.IFS(AND($A900="thg-beauty",ISNUMBER(SEARCH("liveramp",$C900))),"thg-beauty Liveramp dataset — confirmed safe to delete",$A900="agile-bonbon-662",_xlfn.IFS(LEFT($G900,9)="Tranche 1","Tranche 1: cleared",$C900="Sessions_Level_1_All_Sites","Downstream aggregation of UA raw logs — keep if raw tables go",ISNUMBER(--$C900),"UA raw site logs (account ID) — keep pending audit-retention check",$C900="Emag_Reporting","Legacy but likely needed",$C900="Nutrition_Data_Archived_Tables","Worth keeping",$C900="EU_Data","Static lookup tables — scripts still reference (smoke-test risk)",TRUE,"Review"),OR($A900="thg-influencer",$A900="thg-ingenuity",$A900="thg-central-marketing",$A900="thg-seoclarity"),"HOLD — Charlie Stringer to review before deletion",TRUE,"")</f>
        <v>UA raw site logs (account ID) — keep pending audit-retention check</v>
      </c>
      <c r="S900" t="s">
        <v>1624</v>
      </c>
    </row>
    <row r="901" spans="1:19" ht="45.75" hidden="1">
      <c r="A901" t="s">
        <v>89</v>
      </c>
      <c r="B901" t="s">
        <v>1619</v>
      </c>
      <c r="C901" t="s">
        <v>337</v>
      </c>
      <c r="D901" s="2" t="s">
        <v>1621</v>
      </c>
      <c r="E901">
        <v>853.48</v>
      </c>
      <c r="F901">
        <v>17.07</v>
      </c>
      <c r="G901" t="s">
        <v>63</v>
      </c>
      <c r="H901" t="s">
        <v>3328</v>
      </c>
      <c r="I901">
        <v>35</v>
      </c>
      <c r="J901">
        <v>723</v>
      </c>
      <c r="K901" s="5">
        <v>46161.601435983794</v>
      </c>
      <c r="M901" s="2" t="s">
        <v>3419</v>
      </c>
      <c r="N901" s="2" t="s">
        <v>1701</v>
      </c>
      <c r="O901" s="5">
        <v>45474.26370239583</v>
      </c>
      <c r="P901" t="str">
        <f>IF($Q901="DELETE",IF($S901="CONFIRMED: NO MODS &gt; 1YR","CONFIRMED: NO MODS &gt; 1YR","DO NOT DELETE — not defensibly confirmed"),IF($Q901="HOLD","DO NOT DELETE — HOLD (Charlie review)",IF($Q901="KEEP","DO NOT DELETE — KEEP",IF(ISNUMBER(SEARCH("REVIEW",$Q901)),"DO NOT DELETE — REVIEW pending",$S901))))</f>
        <v>DO NOT DELETE — REVIEW pending</v>
      </c>
      <c r="Q901" t="str" cm="1">
        <f t="array" ref="Q901">_xlfn.IFS(AND($A901="thg-beauty",ISNUMBER(SEARCH("liveramp",$C901))),"DELETE",$A901="agile-bonbon-662",_xlfn.IFS(LEFT($G901,9)="Tranche 1","DELETE",$C901="Sessions_Level_1_All_Sites","KEEP",ISNUMBER(--$C901),"REVIEW — UA raw logs",$C901="Emag_Reporting","KEEP",$C901="Nutrition_Data_Archived_Tables","KEEP",$C901="EU_Data","KEEP",TRUE,"REVIEW"),OR($A901="thg-influencer",$A901="thg-ingenuity",$A901="thg-central-marketing",$A901="thg-seoclarity"),"HOLD",TRUE,"")</f>
        <v>REVIEW — UA raw logs</v>
      </c>
      <c r="R901" t="str" cm="1">
        <f t="array" ref="R901">_xlfn.IFS(AND($A901="thg-beauty",ISNUMBER(SEARCH("liveramp",$C901))),"thg-beauty Liveramp dataset — confirmed safe to delete",$A901="agile-bonbon-662",_xlfn.IFS(LEFT($G901,9)="Tranche 1","Tranche 1: cleared",$C901="Sessions_Level_1_All_Sites","Downstream aggregation of UA raw logs — keep if raw tables go",ISNUMBER(--$C901),"UA raw site logs (account ID) — keep pending audit-retention check",$C901="Emag_Reporting","Legacy but likely needed",$C901="Nutrition_Data_Archived_Tables","Worth keeping",$C901="EU_Data","Static lookup tables — scripts still reference (smoke-test risk)",TRUE,"Review"),OR($A901="thg-influencer",$A901="thg-ingenuity",$A901="thg-central-marketing",$A901="thg-seoclarity"),"HOLD — Charlie Stringer to review before deletion",TRUE,"")</f>
        <v>UA raw site logs (account ID) — keep pending audit-retention check</v>
      </c>
      <c r="S901" t="s">
        <v>1624</v>
      </c>
    </row>
    <row r="902" spans="1:19" ht="45.75" hidden="1">
      <c r="A902" t="s">
        <v>89</v>
      </c>
      <c r="B902" t="s">
        <v>1619</v>
      </c>
      <c r="C902" t="s">
        <v>341</v>
      </c>
      <c r="D902" s="2" t="s">
        <v>1621</v>
      </c>
      <c r="E902">
        <v>828.79</v>
      </c>
      <c r="F902">
        <v>16.579999999999998</v>
      </c>
      <c r="G902" t="s">
        <v>63</v>
      </c>
      <c r="H902" t="s">
        <v>3328</v>
      </c>
      <c r="I902">
        <v>35</v>
      </c>
      <c r="J902">
        <v>723</v>
      </c>
      <c r="K902" s="5">
        <v>46161.601343726848</v>
      </c>
      <c r="M902" s="2" t="s">
        <v>3420</v>
      </c>
      <c r="N902" s="2" t="s">
        <v>1701</v>
      </c>
      <c r="O902" s="5">
        <v>45474.26369550926</v>
      </c>
      <c r="P902" t="str">
        <f>IF($Q902="DELETE",IF($S902="CONFIRMED: NO MODS &gt; 1YR","CONFIRMED: NO MODS &gt; 1YR","DO NOT DELETE — not defensibly confirmed"),IF($Q902="HOLD","DO NOT DELETE — HOLD (Charlie review)",IF($Q902="KEEP","DO NOT DELETE — KEEP",IF(ISNUMBER(SEARCH("REVIEW",$Q902)),"DO NOT DELETE — REVIEW pending",$S902))))</f>
        <v>DO NOT DELETE — REVIEW pending</v>
      </c>
      <c r="Q902" t="str" cm="1">
        <f t="array" ref="Q902">_xlfn.IFS(AND($A902="thg-beauty",ISNUMBER(SEARCH("liveramp",$C902))),"DELETE",$A902="agile-bonbon-662",_xlfn.IFS(LEFT($G902,9)="Tranche 1","DELETE",$C902="Sessions_Level_1_All_Sites","KEEP",ISNUMBER(--$C902),"REVIEW — UA raw logs",$C902="Emag_Reporting","KEEP",$C902="Nutrition_Data_Archived_Tables","KEEP",$C902="EU_Data","KEEP",TRUE,"REVIEW"),OR($A902="thg-influencer",$A902="thg-ingenuity",$A902="thg-central-marketing",$A902="thg-seoclarity"),"HOLD",TRUE,"")</f>
        <v>REVIEW — UA raw logs</v>
      </c>
      <c r="R902" t="str" cm="1">
        <f t="array" ref="R902">_xlfn.IFS(AND($A902="thg-beauty",ISNUMBER(SEARCH("liveramp",$C902))),"thg-beauty Liveramp dataset — confirmed safe to delete",$A902="agile-bonbon-662",_xlfn.IFS(LEFT($G902,9)="Tranche 1","Tranche 1: cleared",$C902="Sessions_Level_1_All_Sites","Downstream aggregation of UA raw logs — keep if raw tables go",ISNUMBER(--$C902),"UA raw site logs (account ID) — keep pending audit-retention check",$C902="Emag_Reporting","Legacy but likely needed",$C902="Nutrition_Data_Archived_Tables","Worth keeping",$C902="EU_Data","Static lookup tables — scripts still reference (smoke-test risk)",TRUE,"Review"),OR($A902="thg-influencer",$A902="thg-ingenuity",$A902="thg-central-marketing",$A902="thg-seoclarity"),"HOLD — Charlie Stringer to review before deletion",TRUE,"")</f>
        <v>UA raw site logs (account ID) — keep pending audit-retention check</v>
      </c>
      <c r="S902" t="s">
        <v>1624</v>
      </c>
    </row>
    <row r="903" spans="1:19" ht="45.75" hidden="1">
      <c r="A903" t="s">
        <v>89</v>
      </c>
      <c r="B903" t="s">
        <v>1619</v>
      </c>
      <c r="C903" t="s">
        <v>345</v>
      </c>
      <c r="D903" s="2" t="s">
        <v>1621</v>
      </c>
      <c r="E903">
        <v>812.52</v>
      </c>
      <c r="F903">
        <v>16.25</v>
      </c>
      <c r="G903" t="s">
        <v>63</v>
      </c>
      <c r="H903" t="s">
        <v>3328</v>
      </c>
      <c r="I903">
        <v>35</v>
      </c>
      <c r="J903">
        <v>723</v>
      </c>
      <c r="K903" s="5">
        <v>46161.599888032397</v>
      </c>
      <c r="M903" s="2" t="s">
        <v>3415</v>
      </c>
      <c r="N903" s="2" t="s">
        <v>1701</v>
      </c>
      <c r="O903" s="5">
        <v>45474.339612002317</v>
      </c>
      <c r="P903" t="str">
        <f>IF($Q903="DELETE",IF($S903="CONFIRMED: NO MODS &gt; 1YR","CONFIRMED: NO MODS &gt; 1YR","DO NOT DELETE — not defensibly confirmed"),IF($Q903="HOLD","DO NOT DELETE — HOLD (Charlie review)",IF($Q903="KEEP","DO NOT DELETE — KEEP",IF(ISNUMBER(SEARCH("REVIEW",$Q903)),"DO NOT DELETE — REVIEW pending",$S903))))</f>
        <v>DO NOT DELETE — REVIEW pending</v>
      </c>
      <c r="Q903" t="str" cm="1">
        <f t="array" ref="Q903">_xlfn.IFS(AND($A903="thg-beauty",ISNUMBER(SEARCH("liveramp",$C903))),"DELETE",$A903="agile-bonbon-662",_xlfn.IFS(LEFT($G903,9)="Tranche 1","DELETE",$C903="Sessions_Level_1_All_Sites","KEEP",ISNUMBER(--$C903),"REVIEW — UA raw logs",$C903="Emag_Reporting","KEEP",$C903="Nutrition_Data_Archived_Tables","KEEP",$C903="EU_Data","KEEP",TRUE,"REVIEW"),OR($A903="thg-influencer",$A903="thg-ingenuity",$A903="thg-central-marketing",$A903="thg-seoclarity"),"HOLD",TRUE,"")</f>
        <v>REVIEW — UA raw logs</v>
      </c>
      <c r="R903" t="str" cm="1">
        <f t="array" ref="R903">_xlfn.IFS(AND($A903="thg-beauty",ISNUMBER(SEARCH("liveramp",$C903))),"thg-beauty Liveramp dataset — confirmed safe to delete",$A903="agile-bonbon-662",_xlfn.IFS(LEFT($G903,9)="Tranche 1","Tranche 1: cleared",$C903="Sessions_Level_1_All_Sites","Downstream aggregation of UA raw logs — keep if raw tables go",ISNUMBER(--$C903),"UA raw site logs (account ID) — keep pending audit-retention check",$C903="Emag_Reporting","Legacy but likely needed",$C903="Nutrition_Data_Archived_Tables","Worth keeping",$C903="EU_Data","Static lookup tables — scripts still reference (smoke-test risk)",TRUE,"Review"),OR($A903="thg-influencer",$A903="thg-ingenuity",$A903="thg-central-marketing",$A903="thg-seoclarity"),"HOLD — Charlie Stringer to review before deletion",TRUE,"")</f>
        <v>UA raw site logs (account ID) — keep pending audit-retention check</v>
      </c>
      <c r="S903" t="s">
        <v>1624</v>
      </c>
    </row>
    <row r="904" spans="1:19" ht="45.75" hidden="1">
      <c r="A904" t="s">
        <v>89</v>
      </c>
      <c r="B904" t="s">
        <v>1619</v>
      </c>
      <c r="C904" t="s">
        <v>349</v>
      </c>
      <c r="D904" s="2" t="s">
        <v>1621</v>
      </c>
      <c r="E904">
        <v>759.69</v>
      </c>
      <c r="F904">
        <v>15.19</v>
      </c>
      <c r="G904" t="s">
        <v>63</v>
      </c>
      <c r="H904" t="s">
        <v>3328</v>
      </c>
      <c r="I904">
        <v>35</v>
      </c>
      <c r="J904">
        <v>723</v>
      </c>
      <c r="K904" s="5">
        <v>46161.601615057873</v>
      </c>
      <c r="M904" s="2" t="s">
        <v>3419</v>
      </c>
      <c r="N904" s="2" t="s">
        <v>1701</v>
      </c>
      <c r="O904" s="5">
        <v>45474.263696076392</v>
      </c>
      <c r="P904" t="str">
        <f>IF($Q904="DELETE",IF($S904="CONFIRMED: NO MODS &gt; 1YR","CONFIRMED: NO MODS &gt; 1YR","DO NOT DELETE — not defensibly confirmed"),IF($Q904="HOLD","DO NOT DELETE — HOLD (Charlie review)",IF($Q904="KEEP","DO NOT DELETE — KEEP",IF(ISNUMBER(SEARCH("REVIEW",$Q904)),"DO NOT DELETE — REVIEW pending",$S904))))</f>
        <v>DO NOT DELETE — REVIEW pending</v>
      </c>
      <c r="Q904" t="str" cm="1">
        <f t="array" ref="Q904">_xlfn.IFS(AND($A904="thg-beauty",ISNUMBER(SEARCH("liveramp",$C904))),"DELETE",$A904="agile-bonbon-662",_xlfn.IFS(LEFT($G904,9)="Tranche 1","DELETE",$C904="Sessions_Level_1_All_Sites","KEEP",ISNUMBER(--$C904),"REVIEW — UA raw logs",$C904="Emag_Reporting","KEEP",$C904="Nutrition_Data_Archived_Tables","KEEP",$C904="EU_Data","KEEP",TRUE,"REVIEW"),OR($A904="thg-influencer",$A904="thg-ingenuity",$A904="thg-central-marketing",$A904="thg-seoclarity"),"HOLD",TRUE,"")</f>
        <v>REVIEW — UA raw logs</v>
      </c>
      <c r="R904" t="str" cm="1">
        <f t="array" ref="R904">_xlfn.IFS(AND($A904="thg-beauty",ISNUMBER(SEARCH("liveramp",$C904))),"thg-beauty Liveramp dataset — confirmed safe to delete",$A904="agile-bonbon-662",_xlfn.IFS(LEFT($G904,9)="Tranche 1","Tranche 1: cleared",$C904="Sessions_Level_1_All_Sites","Downstream aggregation of UA raw logs — keep if raw tables go",ISNUMBER(--$C904),"UA raw site logs (account ID) — keep pending audit-retention check",$C904="Emag_Reporting","Legacy but likely needed",$C904="Nutrition_Data_Archived_Tables","Worth keeping",$C904="EU_Data","Static lookup tables — scripts still reference (smoke-test risk)",TRUE,"Review"),OR($A904="thg-influencer",$A904="thg-ingenuity",$A904="thg-central-marketing",$A904="thg-seoclarity"),"HOLD — Charlie Stringer to review before deletion",TRUE,"")</f>
        <v>UA raw site logs (account ID) — keep pending audit-retention check</v>
      </c>
      <c r="S904" t="s">
        <v>1624</v>
      </c>
    </row>
    <row r="905" spans="1:19" ht="45.75" hidden="1">
      <c r="A905" t="s">
        <v>89</v>
      </c>
      <c r="B905" t="s">
        <v>1619</v>
      </c>
      <c r="C905" t="s">
        <v>353</v>
      </c>
      <c r="D905" s="2" t="s">
        <v>1621</v>
      </c>
      <c r="E905">
        <v>749.04</v>
      </c>
      <c r="F905">
        <v>14.98</v>
      </c>
      <c r="G905" t="s">
        <v>63</v>
      </c>
      <c r="H905" t="s">
        <v>3328</v>
      </c>
      <c r="I905">
        <v>35</v>
      </c>
      <c r="J905">
        <v>385</v>
      </c>
      <c r="K905" s="5">
        <v>46161.616427245368</v>
      </c>
      <c r="M905" s="2" t="s">
        <v>1984</v>
      </c>
      <c r="N905" s="2" t="s">
        <v>1701</v>
      </c>
      <c r="O905" s="5">
        <v>45811.462706180559</v>
      </c>
      <c r="P905" t="str">
        <f>IF($Q905="DELETE",IF($S905="CONFIRMED: NO MODS &gt; 1YR","CONFIRMED: NO MODS &gt; 1YR","DO NOT DELETE — not defensibly confirmed"),IF($Q905="HOLD","DO NOT DELETE — HOLD (Charlie review)",IF($Q905="KEEP","DO NOT DELETE — KEEP",IF(ISNUMBER(SEARCH("REVIEW",$Q905)),"DO NOT DELETE — REVIEW pending",$S905))))</f>
        <v>DO NOT DELETE — REVIEW pending</v>
      </c>
      <c r="Q905" t="str" cm="1">
        <f t="array" ref="Q905">_xlfn.IFS(AND($A905="thg-beauty",ISNUMBER(SEARCH("liveramp",$C905))),"DELETE",$A905="agile-bonbon-662",_xlfn.IFS(LEFT($G905,9)="Tranche 1","DELETE",$C905="Sessions_Level_1_All_Sites","KEEP",ISNUMBER(--$C905),"REVIEW — UA raw logs",$C905="Emag_Reporting","KEEP",$C905="Nutrition_Data_Archived_Tables","KEEP",$C905="EU_Data","KEEP",TRUE,"REVIEW"),OR($A905="thg-influencer",$A905="thg-ingenuity",$A905="thg-central-marketing",$A905="thg-seoclarity"),"HOLD",TRUE,"")</f>
        <v>REVIEW</v>
      </c>
      <c r="R905" t="str" cm="1">
        <f t="array" ref="R905">_xlfn.IFS(AND($A905="thg-beauty",ISNUMBER(SEARCH("liveramp",$C905))),"thg-beauty Liveramp dataset — confirmed safe to delete",$A905="agile-bonbon-662",_xlfn.IFS(LEFT($G905,9)="Tranche 1","Tranche 1: cleared",$C905="Sessions_Level_1_All_Sites","Downstream aggregation of UA raw logs — keep if raw tables go",ISNUMBER(--$C905),"UA raw site logs (account ID) — keep pending audit-retention check",$C905="Emag_Reporting","Legacy but likely needed",$C905="Nutrition_Data_Archived_Tables","Worth keeping",$C905="EU_Data","Static lookup tables — scripts still reference (smoke-test risk)",TRUE,"Review"),OR($A905="thg-influencer",$A905="thg-ingenuity",$A905="thg-central-marketing",$A905="thg-seoclarity"),"HOLD — Charlie Stringer to review before deletion",TRUE,"")</f>
        <v>Review</v>
      </c>
      <c r="S905" t="s">
        <v>1624</v>
      </c>
    </row>
    <row r="906" spans="1:19" ht="45.75" hidden="1">
      <c r="A906" t="s">
        <v>89</v>
      </c>
      <c r="B906" t="s">
        <v>1619</v>
      </c>
      <c r="C906" t="s">
        <v>358</v>
      </c>
      <c r="D906" s="2" t="s">
        <v>1621</v>
      </c>
      <c r="E906">
        <v>741.43</v>
      </c>
      <c r="F906">
        <v>14.83</v>
      </c>
      <c r="G906" t="s">
        <v>63</v>
      </c>
      <c r="H906" t="s">
        <v>3328</v>
      </c>
      <c r="I906">
        <v>35</v>
      </c>
      <c r="J906">
        <v>723</v>
      </c>
      <c r="K906" s="5">
        <v>46161.601076539351</v>
      </c>
      <c r="M906" s="2" t="s">
        <v>3420</v>
      </c>
      <c r="N906" s="2" t="s">
        <v>1701</v>
      </c>
      <c r="O906" s="5">
        <v>45474.263693749999</v>
      </c>
      <c r="P906" t="str">
        <f>IF($Q906="DELETE",IF($S906="CONFIRMED: NO MODS &gt; 1YR","CONFIRMED: NO MODS &gt; 1YR","DO NOT DELETE — not defensibly confirmed"),IF($Q906="HOLD","DO NOT DELETE — HOLD (Charlie review)",IF($Q906="KEEP","DO NOT DELETE — KEEP",IF(ISNUMBER(SEARCH("REVIEW",$Q906)),"DO NOT DELETE — REVIEW pending",$S906))))</f>
        <v>DO NOT DELETE — REVIEW pending</v>
      </c>
      <c r="Q906" t="str" cm="1">
        <f t="array" ref="Q906">_xlfn.IFS(AND($A906="thg-beauty",ISNUMBER(SEARCH("liveramp",$C906))),"DELETE",$A906="agile-bonbon-662",_xlfn.IFS(LEFT($G906,9)="Tranche 1","DELETE",$C906="Sessions_Level_1_All_Sites","KEEP",ISNUMBER(--$C906),"REVIEW — UA raw logs",$C906="Emag_Reporting","KEEP",$C906="Nutrition_Data_Archived_Tables","KEEP",$C906="EU_Data","KEEP",TRUE,"REVIEW"),OR($A906="thg-influencer",$A906="thg-ingenuity",$A906="thg-central-marketing",$A906="thg-seoclarity"),"HOLD",TRUE,"")</f>
        <v>REVIEW — UA raw logs</v>
      </c>
      <c r="R906" t="str" cm="1">
        <f t="array" ref="R906">_xlfn.IFS(AND($A906="thg-beauty",ISNUMBER(SEARCH("liveramp",$C906))),"thg-beauty Liveramp dataset — confirmed safe to delete",$A906="agile-bonbon-662",_xlfn.IFS(LEFT($G906,9)="Tranche 1","Tranche 1: cleared",$C906="Sessions_Level_1_All_Sites","Downstream aggregation of UA raw logs — keep if raw tables go",ISNUMBER(--$C906),"UA raw site logs (account ID) — keep pending audit-retention check",$C906="Emag_Reporting","Legacy but likely needed",$C906="Nutrition_Data_Archived_Tables","Worth keeping",$C906="EU_Data","Static lookup tables — scripts still reference (smoke-test risk)",TRUE,"Review"),OR($A906="thg-influencer",$A906="thg-ingenuity",$A906="thg-central-marketing",$A906="thg-seoclarity"),"HOLD — Charlie Stringer to review before deletion",TRUE,"")</f>
        <v>UA raw site logs (account ID) — keep pending audit-retention check</v>
      </c>
      <c r="S906" t="s">
        <v>1624</v>
      </c>
    </row>
    <row r="907" spans="1:19" ht="45.75" hidden="1">
      <c r="A907" t="s">
        <v>89</v>
      </c>
      <c r="B907" t="s">
        <v>1619</v>
      </c>
      <c r="C907" t="s">
        <v>362</v>
      </c>
      <c r="D907" s="2" t="s">
        <v>1621</v>
      </c>
      <c r="E907">
        <v>722.82</v>
      </c>
      <c r="F907">
        <v>14.46</v>
      </c>
      <c r="G907" t="s">
        <v>63</v>
      </c>
      <c r="H907" t="s">
        <v>3328</v>
      </c>
      <c r="I907">
        <v>35</v>
      </c>
      <c r="J907">
        <v>723</v>
      </c>
      <c r="K907" s="5">
        <v>46161.586062442133</v>
      </c>
      <c r="M907" s="2" t="s">
        <v>3421</v>
      </c>
      <c r="N907" s="2" t="s">
        <v>1701</v>
      </c>
      <c r="O907" s="5">
        <v>45474.29594434028</v>
      </c>
      <c r="P907" t="str">
        <f>IF($Q907="DELETE",IF($S907="CONFIRMED: NO MODS &gt; 1YR","CONFIRMED: NO MODS &gt; 1YR","DO NOT DELETE — not defensibly confirmed"),IF($Q907="HOLD","DO NOT DELETE — HOLD (Charlie review)",IF($Q907="KEEP","DO NOT DELETE — KEEP",IF(ISNUMBER(SEARCH("REVIEW",$Q907)),"DO NOT DELETE — REVIEW pending",$S907))))</f>
        <v>DO NOT DELETE — REVIEW pending</v>
      </c>
      <c r="Q907" t="str" cm="1">
        <f t="array" ref="Q907">_xlfn.IFS(AND($A907="thg-beauty",ISNUMBER(SEARCH("liveramp",$C907))),"DELETE",$A907="agile-bonbon-662",_xlfn.IFS(LEFT($G907,9)="Tranche 1","DELETE",$C907="Sessions_Level_1_All_Sites","KEEP",ISNUMBER(--$C907),"REVIEW — UA raw logs",$C907="Emag_Reporting","KEEP",$C907="Nutrition_Data_Archived_Tables","KEEP",$C907="EU_Data","KEEP",TRUE,"REVIEW"),OR($A907="thg-influencer",$A907="thg-ingenuity",$A907="thg-central-marketing",$A907="thg-seoclarity"),"HOLD",TRUE,"")</f>
        <v>REVIEW — UA raw logs</v>
      </c>
      <c r="R907" t="str" cm="1">
        <f t="array" ref="R907">_xlfn.IFS(AND($A907="thg-beauty",ISNUMBER(SEARCH("liveramp",$C907))),"thg-beauty Liveramp dataset — confirmed safe to delete",$A907="agile-bonbon-662",_xlfn.IFS(LEFT($G907,9)="Tranche 1","Tranche 1: cleared",$C907="Sessions_Level_1_All_Sites","Downstream aggregation of UA raw logs — keep if raw tables go",ISNUMBER(--$C907),"UA raw site logs (account ID) — keep pending audit-retention check",$C907="Emag_Reporting","Legacy but likely needed",$C907="Nutrition_Data_Archived_Tables","Worth keeping",$C907="EU_Data","Static lookup tables — scripts still reference (smoke-test risk)",TRUE,"Review"),OR($A907="thg-influencer",$A907="thg-ingenuity",$A907="thg-central-marketing",$A907="thg-seoclarity"),"HOLD — Charlie Stringer to review before deletion",TRUE,"")</f>
        <v>UA raw site logs (account ID) — keep pending audit-retention check</v>
      </c>
      <c r="S907" t="s">
        <v>1624</v>
      </c>
    </row>
    <row r="908" spans="1:19" ht="45.75" hidden="1">
      <c r="A908" t="s">
        <v>89</v>
      </c>
      <c r="B908" t="s">
        <v>1619</v>
      </c>
      <c r="C908" t="s">
        <v>366</v>
      </c>
      <c r="D908" s="2" t="s">
        <v>1621</v>
      </c>
      <c r="E908">
        <v>691.63</v>
      </c>
      <c r="F908">
        <v>13.83</v>
      </c>
      <c r="G908" t="s">
        <v>63</v>
      </c>
      <c r="H908" t="s">
        <v>3328</v>
      </c>
      <c r="I908">
        <v>35</v>
      </c>
      <c r="J908">
        <v>723</v>
      </c>
      <c r="K908" s="5">
        <v>46161.58578765046</v>
      </c>
      <c r="M908" s="2" t="s">
        <v>3421</v>
      </c>
      <c r="N908" s="2" t="s">
        <v>1701</v>
      </c>
      <c r="O908" s="5">
        <v>45474.273546296303</v>
      </c>
      <c r="P908" t="str">
        <f>IF($Q908="DELETE",IF($S908="CONFIRMED: NO MODS &gt; 1YR","CONFIRMED: NO MODS &gt; 1YR","DO NOT DELETE — not defensibly confirmed"),IF($Q908="HOLD","DO NOT DELETE — HOLD (Charlie review)",IF($Q908="KEEP","DO NOT DELETE — KEEP",IF(ISNUMBER(SEARCH("REVIEW",$Q908)),"DO NOT DELETE — REVIEW pending",$S908))))</f>
        <v>DO NOT DELETE — REVIEW pending</v>
      </c>
      <c r="Q908" t="str" cm="1">
        <f t="array" ref="Q908">_xlfn.IFS(AND($A908="thg-beauty",ISNUMBER(SEARCH("liveramp",$C908))),"DELETE",$A908="agile-bonbon-662",_xlfn.IFS(LEFT($G908,9)="Tranche 1","DELETE",$C908="Sessions_Level_1_All_Sites","KEEP",ISNUMBER(--$C908),"REVIEW — UA raw logs",$C908="Emag_Reporting","KEEP",$C908="Nutrition_Data_Archived_Tables","KEEP",$C908="EU_Data","KEEP",TRUE,"REVIEW"),OR($A908="thg-influencer",$A908="thg-ingenuity",$A908="thg-central-marketing",$A908="thg-seoclarity"),"HOLD",TRUE,"")</f>
        <v>REVIEW — UA raw logs</v>
      </c>
      <c r="R908" t="str" cm="1">
        <f t="array" ref="R908">_xlfn.IFS(AND($A908="thg-beauty",ISNUMBER(SEARCH("liveramp",$C908))),"thg-beauty Liveramp dataset — confirmed safe to delete",$A908="agile-bonbon-662",_xlfn.IFS(LEFT($G908,9)="Tranche 1","Tranche 1: cleared",$C908="Sessions_Level_1_All_Sites","Downstream aggregation of UA raw logs — keep if raw tables go",ISNUMBER(--$C908),"UA raw site logs (account ID) — keep pending audit-retention check",$C908="Emag_Reporting","Legacy but likely needed",$C908="Nutrition_Data_Archived_Tables","Worth keeping",$C908="EU_Data","Static lookup tables — scripts still reference (smoke-test risk)",TRUE,"Review"),OR($A908="thg-influencer",$A908="thg-ingenuity",$A908="thg-central-marketing",$A908="thg-seoclarity"),"HOLD — Charlie Stringer to review before deletion",TRUE,"")</f>
        <v>UA raw site logs (account ID) — keep pending audit-retention check</v>
      </c>
      <c r="S908" t="s">
        <v>1624</v>
      </c>
    </row>
    <row r="909" spans="1:19" ht="45.75" hidden="1">
      <c r="A909" t="s">
        <v>89</v>
      </c>
      <c r="B909" t="s">
        <v>1619</v>
      </c>
      <c r="C909" t="s">
        <v>375</v>
      </c>
      <c r="D909" s="2" t="s">
        <v>1621</v>
      </c>
      <c r="E909">
        <v>664.19</v>
      </c>
      <c r="F909">
        <v>13.28</v>
      </c>
      <c r="G909" t="s">
        <v>63</v>
      </c>
      <c r="H909" t="s">
        <v>3328</v>
      </c>
      <c r="I909">
        <v>35</v>
      </c>
      <c r="J909">
        <v>723</v>
      </c>
      <c r="K909" s="5">
        <v>46161.589813379629</v>
      </c>
      <c r="M909" s="2" t="s">
        <v>3402</v>
      </c>
      <c r="N909" s="2" t="s">
        <v>1701</v>
      </c>
      <c r="O909" s="5">
        <v>45474.275661319443</v>
      </c>
      <c r="P909" t="str">
        <f>IF($Q909="DELETE",IF($S909="CONFIRMED: NO MODS &gt; 1YR","CONFIRMED: NO MODS &gt; 1YR","DO NOT DELETE — not defensibly confirmed"),IF($Q909="HOLD","DO NOT DELETE — HOLD (Charlie review)",IF($Q909="KEEP","DO NOT DELETE — KEEP",IF(ISNUMBER(SEARCH("REVIEW",$Q909)),"DO NOT DELETE — REVIEW pending",$S909))))</f>
        <v>DO NOT DELETE — REVIEW pending</v>
      </c>
      <c r="Q909" t="str" cm="1">
        <f t="array" ref="Q909">_xlfn.IFS(AND($A909="thg-beauty",ISNUMBER(SEARCH("liveramp",$C909))),"DELETE",$A909="agile-bonbon-662",_xlfn.IFS(LEFT($G909,9)="Tranche 1","DELETE",$C909="Sessions_Level_1_All_Sites","KEEP",ISNUMBER(--$C909),"REVIEW — UA raw logs",$C909="Emag_Reporting","KEEP",$C909="Nutrition_Data_Archived_Tables","KEEP",$C909="EU_Data","KEEP",TRUE,"REVIEW"),OR($A909="thg-influencer",$A909="thg-ingenuity",$A909="thg-central-marketing",$A909="thg-seoclarity"),"HOLD",TRUE,"")</f>
        <v>REVIEW — UA raw logs</v>
      </c>
      <c r="R909" t="str" cm="1">
        <f t="array" ref="R909">_xlfn.IFS(AND($A909="thg-beauty",ISNUMBER(SEARCH("liveramp",$C909))),"thg-beauty Liveramp dataset — confirmed safe to delete",$A909="agile-bonbon-662",_xlfn.IFS(LEFT($G909,9)="Tranche 1","Tranche 1: cleared",$C909="Sessions_Level_1_All_Sites","Downstream aggregation of UA raw logs — keep if raw tables go",ISNUMBER(--$C909),"UA raw site logs (account ID) — keep pending audit-retention check",$C909="Emag_Reporting","Legacy but likely needed",$C909="Nutrition_Data_Archived_Tables","Worth keeping",$C909="EU_Data","Static lookup tables — scripts still reference (smoke-test risk)",TRUE,"Review"),OR($A909="thg-influencer",$A909="thg-ingenuity",$A909="thg-central-marketing",$A909="thg-seoclarity"),"HOLD — Charlie Stringer to review before deletion",TRUE,"")</f>
        <v>UA raw site logs (account ID) — keep pending audit-retention check</v>
      </c>
      <c r="S909" t="s">
        <v>1624</v>
      </c>
    </row>
    <row r="910" spans="1:19" ht="45.75" hidden="1">
      <c r="A910" t="s">
        <v>89</v>
      </c>
      <c r="B910" t="s">
        <v>1619</v>
      </c>
      <c r="C910" t="s">
        <v>379</v>
      </c>
      <c r="D910" s="2" t="s">
        <v>1621</v>
      </c>
      <c r="E910">
        <v>645</v>
      </c>
      <c r="F910">
        <v>12.9</v>
      </c>
      <c r="G910" t="s">
        <v>63</v>
      </c>
      <c r="H910" t="s">
        <v>3328</v>
      </c>
      <c r="I910">
        <v>35</v>
      </c>
      <c r="J910">
        <v>723</v>
      </c>
      <c r="K910" s="5">
        <v>46161.582504571757</v>
      </c>
      <c r="M910" s="2" t="s">
        <v>3422</v>
      </c>
      <c r="N910" s="2" t="s">
        <v>1701</v>
      </c>
      <c r="O910" s="5">
        <v>45474.257776377322</v>
      </c>
      <c r="P910" t="str">
        <f>IF($Q910="DELETE",IF($S910="CONFIRMED: NO MODS &gt; 1YR","CONFIRMED: NO MODS &gt; 1YR","DO NOT DELETE — not defensibly confirmed"),IF($Q910="HOLD","DO NOT DELETE — HOLD (Charlie review)",IF($Q910="KEEP","DO NOT DELETE — KEEP",IF(ISNUMBER(SEARCH("REVIEW",$Q910)),"DO NOT DELETE — REVIEW pending",$S910))))</f>
        <v>DO NOT DELETE — REVIEW pending</v>
      </c>
      <c r="Q910" t="str" cm="1">
        <f t="array" ref="Q910">_xlfn.IFS(AND($A910="thg-beauty",ISNUMBER(SEARCH("liveramp",$C910))),"DELETE",$A910="agile-bonbon-662",_xlfn.IFS(LEFT($G910,9)="Tranche 1","DELETE",$C910="Sessions_Level_1_All_Sites","KEEP",ISNUMBER(--$C910),"REVIEW — UA raw logs",$C910="Emag_Reporting","KEEP",$C910="Nutrition_Data_Archived_Tables","KEEP",$C910="EU_Data","KEEP",TRUE,"REVIEW"),OR($A910="thg-influencer",$A910="thg-ingenuity",$A910="thg-central-marketing",$A910="thg-seoclarity"),"HOLD",TRUE,"")</f>
        <v>REVIEW — UA raw logs</v>
      </c>
      <c r="R910" t="str" cm="1">
        <f t="array" ref="R910">_xlfn.IFS(AND($A910="thg-beauty",ISNUMBER(SEARCH("liveramp",$C910))),"thg-beauty Liveramp dataset — confirmed safe to delete",$A910="agile-bonbon-662",_xlfn.IFS(LEFT($G910,9)="Tranche 1","Tranche 1: cleared",$C910="Sessions_Level_1_All_Sites","Downstream aggregation of UA raw logs — keep if raw tables go",ISNUMBER(--$C910),"UA raw site logs (account ID) — keep pending audit-retention check",$C910="Emag_Reporting","Legacy but likely needed",$C910="Nutrition_Data_Archived_Tables","Worth keeping",$C910="EU_Data","Static lookup tables — scripts still reference (smoke-test risk)",TRUE,"Review"),OR($A910="thg-influencer",$A910="thg-ingenuity",$A910="thg-central-marketing",$A910="thg-seoclarity"),"HOLD — Charlie Stringer to review before deletion",TRUE,"")</f>
        <v>UA raw site logs (account ID) — keep pending audit-retention check</v>
      </c>
      <c r="S910" t="s">
        <v>1624</v>
      </c>
    </row>
    <row r="911" spans="1:19" ht="45.75" hidden="1">
      <c r="A911" t="s">
        <v>89</v>
      </c>
      <c r="B911" t="s">
        <v>1619</v>
      </c>
      <c r="C911" t="s">
        <v>383</v>
      </c>
      <c r="D911" s="2" t="s">
        <v>1621</v>
      </c>
      <c r="E911">
        <v>565.48</v>
      </c>
      <c r="F911">
        <v>11.31</v>
      </c>
      <c r="G911" t="s">
        <v>63</v>
      </c>
      <c r="H911" t="s">
        <v>3328</v>
      </c>
      <c r="I911">
        <v>35</v>
      </c>
      <c r="J911">
        <v>723</v>
      </c>
      <c r="K911" s="5">
        <v>46161.582664953698</v>
      </c>
      <c r="M911" s="2" t="s">
        <v>3423</v>
      </c>
      <c r="N911" s="2" t="s">
        <v>1701</v>
      </c>
      <c r="O911" s="5">
        <v>45474.257886145831</v>
      </c>
      <c r="P911" t="str">
        <f>IF($Q911="DELETE",IF($S911="CONFIRMED: NO MODS &gt; 1YR","CONFIRMED: NO MODS &gt; 1YR","DO NOT DELETE — not defensibly confirmed"),IF($Q911="HOLD","DO NOT DELETE — HOLD (Charlie review)",IF($Q911="KEEP","DO NOT DELETE — KEEP",IF(ISNUMBER(SEARCH("REVIEW",$Q911)),"DO NOT DELETE — REVIEW pending",$S911))))</f>
        <v>DO NOT DELETE — REVIEW pending</v>
      </c>
      <c r="Q911" t="str" cm="1">
        <f t="array" ref="Q911">_xlfn.IFS(AND($A911="thg-beauty",ISNUMBER(SEARCH("liveramp",$C911))),"DELETE",$A911="agile-bonbon-662",_xlfn.IFS(LEFT($G911,9)="Tranche 1","DELETE",$C911="Sessions_Level_1_All_Sites","KEEP",ISNUMBER(--$C911),"REVIEW — UA raw logs",$C911="Emag_Reporting","KEEP",$C911="Nutrition_Data_Archived_Tables","KEEP",$C911="EU_Data","KEEP",TRUE,"REVIEW"),OR($A911="thg-influencer",$A911="thg-ingenuity",$A911="thg-central-marketing",$A911="thg-seoclarity"),"HOLD",TRUE,"")</f>
        <v>REVIEW — UA raw logs</v>
      </c>
      <c r="R911" t="str" cm="1">
        <f t="array" ref="R911">_xlfn.IFS(AND($A911="thg-beauty",ISNUMBER(SEARCH("liveramp",$C911))),"thg-beauty Liveramp dataset — confirmed safe to delete",$A911="agile-bonbon-662",_xlfn.IFS(LEFT($G911,9)="Tranche 1","Tranche 1: cleared",$C911="Sessions_Level_1_All_Sites","Downstream aggregation of UA raw logs — keep if raw tables go",ISNUMBER(--$C911),"UA raw site logs (account ID) — keep pending audit-retention check",$C911="Emag_Reporting","Legacy but likely needed",$C911="Nutrition_Data_Archived_Tables","Worth keeping",$C911="EU_Data","Static lookup tables — scripts still reference (smoke-test risk)",TRUE,"Review"),OR($A911="thg-influencer",$A911="thg-ingenuity",$A911="thg-central-marketing",$A911="thg-seoclarity"),"HOLD — Charlie Stringer to review before deletion",TRUE,"")</f>
        <v>UA raw site logs (account ID) — keep pending audit-retention check</v>
      </c>
      <c r="S911" t="s">
        <v>1624</v>
      </c>
    </row>
    <row r="912" spans="1:19" ht="45.75" hidden="1">
      <c r="A912" t="s">
        <v>89</v>
      </c>
      <c r="B912" t="s">
        <v>1619</v>
      </c>
      <c r="C912" t="s">
        <v>387</v>
      </c>
      <c r="D912" s="2" t="s">
        <v>1621</v>
      </c>
      <c r="E912">
        <v>557.38</v>
      </c>
      <c r="F912">
        <v>11.15</v>
      </c>
      <c r="G912" t="s">
        <v>63</v>
      </c>
      <c r="H912" t="s">
        <v>3328</v>
      </c>
      <c r="I912">
        <v>35</v>
      </c>
      <c r="J912">
        <v>723</v>
      </c>
      <c r="K912" s="5">
        <v>46161.593763240737</v>
      </c>
      <c r="M912" s="2" t="s">
        <v>2273</v>
      </c>
      <c r="N912" s="2" t="s">
        <v>1701</v>
      </c>
      <c r="O912" s="5">
        <v>45474.281790138892</v>
      </c>
      <c r="P912" t="str">
        <f>IF($Q912="DELETE",IF($S912="CONFIRMED: NO MODS &gt; 1YR","CONFIRMED: NO MODS &gt; 1YR","DO NOT DELETE — not defensibly confirmed"),IF($Q912="HOLD","DO NOT DELETE — HOLD (Charlie review)",IF($Q912="KEEP","DO NOT DELETE — KEEP",IF(ISNUMBER(SEARCH("REVIEW",$Q912)),"DO NOT DELETE — REVIEW pending",$S912))))</f>
        <v>DO NOT DELETE — REVIEW pending</v>
      </c>
      <c r="Q912" t="str" cm="1">
        <f t="array" ref="Q912">_xlfn.IFS(AND($A912="thg-beauty",ISNUMBER(SEARCH("liveramp",$C912))),"DELETE",$A912="agile-bonbon-662",_xlfn.IFS(LEFT($G912,9)="Tranche 1","DELETE",$C912="Sessions_Level_1_All_Sites","KEEP",ISNUMBER(--$C912),"REVIEW — UA raw logs",$C912="Emag_Reporting","KEEP",$C912="Nutrition_Data_Archived_Tables","KEEP",$C912="EU_Data","KEEP",TRUE,"REVIEW"),OR($A912="thg-influencer",$A912="thg-ingenuity",$A912="thg-central-marketing",$A912="thg-seoclarity"),"HOLD",TRUE,"")</f>
        <v>REVIEW — UA raw logs</v>
      </c>
      <c r="R912" t="str" cm="1">
        <f t="array" ref="R912">_xlfn.IFS(AND($A912="thg-beauty",ISNUMBER(SEARCH("liveramp",$C912))),"thg-beauty Liveramp dataset — confirmed safe to delete",$A912="agile-bonbon-662",_xlfn.IFS(LEFT($G912,9)="Tranche 1","Tranche 1: cleared",$C912="Sessions_Level_1_All_Sites","Downstream aggregation of UA raw logs — keep if raw tables go",ISNUMBER(--$C912),"UA raw site logs (account ID) — keep pending audit-retention check",$C912="Emag_Reporting","Legacy but likely needed",$C912="Nutrition_Data_Archived_Tables","Worth keeping",$C912="EU_Data","Static lookup tables — scripts still reference (smoke-test risk)",TRUE,"Review"),OR($A912="thg-influencer",$A912="thg-ingenuity",$A912="thg-central-marketing",$A912="thg-seoclarity"),"HOLD — Charlie Stringer to review before deletion",TRUE,"")</f>
        <v>UA raw site logs (account ID) — keep pending audit-retention check</v>
      </c>
      <c r="S912" t="s">
        <v>1624</v>
      </c>
    </row>
    <row r="913" spans="1:19" ht="45.75" hidden="1">
      <c r="A913" t="s">
        <v>89</v>
      </c>
      <c r="B913" t="s">
        <v>1619</v>
      </c>
      <c r="C913" t="s">
        <v>391</v>
      </c>
      <c r="D913" s="2" t="s">
        <v>1621</v>
      </c>
      <c r="E913">
        <v>555.66999999999996</v>
      </c>
      <c r="F913">
        <v>11.11</v>
      </c>
      <c r="G913" t="s">
        <v>63</v>
      </c>
      <c r="H913" t="s">
        <v>3328</v>
      </c>
      <c r="I913">
        <v>35</v>
      </c>
      <c r="J913">
        <v>723</v>
      </c>
      <c r="K913" s="5">
        <v>46161.589574282407</v>
      </c>
      <c r="M913" s="2" t="s">
        <v>3424</v>
      </c>
      <c r="N913" s="2" t="s">
        <v>1701</v>
      </c>
      <c r="O913" s="5">
        <v>45474.258662453707</v>
      </c>
      <c r="P913" t="str">
        <f>IF($Q913="DELETE",IF($S913="CONFIRMED: NO MODS &gt; 1YR","CONFIRMED: NO MODS &gt; 1YR","DO NOT DELETE — not defensibly confirmed"),IF($Q913="HOLD","DO NOT DELETE — HOLD (Charlie review)",IF($Q913="KEEP","DO NOT DELETE — KEEP",IF(ISNUMBER(SEARCH("REVIEW",$Q913)),"DO NOT DELETE — REVIEW pending",$S913))))</f>
        <v>DO NOT DELETE — REVIEW pending</v>
      </c>
      <c r="Q913" t="str" cm="1">
        <f t="array" ref="Q913">_xlfn.IFS(AND($A913="thg-beauty",ISNUMBER(SEARCH("liveramp",$C913))),"DELETE",$A913="agile-bonbon-662",_xlfn.IFS(LEFT($G913,9)="Tranche 1","DELETE",$C913="Sessions_Level_1_All_Sites","KEEP",ISNUMBER(--$C913),"REVIEW — UA raw logs",$C913="Emag_Reporting","KEEP",$C913="Nutrition_Data_Archived_Tables","KEEP",$C913="EU_Data","KEEP",TRUE,"REVIEW"),OR($A913="thg-influencer",$A913="thg-ingenuity",$A913="thg-central-marketing",$A913="thg-seoclarity"),"HOLD",TRUE,"")</f>
        <v>REVIEW — UA raw logs</v>
      </c>
      <c r="R913" t="str" cm="1">
        <f t="array" ref="R913">_xlfn.IFS(AND($A913="thg-beauty",ISNUMBER(SEARCH("liveramp",$C913))),"thg-beauty Liveramp dataset — confirmed safe to delete",$A913="agile-bonbon-662",_xlfn.IFS(LEFT($G913,9)="Tranche 1","Tranche 1: cleared",$C913="Sessions_Level_1_All_Sites","Downstream aggregation of UA raw logs — keep if raw tables go",ISNUMBER(--$C913),"UA raw site logs (account ID) — keep pending audit-retention check",$C913="Emag_Reporting","Legacy but likely needed",$C913="Nutrition_Data_Archived_Tables","Worth keeping",$C913="EU_Data","Static lookup tables — scripts still reference (smoke-test risk)",TRUE,"Review"),OR($A913="thg-influencer",$A913="thg-ingenuity",$A913="thg-central-marketing",$A913="thg-seoclarity"),"HOLD — Charlie Stringer to review before deletion",TRUE,"")</f>
        <v>UA raw site logs (account ID) — keep pending audit-retention check</v>
      </c>
      <c r="S913" t="s">
        <v>1624</v>
      </c>
    </row>
    <row r="914" spans="1:19" ht="45.75" hidden="1">
      <c r="A914" t="s">
        <v>89</v>
      </c>
      <c r="B914" t="s">
        <v>1619</v>
      </c>
      <c r="C914" t="s">
        <v>395</v>
      </c>
      <c r="D914" s="2" t="s">
        <v>1621</v>
      </c>
      <c r="E914">
        <v>550.44000000000005</v>
      </c>
      <c r="F914">
        <v>11.01</v>
      </c>
      <c r="G914" t="s">
        <v>63</v>
      </c>
      <c r="H914" t="s">
        <v>3328</v>
      </c>
      <c r="I914">
        <v>35</v>
      </c>
      <c r="J914">
        <v>723</v>
      </c>
      <c r="K914" s="5">
        <v>46161.603831736109</v>
      </c>
      <c r="M914" s="2" t="s">
        <v>3425</v>
      </c>
      <c r="N914" s="2" t="s">
        <v>1701</v>
      </c>
      <c r="O914" s="5">
        <v>45474.340458321763</v>
      </c>
      <c r="P914" t="str">
        <f>IF($Q914="DELETE",IF($S914="CONFIRMED: NO MODS &gt; 1YR","CONFIRMED: NO MODS &gt; 1YR","DO NOT DELETE — not defensibly confirmed"),IF($Q914="HOLD","DO NOT DELETE — HOLD (Charlie review)",IF($Q914="KEEP","DO NOT DELETE — KEEP",IF(ISNUMBER(SEARCH("REVIEW",$Q914)),"DO NOT DELETE — REVIEW pending",$S914))))</f>
        <v>DO NOT DELETE — REVIEW pending</v>
      </c>
      <c r="Q914" t="str" cm="1">
        <f t="array" ref="Q914">_xlfn.IFS(AND($A914="thg-beauty",ISNUMBER(SEARCH("liveramp",$C914))),"DELETE",$A914="agile-bonbon-662",_xlfn.IFS(LEFT($G914,9)="Tranche 1","DELETE",$C914="Sessions_Level_1_All_Sites","KEEP",ISNUMBER(--$C914),"REVIEW — UA raw logs",$C914="Emag_Reporting","KEEP",$C914="Nutrition_Data_Archived_Tables","KEEP",$C914="EU_Data","KEEP",TRUE,"REVIEW"),OR($A914="thg-influencer",$A914="thg-ingenuity",$A914="thg-central-marketing",$A914="thg-seoclarity"),"HOLD",TRUE,"")</f>
        <v>REVIEW — UA raw logs</v>
      </c>
      <c r="R914" t="str" cm="1">
        <f t="array" ref="R914">_xlfn.IFS(AND($A914="thg-beauty",ISNUMBER(SEARCH("liveramp",$C914))),"thg-beauty Liveramp dataset — confirmed safe to delete",$A914="agile-bonbon-662",_xlfn.IFS(LEFT($G914,9)="Tranche 1","Tranche 1: cleared",$C914="Sessions_Level_1_All_Sites","Downstream aggregation of UA raw logs — keep if raw tables go",ISNUMBER(--$C914),"UA raw site logs (account ID) — keep pending audit-retention check",$C914="Emag_Reporting","Legacy but likely needed",$C914="Nutrition_Data_Archived_Tables","Worth keeping",$C914="EU_Data","Static lookup tables — scripts still reference (smoke-test risk)",TRUE,"Review"),OR($A914="thg-influencer",$A914="thg-ingenuity",$A914="thg-central-marketing",$A914="thg-seoclarity"),"HOLD — Charlie Stringer to review before deletion",TRUE,"")</f>
        <v>UA raw site logs (account ID) — keep pending audit-retention check</v>
      </c>
      <c r="S914" t="s">
        <v>1624</v>
      </c>
    </row>
    <row r="915" spans="1:19" ht="45.75" hidden="1">
      <c r="A915" t="s">
        <v>89</v>
      </c>
      <c r="B915" t="s">
        <v>1619</v>
      </c>
      <c r="C915" t="s">
        <v>399</v>
      </c>
      <c r="D915" s="2" t="s">
        <v>1621</v>
      </c>
      <c r="E915">
        <v>524.03</v>
      </c>
      <c r="F915">
        <v>10.48</v>
      </c>
      <c r="G915" t="s">
        <v>63</v>
      </c>
      <c r="H915" t="s">
        <v>3328</v>
      </c>
      <c r="I915">
        <v>35</v>
      </c>
      <c r="J915">
        <v>723</v>
      </c>
      <c r="K915" s="5">
        <v>46161.595437928241</v>
      </c>
      <c r="M915" s="2" t="s">
        <v>3426</v>
      </c>
      <c r="N915" s="2" t="s">
        <v>1701</v>
      </c>
      <c r="O915" s="5">
        <v>45474.275206122693</v>
      </c>
      <c r="P915" t="str">
        <f>IF($Q915="DELETE",IF($S915="CONFIRMED: NO MODS &gt; 1YR","CONFIRMED: NO MODS &gt; 1YR","DO NOT DELETE — not defensibly confirmed"),IF($Q915="HOLD","DO NOT DELETE — HOLD (Charlie review)",IF($Q915="KEEP","DO NOT DELETE — KEEP",IF(ISNUMBER(SEARCH("REVIEW",$Q915)),"DO NOT DELETE — REVIEW pending",$S915))))</f>
        <v>DO NOT DELETE — REVIEW pending</v>
      </c>
      <c r="Q915" t="str" cm="1">
        <f t="array" ref="Q915">_xlfn.IFS(AND($A915="thg-beauty",ISNUMBER(SEARCH("liveramp",$C915))),"DELETE",$A915="agile-bonbon-662",_xlfn.IFS(LEFT($G915,9)="Tranche 1","DELETE",$C915="Sessions_Level_1_All_Sites","KEEP",ISNUMBER(--$C915),"REVIEW — UA raw logs",$C915="Emag_Reporting","KEEP",$C915="Nutrition_Data_Archived_Tables","KEEP",$C915="EU_Data","KEEP",TRUE,"REVIEW"),OR($A915="thg-influencer",$A915="thg-ingenuity",$A915="thg-central-marketing",$A915="thg-seoclarity"),"HOLD",TRUE,"")</f>
        <v>REVIEW — UA raw logs</v>
      </c>
      <c r="R915" t="str" cm="1">
        <f t="array" ref="R915">_xlfn.IFS(AND($A915="thg-beauty",ISNUMBER(SEARCH("liveramp",$C915))),"thg-beauty Liveramp dataset — confirmed safe to delete",$A915="agile-bonbon-662",_xlfn.IFS(LEFT($G915,9)="Tranche 1","Tranche 1: cleared",$C915="Sessions_Level_1_All_Sites","Downstream aggregation of UA raw logs — keep if raw tables go",ISNUMBER(--$C915),"UA raw site logs (account ID) — keep pending audit-retention check",$C915="Emag_Reporting","Legacy but likely needed",$C915="Nutrition_Data_Archived_Tables","Worth keeping",$C915="EU_Data","Static lookup tables — scripts still reference (smoke-test risk)",TRUE,"Review"),OR($A915="thg-influencer",$A915="thg-ingenuity",$A915="thg-central-marketing",$A915="thg-seoclarity"),"HOLD — Charlie Stringer to review before deletion",TRUE,"")</f>
        <v>UA raw site logs (account ID) — keep pending audit-retention check</v>
      </c>
      <c r="S915" t="s">
        <v>1624</v>
      </c>
    </row>
    <row r="916" spans="1:19" ht="45.75" hidden="1">
      <c r="A916" t="s">
        <v>89</v>
      </c>
      <c r="B916" t="s">
        <v>1619</v>
      </c>
      <c r="C916" t="s">
        <v>403</v>
      </c>
      <c r="D916" s="2" t="s">
        <v>1621</v>
      </c>
      <c r="E916">
        <v>518.83000000000004</v>
      </c>
      <c r="F916">
        <v>10.38</v>
      </c>
      <c r="G916" t="s">
        <v>63</v>
      </c>
      <c r="H916" t="s">
        <v>3328</v>
      </c>
      <c r="I916">
        <v>35</v>
      </c>
      <c r="J916">
        <v>723</v>
      </c>
      <c r="K916" s="5">
        <v>46161.602274166667</v>
      </c>
      <c r="M916" s="2" t="s">
        <v>3427</v>
      </c>
      <c r="N916" s="2" t="s">
        <v>1701</v>
      </c>
      <c r="O916" s="5">
        <v>45474.340220069447</v>
      </c>
      <c r="P916" t="str">
        <f>IF($Q916="DELETE",IF($S916="CONFIRMED: NO MODS &gt; 1YR","CONFIRMED: NO MODS &gt; 1YR","DO NOT DELETE — not defensibly confirmed"),IF($Q916="HOLD","DO NOT DELETE — HOLD (Charlie review)",IF($Q916="KEEP","DO NOT DELETE — KEEP",IF(ISNUMBER(SEARCH("REVIEW",$Q916)),"DO NOT DELETE — REVIEW pending",$S916))))</f>
        <v>DO NOT DELETE — REVIEW pending</v>
      </c>
      <c r="Q916" t="str" cm="1">
        <f t="array" ref="Q916">_xlfn.IFS(AND($A916="thg-beauty",ISNUMBER(SEARCH("liveramp",$C916))),"DELETE",$A916="agile-bonbon-662",_xlfn.IFS(LEFT($G916,9)="Tranche 1","DELETE",$C916="Sessions_Level_1_All_Sites","KEEP",ISNUMBER(--$C916),"REVIEW — UA raw logs",$C916="Emag_Reporting","KEEP",$C916="Nutrition_Data_Archived_Tables","KEEP",$C916="EU_Data","KEEP",TRUE,"REVIEW"),OR($A916="thg-influencer",$A916="thg-ingenuity",$A916="thg-central-marketing",$A916="thg-seoclarity"),"HOLD",TRUE,"")</f>
        <v>REVIEW — UA raw logs</v>
      </c>
      <c r="R916" t="str" cm="1">
        <f t="array" ref="R916">_xlfn.IFS(AND($A916="thg-beauty",ISNUMBER(SEARCH("liveramp",$C916))),"thg-beauty Liveramp dataset — confirmed safe to delete",$A916="agile-bonbon-662",_xlfn.IFS(LEFT($G916,9)="Tranche 1","Tranche 1: cleared",$C916="Sessions_Level_1_All_Sites","Downstream aggregation of UA raw logs — keep if raw tables go",ISNUMBER(--$C916),"UA raw site logs (account ID) — keep pending audit-retention check",$C916="Emag_Reporting","Legacy but likely needed",$C916="Nutrition_Data_Archived_Tables","Worth keeping",$C916="EU_Data","Static lookup tables — scripts still reference (smoke-test risk)",TRUE,"Review"),OR($A916="thg-influencer",$A916="thg-ingenuity",$A916="thg-central-marketing",$A916="thg-seoclarity"),"HOLD — Charlie Stringer to review before deletion",TRUE,"")</f>
        <v>UA raw site logs (account ID) — keep pending audit-retention check</v>
      </c>
      <c r="S916" t="s">
        <v>1624</v>
      </c>
    </row>
    <row r="917" spans="1:19" ht="45.75" hidden="1">
      <c r="A917" t="s">
        <v>89</v>
      </c>
      <c r="B917" t="s">
        <v>1619</v>
      </c>
      <c r="C917" t="s">
        <v>407</v>
      </c>
      <c r="D917" s="2" t="s">
        <v>1621</v>
      </c>
      <c r="E917">
        <v>515.66</v>
      </c>
      <c r="F917">
        <v>10.31</v>
      </c>
      <c r="G917" t="s">
        <v>63</v>
      </c>
      <c r="H917" t="s">
        <v>3328</v>
      </c>
      <c r="I917">
        <v>35</v>
      </c>
      <c r="J917">
        <v>723</v>
      </c>
      <c r="K917" s="5">
        <v>46161.600618449083</v>
      </c>
      <c r="M917" s="2" t="s">
        <v>3428</v>
      </c>
      <c r="N917" s="2" t="s">
        <v>1701</v>
      </c>
      <c r="O917" s="5">
        <v>45474.339826145842</v>
      </c>
      <c r="P917" t="str">
        <f>IF($Q917="DELETE",IF($S917="CONFIRMED: NO MODS &gt; 1YR","CONFIRMED: NO MODS &gt; 1YR","DO NOT DELETE — not defensibly confirmed"),IF($Q917="HOLD","DO NOT DELETE — HOLD (Charlie review)",IF($Q917="KEEP","DO NOT DELETE — KEEP",IF(ISNUMBER(SEARCH("REVIEW",$Q917)),"DO NOT DELETE — REVIEW pending",$S917))))</f>
        <v>DO NOT DELETE — REVIEW pending</v>
      </c>
      <c r="Q917" t="str" cm="1">
        <f t="array" ref="Q917">_xlfn.IFS(AND($A917="thg-beauty",ISNUMBER(SEARCH("liveramp",$C917))),"DELETE",$A917="agile-bonbon-662",_xlfn.IFS(LEFT($G917,9)="Tranche 1","DELETE",$C917="Sessions_Level_1_All_Sites","KEEP",ISNUMBER(--$C917),"REVIEW — UA raw logs",$C917="Emag_Reporting","KEEP",$C917="Nutrition_Data_Archived_Tables","KEEP",$C917="EU_Data","KEEP",TRUE,"REVIEW"),OR($A917="thg-influencer",$A917="thg-ingenuity",$A917="thg-central-marketing",$A917="thg-seoclarity"),"HOLD",TRUE,"")</f>
        <v>REVIEW — UA raw logs</v>
      </c>
      <c r="R917" t="str" cm="1">
        <f t="array" ref="R917">_xlfn.IFS(AND($A917="thg-beauty",ISNUMBER(SEARCH("liveramp",$C917))),"thg-beauty Liveramp dataset — confirmed safe to delete",$A917="agile-bonbon-662",_xlfn.IFS(LEFT($G917,9)="Tranche 1","Tranche 1: cleared",$C917="Sessions_Level_1_All_Sites","Downstream aggregation of UA raw logs — keep if raw tables go",ISNUMBER(--$C917),"UA raw site logs (account ID) — keep pending audit-retention check",$C917="Emag_Reporting","Legacy but likely needed",$C917="Nutrition_Data_Archived_Tables","Worth keeping",$C917="EU_Data","Static lookup tables — scripts still reference (smoke-test risk)",TRUE,"Review"),OR($A917="thg-influencer",$A917="thg-ingenuity",$A917="thg-central-marketing",$A917="thg-seoclarity"),"HOLD — Charlie Stringer to review before deletion",TRUE,"")</f>
        <v>UA raw site logs (account ID) — keep pending audit-retention check</v>
      </c>
      <c r="S917" t="s">
        <v>1624</v>
      </c>
    </row>
    <row r="918" spans="1:19" ht="45.75" hidden="1">
      <c r="A918" t="s">
        <v>89</v>
      </c>
      <c r="B918" t="s">
        <v>1619</v>
      </c>
      <c r="C918" t="s">
        <v>411</v>
      </c>
      <c r="D918" s="2" t="s">
        <v>1621</v>
      </c>
      <c r="E918">
        <v>504.38</v>
      </c>
      <c r="F918">
        <v>10.09</v>
      </c>
      <c r="G918" t="s">
        <v>63</v>
      </c>
      <c r="H918" t="s">
        <v>3328</v>
      </c>
      <c r="I918">
        <v>35</v>
      </c>
      <c r="J918">
        <v>723</v>
      </c>
      <c r="K918" s="5">
        <v>46161.60117224537</v>
      </c>
      <c r="M918" s="2" t="s">
        <v>3420</v>
      </c>
      <c r="N918" s="2" t="s">
        <v>1701</v>
      </c>
      <c r="O918" s="5">
        <v>45474.339811585647</v>
      </c>
      <c r="P918" t="str">
        <f>IF($Q918="DELETE",IF($S918="CONFIRMED: NO MODS &gt; 1YR","CONFIRMED: NO MODS &gt; 1YR","DO NOT DELETE — not defensibly confirmed"),IF($Q918="HOLD","DO NOT DELETE — HOLD (Charlie review)",IF($Q918="KEEP","DO NOT DELETE — KEEP",IF(ISNUMBER(SEARCH("REVIEW",$Q918)),"DO NOT DELETE — REVIEW pending",$S918))))</f>
        <v>DO NOT DELETE — REVIEW pending</v>
      </c>
      <c r="Q918" t="str" cm="1">
        <f t="array" ref="Q918">_xlfn.IFS(AND($A918="thg-beauty",ISNUMBER(SEARCH("liveramp",$C918))),"DELETE",$A918="agile-bonbon-662",_xlfn.IFS(LEFT($G918,9)="Tranche 1","DELETE",$C918="Sessions_Level_1_All_Sites","KEEP",ISNUMBER(--$C918),"REVIEW — UA raw logs",$C918="Emag_Reporting","KEEP",$C918="Nutrition_Data_Archived_Tables","KEEP",$C918="EU_Data","KEEP",TRUE,"REVIEW"),OR($A918="thg-influencer",$A918="thg-ingenuity",$A918="thg-central-marketing",$A918="thg-seoclarity"),"HOLD",TRUE,"")</f>
        <v>REVIEW — UA raw logs</v>
      </c>
      <c r="R918" t="str" cm="1">
        <f t="array" ref="R918">_xlfn.IFS(AND($A918="thg-beauty",ISNUMBER(SEARCH("liveramp",$C918))),"thg-beauty Liveramp dataset — confirmed safe to delete",$A918="agile-bonbon-662",_xlfn.IFS(LEFT($G918,9)="Tranche 1","Tranche 1: cleared",$C918="Sessions_Level_1_All_Sites","Downstream aggregation of UA raw logs — keep if raw tables go",ISNUMBER(--$C918),"UA raw site logs (account ID) — keep pending audit-retention check",$C918="Emag_Reporting","Legacy but likely needed",$C918="Nutrition_Data_Archived_Tables","Worth keeping",$C918="EU_Data","Static lookup tables — scripts still reference (smoke-test risk)",TRUE,"Review"),OR($A918="thg-influencer",$A918="thg-ingenuity",$A918="thg-central-marketing",$A918="thg-seoclarity"),"HOLD — Charlie Stringer to review before deletion",TRUE,"")</f>
        <v>UA raw site logs (account ID) — keep pending audit-retention check</v>
      </c>
      <c r="S918" t="s">
        <v>1624</v>
      </c>
    </row>
    <row r="919" spans="1:19" ht="45.75" hidden="1">
      <c r="A919" t="s">
        <v>89</v>
      </c>
      <c r="B919" t="s">
        <v>1619</v>
      </c>
      <c r="C919" t="s">
        <v>415</v>
      </c>
      <c r="D919" s="2" t="s">
        <v>1621</v>
      </c>
      <c r="E919">
        <v>493.4</v>
      </c>
      <c r="F919">
        <v>9.8699999999999992</v>
      </c>
      <c r="G919" t="s">
        <v>63</v>
      </c>
      <c r="H919" t="s">
        <v>3328</v>
      </c>
      <c r="I919">
        <v>35</v>
      </c>
      <c r="J919">
        <v>723</v>
      </c>
      <c r="K919" s="5">
        <v>46161.589210358798</v>
      </c>
      <c r="M919" s="2" t="s">
        <v>3424</v>
      </c>
      <c r="N919" s="2" t="s">
        <v>1701</v>
      </c>
      <c r="O919" s="5">
        <v>45474.274820023151</v>
      </c>
      <c r="P919" t="str">
        <f>IF($Q919="DELETE",IF($S919="CONFIRMED: NO MODS &gt; 1YR","CONFIRMED: NO MODS &gt; 1YR","DO NOT DELETE — not defensibly confirmed"),IF($Q919="HOLD","DO NOT DELETE — HOLD (Charlie review)",IF($Q919="KEEP","DO NOT DELETE — KEEP",IF(ISNUMBER(SEARCH("REVIEW",$Q919)),"DO NOT DELETE — REVIEW pending",$S919))))</f>
        <v>DO NOT DELETE — REVIEW pending</v>
      </c>
      <c r="Q919" t="str" cm="1">
        <f t="array" ref="Q919">_xlfn.IFS(AND($A919="thg-beauty",ISNUMBER(SEARCH("liveramp",$C919))),"DELETE",$A919="agile-bonbon-662",_xlfn.IFS(LEFT($G919,9)="Tranche 1","DELETE",$C919="Sessions_Level_1_All_Sites","KEEP",ISNUMBER(--$C919),"REVIEW — UA raw logs",$C919="Emag_Reporting","KEEP",$C919="Nutrition_Data_Archived_Tables","KEEP",$C919="EU_Data","KEEP",TRUE,"REVIEW"),OR($A919="thg-influencer",$A919="thg-ingenuity",$A919="thg-central-marketing",$A919="thg-seoclarity"),"HOLD",TRUE,"")</f>
        <v>REVIEW — UA raw logs</v>
      </c>
      <c r="R919" t="str" cm="1">
        <f t="array" ref="R919">_xlfn.IFS(AND($A919="thg-beauty",ISNUMBER(SEARCH("liveramp",$C919))),"thg-beauty Liveramp dataset — confirmed safe to delete",$A919="agile-bonbon-662",_xlfn.IFS(LEFT($G919,9)="Tranche 1","Tranche 1: cleared",$C919="Sessions_Level_1_All_Sites","Downstream aggregation of UA raw logs — keep if raw tables go",ISNUMBER(--$C919),"UA raw site logs (account ID) — keep pending audit-retention check",$C919="Emag_Reporting","Legacy but likely needed",$C919="Nutrition_Data_Archived_Tables","Worth keeping",$C919="EU_Data","Static lookup tables — scripts still reference (smoke-test risk)",TRUE,"Review"),OR($A919="thg-influencer",$A919="thg-ingenuity",$A919="thg-central-marketing",$A919="thg-seoclarity"),"HOLD — Charlie Stringer to review before deletion",TRUE,"")</f>
        <v>UA raw site logs (account ID) — keep pending audit-retention check</v>
      </c>
      <c r="S919" t="s">
        <v>1624</v>
      </c>
    </row>
    <row r="920" spans="1:19" ht="45.75" hidden="1">
      <c r="A920" t="s">
        <v>89</v>
      </c>
      <c r="B920" t="s">
        <v>1619</v>
      </c>
      <c r="C920" t="s">
        <v>419</v>
      </c>
      <c r="D920" s="2" t="s">
        <v>1621</v>
      </c>
      <c r="E920">
        <v>488.06</v>
      </c>
      <c r="F920">
        <v>9.76</v>
      </c>
      <c r="G920" t="s">
        <v>63</v>
      </c>
      <c r="H920" t="s">
        <v>3328</v>
      </c>
      <c r="I920">
        <v>35</v>
      </c>
      <c r="J920">
        <v>723</v>
      </c>
      <c r="K920" s="5">
        <v>46161.586485532411</v>
      </c>
      <c r="M920" s="2" t="s">
        <v>3429</v>
      </c>
      <c r="N920" s="2" t="s">
        <v>1701</v>
      </c>
      <c r="O920" s="5">
        <v>45474.273786817132</v>
      </c>
      <c r="P920" t="str">
        <f>IF($Q920="DELETE",IF($S920="CONFIRMED: NO MODS &gt; 1YR","CONFIRMED: NO MODS &gt; 1YR","DO NOT DELETE — not defensibly confirmed"),IF($Q920="HOLD","DO NOT DELETE — HOLD (Charlie review)",IF($Q920="KEEP","DO NOT DELETE — KEEP",IF(ISNUMBER(SEARCH("REVIEW",$Q920)),"DO NOT DELETE — REVIEW pending",$S920))))</f>
        <v>DO NOT DELETE — REVIEW pending</v>
      </c>
      <c r="Q920" t="str" cm="1">
        <f t="array" ref="Q920">_xlfn.IFS(AND($A920="thg-beauty",ISNUMBER(SEARCH("liveramp",$C920))),"DELETE",$A920="agile-bonbon-662",_xlfn.IFS(LEFT($G920,9)="Tranche 1","DELETE",$C920="Sessions_Level_1_All_Sites","KEEP",ISNUMBER(--$C920),"REVIEW — UA raw logs",$C920="Emag_Reporting","KEEP",$C920="Nutrition_Data_Archived_Tables","KEEP",$C920="EU_Data","KEEP",TRUE,"REVIEW"),OR($A920="thg-influencer",$A920="thg-ingenuity",$A920="thg-central-marketing",$A920="thg-seoclarity"),"HOLD",TRUE,"")</f>
        <v>REVIEW — UA raw logs</v>
      </c>
      <c r="R920" t="str" cm="1">
        <f t="array" ref="R920">_xlfn.IFS(AND($A920="thg-beauty",ISNUMBER(SEARCH("liveramp",$C920))),"thg-beauty Liveramp dataset — confirmed safe to delete",$A920="agile-bonbon-662",_xlfn.IFS(LEFT($G920,9)="Tranche 1","Tranche 1: cleared",$C920="Sessions_Level_1_All_Sites","Downstream aggregation of UA raw logs — keep if raw tables go",ISNUMBER(--$C920),"UA raw site logs (account ID) — keep pending audit-retention check",$C920="Emag_Reporting","Legacy but likely needed",$C920="Nutrition_Data_Archived_Tables","Worth keeping",$C920="EU_Data","Static lookup tables — scripts still reference (smoke-test risk)",TRUE,"Review"),OR($A920="thg-influencer",$A920="thg-ingenuity",$A920="thg-central-marketing",$A920="thg-seoclarity"),"HOLD — Charlie Stringer to review before deletion",TRUE,"")</f>
        <v>UA raw site logs (account ID) — keep pending audit-retention check</v>
      </c>
      <c r="S920" t="s">
        <v>1624</v>
      </c>
    </row>
    <row r="921" spans="1:19" ht="45.75" hidden="1">
      <c r="A921" t="s">
        <v>89</v>
      </c>
      <c r="B921" t="s">
        <v>1619</v>
      </c>
      <c r="C921" t="s">
        <v>423</v>
      </c>
      <c r="D921" s="2" t="s">
        <v>1621</v>
      </c>
      <c r="E921">
        <v>473.27</v>
      </c>
      <c r="F921">
        <v>9.4700000000000006</v>
      </c>
      <c r="G921" t="s">
        <v>63</v>
      </c>
      <c r="H921" t="s">
        <v>3328</v>
      </c>
      <c r="I921">
        <v>35</v>
      </c>
      <c r="J921">
        <v>723</v>
      </c>
      <c r="K921" s="5">
        <v>46161.595708831017</v>
      </c>
      <c r="M921" s="2" t="s">
        <v>3426</v>
      </c>
      <c r="N921" s="2" t="s">
        <v>1701</v>
      </c>
      <c r="O921" s="5">
        <v>45474.337749745369</v>
      </c>
      <c r="P921" t="str">
        <f>IF($Q921="DELETE",IF($S921="CONFIRMED: NO MODS &gt; 1YR","CONFIRMED: NO MODS &gt; 1YR","DO NOT DELETE — not defensibly confirmed"),IF($Q921="HOLD","DO NOT DELETE — HOLD (Charlie review)",IF($Q921="KEEP","DO NOT DELETE — KEEP",IF(ISNUMBER(SEARCH("REVIEW",$Q921)),"DO NOT DELETE — REVIEW pending",$S921))))</f>
        <v>DO NOT DELETE — REVIEW pending</v>
      </c>
      <c r="Q921" t="str" cm="1">
        <f t="array" ref="Q921">_xlfn.IFS(AND($A921="thg-beauty",ISNUMBER(SEARCH("liveramp",$C921))),"DELETE",$A921="agile-bonbon-662",_xlfn.IFS(LEFT($G921,9)="Tranche 1","DELETE",$C921="Sessions_Level_1_All_Sites","KEEP",ISNUMBER(--$C921),"REVIEW — UA raw logs",$C921="Emag_Reporting","KEEP",$C921="Nutrition_Data_Archived_Tables","KEEP",$C921="EU_Data","KEEP",TRUE,"REVIEW"),OR($A921="thg-influencer",$A921="thg-ingenuity",$A921="thg-central-marketing",$A921="thg-seoclarity"),"HOLD",TRUE,"")</f>
        <v>REVIEW — UA raw logs</v>
      </c>
      <c r="R921" t="str" cm="1">
        <f t="array" ref="R921">_xlfn.IFS(AND($A921="thg-beauty",ISNUMBER(SEARCH("liveramp",$C921))),"thg-beauty Liveramp dataset — confirmed safe to delete",$A921="agile-bonbon-662",_xlfn.IFS(LEFT($G921,9)="Tranche 1","Tranche 1: cleared",$C921="Sessions_Level_1_All_Sites","Downstream aggregation of UA raw logs — keep if raw tables go",ISNUMBER(--$C921),"UA raw site logs (account ID) — keep pending audit-retention check",$C921="Emag_Reporting","Legacy but likely needed",$C921="Nutrition_Data_Archived_Tables","Worth keeping",$C921="EU_Data","Static lookup tables — scripts still reference (smoke-test risk)",TRUE,"Review"),OR($A921="thg-influencer",$A921="thg-ingenuity",$A921="thg-central-marketing",$A921="thg-seoclarity"),"HOLD — Charlie Stringer to review before deletion",TRUE,"")</f>
        <v>UA raw site logs (account ID) — keep pending audit-retention check</v>
      </c>
      <c r="S921" t="s">
        <v>1624</v>
      </c>
    </row>
    <row r="922" spans="1:19" ht="45.75" hidden="1">
      <c r="A922" t="s">
        <v>89</v>
      </c>
      <c r="B922" t="s">
        <v>1619</v>
      </c>
      <c r="C922" t="s">
        <v>427</v>
      </c>
      <c r="D922" s="2" t="s">
        <v>1621</v>
      </c>
      <c r="E922">
        <v>467.56</v>
      </c>
      <c r="F922">
        <v>9.35</v>
      </c>
      <c r="G922" t="s">
        <v>63</v>
      </c>
      <c r="H922" t="s">
        <v>3328</v>
      </c>
      <c r="I922">
        <v>35</v>
      </c>
      <c r="J922">
        <v>723</v>
      </c>
      <c r="K922" s="5">
        <v>46161.581927754632</v>
      </c>
      <c r="M922" s="2" t="s">
        <v>3430</v>
      </c>
      <c r="N922" s="2" t="s">
        <v>1701</v>
      </c>
      <c r="O922" s="5">
        <v>45474.335979062504</v>
      </c>
      <c r="P922" t="str">
        <f>IF($Q922="DELETE",IF($S922="CONFIRMED: NO MODS &gt; 1YR","CONFIRMED: NO MODS &gt; 1YR","DO NOT DELETE — not defensibly confirmed"),IF($Q922="HOLD","DO NOT DELETE — HOLD (Charlie review)",IF($Q922="KEEP","DO NOT DELETE — KEEP",IF(ISNUMBER(SEARCH("REVIEW",$Q922)),"DO NOT DELETE — REVIEW pending",$S922))))</f>
        <v>DO NOT DELETE — REVIEW pending</v>
      </c>
      <c r="Q922" t="str" cm="1">
        <f t="array" ref="Q922">_xlfn.IFS(AND($A922="thg-beauty",ISNUMBER(SEARCH("liveramp",$C922))),"DELETE",$A922="agile-bonbon-662",_xlfn.IFS(LEFT($G922,9)="Tranche 1","DELETE",$C922="Sessions_Level_1_All_Sites","KEEP",ISNUMBER(--$C922),"REVIEW — UA raw logs",$C922="Emag_Reporting","KEEP",$C922="Nutrition_Data_Archived_Tables","KEEP",$C922="EU_Data","KEEP",TRUE,"REVIEW"),OR($A922="thg-influencer",$A922="thg-ingenuity",$A922="thg-central-marketing",$A922="thg-seoclarity"),"HOLD",TRUE,"")</f>
        <v>REVIEW — UA raw logs</v>
      </c>
      <c r="R922" t="str" cm="1">
        <f t="array" ref="R922">_xlfn.IFS(AND($A922="thg-beauty",ISNUMBER(SEARCH("liveramp",$C922))),"thg-beauty Liveramp dataset — confirmed safe to delete",$A922="agile-bonbon-662",_xlfn.IFS(LEFT($G922,9)="Tranche 1","Tranche 1: cleared",$C922="Sessions_Level_1_All_Sites","Downstream aggregation of UA raw logs — keep if raw tables go",ISNUMBER(--$C922),"UA raw site logs (account ID) — keep pending audit-retention check",$C922="Emag_Reporting","Legacy but likely needed",$C922="Nutrition_Data_Archived_Tables","Worth keeping",$C922="EU_Data","Static lookup tables — scripts still reference (smoke-test risk)",TRUE,"Review"),OR($A922="thg-influencer",$A922="thg-ingenuity",$A922="thg-central-marketing",$A922="thg-seoclarity"),"HOLD — Charlie Stringer to review before deletion",TRUE,"")</f>
        <v>UA raw site logs (account ID) — keep pending audit-retention check</v>
      </c>
      <c r="S922" t="s">
        <v>1624</v>
      </c>
    </row>
    <row r="923" spans="1:19" ht="45.75" hidden="1">
      <c r="A923" t="s">
        <v>89</v>
      </c>
      <c r="B923" t="s">
        <v>1619</v>
      </c>
      <c r="C923" t="s">
        <v>431</v>
      </c>
      <c r="D923" s="2" t="s">
        <v>1621</v>
      </c>
      <c r="E923">
        <v>440.69</v>
      </c>
      <c r="F923">
        <v>8.81</v>
      </c>
      <c r="G923" t="s">
        <v>63</v>
      </c>
      <c r="H923" t="s">
        <v>3328</v>
      </c>
      <c r="I923">
        <v>35</v>
      </c>
      <c r="J923">
        <v>723</v>
      </c>
      <c r="K923" s="5">
        <v>46161.595546666656</v>
      </c>
      <c r="M923" s="2" t="s">
        <v>3426</v>
      </c>
      <c r="N923" s="2" t="s">
        <v>1701</v>
      </c>
      <c r="O923" s="5">
        <v>45474.243392893521</v>
      </c>
      <c r="P923" t="str">
        <f>IF($Q923="DELETE",IF($S923="CONFIRMED: NO MODS &gt; 1YR","CONFIRMED: NO MODS &gt; 1YR","DO NOT DELETE — not defensibly confirmed"),IF($Q923="HOLD","DO NOT DELETE — HOLD (Charlie review)",IF($Q923="KEEP","DO NOT DELETE — KEEP",IF(ISNUMBER(SEARCH("REVIEW",$Q923)),"DO NOT DELETE — REVIEW pending",$S923))))</f>
        <v>DO NOT DELETE — REVIEW pending</v>
      </c>
      <c r="Q923" t="str" cm="1">
        <f t="array" ref="Q923">_xlfn.IFS(AND($A923="thg-beauty",ISNUMBER(SEARCH("liveramp",$C923))),"DELETE",$A923="agile-bonbon-662",_xlfn.IFS(LEFT($G923,9)="Tranche 1","DELETE",$C923="Sessions_Level_1_All_Sites","KEEP",ISNUMBER(--$C923),"REVIEW — UA raw logs",$C923="Emag_Reporting","KEEP",$C923="Nutrition_Data_Archived_Tables","KEEP",$C923="EU_Data","KEEP",TRUE,"REVIEW"),OR($A923="thg-influencer",$A923="thg-ingenuity",$A923="thg-central-marketing",$A923="thg-seoclarity"),"HOLD",TRUE,"")</f>
        <v>REVIEW — UA raw logs</v>
      </c>
      <c r="R923" t="str" cm="1">
        <f t="array" ref="R923">_xlfn.IFS(AND($A923="thg-beauty",ISNUMBER(SEARCH("liveramp",$C923))),"thg-beauty Liveramp dataset — confirmed safe to delete",$A923="agile-bonbon-662",_xlfn.IFS(LEFT($G923,9)="Tranche 1","Tranche 1: cleared",$C923="Sessions_Level_1_All_Sites","Downstream aggregation of UA raw logs — keep if raw tables go",ISNUMBER(--$C923),"UA raw site logs (account ID) — keep pending audit-retention check",$C923="Emag_Reporting","Legacy but likely needed",$C923="Nutrition_Data_Archived_Tables","Worth keeping",$C923="EU_Data","Static lookup tables — scripts still reference (smoke-test risk)",TRUE,"Review"),OR($A923="thg-influencer",$A923="thg-ingenuity",$A923="thg-central-marketing",$A923="thg-seoclarity"),"HOLD — Charlie Stringer to review before deletion",TRUE,"")</f>
        <v>UA raw site logs (account ID) — keep pending audit-retention check</v>
      </c>
      <c r="S923" t="s">
        <v>1624</v>
      </c>
    </row>
    <row r="924" spans="1:19" ht="76.5" hidden="1">
      <c r="A924" t="s">
        <v>89</v>
      </c>
      <c r="B924" t="s">
        <v>1619</v>
      </c>
      <c r="C924" t="s">
        <v>435</v>
      </c>
      <c r="D924" s="2" t="s">
        <v>1621</v>
      </c>
      <c r="E924">
        <v>431.06</v>
      </c>
      <c r="F924">
        <v>8.6199999999999992</v>
      </c>
      <c r="G924" t="s">
        <v>63</v>
      </c>
      <c r="H924" t="s">
        <v>3328</v>
      </c>
      <c r="I924">
        <v>35</v>
      </c>
      <c r="J924">
        <v>1685</v>
      </c>
      <c r="K924" s="5">
        <v>46161.612702222221</v>
      </c>
      <c r="M924" s="2" t="s">
        <v>3431</v>
      </c>
      <c r="N924" s="2" t="s">
        <v>1701</v>
      </c>
      <c r="O924" s="5">
        <v>44512.202895960647</v>
      </c>
      <c r="P924" t="str">
        <f>IF($Q924="DELETE",IF($S924="CONFIRMED: NO MODS &gt; 1YR","CONFIRMED: NO MODS &gt; 1YR","DO NOT DELETE — not defensibly confirmed"),IF($Q924="HOLD","DO NOT DELETE — HOLD (Charlie review)",IF($Q924="KEEP","DO NOT DELETE — KEEP",IF(ISNUMBER(SEARCH("REVIEW",$Q924)),"DO NOT DELETE — REVIEW pending",$S924))))</f>
        <v>DO NOT DELETE — REVIEW pending</v>
      </c>
      <c r="Q924" t="str" cm="1">
        <f t="array" ref="Q924">_xlfn.IFS(AND($A924="thg-beauty",ISNUMBER(SEARCH("liveramp",$C924))),"DELETE",$A924="agile-bonbon-662",_xlfn.IFS(LEFT($G924,9)="Tranche 1","DELETE",$C924="Sessions_Level_1_All_Sites","KEEP",ISNUMBER(--$C924),"REVIEW — UA raw logs",$C924="Emag_Reporting","KEEP",$C924="Nutrition_Data_Archived_Tables","KEEP",$C924="EU_Data","KEEP",TRUE,"REVIEW"),OR($A924="thg-influencer",$A924="thg-ingenuity",$A924="thg-central-marketing",$A924="thg-seoclarity"),"HOLD",TRUE,"")</f>
        <v>REVIEW</v>
      </c>
      <c r="R924" t="str" cm="1">
        <f t="array" ref="R924">_xlfn.IFS(AND($A924="thg-beauty",ISNUMBER(SEARCH("liveramp",$C924))),"thg-beauty Liveramp dataset — confirmed safe to delete",$A924="agile-bonbon-662",_xlfn.IFS(LEFT($G924,9)="Tranche 1","Tranche 1: cleared",$C924="Sessions_Level_1_All_Sites","Downstream aggregation of UA raw logs — keep if raw tables go",ISNUMBER(--$C924),"UA raw site logs (account ID) — keep pending audit-retention check",$C924="Emag_Reporting","Legacy but likely needed",$C924="Nutrition_Data_Archived_Tables","Worth keeping",$C924="EU_Data","Static lookup tables — scripts still reference (smoke-test risk)",TRUE,"Review"),OR($A924="thg-influencer",$A924="thg-ingenuity",$A924="thg-central-marketing",$A924="thg-seoclarity"),"HOLD — Charlie Stringer to review before deletion",TRUE,"")</f>
        <v>Review</v>
      </c>
      <c r="S924" t="s">
        <v>1624</v>
      </c>
    </row>
    <row r="925" spans="1:19" ht="45.75" hidden="1">
      <c r="A925" t="s">
        <v>89</v>
      </c>
      <c r="B925" t="s">
        <v>1619</v>
      </c>
      <c r="C925" t="s">
        <v>440</v>
      </c>
      <c r="D925" s="2" t="s">
        <v>1621</v>
      </c>
      <c r="E925">
        <v>406.87</v>
      </c>
      <c r="F925">
        <v>8.14</v>
      </c>
      <c r="G925" t="s">
        <v>63</v>
      </c>
      <c r="H925" t="s">
        <v>3328</v>
      </c>
      <c r="I925">
        <v>35</v>
      </c>
      <c r="J925">
        <v>723</v>
      </c>
      <c r="K925" s="5">
        <v>46161.596131215279</v>
      </c>
      <c r="M925" s="2" t="s">
        <v>3408</v>
      </c>
      <c r="N925" s="2" t="s">
        <v>1701</v>
      </c>
      <c r="O925" s="5">
        <v>45474.337907129629</v>
      </c>
      <c r="P925" t="str">
        <f>IF($Q925="DELETE",IF($S925="CONFIRMED: NO MODS &gt; 1YR","CONFIRMED: NO MODS &gt; 1YR","DO NOT DELETE — not defensibly confirmed"),IF($Q925="HOLD","DO NOT DELETE — HOLD (Charlie review)",IF($Q925="KEEP","DO NOT DELETE — KEEP",IF(ISNUMBER(SEARCH("REVIEW",$Q925)),"DO NOT DELETE — REVIEW pending",$S925))))</f>
        <v>DO NOT DELETE — REVIEW pending</v>
      </c>
      <c r="Q925" t="str" cm="1">
        <f t="array" ref="Q925">_xlfn.IFS(AND($A925="thg-beauty",ISNUMBER(SEARCH("liveramp",$C925))),"DELETE",$A925="agile-bonbon-662",_xlfn.IFS(LEFT($G925,9)="Tranche 1","DELETE",$C925="Sessions_Level_1_All_Sites","KEEP",ISNUMBER(--$C925),"REVIEW — UA raw logs",$C925="Emag_Reporting","KEEP",$C925="Nutrition_Data_Archived_Tables","KEEP",$C925="EU_Data","KEEP",TRUE,"REVIEW"),OR($A925="thg-influencer",$A925="thg-ingenuity",$A925="thg-central-marketing",$A925="thg-seoclarity"),"HOLD",TRUE,"")</f>
        <v>REVIEW — UA raw logs</v>
      </c>
      <c r="R925" t="str" cm="1">
        <f t="array" ref="R925">_xlfn.IFS(AND($A925="thg-beauty",ISNUMBER(SEARCH("liveramp",$C925))),"thg-beauty Liveramp dataset — confirmed safe to delete",$A925="agile-bonbon-662",_xlfn.IFS(LEFT($G925,9)="Tranche 1","Tranche 1: cleared",$C925="Sessions_Level_1_All_Sites","Downstream aggregation of UA raw logs — keep if raw tables go",ISNUMBER(--$C925),"UA raw site logs (account ID) — keep pending audit-retention check",$C925="Emag_Reporting","Legacy but likely needed",$C925="Nutrition_Data_Archived_Tables","Worth keeping",$C925="EU_Data","Static lookup tables — scripts still reference (smoke-test risk)",TRUE,"Review"),OR($A925="thg-influencer",$A925="thg-ingenuity",$A925="thg-central-marketing",$A925="thg-seoclarity"),"HOLD — Charlie Stringer to review before deletion",TRUE,"")</f>
        <v>UA raw site logs (account ID) — keep pending audit-retention check</v>
      </c>
      <c r="S925" t="s">
        <v>1624</v>
      </c>
    </row>
    <row r="926" spans="1:19" ht="45.75" hidden="1">
      <c r="A926" t="s">
        <v>89</v>
      </c>
      <c r="B926" t="s">
        <v>1619</v>
      </c>
      <c r="C926" t="s">
        <v>444</v>
      </c>
      <c r="D926" s="2" t="s">
        <v>1621</v>
      </c>
      <c r="E926">
        <v>402.87</v>
      </c>
      <c r="F926">
        <v>8.06</v>
      </c>
      <c r="G926" t="s">
        <v>63</v>
      </c>
      <c r="H926" t="s">
        <v>3328</v>
      </c>
      <c r="I926">
        <v>35</v>
      </c>
      <c r="J926">
        <v>723</v>
      </c>
      <c r="K926" s="5">
        <v>46161.59957431713</v>
      </c>
      <c r="M926" s="2" t="s">
        <v>3415</v>
      </c>
      <c r="N926" s="2" t="s">
        <v>1701</v>
      </c>
      <c r="O926" s="5">
        <v>45474.263173923609</v>
      </c>
      <c r="P926" t="str">
        <f>IF($Q926="DELETE",IF($S926="CONFIRMED: NO MODS &gt; 1YR","CONFIRMED: NO MODS &gt; 1YR","DO NOT DELETE — not defensibly confirmed"),IF($Q926="HOLD","DO NOT DELETE — HOLD (Charlie review)",IF($Q926="KEEP","DO NOT DELETE — KEEP",IF(ISNUMBER(SEARCH("REVIEW",$Q926)),"DO NOT DELETE — REVIEW pending",$S926))))</f>
        <v>DO NOT DELETE — REVIEW pending</v>
      </c>
      <c r="Q926" t="str" cm="1">
        <f t="array" ref="Q926">_xlfn.IFS(AND($A926="thg-beauty",ISNUMBER(SEARCH("liveramp",$C926))),"DELETE",$A926="agile-bonbon-662",_xlfn.IFS(LEFT($G926,9)="Tranche 1","DELETE",$C926="Sessions_Level_1_All_Sites","KEEP",ISNUMBER(--$C926),"REVIEW — UA raw logs",$C926="Emag_Reporting","KEEP",$C926="Nutrition_Data_Archived_Tables","KEEP",$C926="EU_Data","KEEP",TRUE,"REVIEW"),OR($A926="thg-influencer",$A926="thg-ingenuity",$A926="thg-central-marketing",$A926="thg-seoclarity"),"HOLD",TRUE,"")</f>
        <v>REVIEW — UA raw logs</v>
      </c>
      <c r="R926" t="str" cm="1">
        <f t="array" ref="R926">_xlfn.IFS(AND($A926="thg-beauty",ISNUMBER(SEARCH("liveramp",$C926))),"thg-beauty Liveramp dataset — confirmed safe to delete",$A926="agile-bonbon-662",_xlfn.IFS(LEFT($G926,9)="Tranche 1","Tranche 1: cleared",$C926="Sessions_Level_1_All_Sites","Downstream aggregation of UA raw logs — keep if raw tables go",ISNUMBER(--$C926),"UA raw site logs (account ID) — keep pending audit-retention check",$C926="Emag_Reporting","Legacy but likely needed",$C926="Nutrition_Data_Archived_Tables","Worth keeping",$C926="EU_Data","Static lookup tables — scripts still reference (smoke-test risk)",TRUE,"Review"),OR($A926="thg-influencer",$A926="thg-ingenuity",$A926="thg-central-marketing",$A926="thg-seoclarity"),"HOLD — Charlie Stringer to review before deletion",TRUE,"")</f>
        <v>UA raw site logs (account ID) — keep pending audit-retention check</v>
      </c>
      <c r="S926" t="s">
        <v>1624</v>
      </c>
    </row>
    <row r="927" spans="1:19" ht="45.75" hidden="1">
      <c r="A927" t="s">
        <v>89</v>
      </c>
      <c r="B927" t="s">
        <v>1619</v>
      </c>
      <c r="C927" t="s">
        <v>448</v>
      </c>
      <c r="D927" s="2" t="s">
        <v>1621</v>
      </c>
      <c r="E927">
        <v>402.07</v>
      </c>
      <c r="F927">
        <v>8.0399999999999991</v>
      </c>
      <c r="G927" t="s">
        <v>63</v>
      </c>
      <c r="H927" t="s">
        <v>3328</v>
      </c>
      <c r="I927">
        <v>35</v>
      </c>
      <c r="J927">
        <v>1966</v>
      </c>
      <c r="K927" s="5">
        <v>46161.621494571758</v>
      </c>
      <c r="M927" s="2" t="s">
        <v>3432</v>
      </c>
      <c r="N927" s="2" t="s">
        <v>1701</v>
      </c>
      <c r="O927" s="5">
        <v>44230.656313009262</v>
      </c>
      <c r="P927" t="str">
        <f>IF($Q927="DELETE",IF($S927="CONFIRMED: NO MODS &gt; 1YR","CONFIRMED: NO MODS &gt; 1YR","DO NOT DELETE — not defensibly confirmed"),IF($Q927="HOLD","DO NOT DELETE — HOLD (Charlie review)",IF($Q927="KEEP","DO NOT DELETE — KEEP",IF(ISNUMBER(SEARCH("REVIEW",$Q927)),"DO NOT DELETE — REVIEW pending",$S927))))</f>
        <v>DO NOT DELETE — REVIEW pending</v>
      </c>
      <c r="Q927" t="str" cm="1">
        <f t="array" ref="Q927">_xlfn.IFS(AND($A927="thg-beauty",ISNUMBER(SEARCH("liveramp",$C927))),"DELETE",$A927="agile-bonbon-662",_xlfn.IFS(LEFT($G927,9)="Tranche 1","DELETE",$C927="Sessions_Level_1_All_Sites","KEEP",ISNUMBER(--$C927),"REVIEW — UA raw logs",$C927="Emag_Reporting","KEEP",$C927="Nutrition_Data_Archived_Tables","KEEP",$C927="EU_Data","KEEP",TRUE,"REVIEW"),OR($A927="thg-influencer",$A927="thg-ingenuity",$A927="thg-central-marketing",$A927="thg-seoclarity"),"HOLD",TRUE,"")</f>
        <v>REVIEW</v>
      </c>
      <c r="R927" t="str" cm="1">
        <f t="array" ref="R927">_xlfn.IFS(AND($A927="thg-beauty",ISNUMBER(SEARCH("liveramp",$C927))),"thg-beauty Liveramp dataset — confirmed safe to delete",$A927="agile-bonbon-662",_xlfn.IFS(LEFT($G927,9)="Tranche 1","Tranche 1: cleared",$C927="Sessions_Level_1_All_Sites","Downstream aggregation of UA raw logs — keep if raw tables go",ISNUMBER(--$C927),"UA raw site logs (account ID) — keep pending audit-retention check",$C927="Emag_Reporting","Legacy but likely needed",$C927="Nutrition_Data_Archived_Tables","Worth keeping",$C927="EU_Data","Static lookup tables — scripts still reference (smoke-test risk)",TRUE,"Review"),OR($A927="thg-influencer",$A927="thg-ingenuity",$A927="thg-central-marketing",$A927="thg-seoclarity"),"HOLD — Charlie Stringer to review before deletion",TRUE,"")</f>
        <v>Review</v>
      </c>
      <c r="S927" t="s">
        <v>1624</v>
      </c>
    </row>
    <row r="928" spans="1:19" ht="45.75" hidden="1">
      <c r="A928" t="s">
        <v>89</v>
      </c>
      <c r="B928" t="s">
        <v>1619</v>
      </c>
      <c r="C928" t="s">
        <v>453</v>
      </c>
      <c r="D928" s="2" t="s">
        <v>1621</v>
      </c>
      <c r="E928">
        <v>400.2</v>
      </c>
      <c r="F928">
        <v>8</v>
      </c>
      <c r="G928" t="s">
        <v>63</v>
      </c>
      <c r="H928" t="s">
        <v>3328</v>
      </c>
      <c r="I928">
        <v>35</v>
      </c>
      <c r="J928">
        <v>770</v>
      </c>
      <c r="K928" s="5">
        <v>46161.60203332176</v>
      </c>
      <c r="M928" s="2" t="s">
        <v>3433</v>
      </c>
      <c r="N928" s="2" t="s">
        <v>1701</v>
      </c>
      <c r="O928" s="5">
        <v>45427.076185474543</v>
      </c>
      <c r="P928" t="str">
        <f>IF($Q928="DELETE",IF($S928="CONFIRMED: NO MODS &gt; 1YR","CONFIRMED: NO MODS &gt; 1YR","DO NOT DELETE — not defensibly confirmed"),IF($Q928="HOLD","DO NOT DELETE — HOLD (Charlie review)",IF($Q928="KEEP","DO NOT DELETE — KEEP",IF(ISNUMBER(SEARCH("REVIEW",$Q928)),"DO NOT DELETE — REVIEW pending",$S928))))</f>
        <v>DO NOT DELETE — REVIEW pending</v>
      </c>
      <c r="Q928" t="str" cm="1">
        <f t="array" ref="Q928">_xlfn.IFS(AND($A928="thg-beauty",ISNUMBER(SEARCH("liveramp",$C928))),"DELETE",$A928="agile-bonbon-662",_xlfn.IFS(LEFT($G928,9)="Tranche 1","DELETE",$C928="Sessions_Level_1_All_Sites","KEEP",ISNUMBER(--$C928),"REVIEW — UA raw logs",$C928="Emag_Reporting","KEEP",$C928="Nutrition_Data_Archived_Tables","KEEP",$C928="EU_Data","KEEP",TRUE,"REVIEW"),OR($A928="thg-influencer",$A928="thg-ingenuity",$A928="thg-central-marketing",$A928="thg-seoclarity"),"HOLD",TRUE,"")</f>
        <v>REVIEW — UA raw logs</v>
      </c>
      <c r="R928" t="str" cm="1">
        <f t="array" ref="R928">_xlfn.IFS(AND($A928="thg-beauty",ISNUMBER(SEARCH("liveramp",$C928))),"thg-beauty Liveramp dataset — confirmed safe to delete",$A928="agile-bonbon-662",_xlfn.IFS(LEFT($G928,9)="Tranche 1","Tranche 1: cleared",$C928="Sessions_Level_1_All_Sites","Downstream aggregation of UA raw logs — keep if raw tables go",ISNUMBER(--$C928),"UA raw site logs (account ID) — keep pending audit-retention check",$C928="Emag_Reporting","Legacy but likely needed",$C928="Nutrition_Data_Archived_Tables","Worth keeping",$C928="EU_Data","Static lookup tables — scripts still reference (smoke-test risk)",TRUE,"Review"),OR($A928="thg-influencer",$A928="thg-ingenuity",$A928="thg-central-marketing",$A928="thg-seoclarity"),"HOLD — Charlie Stringer to review before deletion",TRUE,"")</f>
        <v>UA raw site logs (account ID) — keep pending audit-retention check</v>
      </c>
      <c r="S928" t="s">
        <v>1624</v>
      </c>
    </row>
    <row r="929" spans="1:19" ht="45.75" hidden="1">
      <c r="A929" t="s">
        <v>89</v>
      </c>
      <c r="B929" t="s">
        <v>1619</v>
      </c>
      <c r="C929" t="s">
        <v>463</v>
      </c>
      <c r="D929" s="2" t="s">
        <v>1621</v>
      </c>
      <c r="E929">
        <v>381.39</v>
      </c>
      <c r="F929">
        <v>7.63</v>
      </c>
      <c r="G929" t="s">
        <v>63</v>
      </c>
      <c r="H929" t="s">
        <v>3328</v>
      </c>
      <c r="I929">
        <v>35</v>
      </c>
      <c r="J929">
        <v>723</v>
      </c>
      <c r="K929" s="5">
        <v>46161.586319351853</v>
      </c>
      <c r="M929" s="2" t="s">
        <v>3429</v>
      </c>
      <c r="N929" s="2" t="s">
        <v>1701</v>
      </c>
      <c r="O929" s="5">
        <v>45474.273764062498</v>
      </c>
      <c r="P929" t="str">
        <f>IF($Q929="DELETE",IF($S929="CONFIRMED: NO MODS &gt; 1YR","CONFIRMED: NO MODS &gt; 1YR","DO NOT DELETE — not defensibly confirmed"),IF($Q929="HOLD","DO NOT DELETE — HOLD (Charlie review)",IF($Q929="KEEP","DO NOT DELETE — KEEP",IF(ISNUMBER(SEARCH("REVIEW",$Q929)),"DO NOT DELETE — REVIEW pending",$S929))))</f>
        <v>DO NOT DELETE — REVIEW pending</v>
      </c>
      <c r="Q929" t="str" cm="1">
        <f t="array" ref="Q929">_xlfn.IFS(AND($A929="thg-beauty",ISNUMBER(SEARCH("liveramp",$C929))),"DELETE",$A929="agile-bonbon-662",_xlfn.IFS(LEFT($G929,9)="Tranche 1","DELETE",$C929="Sessions_Level_1_All_Sites","KEEP",ISNUMBER(--$C929),"REVIEW — UA raw logs",$C929="Emag_Reporting","KEEP",$C929="Nutrition_Data_Archived_Tables","KEEP",$C929="EU_Data","KEEP",TRUE,"REVIEW"),OR($A929="thg-influencer",$A929="thg-ingenuity",$A929="thg-central-marketing",$A929="thg-seoclarity"),"HOLD",TRUE,"")</f>
        <v>REVIEW — UA raw logs</v>
      </c>
      <c r="R929" t="str" cm="1">
        <f t="array" ref="R929">_xlfn.IFS(AND($A929="thg-beauty",ISNUMBER(SEARCH("liveramp",$C929))),"thg-beauty Liveramp dataset — confirmed safe to delete",$A929="agile-bonbon-662",_xlfn.IFS(LEFT($G929,9)="Tranche 1","Tranche 1: cleared",$C929="Sessions_Level_1_All_Sites","Downstream aggregation of UA raw logs — keep if raw tables go",ISNUMBER(--$C929),"UA raw site logs (account ID) — keep pending audit-retention check",$C929="Emag_Reporting","Legacy but likely needed",$C929="Nutrition_Data_Archived_Tables","Worth keeping",$C929="EU_Data","Static lookup tables — scripts still reference (smoke-test risk)",TRUE,"Review"),OR($A929="thg-influencer",$A929="thg-ingenuity",$A929="thg-central-marketing",$A929="thg-seoclarity"),"HOLD — Charlie Stringer to review before deletion",TRUE,"")</f>
        <v>UA raw site logs (account ID) — keep pending audit-retention check</v>
      </c>
      <c r="S929" t="s">
        <v>1624</v>
      </c>
    </row>
    <row r="930" spans="1:19" ht="45.75" hidden="1">
      <c r="A930" t="s">
        <v>89</v>
      </c>
      <c r="B930" t="s">
        <v>1619</v>
      </c>
      <c r="C930" t="s">
        <v>472</v>
      </c>
      <c r="D930" s="2" t="s">
        <v>1621</v>
      </c>
      <c r="E930">
        <v>375.32</v>
      </c>
      <c r="F930">
        <v>7.51</v>
      </c>
      <c r="G930" t="s">
        <v>63</v>
      </c>
      <c r="H930" t="s">
        <v>3328</v>
      </c>
      <c r="I930">
        <v>35</v>
      </c>
      <c r="J930">
        <v>723</v>
      </c>
      <c r="K930" s="5">
        <v>46161.598187326388</v>
      </c>
      <c r="M930" s="2" t="s">
        <v>3407</v>
      </c>
      <c r="N930" s="2" t="s">
        <v>1701</v>
      </c>
      <c r="O930" s="5">
        <v>45474.261732858788</v>
      </c>
      <c r="P930" t="str">
        <f>IF($Q930="DELETE",IF($S930="CONFIRMED: NO MODS &gt; 1YR","CONFIRMED: NO MODS &gt; 1YR","DO NOT DELETE — not defensibly confirmed"),IF($Q930="HOLD","DO NOT DELETE — HOLD (Charlie review)",IF($Q930="KEEP","DO NOT DELETE — KEEP",IF(ISNUMBER(SEARCH("REVIEW",$Q930)),"DO NOT DELETE — REVIEW pending",$S930))))</f>
        <v>DO NOT DELETE — REVIEW pending</v>
      </c>
      <c r="Q930" t="str" cm="1">
        <f t="array" ref="Q930">_xlfn.IFS(AND($A930="thg-beauty",ISNUMBER(SEARCH("liveramp",$C930))),"DELETE",$A930="agile-bonbon-662",_xlfn.IFS(LEFT($G930,9)="Tranche 1","DELETE",$C930="Sessions_Level_1_All_Sites","KEEP",ISNUMBER(--$C930),"REVIEW — UA raw logs",$C930="Emag_Reporting","KEEP",$C930="Nutrition_Data_Archived_Tables","KEEP",$C930="EU_Data","KEEP",TRUE,"REVIEW"),OR($A930="thg-influencer",$A930="thg-ingenuity",$A930="thg-central-marketing",$A930="thg-seoclarity"),"HOLD",TRUE,"")</f>
        <v>REVIEW — UA raw logs</v>
      </c>
      <c r="R930" t="str" cm="1">
        <f t="array" ref="R930">_xlfn.IFS(AND($A930="thg-beauty",ISNUMBER(SEARCH("liveramp",$C930))),"thg-beauty Liveramp dataset — confirmed safe to delete",$A930="agile-bonbon-662",_xlfn.IFS(LEFT($G930,9)="Tranche 1","Tranche 1: cleared",$C930="Sessions_Level_1_All_Sites","Downstream aggregation of UA raw logs — keep if raw tables go",ISNUMBER(--$C930),"UA raw site logs (account ID) — keep pending audit-retention check",$C930="Emag_Reporting","Legacy but likely needed",$C930="Nutrition_Data_Archived_Tables","Worth keeping",$C930="EU_Data","Static lookup tables — scripts still reference (smoke-test risk)",TRUE,"Review"),OR($A930="thg-influencer",$A930="thg-ingenuity",$A930="thg-central-marketing",$A930="thg-seoclarity"),"HOLD — Charlie Stringer to review before deletion",TRUE,"")</f>
        <v>UA raw site logs (account ID) — keep pending audit-retention check</v>
      </c>
      <c r="S930" t="s">
        <v>1624</v>
      </c>
    </row>
    <row r="931" spans="1:19" ht="45.75" hidden="1">
      <c r="A931" t="s">
        <v>89</v>
      </c>
      <c r="B931" t="s">
        <v>1619</v>
      </c>
      <c r="C931" t="s">
        <v>476</v>
      </c>
      <c r="D931" s="2" t="s">
        <v>1621</v>
      </c>
      <c r="E931">
        <v>366.3</v>
      </c>
      <c r="F931">
        <v>7.33</v>
      </c>
      <c r="G931" t="s">
        <v>63</v>
      </c>
      <c r="H931" t="s">
        <v>3328</v>
      </c>
      <c r="I931">
        <v>35</v>
      </c>
      <c r="J931">
        <v>723</v>
      </c>
      <c r="K931" s="5">
        <v>46161.588939305548</v>
      </c>
      <c r="M931" s="2" t="s">
        <v>3409</v>
      </c>
      <c r="N931" s="2" t="s">
        <v>1701</v>
      </c>
      <c r="O931" s="5">
        <v>45474.264272175933</v>
      </c>
      <c r="P931" t="str">
        <f>IF($Q931="DELETE",IF($S931="CONFIRMED: NO MODS &gt; 1YR","CONFIRMED: NO MODS &gt; 1YR","DO NOT DELETE — not defensibly confirmed"),IF($Q931="HOLD","DO NOT DELETE — HOLD (Charlie review)",IF($Q931="KEEP","DO NOT DELETE — KEEP",IF(ISNUMBER(SEARCH("REVIEW",$Q931)),"DO NOT DELETE — REVIEW pending",$S931))))</f>
        <v>DO NOT DELETE — REVIEW pending</v>
      </c>
      <c r="Q931" t="str" cm="1">
        <f t="array" ref="Q931">_xlfn.IFS(AND($A931="thg-beauty",ISNUMBER(SEARCH("liveramp",$C931))),"DELETE",$A931="agile-bonbon-662",_xlfn.IFS(LEFT($G931,9)="Tranche 1","DELETE",$C931="Sessions_Level_1_All_Sites","KEEP",ISNUMBER(--$C931),"REVIEW — UA raw logs",$C931="Emag_Reporting","KEEP",$C931="Nutrition_Data_Archived_Tables","KEEP",$C931="EU_Data","KEEP",TRUE,"REVIEW"),OR($A931="thg-influencer",$A931="thg-ingenuity",$A931="thg-central-marketing",$A931="thg-seoclarity"),"HOLD",TRUE,"")</f>
        <v>REVIEW — UA raw logs</v>
      </c>
      <c r="R931" t="str" cm="1">
        <f t="array" ref="R931">_xlfn.IFS(AND($A931="thg-beauty",ISNUMBER(SEARCH("liveramp",$C931))),"thg-beauty Liveramp dataset — confirmed safe to delete",$A931="agile-bonbon-662",_xlfn.IFS(LEFT($G931,9)="Tranche 1","Tranche 1: cleared",$C931="Sessions_Level_1_All_Sites","Downstream aggregation of UA raw logs — keep if raw tables go",ISNUMBER(--$C931),"UA raw site logs (account ID) — keep pending audit-retention check",$C931="Emag_Reporting","Legacy but likely needed",$C931="Nutrition_Data_Archived_Tables","Worth keeping",$C931="EU_Data","Static lookup tables — scripts still reference (smoke-test risk)",TRUE,"Review"),OR($A931="thg-influencer",$A931="thg-ingenuity",$A931="thg-central-marketing",$A931="thg-seoclarity"),"HOLD — Charlie Stringer to review before deletion",TRUE,"")</f>
        <v>UA raw site logs (account ID) — keep pending audit-retention check</v>
      </c>
      <c r="S931" t="s">
        <v>1624</v>
      </c>
    </row>
    <row r="932" spans="1:19" ht="45.75" hidden="1">
      <c r="A932" t="s">
        <v>89</v>
      </c>
      <c r="B932" t="s">
        <v>1619</v>
      </c>
      <c r="C932" t="s">
        <v>480</v>
      </c>
      <c r="D932" s="2" t="s">
        <v>1621</v>
      </c>
      <c r="E932">
        <v>359.1</v>
      </c>
      <c r="F932">
        <v>7.18</v>
      </c>
      <c r="G932" t="s">
        <v>63</v>
      </c>
      <c r="H932" t="s">
        <v>3328</v>
      </c>
      <c r="I932">
        <v>35</v>
      </c>
      <c r="J932">
        <v>723</v>
      </c>
      <c r="K932" s="5">
        <v>46161.582799618052</v>
      </c>
      <c r="M932" s="2" t="s">
        <v>3423</v>
      </c>
      <c r="N932" s="2" t="s">
        <v>1701</v>
      </c>
      <c r="O932" s="5">
        <v>45474.257881423611</v>
      </c>
      <c r="P932" t="str">
        <f>IF($Q932="DELETE",IF($S932="CONFIRMED: NO MODS &gt; 1YR","CONFIRMED: NO MODS &gt; 1YR","DO NOT DELETE — not defensibly confirmed"),IF($Q932="HOLD","DO NOT DELETE — HOLD (Charlie review)",IF($Q932="KEEP","DO NOT DELETE — KEEP",IF(ISNUMBER(SEARCH("REVIEW",$Q932)),"DO NOT DELETE — REVIEW pending",$S932))))</f>
        <v>DO NOT DELETE — REVIEW pending</v>
      </c>
      <c r="Q932" t="str" cm="1">
        <f t="array" ref="Q932">_xlfn.IFS(AND($A932="thg-beauty",ISNUMBER(SEARCH("liveramp",$C932))),"DELETE",$A932="agile-bonbon-662",_xlfn.IFS(LEFT($G932,9)="Tranche 1","DELETE",$C932="Sessions_Level_1_All_Sites","KEEP",ISNUMBER(--$C932),"REVIEW — UA raw logs",$C932="Emag_Reporting","KEEP",$C932="Nutrition_Data_Archived_Tables","KEEP",$C932="EU_Data","KEEP",TRUE,"REVIEW"),OR($A932="thg-influencer",$A932="thg-ingenuity",$A932="thg-central-marketing",$A932="thg-seoclarity"),"HOLD",TRUE,"")</f>
        <v>REVIEW — UA raw logs</v>
      </c>
      <c r="R932" t="str" cm="1">
        <f t="array" ref="R932">_xlfn.IFS(AND($A932="thg-beauty",ISNUMBER(SEARCH("liveramp",$C932))),"thg-beauty Liveramp dataset — confirmed safe to delete",$A932="agile-bonbon-662",_xlfn.IFS(LEFT($G932,9)="Tranche 1","Tranche 1: cleared",$C932="Sessions_Level_1_All_Sites","Downstream aggregation of UA raw logs — keep if raw tables go",ISNUMBER(--$C932),"UA raw site logs (account ID) — keep pending audit-retention check",$C932="Emag_Reporting","Legacy but likely needed",$C932="Nutrition_Data_Archived_Tables","Worth keeping",$C932="EU_Data","Static lookup tables — scripts still reference (smoke-test risk)",TRUE,"Review"),OR($A932="thg-influencer",$A932="thg-ingenuity",$A932="thg-central-marketing",$A932="thg-seoclarity"),"HOLD — Charlie Stringer to review before deletion",TRUE,"")</f>
        <v>UA raw site logs (account ID) — keep pending audit-retention check</v>
      </c>
      <c r="S932" t="s">
        <v>1624</v>
      </c>
    </row>
    <row r="933" spans="1:19" ht="45.75" hidden="1">
      <c r="A933" t="s">
        <v>89</v>
      </c>
      <c r="B933" t="s">
        <v>1619</v>
      </c>
      <c r="C933" t="s">
        <v>484</v>
      </c>
      <c r="D933" s="2" t="s">
        <v>1621</v>
      </c>
      <c r="E933">
        <v>358.03</v>
      </c>
      <c r="F933">
        <v>7.16</v>
      </c>
      <c r="G933" t="s">
        <v>63</v>
      </c>
      <c r="H933" t="s">
        <v>3328</v>
      </c>
      <c r="I933">
        <v>35</v>
      </c>
      <c r="J933">
        <v>723</v>
      </c>
      <c r="K933" s="5">
        <v>46161.585960902783</v>
      </c>
      <c r="M933" s="2" t="s">
        <v>3421</v>
      </c>
      <c r="N933" s="2" t="s">
        <v>1701</v>
      </c>
      <c r="O933" s="5">
        <v>45474.273742094912</v>
      </c>
      <c r="P933" t="str">
        <f>IF($Q933="DELETE",IF($S933="CONFIRMED: NO MODS &gt; 1YR","CONFIRMED: NO MODS &gt; 1YR","DO NOT DELETE — not defensibly confirmed"),IF($Q933="HOLD","DO NOT DELETE — HOLD (Charlie review)",IF($Q933="KEEP","DO NOT DELETE — KEEP",IF(ISNUMBER(SEARCH("REVIEW",$Q933)),"DO NOT DELETE — REVIEW pending",$S933))))</f>
        <v>DO NOT DELETE — REVIEW pending</v>
      </c>
      <c r="Q933" t="str" cm="1">
        <f t="array" ref="Q933">_xlfn.IFS(AND($A933="thg-beauty",ISNUMBER(SEARCH("liveramp",$C933))),"DELETE",$A933="agile-bonbon-662",_xlfn.IFS(LEFT($G933,9)="Tranche 1","DELETE",$C933="Sessions_Level_1_All_Sites","KEEP",ISNUMBER(--$C933),"REVIEW — UA raw logs",$C933="Emag_Reporting","KEEP",$C933="Nutrition_Data_Archived_Tables","KEEP",$C933="EU_Data","KEEP",TRUE,"REVIEW"),OR($A933="thg-influencer",$A933="thg-ingenuity",$A933="thg-central-marketing",$A933="thg-seoclarity"),"HOLD",TRUE,"")</f>
        <v>REVIEW — UA raw logs</v>
      </c>
      <c r="R933" t="str" cm="1">
        <f t="array" ref="R933">_xlfn.IFS(AND($A933="thg-beauty",ISNUMBER(SEARCH("liveramp",$C933))),"thg-beauty Liveramp dataset — confirmed safe to delete",$A933="agile-bonbon-662",_xlfn.IFS(LEFT($G933,9)="Tranche 1","Tranche 1: cleared",$C933="Sessions_Level_1_All_Sites","Downstream aggregation of UA raw logs — keep if raw tables go",ISNUMBER(--$C933),"UA raw site logs (account ID) — keep pending audit-retention check",$C933="Emag_Reporting","Legacy but likely needed",$C933="Nutrition_Data_Archived_Tables","Worth keeping",$C933="EU_Data","Static lookup tables — scripts still reference (smoke-test risk)",TRUE,"Review"),OR($A933="thg-influencer",$A933="thg-ingenuity",$A933="thg-central-marketing",$A933="thg-seoclarity"),"HOLD — Charlie Stringer to review before deletion",TRUE,"")</f>
        <v>UA raw site logs (account ID) — keep pending audit-retention check</v>
      </c>
      <c r="S933" t="s">
        <v>1624</v>
      </c>
    </row>
    <row r="934" spans="1:19" ht="45.75" hidden="1">
      <c r="A934" t="s">
        <v>89</v>
      </c>
      <c r="B934" t="s">
        <v>1619</v>
      </c>
      <c r="C934" t="s">
        <v>488</v>
      </c>
      <c r="D934" s="2" t="s">
        <v>1621</v>
      </c>
      <c r="E934">
        <v>357.01</v>
      </c>
      <c r="F934">
        <v>7.14</v>
      </c>
      <c r="G934" t="s">
        <v>63</v>
      </c>
      <c r="H934" t="s">
        <v>3328</v>
      </c>
      <c r="I934">
        <v>35</v>
      </c>
      <c r="J934">
        <v>723</v>
      </c>
      <c r="K934" s="5">
        <v>46161.583995162036</v>
      </c>
      <c r="M934" s="2" t="s">
        <v>3434</v>
      </c>
      <c r="N934" s="2" t="s">
        <v>1701</v>
      </c>
      <c r="O934" s="5">
        <v>45474.336327337973</v>
      </c>
      <c r="P934" t="str">
        <f>IF($Q934="DELETE",IF($S934="CONFIRMED: NO MODS &gt; 1YR","CONFIRMED: NO MODS &gt; 1YR","DO NOT DELETE — not defensibly confirmed"),IF($Q934="HOLD","DO NOT DELETE — HOLD (Charlie review)",IF($Q934="KEEP","DO NOT DELETE — KEEP",IF(ISNUMBER(SEARCH("REVIEW",$Q934)),"DO NOT DELETE — REVIEW pending",$S934))))</f>
        <v>DO NOT DELETE — REVIEW pending</v>
      </c>
      <c r="Q934" t="str" cm="1">
        <f t="array" ref="Q934">_xlfn.IFS(AND($A934="thg-beauty",ISNUMBER(SEARCH("liveramp",$C934))),"DELETE",$A934="agile-bonbon-662",_xlfn.IFS(LEFT($G934,9)="Tranche 1","DELETE",$C934="Sessions_Level_1_All_Sites","KEEP",ISNUMBER(--$C934),"REVIEW — UA raw logs",$C934="Emag_Reporting","KEEP",$C934="Nutrition_Data_Archived_Tables","KEEP",$C934="EU_Data","KEEP",TRUE,"REVIEW"),OR($A934="thg-influencer",$A934="thg-ingenuity",$A934="thg-central-marketing",$A934="thg-seoclarity"),"HOLD",TRUE,"")</f>
        <v>REVIEW — UA raw logs</v>
      </c>
      <c r="R934" t="str" cm="1">
        <f t="array" ref="R934">_xlfn.IFS(AND($A934="thg-beauty",ISNUMBER(SEARCH("liveramp",$C934))),"thg-beauty Liveramp dataset — confirmed safe to delete",$A934="agile-bonbon-662",_xlfn.IFS(LEFT($G934,9)="Tranche 1","Tranche 1: cleared",$C934="Sessions_Level_1_All_Sites","Downstream aggregation of UA raw logs — keep if raw tables go",ISNUMBER(--$C934),"UA raw site logs (account ID) — keep pending audit-retention check",$C934="Emag_Reporting","Legacy but likely needed",$C934="Nutrition_Data_Archived_Tables","Worth keeping",$C934="EU_Data","Static lookup tables — scripts still reference (smoke-test risk)",TRUE,"Review"),OR($A934="thg-influencer",$A934="thg-ingenuity",$A934="thg-central-marketing",$A934="thg-seoclarity"),"HOLD — Charlie Stringer to review before deletion",TRUE,"")</f>
        <v>UA raw site logs (account ID) — keep pending audit-retention check</v>
      </c>
      <c r="S934" t="s">
        <v>1624</v>
      </c>
    </row>
    <row r="935" spans="1:19" ht="45.75" hidden="1">
      <c r="A935" t="s">
        <v>89</v>
      </c>
      <c r="B935" t="s">
        <v>1619</v>
      </c>
      <c r="C935" t="s">
        <v>492</v>
      </c>
      <c r="D935" s="2" t="s">
        <v>1621</v>
      </c>
      <c r="E935">
        <v>353.6</v>
      </c>
      <c r="F935">
        <v>7.07</v>
      </c>
      <c r="G935" t="s">
        <v>63</v>
      </c>
      <c r="H935" t="s">
        <v>3328</v>
      </c>
      <c r="I935">
        <v>35</v>
      </c>
      <c r="J935">
        <v>723</v>
      </c>
      <c r="K935" s="5">
        <v>46161.601924016213</v>
      </c>
      <c r="M935" s="2" t="s">
        <v>3433</v>
      </c>
      <c r="N935" s="2" t="s">
        <v>1701</v>
      </c>
      <c r="O935" s="5">
        <v>45474.340080995367</v>
      </c>
      <c r="P935" t="str">
        <f>IF($Q935="DELETE",IF($S935="CONFIRMED: NO MODS &gt; 1YR","CONFIRMED: NO MODS &gt; 1YR","DO NOT DELETE — not defensibly confirmed"),IF($Q935="HOLD","DO NOT DELETE — HOLD (Charlie review)",IF($Q935="KEEP","DO NOT DELETE — KEEP",IF(ISNUMBER(SEARCH("REVIEW",$Q935)),"DO NOT DELETE — REVIEW pending",$S935))))</f>
        <v>DO NOT DELETE — REVIEW pending</v>
      </c>
      <c r="Q935" t="str" cm="1">
        <f t="array" ref="Q935">_xlfn.IFS(AND($A935="thg-beauty",ISNUMBER(SEARCH("liveramp",$C935))),"DELETE",$A935="agile-bonbon-662",_xlfn.IFS(LEFT($G935,9)="Tranche 1","DELETE",$C935="Sessions_Level_1_All_Sites","KEEP",ISNUMBER(--$C935),"REVIEW — UA raw logs",$C935="Emag_Reporting","KEEP",$C935="Nutrition_Data_Archived_Tables","KEEP",$C935="EU_Data","KEEP",TRUE,"REVIEW"),OR($A935="thg-influencer",$A935="thg-ingenuity",$A935="thg-central-marketing",$A935="thg-seoclarity"),"HOLD",TRUE,"")</f>
        <v>REVIEW — UA raw logs</v>
      </c>
      <c r="R935" t="str" cm="1">
        <f t="array" ref="R935">_xlfn.IFS(AND($A935="thg-beauty",ISNUMBER(SEARCH("liveramp",$C935))),"thg-beauty Liveramp dataset — confirmed safe to delete",$A935="agile-bonbon-662",_xlfn.IFS(LEFT($G935,9)="Tranche 1","Tranche 1: cleared",$C935="Sessions_Level_1_All_Sites","Downstream aggregation of UA raw logs — keep if raw tables go",ISNUMBER(--$C935),"UA raw site logs (account ID) — keep pending audit-retention check",$C935="Emag_Reporting","Legacy but likely needed",$C935="Nutrition_Data_Archived_Tables","Worth keeping",$C935="EU_Data","Static lookup tables — scripts still reference (smoke-test risk)",TRUE,"Review"),OR($A935="thg-influencer",$A935="thg-ingenuity",$A935="thg-central-marketing",$A935="thg-seoclarity"),"HOLD — Charlie Stringer to review before deletion",TRUE,"")</f>
        <v>UA raw site logs (account ID) — keep pending audit-retention check</v>
      </c>
      <c r="S935" t="s">
        <v>1624</v>
      </c>
    </row>
    <row r="936" spans="1:19" ht="45.75" hidden="1">
      <c r="A936" t="s">
        <v>89</v>
      </c>
      <c r="B936" t="s">
        <v>1619</v>
      </c>
      <c r="C936" t="s">
        <v>496</v>
      </c>
      <c r="D936" s="2" t="s">
        <v>1621</v>
      </c>
      <c r="E936">
        <v>350.74</v>
      </c>
      <c r="F936">
        <v>7.01</v>
      </c>
      <c r="G936" t="s">
        <v>63</v>
      </c>
      <c r="H936" t="s">
        <v>3328</v>
      </c>
      <c r="I936">
        <v>35</v>
      </c>
      <c r="J936">
        <v>723</v>
      </c>
      <c r="K936" s="5">
        <v>46161.583080729157</v>
      </c>
      <c r="M936" s="2" t="s">
        <v>3435</v>
      </c>
      <c r="N936" s="2" t="s">
        <v>1701</v>
      </c>
      <c r="O936" s="5">
        <v>45474.257939456023</v>
      </c>
      <c r="P936" t="str">
        <f>IF($Q936="DELETE",IF($S936="CONFIRMED: NO MODS &gt; 1YR","CONFIRMED: NO MODS &gt; 1YR","DO NOT DELETE — not defensibly confirmed"),IF($Q936="HOLD","DO NOT DELETE — HOLD (Charlie review)",IF($Q936="KEEP","DO NOT DELETE — KEEP",IF(ISNUMBER(SEARCH("REVIEW",$Q936)),"DO NOT DELETE — REVIEW pending",$S936))))</f>
        <v>DO NOT DELETE — REVIEW pending</v>
      </c>
      <c r="Q936" t="str" cm="1">
        <f t="array" ref="Q936">_xlfn.IFS(AND($A936="thg-beauty",ISNUMBER(SEARCH("liveramp",$C936))),"DELETE",$A936="agile-bonbon-662",_xlfn.IFS(LEFT($G936,9)="Tranche 1","DELETE",$C936="Sessions_Level_1_All_Sites","KEEP",ISNUMBER(--$C936),"REVIEW — UA raw logs",$C936="Emag_Reporting","KEEP",$C936="Nutrition_Data_Archived_Tables","KEEP",$C936="EU_Data","KEEP",TRUE,"REVIEW"),OR($A936="thg-influencer",$A936="thg-ingenuity",$A936="thg-central-marketing",$A936="thg-seoclarity"),"HOLD",TRUE,"")</f>
        <v>REVIEW — UA raw logs</v>
      </c>
      <c r="R936" t="str" cm="1">
        <f t="array" ref="R936">_xlfn.IFS(AND($A936="thg-beauty",ISNUMBER(SEARCH("liveramp",$C936))),"thg-beauty Liveramp dataset — confirmed safe to delete",$A936="agile-bonbon-662",_xlfn.IFS(LEFT($G936,9)="Tranche 1","Tranche 1: cleared",$C936="Sessions_Level_1_All_Sites","Downstream aggregation of UA raw logs — keep if raw tables go",ISNUMBER(--$C936),"UA raw site logs (account ID) — keep pending audit-retention check",$C936="Emag_Reporting","Legacy but likely needed",$C936="Nutrition_Data_Archived_Tables","Worth keeping",$C936="EU_Data","Static lookup tables — scripts still reference (smoke-test risk)",TRUE,"Review"),OR($A936="thg-influencer",$A936="thg-ingenuity",$A936="thg-central-marketing",$A936="thg-seoclarity"),"HOLD — Charlie Stringer to review before deletion",TRUE,"")</f>
        <v>UA raw site logs (account ID) — keep pending audit-retention check</v>
      </c>
      <c r="S936" t="s">
        <v>1624</v>
      </c>
    </row>
    <row r="937" spans="1:19" ht="45.75" hidden="1">
      <c r="A937" t="s">
        <v>89</v>
      </c>
      <c r="B937" t="s">
        <v>1619</v>
      </c>
      <c r="C937" t="s">
        <v>500</v>
      </c>
      <c r="D937" s="2" t="s">
        <v>1621</v>
      </c>
      <c r="E937">
        <v>349.09</v>
      </c>
      <c r="F937">
        <v>6.98</v>
      </c>
      <c r="G937" t="s">
        <v>63</v>
      </c>
      <c r="H937" t="s">
        <v>3328</v>
      </c>
      <c r="I937">
        <v>35</v>
      </c>
      <c r="J937">
        <v>723</v>
      </c>
      <c r="K937" s="5">
        <v>46161.589432395827</v>
      </c>
      <c r="M937" s="2" t="s">
        <v>3424</v>
      </c>
      <c r="N937" s="2" t="s">
        <v>1701</v>
      </c>
      <c r="O937" s="5">
        <v>45474.275116365738</v>
      </c>
      <c r="P937" t="str">
        <f>IF($Q937="DELETE",IF($S937="CONFIRMED: NO MODS &gt; 1YR","CONFIRMED: NO MODS &gt; 1YR","DO NOT DELETE — not defensibly confirmed"),IF($Q937="HOLD","DO NOT DELETE — HOLD (Charlie review)",IF($Q937="KEEP","DO NOT DELETE — KEEP",IF(ISNUMBER(SEARCH("REVIEW",$Q937)),"DO NOT DELETE — REVIEW pending",$S937))))</f>
        <v>DO NOT DELETE — REVIEW pending</v>
      </c>
      <c r="Q937" t="str" cm="1">
        <f t="array" ref="Q937">_xlfn.IFS(AND($A937="thg-beauty",ISNUMBER(SEARCH("liveramp",$C937))),"DELETE",$A937="agile-bonbon-662",_xlfn.IFS(LEFT($G937,9)="Tranche 1","DELETE",$C937="Sessions_Level_1_All_Sites","KEEP",ISNUMBER(--$C937),"REVIEW — UA raw logs",$C937="Emag_Reporting","KEEP",$C937="Nutrition_Data_Archived_Tables","KEEP",$C937="EU_Data","KEEP",TRUE,"REVIEW"),OR($A937="thg-influencer",$A937="thg-ingenuity",$A937="thg-central-marketing",$A937="thg-seoclarity"),"HOLD",TRUE,"")</f>
        <v>REVIEW — UA raw logs</v>
      </c>
      <c r="R937" t="str" cm="1">
        <f t="array" ref="R937">_xlfn.IFS(AND($A937="thg-beauty",ISNUMBER(SEARCH("liveramp",$C937))),"thg-beauty Liveramp dataset — confirmed safe to delete",$A937="agile-bonbon-662",_xlfn.IFS(LEFT($G937,9)="Tranche 1","Tranche 1: cleared",$C937="Sessions_Level_1_All_Sites","Downstream aggregation of UA raw logs — keep if raw tables go",ISNUMBER(--$C937),"UA raw site logs (account ID) — keep pending audit-retention check",$C937="Emag_Reporting","Legacy but likely needed",$C937="Nutrition_Data_Archived_Tables","Worth keeping",$C937="EU_Data","Static lookup tables — scripts still reference (smoke-test risk)",TRUE,"Review"),OR($A937="thg-influencer",$A937="thg-ingenuity",$A937="thg-central-marketing",$A937="thg-seoclarity"),"HOLD — Charlie Stringer to review before deletion",TRUE,"")</f>
        <v>UA raw site logs (account ID) — keep pending audit-retention check</v>
      </c>
      <c r="S937" t="s">
        <v>1624</v>
      </c>
    </row>
    <row r="938" spans="1:19" ht="45.75" hidden="1">
      <c r="A938" t="s">
        <v>89</v>
      </c>
      <c r="B938" t="s">
        <v>1619</v>
      </c>
      <c r="C938" t="s">
        <v>504</v>
      </c>
      <c r="D938" s="2" t="s">
        <v>1621</v>
      </c>
      <c r="E938">
        <v>347.13</v>
      </c>
      <c r="F938">
        <v>6.94</v>
      </c>
      <c r="G938" t="s">
        <v>63</v>
      </c>
      <c r="H938" t="s">
        <v>3328</v>
      </c>
      <c r="I938">
        <v>35</v>
      </c>
      <c r="J938">
        <v>723</v>
      </c>
      <c r="K938" s="5">
        <v>46161.597805324083</v>
      </c>
      <c r="M938" s="2" t="s">
        <v>3416</v>
      </c>
      <c r="N938" s="2" t="s">
        <v>1701</v>
      </c>
      <c r="O938" s="5">
        <v>45474.261223379632</v>
      </c>
      <c r="P938" t="str">
        <f>IF($Q938="DELETE",IF($S938="CONFIRMED: NO MODS &gt; 1YR","CONFIRMED: NO MODS &gt; 1YR","DO NOT DELETE — not defensibly confirmed"),IF($Q938="HOLD","DO NOT DELETE — HOLD (Charlie review)",IF($Q938="KEEP","DO NOT DELETE — KEEP",IF(ISNUMBER(SEARCH("REVIEW",$Q938)),"DO NOT DELETE — REVIEW pending",$S938))))</f>
        <v>DO NOT DELETE — REVIEW pending</v>
      </c>
      <c r="Q938" t="str" cm="1">
        <f t="array" ref="Q938">_xlfn.IFS(AND($A938="thg-beauty",ISNUMBER(SEARCH("liveramp",$C938))),"DELETE",$A938="agile-bonbon-662",_xlfn.IFS(LEFT($G938,9)="Tranche 1","DELETE",$C938="Sessions_Level_1_All_Sites","KEEP",ISNUMBER(--$C938),"REVIEW — UA raw logs",$C938="Emag_Reporting","KEEP",$C938="Nutrition_Data_Archived_Tables","KEEP",$C938="EU_Data","KEEP",TRUE,"REVIEW"),OR($A938="thg-influencer",$A938="thg-ingenuity",$A938="thg-central-marketing",$A938="thg-seoclarity"),"HOLD",TRUE,"")</f>
        <v>REVIEW — UA raw logs</v>
      </c>
      <c r="R938" t="str" cm="1">
        <f t="array" ref="R938">_xlfn.IFS(AND($A938="thg-beauty",ISNUMBER(SEARCH("liveramp",$C938))),"thg-beauty Liveramp dataset — confirmed safe to delete",$A938="agile-bonbon-662",_xlfn.IFS(LEFT($G938,9)="Tranche 1","Tranche 1: cleared",$C938="Sessions_Level_1_All_Sites","Downstream aggregation of UA raw logs — keep if raw tables go",ISNUMBER(--$C938),"UA raw site logs (account ID) — keep pending audit-retention check",$C938="Emag_Reporting","Legacy but likely needed",$C938="Nutrition_Data_Archived_Tables","Worth keeping",$C938="EU_Data","Static lookup tables — scripts still reference (smoke-test risk)",TRUE,"Review"),OR($A938="thg-influencer",$A938="thg-ingenuity",$A938="thg-central-marketing",$A938="thg-seoclarity"),"HOLD — Charlie Stringer to review before deletion",TRUE,"")</f>
        <v>UA raw site logs (account ID) — keep pending audit-retention check</v>
      </c>
      <c r="S938" t="s">
        <v>1624</v>
      </c>
    </row>
    <row r="939" spans="1:19" ht="45.75" hidden="1">
      <c r="A939" t="s">
        <v>89</v>
      </c>
      <c r="B939" t="s">
        <v>1619</v>
      </c>
      <c r="C939" t="s">
        <v>508</v>
      </c>
      <c r="D939" s="2" t="s">
        <v>1621</v>
      </c>
      <c r="E939">
        <v>328.59</v>
      </c>
      <c r="F939">
        <v>6.57</v>
      </c>
      <c r="G939" t="s">
        <v>63</v>
      </c>
      <c r="H939" t="s">
        <v>3328</v>
      </c>
      <c r="I939">
        <v>35</v>
      </c>
      <c r="J939">
        <v>723</v>
      </c>
      <c r="K939" s="5">
        <v>46161.582394143523</v>
      </c>
      <c r="M939" s="2" t="s">
        <v>3422</v>
      </c>
      <c r="N939" s="2" t="s">
        <v>1701</v>
      </c>
      <c r="O939" s="5">
        <v>45474.257690312501</v>
      </c>
      <c r="P939" t="str">
        <f>IF($Q939="DELETE",IF($S939="CONFIRMED: NO MODS &gt; 1YR","CONFIRMED: NO MODS &gt; 1YR","DO NOT DELETE — not defensibly confirmed"),IF($Q939="HOLD","DO NOT DELETE — HOLD (Charlie review)",IF($Q939="KEEP","DO NOT DELETE — KEEP",IF(ISNUMBER(SEARCH("REVIEW",$Q939)),"DO NOT DELETE — REVIEW pending",$S939))))</f>
        <v>DO NOT DELETE — REVIEW pending</v>
      </c>
      <c r="Q939" t="str" cm="1">
        <f t="array" ref="Q939">_xlfn.IFS(AND($A939="thg-beauty",ISNUMBER(SEARCH("liveramp",$C939))),"DELETE",$A939="agile-bonbon-662",_xlfn.IFS(LEFT($G939,9)="Tranche 1","DELETE",$C939="Sessions_Level_1_All_Sites","KEEP",ISNUMBER(--$C939),"REVIEW — UA raw logs",$C939="Emag_Reporting","KEEP",$C939="Nutrition_Data_Archived_Tables","KEEP",$C939="EU_Data","KEEP",TRUE,"REVIEW"),OR($A939="thg-influencer",$A939="thg-ingenuity",$A939="thg-central-marketing",$A939="thg-seoclarity"),"HOLD",TRUE,"")</f>
        <v>REVIEW — UA raw logs</v>
      </c>
      <c r="R939" t="str" cm="1">
        <f t="array" ref="R939">_xlfn.IFS(AND($A939="thg-beauty",ISNUMBER(SEARCH("liveramp",$C939))),"thg-beauty Liveramp dataset — confirmed safe to delete",$A939="agile-bonbon-662",_xlfn.IFS(LEFT($G939,9)="Tranche 1","Tranche 1: cleared",$C939="Sessions_Level_1_All_Sites","Downstream aggregation of UA raw logs — keep if raw tables go",ISNUMBER(--$C939),"UA raw site logs (account ID) — keep pending audit-retention check",$C939="Emag_Reporting","Legacy but likely needed",$C939="Nutrition_Data_Archived_Tables","Worth keeping",$C939="EU_Data","Static lookup tables — scripts still reference (smoke-test risk)",TRUE,"Review"),OR($A939="thg-influencer",$A939="thg-ingenuity",$A939="thg-central-marketing",$A939="thg-seoclarity"),"HOLD — Charlie Stringer to review before deletion",TRUE,"")</f>
        <v>UA raw site logs (account ID) — keep pending audit-retention check</v>
      </c>
      <c r="S939" t="s">
        <v>1624</v>
      </c>
    </row>
    <row r="940" spans="1:19" ht="45.75" hidden="1">
      <c r="A940" t="s">
        <v>89</v>
      </c>
      <c r="B940" t="s">
        <v>1619</v>
      </c>
      <c r="C940" t="s">
        <v>512</v>
      </c>
      <c r="D940" s="2" t="s">
        <v>1621</v>
      </c>
      <c r="E940">
        <v>325.7</v>
      </c>
      <c r="F940">
        <v>6.51</v>
      </c>
      <c r="G940" t="s">
        <v>63</v>
      </c>
      <c r="H940" t="s">
        <v>3328</v>
      </c>
      <c r="I940">
        <v>35</v>
      </c>
      <c r="J940">
        <v>723</v>
      </c>
      <c r="K940" s="5">
        <v>46161.595952314812</v>
      </c>
      <c r="M940" s="2" t="s">
        <v>3408</v>
      </c>
      <c r="N940" s="2" t="s">
        <v>1701</v>
      </c>
      <c r="O940" s="5">
        <v>45474.260555567133</v>
      </c>
      <c r="P940" t="str">
        <f>IF($Q940="DELETE",IF($S940="CONFIRMED: NO MODS &gt; 1YR","CONFIRMED: NO MODS &gt; 1YR","DO NOT DELETE — not defensibly confirmed"),IF($Q940="HOLD","DO NOT DELETE — HOLD (Charlie review)",IF($Q940="KEEP","DO NOT DELETE — KEEP",IF(ISNUMBER(SEARCH("REVIEW",$Q940)),"DO NOT DELETE — REVIEW pending",$S940))))</f>
        <v>DO NOT DELETE — REVIEW pending</v>
      </c>
      <c r="Q940" t="str" cm="1">
        <f t="array" ref="Q940">_xlfn.IFS(AND($A940="thg-beauty",ISNUMBER(SEARCH("liveramp",$C940))),"DELETE",$A940="agile-bonbon-662",_xlfn.IFS(LEFT($G940,9)="Tranche 1","DELETE",$C940="Sessions_Level_1_All_Sites","KEEP",ISNUMBER(--$C940),"REVIEW — UA raw logs",$C940="Emag_Reporting","KEEP",$C940="Nutrition_Data_Archived_Tables","KEEP",$C940="EU_Data","KEEP",TRUE,"REVIEW"),OR($A940="thg-influencer",$A940="thg-ingenuity",$A940="thg-central-marketing",$A940="thg-seoclarity"),"HOLD",TRUE,"")</f>
        <v>REVIEW — UA raw logs</v>
      </c>
      <c r="R940" t="str" cm="1">
        <f t="array" ref="R940">_xlfn.IFS(AND($A940="thg-beauty",ISNUMBER(SEARCH("liveramp",$C940))),"thg-beauty Liveramp dataset — confirmed safe to delete",$A940="agile-bonbon-662",_xlfn.IFS(LEFT($G940,9)="Tranche 1","Tranche 1: cleared",$C940="Sessions_Level_1_All_Sites","Downstream aggregation of UA raw logs — keep if raw tables go",ISNUMBER(--$C940),"UA raw site logs (account ID) — keep pending audit-retention check",$C940="Emag_Reporting","Legacy but likely needed",$C940="Nutrition_Data_Archived_Tables","Worth keeping",$C940="EU_Data","Static lookup tables — scripts still reference (smoke-test risk)",TRUE,"Review"),OR($A940="thg-influencer",$A940="thg-ingenuity",$A940="thg-central-marketing",$A940="thg-seoclarity"),"HOLD — Charlie Stringer to review before deletion",TRUE,"")</f>
        <v>UA raw site logs (account ID) — keep pending audit-retention check</v>
      </c>
      <c r="S940" t="s">
        <v>1624</v>
      </c>
    </row>
    <row r="941" spans="1:19" ht="45.75" hidden="1">
      <c r="A941" t="s">
        <v>89</v>
      </c>
      <c r="B941" t="s">
        <v>1619</v>
      </c>
      <c r="C941" t="s">
        <v>516</v>
      </c>
      <c r="D941" s="2" t="s">
        <v>1621</v>
      </c>
      <c r="E941">
        <v>308.26</v>
      </c>
      <c r="F941">
        <v>6.17</v>
      </c>
      <c r="G941" t="s">
        <v>63</v>
      </c>
      <c r="H941" t="s">
        <v>3328</v>
      </c>
      <c r="I941">
        <v>35</v>
      </c>
      <c r="J941">
        <v>723</v>
      </c>
      <c r="K941" s="5">
        <v>46161.583003136577</v>
      </c>
      <c r="M941" s="2" t="s">
        <v>3435</v>
      </c>
      <c r="N941" s="2" t="s">
        <v>1701</v>
      </c>
      <c r="O941" s="5">
        <v>45474.336165324072</v>
      </c>
      <c r="P941" t="str">
        <f>IF($Q941="DELETE",IF($S941="CONFIRMED: NO MODS &gt; 1YR","CONFIRMED: NO MODS &gt; 1YR","DO NOT DELETE — not defensibly confirmed"),IF($Q941="HOLD","DO NOT DELETE — HOLD (Charlie review)",IF($Q941="KEEP","DO NOT DELETE — KEEP",IF(ISNUMBER(SEARCH("REVIEW",$Q941)),"DO NOT DELETE — REVIEW pending",$S941))))</f>
        <v>DO NOT DELETE — REVIEW pending</v>
      </c>
      <c r="Q941" t="str" cm="1">
        <f t="array" ref="Q941">_xlfn.IFS(AND($A941="thg-beauty",ISNUMBER(SEARCH("liveramp",$C941))),"DELETE",$A941="agile-bonbon-662",_xlfn.IFS(LEFT($G941,9)="Tranche 1","DELETE",$C941="Sessions_Level_1_All_Sites","KEEP",ISNUMBER(--$C941),"REVIEW — UA raw logs",$C941="Emag_Reporting","KEEP",$C941="Nutrition_Data_Archived_Tables","KEEP",$C941="EU_Data","KEEP",TRUE,"REVIEW"),OR($A941="thg-influencer",$A941="thg-ingenuity",$A941="thg-central-marketing",$A941="thg-seoclarity"),"HOLD",TRUE,"")</f>
        <v>REVIEW — UA raw logs</v>
      </c>
      <c r="R941" t="str" cm="1">
        <f t="array" ref="R941">_xlfn.IFS(AND($A941="thg-beauty",ISNUMBER(SEARCH("liveramp",$C941))),"thg-beauty Liveramp dataset — confirmed safe to delete",$A941="agile-bonbon-662",_xlfn.IFS(LEFT($G941,9)="Tranche 1","Tranche 1: cleared",$C941="Sessions_Level_1_All_Sites","Downstream aggregation of UA raw logs — keep if raw tables go",ISNUMBER(--$C941),"UA raw site logs (account ID) — keep pending audit-retention check",$C941="Emag_Reporting","Legacy but likely needed",$C941="Nutrition_Data_Archived_Tables","Worth keeping",$C941="EU_Data","Static lookup tables — scripts still reference (smoke-test risk)",TRUE,"Review"),OR($A941="thg-influencer",$A941="thg-ingenuity",$A941="thg-central-marketing",$A941="thg-seoclarity"),"HOLD — Charlie Stringer to review before deletion",TRUE,"")</f>
        <v>UA raw site logs (account ID) — keep pending audit-retention check</v>
      </c>
      <c r="S941" t="s">
        <v>1624</v>
      </c>
    </row>
    <row r="942" spans="1:19" ht="45.75" hidden="1">
      <c r="A942" t="s">
        <v>89</v>
      </c>
      <c r="B942" t="s">
        <v>1619</v>
      </c>
      <c r="C942" t="s">
        <v>524</v>
      </c>
      <c r="D942" s="2" t="s">
        <v>1621</v>
      </c>
      <c r="E942">
        <v>303.87</v>
      </c>
      <c r="F942">
        <v>6.08</v>
      </c>
      <c r="G942" t="s">
        <v>63</v>
      </c>
      <c r="H942" t="s">
        <v>3328</v>
      </c>
      <c r="I942">
        <v>35</v>
      </c>
      <c r="J942">
        <v>723</v>
      </c>
      <c r="K942" s="5">
        <v>46161.598099097217</v>
      </c>
      <c r="M942" s="2" t="s">
        <v>3407</v>
      </c>
      <c r="N942" s="2" t="s">
        <v>1701</v>
      </c>
      <c r="O942" s="5">
        <v>45474.261659756943</v>
      </c>
      <c r="P942" t="str">
        <f>IF($Q942="DELETE",IF($S942="CONFIRMED: NO MODS &gt; 1YR","CONFIRMED: NO MODS &gt; 1YR","DO NOT DELETE — not defensibly confirmed"),IF($Q942="HOLD","DO NOT DELETE — HOLD (Charlie review)",IF($Q942="KEEP","DO NOT DELETE — KEEP",IF(ISNUMBER(SEARCH("REVIEW",$Q942)),"DO NOT DELETE — REVIEW pending",$S942))))</f>
        <v>DO NOT DELETE — REVIEW pending</v>
      </c>
      <c r="Q942" t="str" cm="1">
        <f t="array" ref="Q942">_xlfn.IFS(AND($A942="thg-beauty",ISNUMBER(SEARCH("liveramp",$C942))),"DELETE",$A942="agile-bonbon-662",_xlfn.IFS(LEFT($G942,9)="Tranche 1","DELETE",$C942="Sessions_Level_1_All_Sites","KEEP",ISNUMBER(--$C942),"REVIEW — UA raw logs",$C942="Emag_Reporting","KEEP",$C942="Nutrition_Data_Archived_Tables","KEEP",$C942="EU_Data","KEEP",TRUE,"REVIEW"),OR($A942="thg-influencer",$A942="thg-ingenuity",$A942="thg-central-marketing",$A942="thg-seoclarity"),"HOLD",TRUE,"")</f>
        <v>REVIEW — UA raw logs</v>
      </c>
      <c r="R942" t="str" cm="1">
        <f t="array" ref="R942">_xlfn.IFS(AND($A942="thg-beauty",ISNUMBER(SEARCH("liveramp",$C942))),"thg-beauty Liveramp dataset — confirmed safe to delete",$A942="agile-bonbon-662",_xlfn.IFS(LEFT($G942,9)="Tranche 1","Tranche 1: cleared",$C942="Sessions_Level_1_All_Sites","Downstream aggregation of UA raw logs — keep if raw tables go",ISNUMBER(--$C942),"UA raw site logs (account ID) — keep pending audit-retention check",$C942="Emag_Reporting","Legacy but likely needed",$C942="Nutrition_Data_Archived_Tables","Worth keeping",$C942="EU_Data","Static lookup tables — scripts still reference (smoke-test risk)",TRUE,"Review"),OR($A942="thg-influencer",$A942="thg-ingenuity",$A942="thg-central-marketing",$A942="thg-seoclarity"),"HOLD — Charlie Stringer to review before deletion",TRUE,"")</f>
        <v>UA raw site logs (account ID) — keep pending audit-retention check</v>
      </c>
      <c r="S942" t="s">
        <v>1624</v>
      </c>
    </row>
    <row r="943" spans="1:19" ht="76.5" hidden="1">
      <c r="A943" t="s">
        <v>89</v>
      </c>
      <c r="B943" t="s">
        <v>1619</v>
      </c>
      <c r="C943" t="s">
        <v>528</v>
      </c>
      <c r="D943" s="2" t="s">
        <v>1621</v>
      </c>
      <c r="E943">
        <v>297.18</v>
      </c>
      <c r="F943">
        <v>5.94</v>
      </c>
      <c r="G943" t="s">
        <v>63</v>
      </c>
      <c r="H943" t="s">
        <v>3328</v>
      </c>
      <c r="I943">
        <v>35</v>
      </c>
      <c r="J943">
        <v>1545</v>
      </c>
      <c r="K943" s="5">
        <v>46161.581719224538</v>
      </c>
      <c r="M943" s="2" t="s">
        <v>3436</v>
      </c>
      <c r="N943" s="2" t="s">
        <v>1701</v>
      </c>
      <c r="O943" s="5">
        <v>44652.342153043981</v>
      </c>
      <c r="P943" t="str">
        <f>IF($Q943="DELETE",IF($S943="CONFIRMED: NO MODS &gt; 1YR","CONFIRMED: NO MODS &gt; 1YR","DO NOT DELETE — not defensibly confirmed"),IF($Q943="HOLD","DO NOT DELETE — HOLD (Charlie review)",IF($Q943="KEEP","DO NOT DELETE — KEEP",IF(ISNUMBER(SEARCH("REVIEW",$Q943)),"DO NOT DELETE — REVIEW pending",$S943))))</f>
        <v>DO NOT DELETE — REVIEW pending</v>
      </c>
      <c r="Q943" t="str" cm="1">
        <f t="array" ref="Q943">_xlfn.IFS(AND($A943="thg-beauty",ISNUMBER(SEARCH("liveramp",$C943))),"DELETE",$A943="agile-bonbon-662",_xlfn.IFS(LEFT($G943,9)="Tranche 1","DELETE",$C943="Sessions_Level_1_All_Sites","KEEP",ISNUMBER(--$C943),"REVIEW — UA raw logs",$C943="Emag_Reporting","KEEP",$C943="Nutrition_Data_Archived_Tables","KEEP",$C943="EU_Data","KEEP",TRUE,"REVIEW"),OR($A943="thg-influencer",$A943="thg-ingenuity",$A943="thg-central-marketing",$A943="thg-seoclarity"),"HOLD",TRUE,"")</f>
        <v>REVIEW — UA raw logs</v>
      </c>
      <c r="R943" t="str" cm="1">
        <f t="array" ref="R943">_xlfn.IFS(AND($A943="thg-beauty",ISNUMBER(SEARCH("liveramp",$C943))),"thg-beauty Liveramp dataset — confirmed safe to delete",$A943="agile-bonbon-662",_xlfn.IFS(LEFT($G943,9)="Tranche 1","Tranche 1: cleared",$C943="Sessions_Level_1_All_Sites","Downstream aggregation of UA raw logs — keep if raw tables go",ISNUMBER(--$C943),"UA raw site logs (account ID) — keep pending audit-retention check",$C943="Emag_Reporting","Legacy but likely needed",$C943="Nutrition_Data_Archived_Tables","Worth keeping",$C943="EU_Data","Static lookup tables — scripts still reference (smoke-test risk)",TRUE,"Review"),OR($A943="thg-influencer",$A943="thg-ingenuity",$A943="thg-central-marketing",$A943="thg-seoclarity"),"HOLD — Charlie Stringer to review before deletion",TRUE,"")</f>
        <v>UA raw site logs (account ID) — keep pending audit-retention check</v>
      </c>
      <c r="S943" t="s">
        <v>1624</v>
      </c>
    </row>
    <row r="944" spans="1:19" ht="76.5" hidden="1">
      <c r="A944" t="s">
        <v>89</v>
      </c>
      <c r="B944" t="s">
        <v>1619</v>
      </c>
      <c r="C944" t="s">
        <v>533</v>
      </c>
      <c r="D944" s="2" t="s">
        <v>1621</v>
      </c>
      <c r="E944">
        <v>290.3</v>
      </c>
      <c r="F944">
        <v>5.81</v>
      </c>
      <c r="G944" t="s">
        <v>63</v>
      </c>
      <c r="H944" t="s">
        <v>3328</v>
      </c>
      <c r="I944">
        <v>35</v>
      </c>
      <c r="J944">
        <v>723</v>
      </c>
      <c r="K944" s="5">
        <v>46161.581842361113</v>
      </c>
      <c r="M944" s="2" t="s">
        <v>3437</v>
      </c>
      <c r="N944" s="2" t="s">
        <v>1701</v>
      </c>
      <c r="O944" s="5">
        <v>45474.257337731477</v>
      </c>
      <c r="P944" t="str">
        <f>IF($Q944="DELETE",IF($S944="CONFIRMED: NO MODS &gt; 1YR","CONFIRMED: NO MODS &gt; 1YR","DO NOT DELETE — not defensibly confirmed"),IF($Q944="HOLD","DO NOT DELETE — HOLD (Charlie review)",IF($Q944="KEEP","DO NOT DELETE — KEEP",IF(ISNUMBER(SEARCH("REVIEW",$Q944)),"DO NOT DELETE — REVIEW pending",$S944))))</f>
        <v>DO NOT DELETE — REVIEW pending</v>
      </c>
      <c r="Q944" t="str" cm="1">
        <f t="array" ref="Q944">_xlfn.IFS(AND($A944="thg-beauty",ISNUMBER(SEARCH("liveramp",$C944))),"DELETE",$A944="agile-bonbon-662",_xlfn.IFS(LEFT($G944,9)="Tranche 1","DELETE",$C944="Sessions_Level_1_All_Sites","KEEP",ISNUMBER(--$C944),"REVIEW — UA raw logs",$C944="Emag_Reporting","KEEP",$C944="Nutrition_Data_Archived_Tables","KEEP",$C944="EU_Data","KEEP",TRUE,"REVIEW"),OR($A944="thg-influencer",$A944="thg-ingenuity",$A944="thg-central-marketing",$A944="thg-seoclarity"),"HOLD",TRUE,"")</f>
        <v>REVIEW — UA raw logs</v>
      </c>
      <c r="R944" t="str" cm="1">
        <f t="array" ref="R944">_xlfn.IFS(AND($A944="thg-beauty",ISNUMBER(SEARCH("liveramp",$C944))),"thg-beauty Liveramp dataset — confirmed safe to delete",$A944="agile-bonbon-662",_xlfn.IFS(LEFT($G944,9)="Tranche 1","Tranche 1: cleared",$C944="Sessions_Level_1_All_Sites","Downstream aggregation of UA raw logs — keep if raw tables go",ISNUMBER(--$C944),"UA raw site logs (account ID) — keep pending audit-retention check",$C944="Emag_Reporting","Legacy but likely needed",$C944="Nutrition_Data_Archived_Tables","Worth keeping",$C944="EU_Data","Static lookup tables — scripts still reference (smoke-test risk)",TRUE,"Review"),OR($A944="thg-influencer",$A944="thg-ingenuity",$A944="thg-central-marketing",$A944="thg-seoclarity"),"HOLD — Charlie Stringer to review before deletion",TRUE,"")</f>
        <v>UA raw site logs (account ID) — keep pending audit-retention check</v>
      </c>
      <c r="S944" t="s">
        <v>1624</v>
      </c>
    </row>
    <row r="945" spans="1:19" ht="45.75" hidden="1">
      <c r="A945" t="s">
        <v>89</v>
      </c>
      <c r="B945" t="s">
        <v>1619</v>
      </c>
      <c r="C945" t="s">
        <v>537</v>
      </c>
      <c r="D945" s="2" t="s">
        <v>1621</v>
      </c>
      <c r="E945">
        <v>281.49</v>
      </c>
      <c r="F945">
        <v>5.63</v>
      </c>
      <c r="G945" t="s">
        <v>63</v>
      </c>
      <c r="H945" t="s">
        <v>3328</v>
      </c>
      <c r="I945">
        <v>35</v>
      </c>
      <c r="J945">
        <v>723</v>
      </c>
      <c r="K945" s="5">
        <v>46161.585053402778</v>
      </c>
      <c r="M945" s="2" t="s">
        <v>3438</v>
      </c>
      <c r="N945" s="2" t="s">
        <v>1701</v>
      </c>
      <c r="O945" s="5">
        <v>45474.273522650466</v>
      </c>
      <c r="P945" t="str">
        <f>IF($Q945="DELETE",IF($S945="CONFIRMED: NO MODS &gt; 1YR","CONFIRMED: NO MODS &gt; 1YR","DO NOT DELETE — not defensibly confirmed"),IF($Q945="HOLD","DO NOT DELETE — HOLD (Charlie review)",IF($Q945="KEEP","DO NOT DELETE — KEEP",IF(ISNUMBER(SEARCH("REVIEW",$Q945)),"DO NOT DELETE — REVIEW pending",$S945))))</f>
        <v>DO NOT DELETE — REVIEW pending</v>
      </c>
      <c r="Q945" t="str" cm="1">
        <f t="array" ref="Q945">_xlfn.IFS(AND($A945="thg-beauty",ISNUMBER(SEARCH("liveramp",$C945))),"DELETE",$A945="agile-bonbon-662",_xlfn.IFS(LEFT($G945,9)="Tranche 1","DELETE",$C945="Sessions_Level_1_All_Sites","KEEP",ISNUMBER(--$C945),"REVIEW — UA raw logs",$C945="Emag_Reporting","KEEP",$C945="Nutrition_Data_Archived_Tables","KEEP",$C945="EU_Data","KEEP",TRUE,"REVIEW"),OR($A945="thg-influencer",$A945="thg-ingenuity",$A945="thg-central-marketing",$A945="thg-seoclarity"),"HOLD",TRUE,"")</f>
        <v>REVIEW — UA raw logs</v>
      </c>
      <c r="R945" t="str" cm="1">
        <f t="array" ref="R945">_xlfn.IFS(AND($A945="thg-beauty",ISNUMBER(SEARCH("liveramp",$C945))),"thg-beauty Liveramp dataset — confirmed safe to delete",$A945="agile-bonbon-662",_xlfn.IFS(LEFT($G945,9)="Tranche 1","Tranche 1: cleared",$C945="Sessions_Level_1_All_Sites","Downstream aggregation of UA raw logs — keep if raw tables go",ISNUMBER(--$C945),"UA raw site logs (account ID) — keep pending audit-retention check",$C945="Emag_Reporting","Legacy but likely needed",$C945="Nutrition_Data_Archived_Tables","Worth keeping",$C945="EU_Data","Static lookup tables — scripts still reference (smoke-test risk)",TRUE,"Review"),OR($A945="thg-influencer",$A945="thg-ingenuity",$A945="thg-central-marketing",$A945="thg-seoclarity"),"HOLD — Charlie Stringer to review before deletion",TRUE,"")</f>
        <v>UA raw site logs (account ID) — keep pending audit-retention check</v>
      </c>
      <c r="S945" t="s">
        <v>1624</v>
      </c>
    </row>
    <row r="946" spans="1:19" ht="45.75" hidden="1">
      <c r="A946" t="s">
        <v>89</v>
      </c>
      <c r="B946" t="s">
        <v>1619</v>
      </c>
      <c r="C946" t="s">
        <v>541</v>
      </c>
      <c r="D946" s="2" t="s">
        <v>1621</v>
      </c>
      <c r="E946">
        <v>279.42</v>
      </c>
      <c r="F946">
        <v>5.59</v>
      </c>
      <c r="G946" t="s">
        <v>63</v>
      </c>
      <c r="H946" t="s">
        <v>3328</v>
      </c>
      <c r="I946">
        <v>35</v>
      </c>
      <c r="J946">
        <v>723</v>
      </c>
      <c r="K946" s="5">
        <v>46161.597704918982</v>
      </c>
      <c r="M946" s="2" t="s">
        <v>3416</v>
      </c>
      <c r="N946" s="2" t="s">
        <v>1701</v>
      </c>
      <c r="O946" s="5">
        <v>45474.261206539362</v>
      </c>
      <c r="P946" t="str">
        <f>IF($Q946="DELETE",IF($S946="CONFIRMED: NO MODS &gt; 1YR","CONFIRMED: NO MODS &gt; 1YR","DO NOT DELETE — not defensibly confirmed"),IF($Q946="HOLD","DO NOT DELETE — HOLD (Charlie review)",IF($Q946="KEEP","DO NOT DELETE — KEEP",IF(ISNUMBER(SEARCH("REVIEW",$Q946)),"DO NOT DELETE — REVIEW pending",$S946))))</f>
        <v>DO NOT DELETE — REVIEW pending</v>
      </c>
      <c r="Q946" t="str" cm="1">
        <f t="array" ref="Q946">_xlfn.IFS(AND($A946="thg-beauty",ISNUMBER(SEARCH("liveramp",$C946))),"DELETE",$A946="agile-bonbon-662",_xlfn.IFS(LEFT($G946,9)="Tranche 1","DELETE",$C946="Sessions_Level_1_All_Sites","KEEP",ISNUMBER(--$C946),"REVIEW — UA raw logs",$C946="Emag_Reporting","KEEP",$C946="Nutrition_Data_Archived_Tables","KEEP",$C946="EU_Data","KEEP",TRUE,"REVIEW"),OR($A946="thg-influencer",$A946="thg-ingenuity",$A946="thg-central-marketing",$A946="thg-seoclarity"),"HOLD",TRUE,"")</f>
        <v>REVIEW — UA raw logs</v>
      </c>
      <c r="R946" t="str" cm="1">
        <f t="array" ref="R946">_xlfn.IFS(AND($A946="thg-beauty",ISNUMBER(SEARCH("liveramp",$C946))),"thg-beauty Liveramp dataset — confirmed safe to delete",$A946="agile-bonbon-662",_xlfn.IFS(LEFT($G946,9)="Tranche 1","Tranche 1: cleared",$C946="Sessions_Level_1_All_Sites","Downstream aggregation of UA raw logs — keep if raw tables go",ISNUMBER(--$C946),"UA raw site logs (account ID) — keep pending audit-retention check",$C946="Emag_Reporting","Legacy but likely needed",$C946="Nutrition_Data_Archived_Tables","Worth keeping",$C946="EU_Data","Static lookup tables — scripts still reference (smoke-test risk)",TRUE,"Review"),OR($A946="thg-influencer",$A946="thg-ingenuity",$A946="thg-central-marketing",$A946="thg-seoclarity"),"HOLD — Charlie Stringer to review before deletion",TRUE,"")</f>
        <v>UA raw site logs (account ID) — keep pending audit-retention check</v>
      </c>
      <c r="S946" t="s">
        <v>1624</v>
      </c>
    </row>
    <row r="947" spans="1:19" ht="45.75" hidden="1">
      <c r="A947" t="s">
        <v>89</v>
      </c>
      <c r="B947" t="s">
        <v>1619</v>
      </c>
      <c r="C947" t="s">
        <v>545</v>
      </c>
      <c r="D947" s="2" t="s">
        <v>1621</v>
      </c>
      <c r="E947">
        <v>277.64</v>
      </c>
      <c r="F947">
        <v>5.55</v>
      </c>
      <c r="G947" t="s">
        <v>63</v>
      </c>
      <c r="H947" t="s">
        <v>3328</v>
      </c>
      <c r="I947">
        <v>35</v>
      </c>
      <c r="J947">
        <v>723</v>
      </c>
      <c r="K947" s="5">
        <v>46161.585355902767</v>
      </c>
      <c r="M947" s="2" t="s">
        <v>3438</v>
      </c>
      <c r="N947" s="2" t="s">
        <v>1701</v>
      </c>
      <c r="O947" s="5">
        <v>45474.273525798613</v>
      </c>
      <c r="P947" t="str">
        <f>IF($Q947="DELETE",IF($S947="CONFIRMED: NO MODS &gt; 1YR","CONFIRMED: NO MODS &gt; 1YR","DO NOT DELETE — not defensibly confirmed"),IF($Q947="HOLD","DO NOT DELETE — HOLD (Charlie review)",IF($Q947="KEEP","DO NOT DELETE — KEEP",IF(ISNUMBER(SEARCH("REVIEW",$Q947)),"DO NOT DELETE — REVIEW pending",$S947))))</f>
        <v>DO NOT DELETE — REVIEW pending</v>
      </c>
      <c r="Q947" t="str" cm="1">
        <f t="array" ref="Q947">_xlfn.IFS(AND($A947="thg-beauty",ISNUMBER(SEARCH("liveramp",$C947))),"DELETE",$A947="agile-bonbon-662",_xlfn.IFS(LEFT($G947,9)="Tranche 1","DELETE",$C947="Sessions_Level_1_All_Sites","KEEP",ISNUMBER(--$C947),"REVIEW — UA raw logs",$C947="Emag_Reporting","KEEP",$C947="Nutrition_Data_Archived_Tables","KEEP",$C947="EU_Data","KEEP",TRUE,"REVIEW"),OR($A947="thg-influencer",$A947="thg-ingenuity",$A947="thg-central-marketing",$A947="thg-seoclarity"),"HOLD",TRUE,"")</f>
        <v>REVIEW — UA raw logs</v>
      </c>
      <c r="R947" t="str" cm="1">
        <f t="array" ref="R947">_xlfn.IFS(AND($A947="thg-beauty",ISNUMBER(SEARCH("liveramp",$C947))),"thg-beauty Liveramp dataset — confirmed safe to delete",$A947="agile-bonbon-662",_xlfn.IFS(LEFT($G947,9)="Tranche 1","Tranche 1: cleared",$C947="Sessions_Level_1_All_Sites","Downstream aggregation of UA raw logs — keep if raw tables go",ISNUMBER(--$C947),"UA raw site logs (account ID) — keep pending audit-retention check",$C947="Emag_Reporting","Legacy but likely needed",$C947="Nutrition_Data_Archived_Tables","Worth keeping",$C947="EU_Data","Static lookup tables — scripts still reference (smoke-test risk)",TRUE,"Review"),OR($A947="thg-influencer",$A947="thg-ingenuity",$A947="thg-central-marketing",$A947="thg-seoclarity"),"HOLD — Charlie Stringer to review before deletion",TRUE,"")</f>
        <v>UA raw site logs (account ID) — keep pending audit-retention check</v>
      </c>
      <c r="S947" t="s">
        <v>1624</v>
      </c>
    </row>
    <row r="948" spans="1:19" ht="45.75" hidden="1">
      <c r="A948" t="s">
        <v>89</v>
      </c>
      <c r="B948" t="s">
        <v>1619</v>
      </c>
      <c r="C948" t="s">
        <v>549</v>
      </c>
      <c r="D948" s="2" t="s">
        <v>1621</v>
      </c>
      <c r="E948">
        <v>277.22000000000003</v>
      </c>
      <c r="F948">
        <v>5.54</v>
      </c>
      <c r="G948" t="s">
        <v>63</v>
      </c>
      <c r="H948" t="s">
        <v>3328</v>
      </c>
      <c r="I948">
        <v>35</v>
      </c>
      <c r="J948">
        <v>723</v>
      </c>
      <c r="K948" s="5">
        <v>46161.589695543982</v>
      </c>
      <c r="M948" s="2" t="s">
        <v>3402</v>
      </c>
      <c r="N948" s="2" t="s">
        <v>1701</v>
      </c>
      <c r="O948" s="5">
        <v>45474.275376562502</v>
      </c>
      <c r="P948" t="str">
        <f>IF($Q948="DELETE",IF($S948="CONFIRMED: NO MODS &gt; 1YR","CONFIRMED: NO MODS &gt; 1YR","DO NOT DELETE — not defensibly confirmed"),IF($Q948="HOLD","DO NOT DELETE — HOLD (Charlie review)",IF($Q948="KEEP","DO NOT DELETE — KEEP",IF(ISNUMBER(SEARCH("REVIEW",$Q948)),"DO NOT DELETE — REVIEW pending",$S948))))</f>
        <v>DO NOT DELETE — REVIEW pending</v>
      </c>
      <c r="Q948" t="str" cm="1">
        <f t="array" ref="Q948">_xlfn.IFS(AND($A948="thg-beauty",ISNUMBER(SEARCH("liveramp",$C948))),"DELETE",$A948="agile-bonbon-662",_xlfn.IFS(LEFT($G948,9)="Tranche 1","DELETE",$C948="Sessions_Level_1_All_Sites","KEEP",ISNUMBER(--$C948),"REVIEW — UA raw logs",$C948="Emag_Reporting","KEEP",$C948="Nutrition_Data_Archived_Tables","KEEP",$C948="EU_Data","KEEP",TRUE,"REVIEW"),OR($A948="thg-influencer",$A948="thg-ingenuity",$A948="thg-central-marketing",$A948="thg-seoclarity"),"HOLD",TRUE,"")</f>
        <v>REVIEW — UA raw logs</v>
      </c>
      <c r="R948" t="str" cm="1">
        <f t="array" ref="R948">_xlfn.IFS(AND($A948="thg-beauty",ISNUMBER(SEARCH("liveramp",$C948))),"thg-beauty Liveramp dataset — confirmed safe to delete",$A948="agile-bonbon-662",_xlfn.IFS(LEFT($G948,9)="Tranche 1","Tranche 1: cleared",$C948="Sessions_Level_1_All_Sites","Downstream aggregation of UA raw logs — keep if raw tables go",ISNUMBER(--$C948),"UA raw site logs (account ID) — keep pending audit-retention check",$C948="Emag_Reporting","Legacy but likely needed",$C948="Nutrition_Data_Archived_Tables","Worth keeping",$C948="EU_Data","Static lookup tables — scripts still reference (smoke-test risk)",TRUE,"Review"),OR($A948="thg-influencer",$A948="thg-ingenuity",$A948="thg-central-marketing",$A948="thg-seoclarity"),"HOLD — Charlie Stringer to review before deletion",TRUE,"")</f>
        <v>UA raw site logs (account ID) — keep pending audit-retention check</v>
      </c>
      <c r="S948" t="s">
        <v>1624</v>
      </c>
    </row>
    <row r="949" spans="1:19" ht="45.75" hidden="1">
      <c r="A949" t="s">
        <v>89</v>
      </c>
      <c r="B949" t="s">
        <v>1619</v>
      </c>
      <c r="C949" t="s">
        <v>553</v>
      </c>
      <c r="D949" s="2" t="s">
        <v>1621</v>
      </c>
      <c r="E949">
        <v>274.77999999999997</v>
      </c>
      <c r="F949">
        <v>5.5</v>
      </c>
      <c r="G949" t="s">
        <v>63</v>
      </c>
      <c r="H949" t="s">
        <v>3328</v>
      </c>
      <c r="I949">
        <v>35</v>
      </c>
      <c r="J949">
        <v>432</v>
      </c>
      <c r="K949" s="5">
        <v>46161.617304050917</v>
      </c>
      <c r="M949" s="2" t="s">
        <v>1947</v>
      </c>
      <c r="N949" s="2" t="s">
        <v>1701</v>
      </c>
      <c r="O949" s="5">
        <v>45764.557231736107</v>
      </c>
      <c r="P949" t="str">
        <f>IF($Q949="DELETE",IF($S949="CONFIRMED: NO MODS &gt; 1YR","CONFIRMED: NO MODS &gt; 1YR","DO NOT DELETE — not defensibly confirmed"),IF($Q949="HOLD","DO NOT DELETE — HOLD (Charlie review)",IF($Q949="KEEP","DO NOT DELETE — KEEP",IF(ISNUMBER(SEARCH("REVIEW",$Q949)),"DO NOT DELETE — REVIEW pending",$S949))))</f>
        <v>DO NOT DELETE — REVIEW pending</v>
      </c>
      <c r="Q949" t="str" cm="1">
        <f t="array" ref="Q949">_xlfn.IFS(AND($A949="thg-beauty",ISNUMBER(SEARCH("liveramp",$C949))),"DELETE",$A949="agile-bonbon-662",_xlfn.IFS(LEFT($G949,9)="Tranche 1","DELETE",$C949="Sessions_Level_1_All_Sites","KEEP",ISNUMBER(--$C949),"REVIEW — UA raw logs",$C949="Emag_Reporting","KEEP",$C949="Nutrition_Data_Archived_Tables","KEEP",$C949="EU_Data","KEEP",TRUE,"REVIEW"),OR($A949="thg-influencer",$A949="thg-ingenuity",$A949="thg-central-marketing",$A949="thg-seoclarity"),"HOLD",TRUE,"")</f>
        <v>REVIEW</v>
      </c>
      <c r="R949" t="str" cm="1">
        <f t="array" ref="R949">_xlfn.IFS(AND($A949="thg-beauty",ISNUMBER(SEARCH("liveramp",$C949))),"thg-beauty Liveramp dataset — confirmed safe to delete",$A949="agile-bonbon-662",_xlfn.IFS(LEFT($G949,9)="Tranche 1","Tranche 1: cleared",$C949="Sessions_Level_1_All_Sites","Downstream aggregation of UA raw logs — keep if raw tables go",ISNUMBER(--$C949),"UA raw site logs (account ID) — keep pending audit-retention check",$C949="Emag_Reporting","Legacy but likely needed",$C949="Nutrition_Data_Archived_Tables","Worth keeping",$C949="EU_Data","Static lookup tables — scripts still reference (smoke-test risk)",TRUE,"Review"),OR($A949="thg-influencer",$A949="thg-ingenuity",$A949="thg-central-marketing",$A949="thg-seoclarity"),"HOLD — Charlie Stringer to review before deletion",TRUE,"")</f>
        <v>Review</v>
      </c>
      <c r="S949" t="s">
        <v>1624</v>
      </c>
    </row>
    <row r="950" spans="1:19" ht="45.75" hidden="1">
      <c r="A950" t="s">
        <v>89</v>
      </c>
      <c r="B950" t="s">
        <v>1619</v>
      </c>
      <c r="C950" t="s">
        <v>558</v>
      </c>
      <c r="D950" s="2" t="s">
        <v>1621</v>
      </c>
      <c r="E950">
        <v>272.60000000000002</v>
      </c>
      <c r="F950">
        <v>5.45</v>
      </c>
      <c r="G950" t="s">
        <v>63</v>
      </c>
      <c r="H950" t="s">
        <v>3328</v>
      </c>
      <c r="I950">
        <v>35</v>
      </c>
      <c r="J950">
        <v>723</v>
      </c>
      <c r="K950" s="5">
        <v>46161.588172175929</v>
      </c>
      <c r="M950" s="2" t="s">
        <v>3413</v>
      </c>
      <c r="N950" s="2" t="s">
        <v>1701</v>
      </c>
      <c r="O950" s="5">
        <v>45474.274083206023</v>
      </c>
      <c r="P950" t="str">
        <f>IF($Q950="DELETE",IF($S950="CONFIRMED: NO MODS &gt; 1YR","CONFIRMED: NO MODS &gt; 1YR","DO NOT DELETE — not defensibly confirmed"),IF($Q950="HOLD","DO NOT DELETE — HOLD (Charlie review)",IF($Q950="KEEP","DO NOT DELETE — KEEP",IF(ISNUMBER(SEARCH("REVIEW",$Q950)),"DO NOT DELETE — REVIEW pending",$S950))))</f>
        <v>DO NOT DELETE — REVIEW pending</v>
      </c>
      <c r="Q950" t="str" cm="1">
        <f t="array" ref="Q950">_xlfn.IFS(AND($A950="thg-beauty",ISNUMBER(SEARCH("liveramp",$C950))),"DELETE",$A950="agile-bonbon-662",_xlfn.IFS(LEFT($G950,9)="Tranche 1","DELETE",$C950="Sessions_Level_1_All_Sites","KEEP",ISNUMBER(--$C950),"REVIEW — UA raw logs",$C950="Emag_Reporting","KEEP",$C950="Nutrition_Data_Archived_Tables","KEEP",$C950="EU_Data","KEEP",TRUE,"REVIEW"),OR($A950="thg-influencer",$A950="thg-ingenuity",$A950="thg-central-marketing",$A950="thg-seoclarity"),"HOLD",TRUE,"")</f>
        <v>REVIEW — UA raw logs</v>
      </c>
      <c r="R950" t="str" cm="1">
        <f t="array" ref="R950">_xlfn.IFS(AND($A950="thg-beauty",ISNUMBER(SEARCH("liveramp",$C950))),"thg-beauty Liveramp dataset — confirmed safe to delete",$A950="agile-bonbon-662",_xlfn.IFS(LEFT($G950,9)="Tranche 1","Tranche 1: cleared",$C950="Sessions_Level_1_All_Sites","Downstream aggregation of UA raw logs — keep if raw tables go",ISNUMBER(--$C950),"UA raw site logs (account ID) — keep pending audit-retention check",$C950="Emag_Reporting","Legacy but likely needed",$C950="Nutrition_Data_Archived_Tables","Worth keeping",$C950="EU_Data","Static lookup tables — scripts still reference (smoke-test risk)",TRUE,"Review"),OR($A950="thg-influencer",$A950="thg-ingenuity",$A950="thg-central-marketing",$A950="thg-seoclarity"),"HOLD — Charlie Stringer to review before deletion",TRUE,"")</f>
        <v>UA raw site logs (account ID) — keep pending audit-retention check</v>
      </c>
      <c r="S950" t="s">
        <v>1624</v>
      </c>
    </row>
    <row r="951" spans="1:19" ht="45.75" hidden="1">
      <c r="A951" t="s">
        <v>89</v>
      </c>
      <c r="B951" t="s">
        <v>1619</v>
      </c>
      <c r="C951" t="s">
        <v>562</v>
      </c>
      <c r="D951" s="2" t="s">
        <v>1621</v>
      </c>
      <c r="E951">
        <v>267.60000000000002</v>
      </c>
      <c r="F951">
        <v>5.35</v>
      </c>
      <c r="G951" t="s">
        <v>63</v>
      </c>
      <c r="H951" t="s">
        <v>3328</v>
      </c>
      <c r="I951">
        <v>35</v>
      </c>
      <c r="J951">
        <v>723</v>
      </c>
      <c r="K951" s="5">
        <v>46161.586160127314</v>
      </c>
      <c r="M951" s="2" t="s">
        <v>3439</v>
      </c>
      <c r="N951" s="2" t="s">
        <v>1701</v>
      </c>
      <c r="O951" s="5">
        <v>45474.273705254629</v>
      </c>
      <c r="P951" t="str">
        <f>IF($Q951="DELETE",IF($S951="CONFIRMED: NO MODS &gt; 1YR","CONFIRMED: NO MODS &gt; 1YR","DO NOT DELETE — not defensibly confirmed"),IF($Q951="HOLD","DO NOT DELETE — HOLD (Charlie review)",IF($Q951="KEEP","DO NOT DELETE — KEEP",IF(ISNUMBER(SEARCH("REVIEW",$Q951)),"DO NOT DELETE — REVIEW pending",$S951))))</f>
        <v>DO NOT DELETE — REVIEW pending</v>
      </c>
      <c r="Q951" t="str" cm="1">
        <f t="array" ref="Q951">_xlfn.IFS(AND($A951="thg-beauty",ISNUMBER(SEARCH("liveramp",$C951))),"DELETE",$A951="agile-bonbon-662",_xlfn.IFS(LEFT($G951,9)="Tranche 1","DELETE",$C951="Sessions_Level_1_All_Sites","KEEP",ISNUMBER(--$C951),"REVIEW — UA raw logs",$C951="Emag_Reporting","KEEP",$C951="Nutrition_Data_Archived_Tables","KEEP",$C951="EU_Data","KEEP",TRUE,"REVIEW"),OR($A951="thg-influencer",$A951="thg-ingenuity",$A951="thg-central-marketing",$A951="thg-seoclarity"),"HOLD",TRUE,"")</f>
        <v>REVIEW — UA raw logs</v>
      </c>
      <c r="R951" t="str" cm="1">
        <f t="array" ref="R951">_xlfn.IFS(AND($A951="thg-beauty",ISNUMBER(SEARCH("liveramp",$C951))),"thg-beauty Liveramp dataset — confirmed safe to delete",$A951="agile-bonbon-662",_xlfn.IFS(LEFT($G951,9)="Tranche 1","Tranche 1: cleared",$C951="Sessions_Level_1_All_Sites","Downstream aggregation of UA raw logs — keep if raw tables go",ISNUMBER(--$C951),"UA raw site logs (account ID) — keep pending audit-retention check",$C951="Emag_Reporting","Legacy but likely needed",$C951="Nutrition_Data_Archived_Tables","Worth keeping",$C951="EU_Data","Static lookup tables — scripts still reference (smoke-test risk)",TRUE,"Review"),OR($A951="thg-influencer",$A951="thg-ingenuity",$A951="thg-central-marketing",$A951="thg-seoclarity"),"HOLD — Charlie Stringer to review before deletion",TRUE,"")</f>
        <v>UA raw site logs (account ID) — keep pending audit-retention check</v>
      </c>
      <c r="S951" t="s">
        <v>1624</v>
      </c>
    </row>
    <row r="952" spans="1:19" ht="45.75" hidden="1">
      <c r="A952" t="s">
        <v>89</v>
      </c>
      <c r="B952" t="s">
        <v>1619</v>
      </c>
      <c r="C952" t="s">
        <v>566</v>
      </c>
      <c r="D952" s="2" t="s">
        <v>1621</v>
      </c>
      <c r="E952">
        <v>263.5</v>
      </c>
      <c r="F952">
        <v>5.27</v>
      </c>
      <c r="G952" t="s">
        <v>63</v>
      </c>
      <c r="H952" t="s">
        <v>3328</v>
      </c>
      <c r="I952">
        <v>35</v>
      </c>
      <c r="J952">
        <v>723</v>
      </c>
      <c r="K952" s="5">
        <v>46161.587892175929</v>
      </c>
      <c r="M952" s="2" t="s">
        <v>3413</v>
      </c>
      <c r="N952" s="2" t="s">
        <v>1701</v>
      </c>
      <c r="O952" s="5">
        <v>45474.274016365744</v>
      </c>
      <c r="P952" t="str">
        <f>IF($Q952="DELETE",IF($S952="CONFIRMED: NO MODS &gt; 1YR","CONFIRMED: NO MODS &gt; 1YR","DO NOT DELETE — not defensibly confirmed"),IF($Q952="HOLD","DO NOT DELETE — HOLD (Charlie review)",IF($Q952="KEEP","DO NOT DELETE — KEEP",IF(ISNUMBER(SEARCH("REVIEW",$Q952)),"DO NOT DELETE — REVIEW pending",$S952))))</f>
        <v>DO NOT DELETE — REVIEW pending</v>
      </c>
      <c r="Q952" t="str" cm="1">
        <f t="array" ref="Q952">_xlfn.IFS(AND($A952="thg-beauty",ISNUMBER(SEARCH("liveramp",$C952))),"DELETE",$A952="agile-bonbon-662",_xlfn.IFS(LEFT($G952,9)="Tranche 1","DELETE",$C952="Sessions_Level_1_All_Sites","KEEP",ISNUMBER(--$C952),"REVIEW — UA raw logs",$C952="Emag_Reporting","KEEP",$C952="Nutrition_Data_Archived_Tables","KEEP",$C952="EU_Data","KEEP",TRUE,"REVIEW"),OR($A952="thg-influencer",$A952="thg-ingenuity",$A952="thg-central-marketing",$A952="thg-seoclarity"),"HOLD",TRUE,"")</f>
        <v>REVIEW — UA raw logs</v>
      </c>
      <c r="R952" t="str" cm="1">
        <f t="array" ref="R952">_xlfn.IFS(AND($A952="thg-beauty",ISNUMBER(SEARCH("liveramp",$C952))),"thg-beauty Liveramp dataset — confirmed safe to delete",$A952="agile-bonbon-662",_xlfn.IFS(LEFT($G952,9)="Tranche 1","Tranche 1: cleared",$C952="Sessions_Level_1_All_Sites","Downstream aggregation of UA raw logs — keep if raw tables go",ISNUMBER(--$C952),"UA raw site logs (account ID) — keep pending audit-retention check",$C952="Emag_Reporting","Legacy but likely needed",$C952="Nutrition_Data_Archived_Tables","Worth keeping",$C952="EU_Data","Static lookup tables — scripts still reference (smoke-test risk)",TRUE,"Review"),OR($A952="thg-influencer",$A952="thg-ingenuity",$A952="thg-central-marketing",$A952="thg-seoclarity"),"HOLD — Charlie Stringer to review before deletion",TRUE,"")</f>
        <v>UA raw site logs (account ID) — keep pending audit-retention check</v>
      </c>
      <c r="S952" t="s">
        <v>1624</v>
      </c>
    </row>
    <row r="953" spans="1:19" ht="45.75" hidden="1">
      <c r="A953" t="s">
        <v>89</v>
      </c>
      <c r="B953" t="s">
        <v>1619</v>
      </c>
      <c r="C953" t="s">
        <v>570</v>
      </c>
      <c r="D953" s="2" t="s">
        <v>1621</v>
      </c>
      <c r="E953">
        <v>248.87</v>
      </c>
      <c r="F953">
        <v>4.9800000000000004</v>
      </c>
      <c r="G953" t="s">
        <v>63</v>
      </c>
      <c r="H953" t="s">
        <v>3328</v>
      </c>
      <c r="I953">
        <v>35</v>
      </c>
      <c r="J953">
        <v>723</v>
      </c>
      <c r="K953" s="5">
        <v>46161.587141354168</v>
      </c>
      <c r="M953" s="2" t="s">
        <v>3440</v>
      </c>
      <c r="N953" s="2" t="s">
        <v>1701</v>
      </c>
      <c r="O953" s="5">
        <v>45474.273973692128</v>
      </c>
      <c r="P953" t="str">
        <f>IF($Q953="DELETE",IF($S953="CONFIRMED: NO MODS &gt; 1YR","CONFIRMED: NO MODS &gt; 1YR","DO NOT DELETE — not defensibly confirmed"),IF($Q953="HOLD","DO NOT DELETE — HOLD (Charlie review)",IF($Q953="KEEP","DO NOT DELETE — KEEP",IF(ISNUMBER(SEARCH("REVIEW",$Q953)),"DO NOT DELETE — REVIEW pending",$S953))))</f>
        <v>DO NOT DELETE — REVIEW pending</v>
      </c>
      <c r="Q953" t="str" cm="1">
        <f t="array" ref="Q953">_xlfn.IFS(AND($A953="thg-beauty",ISNUMBER(SEARCH("liveramp",$C953))),"DELETE",$A953="agile-bonbon-662",_xlfn.IFS(LEFT($G953,9)="Tranche 1","DELETE",$C953="Sessions_Level_1_All_Sites","KEEP",ISNUMBER(--$C953),"REVIEW — UA raw logs",$C953="Emag_Reporting","KEEP",$C953="Nutrition_Data_Archived_Tables","KEEP",$C953="EU_Data","KEEP",TRUE,"REVIEW"),OR($A953="thg-influencer",$A953="thg-ingenuity",$A953="thg-central-marketing",$A953="thg-seoclarity"),"HOLD",TRUE,"")</f>
        <v>REVIEW — UA raw logs</v>
      </c>
      <c r="R953" t="str" cm="1">
        <f t="array" ref="R953">_xlfn.IFS(AND($A953="thg-beauty",ISNUMBER(SEARCH("liveramp",$C953))),"thg-beauty Liveramp dataset — confirmed safe to delete",$A953="agile-bonbon-662",_xlfn.IFS(LEFT($G953,9)="Tranche 1","Tranche 1: cleared",$C953="Sessions_Level_1_All_Sites","Downstream aggregation of UA raw logs — keep if raw tables go",ISNUMBER(--$C953),"UA raw site logs (account ID) — keep pending audit-retention check",$C953="Emag_Reporting","Legacy but likely needed",$C953="Nutrition_Data_Archived_Tables","Worth keeping",$C953="EU_Data","Static lookup tables — scripts still reference (smoke-test risk)",TRUE,"Review"),OR($A953="thg-influencer",$A953="thg-ingenuity",$A953="thg-central-marketing",$A953="thg-seoclarity"),"HOLD — Charlie Stringer to review before deletion",TRUE,"")</f>
        <v>UA raw site logs (account ID) — keep pending audit-retention check</v>
      </c>
      <c r="S953" t="s">
        <v>1624</v>
      </c>
    </row>
    <row r="954" spans="1:19" ht="45.75" hidden="1">
      <c r="A954" t="s">
        <v>89</v>
      </c>
      <c r="B954" t="s">
        <v>1619</v>
      </c>
      <c r="C954" t="s">
        <v>574</v>
      </c>
      <c r="D954" s="2" t="s">
        <v>1621</v>
      </c>
      <c r="E954">
        <v>247.36</v>
      </c>
      <c r="F954">
        <v>4.95</v>
      </c>
      <c r="G954" t="s">
        <v>63</v>
      </c>
      <c r="H954" t="s">
        <v>3328</v>
      </c>
      <c r="I954">
        <v>35</v>
      </c>
      <c r="J954">
        <v>723</v>
      </c>
      <c r="K954" s="5">
        <v>46161.582583171286</v>
      </c>
      <c r="M954" s="2" t="s">
        <v>3441</v>
      </c>
      <c r="N954" s="2" t="s">
        <v>1701</v>
      </c>
      <c r="O954" s="5">
        <v>45474.257878402779</v>
      </c>
      <c r="P954" t="str">
        <f>IF($Q954="DELETE",IF($S954="CONFIRMED: NO MODS &gt; 1YR","CONFIRMED: NO MODS &gt; 1YR","DO NOT DELETE — not defensibly confirmed"),IF($Q954="HOLD","DO NOT DELETE — HOLD (Charlie review)",IF($Q954="KEEP","DO NOT DELETE — KEEP",IF(ISNUMBER(SEARCH("REVIEW",$Q954)),"DO NOT DELETE — REVIEW pending",$S954))))</f>
        <v>DO NOT DELETE — REVIEW pending</v>
      </c>
      <c r="Q954" t="str" cm="1">
        <f t="array" ref="Q954">_xlfn.IFS(AND($A954="thg-beauty",ISNUMBER(SEARCH("liveramp",$C954))),"DELETE",$A954="agile-bonbon-662",_xlfn.IFS(LEFT($G954,9)="Tranche 1","DELETE",$C954="Sessions_Level_1_All_Sites","KEEP",ISNUMBER(--$C954),"REVIEW — UA raw logs",$C954="Emag_Reporting","KEEP",$C954="Nutrition_Data_Archived_Tables","KEEP",$C954="EU_Data","KEEP",TRUE,"REVIEW"),OR($A954="thg-influencer",$A954="thg-ingenuity",$A954="thg-central-marketing",$A954="thg-seoclarity"),"HOLD",TRUE,"")</f>
        <v>REVIEW — UA raw logs</v>
      </c>
      <c r="R954" t="str" cm="1">
        <f t="array" ref="R954">_xlfn.IFS(AND($A954="thg-beauty",ISNUMBER(SEARCH("liveramp",$C954))),"thg-beauty Liveramp dataset — confirmed safe to delete",$A954="agile-bonbon-662",_xlfn.IFS(LEFT($G954,9)="Tranche 1","Tranche 1: cleared",$C954="Sessions_Level_1_All_Sites","Downstream aggregation of UA raw logs — keep if raw tables go",ISNUMBER(--$C954),"UA raw site logs (account ID) — keep pending audit-retention check",$C954="Emag_Reporting","Legacy but likely needed",$C954="Nutrition_Data_Archived_Tables","Worth keeping",$C954="EU_Data","Static lookup tables — scripts still reference (smoke-test risk)",TRUE,"Review"),OR($A954="thg-influencer",$A954="thg-ingenuity",$A954="thg-central-marketing",$A954="thg-seoclarity"),"HOLD — Charlie Stringer to review before deletion",TRUE,"")</f>
        <v>UA raw site logs (account ID) — keep pending audit-retention check</v>
      </c>
      <c r="S954" t="s">
        <v>1624</v>
      </c>
    </row>
    <row r="955" spans="1:19" ht="45.75" hidden="1">
      <c r="A955" t="s">
        <v>89</v>
      </c>
      <c r="B955" t="s">
        <v>1619</v>
      </c>
      <c r="C955" t="s">
        <v>578</v>
      </c>
      <c r="D955" s="2" t="s">
        <v>1621</v>
      </c>
      <c r="E955">
        <v>242.54</v>
      </c>
      <c r="F955">
        <v>4.8499999999999996</v>
      </c>
      <c r="G955" t="s">
        <v>63</v>
      </c>
      <c r="H955" t="s">
        <v>3328</v>
      </c>
      <c r="I955">
        <v>35</v>
      </c>
      <c r="J955">
        <v>723</v>
      </c>
      <c r="K955" s="5">
        <v>46161.596750509263</v>
      </c>
      <c r="M955" s="2" t="s">
        <v>3411</v>
      </c>
      <c r="N955" s="2" t="s">
        <v>1701</v>
      </c>
      <c r="O955" s="5">
        <v>45474.260789085653</v>
      </c>
      <c r="P955" t="str">
        <f>IF($Q955="DELETE",IF($S955="CONFIRMED: NO MODS &gt; 1YR","CONFIRMED: NO MODS &gt; 1YR","DO NOT DELETE — not defensibly confirmed"),IF($Q955="HOLD","DO NOT DELETE — HOLD (Charlie review)",IF($Q955="KEEP","DO NOT DELETE — KEEP",IF(ISNUMBER(SEARCH("REVIEW",$Q955)),"DO NOT DELETE — REVIEW pending",$S955))))</f>
        <v>DO NOT DELETE — REVIEW pending</v>
      </c>
      <c r="Q955" t="str" cm="1">
        <f t="array" ref="Q955">_xlfn.IFS(AND($A955="thg-beauty",ISNUMBER(SEARCH("liveramp",$C955))),"DELETE",$A955="agile-bonbon-662",_xlfn.IFS(LEFT($G955,9)="Tranche 1","DELETE",$C955="Sessions_Level_1_All_Sites","KEEP",ISNUMBER(--$C955),"REVIEW — UA raw logs",$C955="Emag_Reporting","KEEP",$C955="Nutrition_Data_Archived_Tables","KEEP",$C955="EU_Data","KEEP",TRUE,"REVIEW"),OR($A955="thg-influencer",$A955="thg-ingenuity",$A955="thg-central-marketing",$A955="thg-seoclarity"),"HOLD",TRUE,"")</f>
        <v>REVIEW — UA raw logs</v>
      </c>
      <c r="R955" t="str" cm="1">
        <f t="array" ref="R955">_xlfn.IFS(AND($A955="thg-beauty",ISNUMBER(SEARCH("liveramp",$C955))),"thg-beauty Liveramp dataset — confirmed safe to delete",$A955="agile-bonbon-662",_xlfn.IFS(LEFT($G955,9)="Tranche 1","Tranche 1: cleared",$C955="Sessions_Level_1_All_Sites","Downstream aggregation of UA raw logs — keep if raw tables go",ISNUMBER(--$C955),"UA raw site logs (account ID) — keep pending audit-retention check",$C955="Emag_Reporting","Legacy but likely needed",$C955="Nutrition_Data_Archived_Tables","Worth keeping",$C955="EU_Data","Static lookup tables — scripts still reference (smoke-test risk)",TRUE,"Review"),OR($A955="thg-influencer",$A955="thg-ingenuity",$A955="thg-central-marketing",$A955="thg-seoclarity"),"HOLD — Charlie Stringer to review before deletion",TRUE,"")</f>
        <v>UA raw site logs (account ID) — keep pending audit-retention check</v>
      </c>
      <c r="S955" t="s">
        <v>1624</v>
      </c>
    </row>
    <row r="956" spans="1:19" ht="45.75" hidden="1">
      <c r="A956" t="s">
        <v>89</v>
      </c>
      <c r="B956" t="s">
        <v>1619</v>
      </c>
      <c r="C956" t="s">
        <v>582</v>
      </c>
      <c r="D956" s="2" t="s">
        <v>1621</v>
      </c>
      <c r="E956">
        <v>240.97</v>
      </c>
      <c r="F956">
        <v>4.82</v>
      </c>
      <c r="G956" t="s">
        <v>63</v>
      </c>
      <c r="H956" t="s">
        <v>3328</v>
      </c>
      <c r="I956">
        <v>35</v>
      </c>
      <c r="J956">
        <v>723</v>
      </c>
      <c r="K956" s="5">
        <v>46161.583473576393</v>
      </c>
      <c r="M956" s="2" t="s">
        <v>3442</v>
      </c>
      <c r="N956" s="2" t="s">
        <v>1701</v>
      </c>
      <c r="O956" s="5">
        <v>45474.273361111111</v>
      </c>
      <c r="P956" t="str">
        <f>IF($Q956="DELETE",IF($S956="CONFIRMED: NO MODS &gt; 1YR","CONFIRMED: NO MODS &gt; 1YR","DO NOT DELETE — not defensibly confirmed"),IF($Q956="HOLD","DO NOT DELETE — HOLD (Charlie review)",IF($Q956="KEEP","DO NOT DELETE — KEEP",IF(ISNUMBER(SEARCH("REVIEW",$Q956)),"DO NOT DELETE — REVIEW pending",$S956))))</f>
        <v>DO NOT DELETE — REVIEW pending</v>
      </c>
      <c r="Q956" t="str" cm="1">
        <f t="array" ref="Q956">_xlfn.IFS(AND($A956="thg-beauty",ISNUMBER(SEARCH("liveramp",$C956))),"DELETE",$A956="agile-bonbon-662",_xlfn.IFS(LEFT($G956,9)="Tranche 1","DELETE",$C956="Sessions_Level_1_All_Sites","KEEP",ISNUMBER(--$C956),"REVIEW — UA raw logs",$C956="Emag_Reporting","KEEP",$C956="Nutrition_Data_Archived_Tables","KEEP",$C956="EU_Data","KEEP",TRUE,"REVIEW"),OR($A956="thg-influencer",$A956="thg-ingenuity",$A956="thg-central-marketing",$A956="thg-seoclarity"),"HOLD",TRUE,"")</f>
        <v>REVIEW — UA raw logs</v>
      </c>
      <c r="R956" t="str" cm="1">
        <f t="array" ref="R956">_xlfn.IFS(AND($A956="thg-beauty",ISNUMBER(SEARCH("liveramp",$C956))),"thg-beauty Liveramp dataset — confirmed safe to delete",$A956="agile-bonbon-662",_xlfn.IFS(LEFT($G956,9)="Tranche 1","Tranche 1: cleared",$C956="Sessions_Level_1_All_Sites","Downstream aggregation of UA raw logs — keep if raw tables go",ISNUMBER(--$C956),"UA raw site logs (account ID) — keep pending audit-retention check",$C956="Emag_Reporting","Legacy but likely needed",$C956="Nutrition_Data_Archived_Tables","Worth keeping",$C956="EU_Data","Static lookup tables — scripts still reference (smoke-test risk)",TRUE,"Review"),OR($A956="thg-influencer",$A956="thg-ingenuity",$A956="thg-central-marketing",$A956="thg-seoclarity"),"HOLD — Charlie Stringer to review before deletion",TRUE,"")</f>
        <v>UA raw site logs (account ID) — keep pending audit-retention check</v>
      </c>
      <c r="S956" t="s">
        <v>1624</v>
      </c>
    </row>
    <row r="957" spans="1:19" ht="45.75" hidden="1">
      <c r="A957" t="s">
        <v>89</v>
      </c>
      <c r="B957" t="s">
        <v>1619</v>
      </c>
      <c r="C957" t="s">
        <v>586</v>
      </c>
      <c r="D957" s="2" t="s">
        <v>1621</v>
      </c>
      <c r="E957">
        <v>239.43</v>
      </c>
      <c r="F957">
        <v>4.79</v>
      </c>
      <c r="G957" t="s">
        <v>63</v>
      </c>
      <c r="H957" t="s">
        <v>3328</v>
      </c>
      <c r="I957">
        <v>35</v>
      </c>
      <c r="J957">
        <v>723</v>
      </c>
      <c r="K957" s="5">
        <v>46161.597377245373</v>
      </c>
      <c r="M957" s="2" t="s">
        <v>3416</v>
      </c>
      <c r="N957" s="2" t="s">
        <v>1701</v>
      </c>
      <c r="O957" s="5">
        <v>45474.22416795139</v>
      </c>
      <c r="P957" t="str">
        <f>IF($Q957="DELETE",IF($S957="CONFIRMED: NO MODS &gt; 1YR","CONFIRMED: NO MODS &gt; 1YR","DO NOT DELETE — not defensibly confirmed"),IF($Q957="HOLD","DO NOT DELETE — HOLD (Charlie review)",IF($Q957="KEEP","DO NOT DELETE — KEEP",IF(ISNUMBER(SEARCH("REVIEW",$Q957)),"DO NOT DELETE — REVIEW pending",$S957))))</f>
        <v>DO NOT DELETE — REVIEW pending</v>
      </c>
      <c r="Q957" t="str" cm="1">
        <f t="array" ref="Q957">_xlfn.IFS(AND($A957="thg-beauty",ISNUMBER(SEARCH("liveramp",$C957))),"DELETE",$A957="agile-bonbon-662",_xlfn.IFS(LEFT($G957,9)="Tranche 1","DELETE",$C957="Sessions_Level_1_All_Sites","KEEP",ISNUMBER(--$C957),"REVIEW — UA raw logs",$C957="Emag_Reporting","KEEP",$C957="Nutrition_Data_Archived_Tables","KEEP",$C957="EU_Data","KEEP",TRUE,"REVIEW"),OR($A957="thg-influencer",$A957="thg-ingenuity",$A957="thg-central-marketing",$A957="thg-seoclarity"),"HOLD",TRUE,"")</f>
        <v>REVIEW — UA raw logs</v>
      </c>
      <c r="R957" t="str" cm="1">
        <f t="array" ref="R957">_xlfn.IFS(AND($A957="thg-beauty",ISNUMBER(SEARCH("liveramp",$C957))),"thg-beauty Liveramp dataset — confirmed safe to delete",$A957="agile-bonbon-662",_xlfn.IFS(LEFT($G957,9)="Tranche 1","Tranche 1: cleared",$C957="Sessions_Level_1_All_Sites","Downstream aggregation of UA raw logs — keep if raw tables go",ISNUMBER(--$C957),"UA raw site logs (account ID) — keep pending audit-retention check",$C957="Emag_Reporting","Legacy but likely needed",$C957="Nutrition_Data_Archived_Tables","Worth keeping",$C957="EU_Data","Static lookup tables — scripts still reference (smoke-test risk)",TRUE,"Review"),OR($A957="thg-influencer",$A957="thg-ingenuity",$A957="thg-central-marketing",$A957="thg-seoclarity"),"HOLD — Charlie Stringer to review before deletion",TRUE,"")</f>
        <v>UA raw site logs (account ID) — keep pending audit-retention check</v>
      </c>
      <c r="S957" t="s">
        <v>1624</v>
      </c>
    </row>
    <row r="958" spans="1:19" ht="45.75" hidden="1">
      <c r="A958" t="s">
        <v>89</v>
      </c>
      <c r="B958" t="s">
        <v>1619</v>
      </c>
      <c r="C958" t="s">
        <v>590</v>
      </c>
      <c r="D958" s="2" t="s">
        <v>1621</v>
      </c>
      <c r="E958">
        <v>233.69</v>
      </c>
      <c r="F958">
        <v>4.67</v>
      </c>
      <c r="G958" t="s">
        <v>63</v>
      </c>
      <c r="H958" t="s">
        <v>3328</v>
      </c>
      <c r="I958">
        <v>35</v>
      </c>
      <c r="J958">
        <v>723</v>
      </c>
      <c r="K958" s="5">
        <v>46161.601523645833</v>
      </c>
      <c r="M958" s="2" t="s">
        <v>3419</v>
      </c>
      <c r="N958" s="2" t="s">
        <v>1701</v>
      </c>
      <c r="O958" s="5">
        <v>45474.263693055553</v>
      </c>
      <c r="P958" t="str">
        <f>IF($Q958="DELETE",IF($S958="CONFIRMED: NO MODS &gt; 1YR","CONFIRMED: NO MODS &gt; 1YR","DO NOT DELETE — not defensibly confirmed"),IF($Q958="HOLD","DO NOT DELETE — HOLD (Charlie review)",IF($Q958="KEEP","DO NOT DELETE — KEEP",IF(ISNUMBER(SEARCH("REVIEW",$Q958)),"DO NOT DELETE — REVIEW pending",$S958))))</f>
        <v>DO NOT DELETE — REVIEW pending</v>
      </c>
      <c r="Q958" t="str" cm="1">
        <f t="array" ref="Q958">_xlfn.IFS(AND($A958="thg-beauty",ISNUMBER(SEARCH("liveramp",$C958))),"DELETE",$A958="agile-bonbon-662",_xlfn.IFS(LEFT($G958,9)="Tranche 1","DELETE",$C958="Sessions_Level_1_All_Sites","KEEP",ISNUMBER(--$C958),"REVIEW — UA raw logs",$C958="Emag_Reporting","KEEP",$C958="Nutrition_Data_Archived_Tables","KEEP",$C958="EU_Data","KEEP",TRUE,"REVIEW"),OR($A958="thg-influencer",$A958="thg-ingenuity",$A958="thg-central-marketing",$A958="thg-seoclarity"),"HOLD",TRUE,"")</f>
        <v>REVIEW — UA raw logs</v>
      </c>
      <c r="R958" t="str" cm="1">
        <f t="array" ref="R958">_xlfn.IFS(AND($A958="thg-beauty",ISNUMBER(SEARCH("liveramp",$C958))),"thg-beauty Liveramp dataset — confirmed safe to delete",$A958="agile-bonbon-662",_xlfn.IFS(LEFT($G958,9)="Tranche 1","Tranche 1: cleared",$C958="Sessions_Level_1_All_Sites","Downstream aggregation of UA raw logs — keep if raw tables go",ISNUMBER(--$C958),"UA raw site logs (account ID) — keep pending audit-retention check",$C958="Emag_Reporting","Legacy but likely needed",$C958="Nutrition_Data_Archived_Tables","Worth keeping",$C958="EU_Data","Static lookup tables — scripts still reference (smoke-test risk)",TRUE,"Review"),OR($A958="thg-influencer",$A958="thg-ingenuity",$A958="thg-central-marketing",$A958="thg-seoclarity"),"HOLD — Charlie Stringer to review before deletion",TRUE,"")</f>
        <v>UA raw site logs (account ID) — keep pending audit-retention check</v>
      </c>
      <c r="S958" t="s">
        <v>1624</v>
      </c>
    </row>
    <row r="959" spans="1:19" ht="45.75" hidden="1">
      <c r="A959" t="s">
        <v>89</v>
      </c>
      <c r="B959" t="s">
        <v>1619</v>
      </c>
      <c r="C959" t="s">
        <v>594</v>
      </c>
      <c r="D959" s="2" t="s">
        <v>1621</v>
      </c>
      <c r="E959">
        <v>232.11</v>
      </c>
      <c r="F959">
        <v>4.6399999999999997</v>
      </c>
      <c r="G959" t="s">
        <v>63</v>
      </c>
      <c r="H959" t="s">
        <v>3328</v>
      </c>
      <c r="I959">
        <v>35</v>
      </c>
      <c r="J959">
        <v>723</v>
      </c>
      <c r="K959" s="5">
        <v>46161.591334398137</v>
      </c>
      <c r="M959" s="2" t="s">
        <v>3418</v>
      </c>
      <c r="N959" s="2" t="s">
        <v>1701</v>
      </c>
      <c r="O959" s="5">
        <v>45474.277305150463</v>
      </c>
      <c r="P959" t="str">
        <f>IF($Q959="DELETE",IF($S959="CONFIRMED: NO MODS &gt; 1YR","CONFIRMED: NO MODS &gt; 1YR","DO NOT DELETE — not defensibly confirmed"),IF($Q959="HOLD","DO NOT DELETE — HOLD (Charlie review)",IF($Q959="KEEP","DO NOT DELETE — KEEP",IF(ISNUMBER(SEARCH("REVIEW",$Q959)),"DO NOT DELETE — REVIEW pending",$S959))))</f>
        <v>DO NOT DELETE — REVIEW pending</v>
      </c>
      <c r="Q959" t="str" cm="1">
        <f t="array" ref="Q959">_xlfn.IFS(AND($A959="thg-beauty",ISNUMBER(SEARCH("liveramp",$C959))),"DELETE",$A959="agile-bonbon-662",_xlfn.IFS(LEFT($G959,9)="Tranche 1","DELETE",$C959="Sessions_Level_1_All_Sites","KEEP",ISNUMBER(--$C959),"REVIEW — UA raw logs",$C959="Emag_Reporting","KEEP",$C959="Nutrition_Data_Archived_Tables","KEEP",$C959="EU_Data","KEEP",TRUE,"REVIEW"),OR($A959="thg-influencer",$A959="thg-ingenuity",$A959="thg-central-marketing",$A959="thg-seoclarity"),"HOLD",TRUE,"")</f>
        <v>REVIEW — UA raw logs</v>
      </c>
      <c r="R959" t="str" cm="1">
        <f t="array" ref="R959">_xlfn.IFS(AND($A959="thg-beauty",ISNUMBER(SEARCH("liveramp",$C959))),"thg-beauty Liveramp dataset — confirmed safe to delete",$A959="agile-bonbon-662",_xlfn.IFS(LEFT($G959,9)="Tranche 1","Tranche 1: cleared",$C959="Sessions_Level_1_All_Sites","Downstream aggregation of UA raw logs — keep if raw tables go",ISNUMBER(--$C959),"UA raw site logs (account ID) — keep pending audit-retention check",$C959="Emag_Reporting","Legacy but likely needed",$C959="Nutrition_Data_Archived_Tables","Worth keeping",$C959="EU_Data","Static lookup tables — scripts still reference (smoke-test risk)",TRUE,"Review"),OR($A959="thg-influencer",$A959="thg-ingenuity",$A959="thg-central-marketing",$A959="thg-seoclarity"),"HOLD — Charlie Stringer to review before deletion",TRUE,"")</f>
        <v>UA raw site logs (account ID) — keep pending audit-retention check</v>
      </c>
      <c r="S959" t="s">
        <v>1624</v>
      </c>
    </row>
    <row r="960" spans="1:19" ht="45.75" hidden="1">
      <c r="A960" t="s">
        <v>89</v>
      </c>
      <c r="B960" t="s">
        <v>1619</v>
      </c>
      <c r="C960" t="s">
        <v>598</v>
      </c>
      <c r="D960" s="2" t="s">
        <v>1621</v>
      </c>
      <c r="E960">
        <v>226.83</v>
      </c>
      <c r="F960">
        <v>4.54</v>
      </c>
      <c r="G960" t="s">
        <v>63</v>
      </c>
      <c r="H960" t="s">
        <v>3328</v>
      </c>
      <c r="I960">
        <v>35</v>
      </c>
      <c r="J960">
        <v>724</v>
      </c>
      <c r="K960" s="5">
        <v>46161.597263750002</v>
      </c>
      <c r="M960" s="2" t="s">
        <v>3416</v>
      </c>
      <c r="N960" s="2" t="s">
        <v>1701</v>
      </c>
      <c r="O960" s="5">
        <v>45473.238089270832</v>
      </c>
      <c r="P960" t="str">
        <f>IF($Q960="DELETE",IF($S960="CONFIRMED: NO MODS &gt; 1YR","CONFIRMED: NO MODS &gt; 1YR","DO NOT DELETE — not defensibly confirmed"),IF($Q960="HOLD","DO NOT DELETE — HOLD (Charlie review)",IF($Q960="KEEP","DO NOT DELETE — KEEP",IF(ISNUMBER(SEARCH("REVIEW",$Q960)),"DO NOT DELETE — REVIEW pending",$S960))))</f>
        <v>DO NOT DELETE — REVIEW pending</v>
      </c>
      <c r="Q960" t="str" cm="1">
        <f t="array" ref="Q960">_xlfn.IFS(AND($A960="thg-beauty",ISNUMBER(SEARCH("liveramp",$C960))),"DELETE",$A960="agile-bonbon-662",_xlfn.IFS(LEFT($G960,9)="Tranche 1","DELETE",$C960="Sessions_Level_1_All_Sites","KEEP",ISNUMBER(--$C960),"REVIEW — UA raw logs",$C960="Emag_Reporting","KEEP",$C960="Nutrition_Data_Archived_Tables","KEEP",$C960="EU_Data","KEEP",TRUE,"REVIEW"),OR($A960="thg-influencer",$A960="thg-ingenuity",$A960="thg-central-marketing",$A960="thg-seoclarity"),"HOLD",TRUE,"")</f>
        <v>REVIEW — UA raw logs</v>
      </c>
      <c r="R960" t="str" cm="1">
        <f t="array" ref="R960">_xlfn.IFS(AND($A960="thg-beauty",ISNUMBER(SEARCH("liveramp",$C960))),"thg-beauty Liveramp dataset — confirmed safe to delete",$A960="agile-bonbon-662",_xlfn.IFS(LEFT($G960,9)="Tranche 1","Tranche 1: cleared",$C960="Sessions_Level_1_All_Sites","Downstream aggregation of UA raw logs — keep if raw tables go",ISNUMBER(--$C960),"UA raw site logs (account ID) — keep pending audit-retention check",$C960="Emag_Reporting","Legacy but likely needed",$C960="Nutrition_Data_Archived_Tables","Worth keeping",$C960="EU_Data","Static lookup tables — scripts still reference (smoke-test risk)",TRUE,"Review"),OR($A960="thg-influencer",$A960="thg-ingenuity",$A960="thg-central-marketing",$A960="thg-seoclarity"),"HOLD — Charlie Stringer to review before deletion",TRUE,"")</f>
        <v>UA raw site logs (account ID) — keep pending audit-retention check</v>
      </c>
      <c r="S960" t="s">
        <v>1624</v>
      </c>
    </row>
    <row r="961" spans="1:19" ht="45.75" hidden="1">
      <c r="A961" t="s">
        <v>89</v>
      </c>
      <c r="B961" t="s">
        <v>1619</v>
      </c>
      <c r="C961" t="s">
        <v>603</v>
      </c>
      <c r="D961" s="2" t="s">
        <v>1621</v>
      </c>
      <c r="E961">
        <v>223.31</v>
      </c>
      <c r="F961">
        <v>4.47</v>
      </c>
      <c r="G961" t="s">
        <v>63</v>
      </c>
      <c r="H961" t="s">
        <v>3328</v>
      </c>
      <c r="I961">
        <v>35</v>
      </c>
      <c r="J961">
        <v>723</v>
      </c>
      <c r="K961" s="5">
        <v>46161.599332534723</v>
      </c>
      <c r="M961" s="2" t="s">
        <v>3443</v>
      </c>
      <c r="N961" s="2" t="s">
        <v>1701</v>
      </c>
      <c r="O961" s="5">
        <v>45474.263074432871</v>
      </c>
      <c r="P961" t="str">
        <f>IF($Q961="DELETE",IF($S961="CONFIRMED: NO MODS &gt; 1YR","CONFIRMED: NO MODS &gt; 1YR","DO NOT DELETE — not defensibly confirmed"),IF($Q961="HOLD","DO NOT DELETE — HOLD (Charlie review)",IF($Q961="KEEP","DO NOT DELETE — KEEP",IF(ISNUMBER(SEARCH("REVIEW",$Q961)),"DO NOT DELETE — REVIEW pending",$S961))))</f>
        <v>DO NOT DELETE — REVIEW pending</v>
      </c>
      <c r="Q961" t="str" cm="1">
        <f t="array" ref="Q961">_xlfn.IFS(AND($A961="thg-beauty",ISNUMBER(SEARCH("liveramp",$C961))),"DELETE",$A961="agile-bonbon-662",_xlfn.IFS(LEFT($G961,9)="Tranche 1","DELETE",$C961="Sessions_Level_1_All_Sites","KEEP",ISNUMBER(--$C961),"REVIEW — UA raw logs",$C961="Emag_Reporting","KEEP",$C961="Nutrition_Data_Archived_Tables","KEEP",$C961="EU_Data","KEEP",TRUE,"REVIEW"),OR($A961="thg-influencer",$A961="thg-ingenuity",$A961="thg-central-marketing",$A961="thg-seoclarity"),"HOLD",TRUE,"")</f>
        <v>REVIEW — UA raw logs</v>
      </c>
      <c r="R961" t="str" cm="1">
        <f t="array" ref="R961">_xlfn.IFS(AND($A961="thg-beauty",ISNUMBER(SEARCH("liveramp",$C961))),"thg-beauty Liveramp dataset — confirmed safe to delete",$A961="agile-bonbon-662",_xlfn.IFS(LEFT($G961,9)="Tranche 1","Tranche 1: cleared",$C961="Sessions_Level_1_All_Sites","Downstream aggregation of UA raw logs — keep if raw tables go",ISNUMBER(--$C961),"UA raw site logs (account ID) — keep pending audit-retention check",$C961="Emag_Reporting","Legacy but likely needed",$C961="Nutrition_Data_Archived_Tables","Worth keeping",$C961="EU_Data","Static lookup tables — scripts still reference (smoke-test risk)",TRUE,"Review"),OR($A961="thg-influencer",$A961="thg-ingenuity",$A961="thg-central-marketing",$A961="thg-seoclarity"),"HOLD — Charlie Stringer to review before deletion",TRUE,"")</f>
        <v>UA raw site logs (account ID) — keep pending audit-retention check</v>
      </c>
      <c r="S961" t="s">
        <v>1624</v>
      </c>
    </row>
    <row r="962" spans="1:19" ht="45.75" hidden="1">
      <c r="A962" t="s">
        <v>89</v>
      </c>
      <c r="B962" t="s">
        <v>1619</v>
      </c>
      <c r="C962" t="s">
        <v>607</v>
      </c>
      <c r="D962" s="2" t="s">
        <v>1621</v>
      </c>
      <c r="E962">
        <v>221.82</v>
      </c>
      <c r="F962">
        <v>4.4400000000000004</v>
      </c>
      <c r="G962" t="s">
        <v>63</v>
      </c>
      <c r="H962" t="s">
        <v>3328</v>
      </c>
      <c r="I962">
        <v>35</v>
      </c>
      <c r="J962">
        <v>723</v>
      </c>
      <c r="K962" s="5">
        <v>46161.583686296297</v>
      </c>
      <c r="M962" s="2" t="s">
        <v>3434</v>
      </c>
      <c r="N962" s="2" t="s">
        <v>1701</v>
      </c>
      <c r="O962" s="5">
        <v>45474.273400590268</v>
      </c>
      <c r="P962" t="str">
        <f>IF($Q962="DELETE",IF($S962="CONFIRMED: NO MODS &gt; 1YR","CONFIRMED: NO MODS &gt; 1YR","DO NOT DELETE — not defensibly confirmed"),IF($Q962="HOLD","DO NOT DELETE — HOLD (Charlie review)",IF($Q962="KEEP","DO NOT DELETE — KEEP",IF(ISNUMBER(SEARCH("REVIEW",$Q962)),"DO NOT DELETE — REVIEW pending",$S962))))</f>
        <v>DO NOT DELETE — REVIEW pending</v>
      </c>
      <c r="Q962" t="str" cm="1">
        <f t="array" ref="Q962">_xlfn.IFS(AND($A962="thg-beauty",ISNUMBER(SEARCH("liveramp",$C962))),"DELETE",$A962="agile-bonbon-662",_xlfn.IFS(LEFT($G962,9)="Tranche 1","DELETE",$C962="Sessions_Level_1_All_Sites","KEEP",ISNUMBER(--$C962),"REVIEW — UA raw logs",$C962="Emag_Reporting","KEEP",$C962="Nutrition_Data_Archived_Tables","KEEP",$C962="EU_Data","KEEP",TRUE,"REVIEW"),OR($A962="thg-influencer",$A962="thg-ingenuity",$A962="thg-central-marketing",$A962="thg-seoclarity"),"HOLD",TRUE,"")</f>
        <v>REVIEW — UA raw logs</v>
      </c>
      <c r="R962" t="str" cm="1">
        <f t="array" ref="R962">_xlfn.IFS(AND($A962="thg-beauty",ISNUMBER(SEARCH("liveramp",$C962))),"thg-beauty Liveramp dataset — confirmed safe to delete",$A962="agile-bonbon-662",_xlfn.IFS(LEFT($G962,9)="Tranche 1","Tranche 1: cleared",$C962="Sessions_Level_1_All_Sites","Downstream aggregation of UA raw logs — keep if raw tables go",ISNUMBER(--$C962),"UA raw site logs (account ID) — keep pending audit-retention check",$C962="Emag_Reporting","Legacy but likely needed",$C962="Nutrition_Data_Archived_Tables","Worth keeping",$C962="EU_Data","Static lookup tables — scripts still reference (smoke-test risk)",TRUE,"Review"),OR($A962="thg-influencer",$A962="thg-ingenuity",$A962="thg-central-marketing",$A962="thg-seoclarity"),"HOLD — Charlie Stringer to review before deletion",TRUE,"")</f>
        <v>UA raw site logs (account ID) — keep pending audit-retention check</v>
      </c>
      <c r="S962" t="s">
        <v>1624</v>
      </c>
    </row>
    <row r="963" spans="1:19" ht="45.75" hidden="1">
      <c r="A963" t="s">
        <v>89</v>
      </c>
      <c r="B963" t="s">
        <v>1619</v>
      </c>
      <c r="C963" t="s">
        <v>611</v>
      </c>
      <c r="D963" s="2" t="s">
        <v>1621</v>
      </c>
      <c r="E963">
        <v>217.39</v>
      </c>
      <c r="F963">
        <v>4.3499999999999996</v>
      </c>
      <c r="G963" t="s">
        <v>63</v>
      </c>
      <c r="H963" t="s">
        <v>3328</v>
      </c>
      <c r="I963">
        <v>35</v>
      </c>
      <c r="J963">
        <v>725</v>
      </c>
      <c r="K963" s="5">
        <v>46161.58208177083</v>
      </c>
      <c r="M963" s="2" t="s">
        <v>3444</v>
      </c>
      <c r="N963" s="2" t="s">
        <v>1701</v>
      </c>
      <c r="O963" s="5">
        <v>45471.503324212958</v>
      </c>
      <c r="P963" t="str">
        <f>IF($Q963="DELETE",IF($S963="CONFIRMED: NO MODS &gt; 1YR","CONFIRMED: NO MODS &gt; 1YR","DO NOT DELETE — not defensibly confirmed"),IF($Q963="HOLD","DO NOT DELETE — HOLD (Charlie review)",IF($Q963="KEEP","DO NOT DELETE — KEEP",IF(ISNUMBER(SEARCH("REVIEW",$Q963)),"DO NOT DELETE — REVIEW pending",$S963))))</f>
        <v>DO NOT DELETE — REVIEW pending</v>
      </c>
      <c r="Q963" t="str" cm="1">
        <f t="array" ref="Q963">_xlfn.IFS(AND($A963="thg-beauty",ISNUMBER(SEARCH("liveramp",$C963))),"DELETE",$A963="agile-bonbon-662",_xlfn.IFS(LEFT($G963,9)="Tranche 1","DELETE",$C963="Sessions_Level_1_All_Sites","KEEP",ISNUMBER(--$C963),"REVIEW — UA raw logs",$C963="Emag_Reporting","KEEP",$C963="Nutrition_Data_Archived_Tables","KEEP",$C963="EU_Data","KEEP",TRUE,"REVIEW"),OR($A963="thg-influencer",$A963="thg-ingenuity",$A963="thg-central-marketing",$A963="thg-seoclarity"),"HOLD",TRUE,"")</f>
        <v>REVIEW — UA raw logs</v>
      </c>
      <c r="R963" t="str" cm="1">
        <f t="array" ref="R963">_xlfn.IFS(AND($A963="thg-beauty",ISNUMBER(SEARCH("liveramp",$C963))),"thg-beauty Liveramp dataset — confirmed safe to delete",$A963="agile-bonbon-662",_xlfn.IFS(LEFT($G963,9)="Tranche 1","Tranche 1: cleared",$C963="Sessions_Level_1_All_Sites","Downstream aggregation of UA raw logs — keep if raw tables go",ISNUMBER(--$C963),"UA raw site logs (account ID) — keep pending audit-retention check",$C963="Emag_Reporting","Legacy but likely needed",$C963="Nutrition_Data_Archived_Tables","Worth keeping",$C963="EU_Data","Static lookup tables — scripts still reference (smoke-test risk)",TRUE,"Review"),OR($A963="thg-influencer",$A963="thg-ingenuity",$A963="thg-central-marketing",$A963="thg-seoclarity"),"HOLD — Charlie Stringer to review before deletion",TRUE,"")</f>
        <v>UA raw site logs (account ID) — keep pending audit-retention check</v>
      </c>
      <c r="S963" t="s">
        <v>1624</v>
      </c>
    </row>
    <row r="964" spans="1:19" ht="45.75" hidden="1">
      <c r="A964" t="s">
        <v>89</v>
      </c>
      <c r="B964" t="s">
        <v>1619</v>
      </c>
      <c r="C964" t="s">
        <v>620</v>
      </c>
      <c r="D964" s="2" t="s">
        <v>1621</v>
      </c>
      <c r="E964">
        <v>216.56</v>
      </c>
      <c r="F964">
        <v>4.33</v>
      </c>
      <c r="G964" t="s">
        <v>63</v>
      </c>
      <c r="H964" t="s">
        <v>3328</v>
      </c>
      <c r="I964">
        <v>35</v>
      </c>
      <c r="J964">
        <v>723</v>
      </c>
      <c r="K964" s="5">
        <v>46161.591268229167</v>
      </c>
      <c r="M964" s="2" t="s">
        <v>3418</v>
      </c>
      <c r="N964" s="2" t="s">
        <v>1701</v>
      </c>
      <c r="O964" s="5">
        <v>45474.277298842593</v>
      </c>
      <c r="P964" t="str">
        <f>IF($Q964="DELETE",IF($S964="CONFIRMED: NO MODS &gt; 1YR","CONFIRMED: NO MODS &gt; 1YR","DO NOT DELETE — not defensibly confirmed"),IF($Q964="HOLD","DO NOT DELETE — HOLD (Charlie review)",IF($Q964="KEEP","DO NOT DELETE — KEEP",IF(ISNUMBER(SEARCH("REVIEW",$Q964)),"DO NOT DELETE — REVIEW pending",$S964))))</f>
        <v>DO NOT DELETE — REVIEW pending</v>
      </c>
      <c r="Q964" t="str" cm="1">
        <f t="array" ref="Q964">_xlfn.IFS(AND($A964="thg-beauty",ISNUMBER(SEARCH("liveramp",$C964))),"DELETE",$A964="agile-bonbon-662",_xlfn.IFS(LEFT($G964,9)="Tranche 1","DELETE",$C964="Sessions_Level_1_All_Sites","KEEP",ISNUMBER(--$C964),"REVIEW — UA raw logs",$C964="Emag_Reporting","KEEP",$C964="Nutrition_Data_Archived_Tables","KEEP",$C964="EU_Data","KEEP",TRUE,"REVIEW"),OR($A964="thg-influencer",$A964="thg-ingenuity",$A964="thg-central-marketing",$A964="thg-seoclarity"),"HOLD",TRUE,"")</f>
        <v>REVIEW — UA raw logs</v>
      </c>
      <c r="R964" t="str" cm="1">
        <f t="array" ref="R964">_xlfn.IFS(AND($A964="thg-beauty",ISNUMBER(SEARCH("liveramp",$C964))),"thg-beauty Liveramp dataset — confirmed safe to delete",$A964="agile-bonbon-662",_xlfn.IFS(LEFT($G964,9)="Tranche 1","Tranche 1: cleared",$C964="Sessions_Level_1_All_Sites","Downstream aggregation of UA raw logs — keep if raw tables go",ISNUMBER(--$C964),"UA raw site logs (account ID) — keep pending audit-retention check",$C964="Emag_Reporting","Legacy but likely needed",$C964="Nutrition_Data_Archived_Tables","Worth keeping",$C964="EU_Data","Static lookup tables — scripts still reference (smoke-test risk)",TRUE,"Review"),OR($A964="thg-influencer",$A964="thg-ingenuity",$A964="thg-central-marketing",$A964="thg-seoclarity"),"HOLD — Charlie Stringer to review before deletion",TRUE,"")</f>
        <v>UA raw site logs (account ID) — keep pending audit-retention check</v>
      </c>
      <c r="S964" t="s">
        <v>1624</v>
      </c>
    </row>
    <row r="965" spans="1:19" ht="45.75" hidden="1">
      <c r="A965" t="s">
        <v>89</v>
      </c>
      <c r="B965" t="s">
        <v>1619</v>
      </c>
      <c r="C965" t="s">
        <v>616</v>
      </c>
      <c r="D965" s="2" t="s">
        <v>1621</v>
      </c>
      <c r="E965">
        <v>216.3</v>
      </c>
      <c r="F965">
        <v>4.33</v>
      </c>
      <c r="G965" t="s">
        <v>63</v>
      </c>
      <c r="H965" t="s">
        <v>3328</v>
      </c>
      <c r="I965">
        <v>35</v>
      </c>
      <c r="J965">
        <v>723</v>
      </c>
      <c r="K965" s="5">
        <v>46161.583299861108</v>
      </c>
      <c r="M965" s="2" t="s">
        <v>3435</v>
      </c>
      <c r="N965" s="2" t="s">
        <v>1701</v>
      </c>
      <c r="O965" s="5">
        <v>45474.27474429398</v>
      </c>
      <c r="P965" t="str">
        <f>IF($Q965="DELETE",IF($S965="CONFIRMED: NO MODS &gt; 1YR","CONFIRMED: NO MODS &gt; 1YR","DO NOT DELETE — not defensibly confirmed"),IF($Q965="HOLD","DO NOT DELETE — HOLD (Charlie review)",IF($Q965="KEEP","DO NOT DELETE — KEEP",IF(ISNUMBER(SEARCH("REVIEW",$Q965)),"DO NOT DELETE — REVIEW pending",$S965))))</f>
        <v>DO NOT DELETE — REVIEW pending</v>
      </c>
      <c r="Q965" t="str" cm="1">
        <f t="array" ref="Q965">_xlfn.IFS(AND($A965="thg-beauty",ISNUMBER(SEARCH("liveramp",$C965))),"DELETE",$A965="agile-bonbon-662",_xlfn.IFS(LEFT($G965,9)="Tranche 1","DELETE",$C965="Sessions_Level_1_All_Sites","KEEP",ISNUMBER(--$C965),"REVIEW — UA raw logs",$C965="Emag_Reporting","KEEP",$C965="Nutrition_Data_Archived_Tables","KEEP",$C965="EU_Data","KEEP",TRUE,"REVIEW"),OR($A965="thg-influencer",$A965="thg-ingenuity",$A965="thg-central-marketing",$A965="thg-seoclarity"),"HOLD",TRUE,"")</f>
        <v>REVIEW — UA raw logs</v>
      </c>
      <c r="R965" t="str" cm="1">
        <f t="array" ref="R965">_xlfn.IFS(AND($A965="thg-beauty",ISNUMBER(SEARCH("liveramp",$C965))),"thg-beauty Liveramp dataset — confirmed safe to delete",$A965="agile-bonbon-662",_xlfn.IFS(LEFT($G965,9)="Tranche 1","Tranche 1: cleared",$C965="Sessions_Level_1_All_Sites","Downstream aggregation of UA raw logs — keep if raw tables go",ISNUMBER(--$C965),"UA raw site logs (account ID) — keep pending audit-retention check",$C965="Emag_Reporting","Legacy but likely needed",$C965="Nutrition_Data_Archived_Tables","Worth keeping",$C965="EU_Data","Static lookup tables — scripts still reference (smoke-test risk)",TRUE,"Review"),OR($A965="thg-influencer",$A965="thg-ingenuity",$A965="thg-central-marketing",$A965="thg-seoclarity"),"HOLD — Charlie Stringer to review before deletion",TRUE,"")</f>
        <v>UA raw site logs (account ID) — keep pending audit-retention check</v>
      </c>
      <c r="S965" t="s">
        <v>1624</v>
      </c>
    </row>
    <row r="966" spans="1:19" ht="45.75" hidden="1">
      <c r="A966" t="s">
        <v>89</v>
      </c>
      <c r="B966" t="s">
        <v>1619</v>
      </c>
      <c r="C966" t="s">
        <v>624</v>
      </c>
      <c r="D966" s="2" t="s">
        <v>1621</v>
      </c>
      <c r="E966">
        <v>215.07</v>
      </c>
      <c r="F966">
        <v>4.3</v>
      </c>
      <c r="G966" t="s">
        <v>63</v>
      </c>
      <c r="H966" t="s">
        <v>3328</v>
      </c>
      <c r="I966">
        <v>35</v>
      </c>
      <c r="J966">
        <v>644</v>
      </c>
      <c r="K966" s="5">
        <v>46161.615968541657</v>
      </c>
      <c r="M966" s="2" t="s">
        <v>1977</v>
      </c>
      <c r="N966" s="2" t="s">
        <v>1701</v>
      </c>
      <c r="O966" s="5">
        <v>45553.392548958327</v>
      </c>
      <c r="P966" t="str">
        <f>IF($Q966="DELETE",IF($S966="CONFIRMED: NO MODS &gt; 1YR","CONFIRMED: NO MODS &gt; 1YR","DO NOT DELETE — not defensibly confirmed"),IF($Q966="HOLD","DO NOT DELETE — HOLD (Charlie review)",IF($Q966="KEEP","DO NOT DELETE — KEEP",IF(ISNUMBER(SEARCH("REVIEW",$Q966)),"DO NOT DELETE — REVIEW pending",$S966))))</f>
        <v>DO NOT DELETE — REVIEW pending</v>
      </c>
      <c r="Q966" t="str" cm="1">
        <f t="array" ref="Q966">_xlfn.IFS(AND($A966="thg-beauty",ISNUMBER(SEARCH("liveramp",$C966))),"DELETE",$A966="agile-bonbon-662",_xlfn.IFS(LEFT($G966,9)="Tranche 1","DELETE",$C966="Sessions_Level_1_All_Sites","KEEP",ISNUMBER(--$C966),"REVIEW — UA raw logs",$C966="Emag_Reporting","KEEP",$C966="Nutrition_Data_Archived_Tables","KEEP",$C966="EU_Data","KEEP",TRUE,"REVIEW"),OR($A966="thg-influencer",$A966="thg-ingenuity",$A966="thg-central-marketing",$A966="thg-seoclarity"),"HOLD",TRUE,"")</f>
        <v>REVIEW</v>
      </c>
      <c r="R966" t="str" cm="1">
        <f t="array" ref="R966">_xlfn.IFS(AND($A966="thg-beauty",ISNUMBER(SEARCH("liveramp",$C966))),"thg-beauty Liveramp dataset — confirmed safe to delete",$A966="agile-bonbon-662",_xlfn.IFS(LEFT($G966,9)="Tranche 1","Tranche 1: cleared",$C966="Sessions_Level_1_All_Sites","Downstream aggregation of UA raw logs — keep if raw tables go",ISNUMBER(--$C966),"UA raw site logs (account ID) — keep pending audit-retention check",$C966="Emag_Reporting","Legacy but likely needed",$C966="Nutrition_Data_Archived_Tables","Worth keeping",$C966="EU_Data","Static lookup tables — scripts still reference (smoke-test risk)",TRUE,"Review"),OR($A966="thg-influencer",$A966="thg-ingenuity",$A966="thg-central-marketing",$A966="thg-seoclarity"),"HOLD — Charlie Stringer to review before deletion",TRUE,"")</f>
        <v>Review</v>
      </c>
      <c r="S966" t="s">
        <v>1624</v>
      </c>
    </row>
    <row r="967" spans="1:19" ht="45.75" hidden="1">
      <c r="A967" t="s">
        <v>89</v>
      </c>
      <c r="B967" t="s">
        <v>1619</v>
      </c>
      <c r="C967" t="s">
        <v>629</v>
      </c>
      <c r="D967" s="2" t="s">
        <v>1621</v>
      </c>
      <c r="E967">
        <v>212.44</v>
      </c>
      <c r="F967">
        <v>4.25</v>
      </c>
      <c r="G967" t="s">
        <v>63</v>
      </c>
      <c r="H967" t="s">
        <v>3328</v>
      </c>
      <c r="I967">
        <v>35</v>
      </c>
      <c r="J967">
        <v>798</v>
      </c>
      <c r="K967" s="5">
        <v>46161.616647569441</v>
      </c>
      <c r="M967" s="2" t="s">
        <v>1984</v>
      </c>
      <c r="N967" s="2" t="s">
        <v>1701</v>
      </c>
      <c r="O967" s="5">
        <v>45399.315805092592</v>
      </c>
      <c r="P967" t="str">
        <f>IF($Q967="DELETE",IF($S967="CONFIRMED: NO MODS &gt; 1YR","CONFIRMED: NO MODS &gt; 1YR","DO NOT DELETE — not defensibly confirmed"),IF($Q967="HOLD","DO NOT DELETE — HOLD (Charlie review)",IF($Q967="KEEP","DO NOT DELETE — KEEP",IF(ISNUMBER(SEARCH("REVIEW",$Q967)),"DO NOT DELETE — REVIEW pending",$S967))))</f>
        <v>DO NOT DELETE — REVIEW pending</v>
      </c>
      <c r="Q967" t="str" cm="1">
        <f t="array" ref="Q967">_xlfn.IFS(AND($A967="thg-beauty",ISNUMBER(SEARCH("liveramp",$C967))),"DELETE",$A967="agile-bonbon-662",_xlfn.IFS(LEFT($G967,9)="Tranche 1","DELETE",$C967="Sessions_Level_1_All_Sites","KEEP",ISNUMBER(--$C967),"REVIEW — UA raw logs",$C967="Emag_Reporting","KEEP",$C967="Nutrition_Data_Archived_Tables","KEEP",$C967="EU_Data","KEEP",TRUE,"REVIEW"),OR($A967="thg-influencer",$A967="thg-ingenuity",$A967="thg-central-marketing",$A967="thg-seoclarity"),"HOLD",TRUE,"")</f>
        <v>REVIEW</v>
      </c>
      <c r="R967" t="str" cm="1">
        <f t="array" ref="R967">_xlfn.IFS(AND($A967="thg-beauty",ISNUMBER(SEARCH("liveramp",$C967))),"thg-beauty Liveramp dataset — confirmed safe to delete",$A967="agile-bonbon-662",_xlfn.IFS(LEFT($G967,9)="Tranche 1","Tranche 1: cleared",$C967="Sessions_Level_1_All_Sites","Downstream aggregation of UA raw logs — keep if raw tables go",ISNUMBER(--$C967),"UA raw site logs (account ID) — keep pending audit-retention check",$C967="Emag_Reporting","Legacy but likely needed",$C967="Nutrition_Data_Archived_Tables","Worth keeping",$C967="EU_Data","Static lookup tables — scripts still reference (smoke-test risk)",TRUE,"Review"),OR($A967="thg-influencer",$A967="thg-ingenuity",$A967="thg-central-marketing",$A967="thg-seoclarity"),"HOLD — Charlie Stringer to review before deletion",TRUE,"")</f>
        <v>Review</v>
      </c>
      <c r="S967" t="s">
        <v>1624</v>
      </c>
    </row>
    <row r="968" spans="1:19" ht="45.75" hidden="1">
      <c r="A968" t="s">
        <v>89</v>
      </c>
      <c r="B968" t="s">
        <v>1619</v>
      </c>
      <c r="C968" t="s">
        <v>634</v>
      </c>
      <c r="D968" s="2" t="s">
        <v>1621</v>
      </c>
      <c r="E968">
        <v>210.05</v>
      </c>
      <c r="F968">
        <v>4.2</v>
      </c>
      <c r="G968" t="s">
        <v>63</v>
      </c>
      <c r="H968" t="s">
        <v>3328</v>
      </c>
      <c r="I968">
        <v>35</v>
      </c>
      <c r="J968">
        <v>723</v>
      </c>
      <c r="K968" s="5">
        <v>46161.590034652778</v>
      </c>
      <c r="M968" s="2" t="s">
        <v>3402</v>
      </c>
      <c r="N968" s="2" t="s">
        <v>1701</v>
      </c>
      <c r="O968" s="5">
        <v>45474.275848310193</v>
      </c>
      <c r="P968" t="str">
        <f>IF($Q968="DELETE",IF($S968="CONFIRMED: NO MODS &gt; 1YR","CONFIRMED: NO MODS &gt; 1YR","DO NOT DELETE — not defensibly confirmed"),IF($Q968="HOLD","DO NOT DELETE — HOLD (Charlie review)",IF($Q968="KEEP","DO NOT DELETE — KEEP",IF(ISNUMBER(SEARCH("REVIEW",$Q968)),"DO NOT DELETE — REVIEW pending",$S968))))</f>
        <v>DO NOT DELETE — REVIEW pending</v>
      </c>
      <c r="Q968" t="str" cm="1">
        <f t="array" ref="Q968">_xlfn.IFS(AND($A968="thg-beauty",ISNUMBER(SEARCH("liveramp",$C968))),"DELETE",$A968="agile-bonbon-662",_xlfn.IFS(LEFT($G968,9)="Tranche 1","DELETE",$C968="Sessions_Level_1_All_Sites","KEEP",ISNUMBER(--$C968),"REVIEW — UA raw logs",$C968="Emag_Reporting","KEEP",$C968="Nutrition_Data_Archived_Tables","KEEP",$C968="EU_Data","KEEP",TRUE,"REVIEW"),OR($A968="thg-influencer",$A968="thg-ingenuity",$A968="thg-central-marketing",$A968="thg-seoclarity"),"HOLD",TRUE,"")</f>
        <v>REVIEW — UA raw logs</v>
      </c>
      <c r="R968" t="str" cm="1">
        <f t="array" ref="R968">_xlfn.IFS(AND($A968="thg-beauty",ISNUMBER(SEARCH("liveramp",$C968))),"thg-beauty Liveramp dataset — confirmed safe to delete",$A968="agile-bonbon-662",_xlfn.IFS(LEFT($G968,9)="Tranche 1","Tranche 1: cleared",$C968="Sessions_Level_1_All_Sites","Downstream aggregation of UA raw logs — keep if raw tables go",ISNUMBER(--$C968),"UA raw site logs (account ID) — keep pending audit-retention check",$C968="Emag_Reporting","Legacy but likely needed",$C968="Nutrition_Data_Archived_Tables","Worth keeping",$C968="EU_Data","Static lookup tables — scripts still reference (smoke-test risk)",TRUE,"Review"),OR($A968="thg-influencer",$A968="thg-ingenuity",$A968="thg-central-marketing",$A968="thg-seoclarity"),"HOLD — Charlie Stringer to review before deletion",TRUE,"")</f>
        <v>UA raw site logs (account ID) — keep pending audit-retention check</v>
      </c>
      <c r="S968" t="s">
        <v>1624</v>
      </c>
    </row>
    <row r="969" spans="1:19" ht="45.75" hidden="1">
      <c r="A969" t="s">
        <v>89</v>
      </c>
      <c r="B969" t="s">
        <v>1619</v>
      </c>
      <c r="C969" t="s">
        <v>638</v>
      </c>
      <c r="D969" s="2" t="s">
        <v>1621</v>
      </c>
      <c r="E969">
        <v>208.06</v>
      </c>
      <c r="F969">
        <v>4.16</v>
      </c>
      <c r="G969" t="s">
        <v>63</v>
      </c>
      <c r="H969" t="s">
        <v>3328</v>
      </c>
      <c r="I969">
        <v>35</v>
      </c>
      <c r="J969">
        <v>723</v>
      </c>
      <c r="K969" s="5">
        <v>46161.601261145843</v>
      </c>
      <c r="M969" s="2" t="s">
        <v>3420</v>
      </c>
      <c r="N969" s="2" t="s">
        <v>1701</v>
      </c>
      <c r="O969" s="5">
        <v>45474.263691655091</v>
      </c>
      <c r="P969" t="str">
        <f>IF($Q969="DELETE",IF($S969="CONFIRMED: NO MODS &gt; 1YR","CONFIRMED: NO MODS &gt; 1YR","DO NOT DELETE — not defensibly confirmed"),IF($Q969="HOLD","DO NOT DELETE — HOLD (Charlie review)",IF($Q969="KEEP","DO NOT DELETE — KEEP",IF(ISNUMBER(SEARCH("REVIEW",$Q969)),"DO NOT DELETE — REVIEW pending",$S969))))</f>
        <v>DO NOT DELETE — REVIEW pending</v>
      </c>
      <c r="Q969" t="str" cm="1">
        <f t="array" ref="Q969">_xlfn.IFS(AND($A969="thg-beauty",ISNUMBER(SEARCH("liveramp",$C969))),"DELETE",$A969="agile-bonbon-662",_xlfn.IFS(LEFT($G969,9)="Tranche 1","DELETE",$C969="Sessions_Level_1_All_Sites","KEEP",ISNUMBER(--$C969),"REVIEW — UA raw logs",$C969="Emag_Reporting","KEEP",$C969="Nutrition_Data_Archived_Tables","KEEP",$C969="EU_Data","KEEP",TRUE,"REVIEW"),OR($A969="thg-influencer",$A969="thg-ingenuity",$A969="thg-central-marketing",$A969="thg-seoclarity"),"HOLD",TRUE,"")</f>
        <v>REVIEW — UA raw logs</v>
      </c>
      <c r="R969" t="str" cm="1">
        <f t="array" ref="R969">_xlfn.IFS(AND($A969="thg-beauty",ISNUMBER(SEARCH("liveramp",$C969))),"thg-beauty Liveramp dataset — confirmed safe to delete",$A969="agile-bonbon-662",_xlfn.IFS(LEFT($G969,9)="Tranche 1","Tranche 1: cleared",$C969="Sessions_Level_1_All_Sites","Downstream aggregation of UA raw logs — keep if raw tables go",ISNUMBER(--$C969),"UA raw site logs (account ID) — keep pending audit-retention check",$C969="Emag_Reporting","Legacy but likely needed",$C969="Nutrition_Data_Archived_Tables","Worth keeping",$C969="EU_Data","Static lookup tables — scripts still reference (smoke-test risk)",TRUE,"Review"),OR($A969="thg-influencer",$A969="thg-ingenuity",$A969="thg-central-marketing",$A969="thg-seoclarity"),"HOLD — Charlie Stringer to review before deletion",TRUE,"")</f>
        <v>UA raw site logs (account ID) — keep pending audit-retention check</v>
      </c>
      <c r="S969" t="s">
        <v>1624</v>
      </c>
    </row>
    <row r="970" spans="1:19" ht="45.75" hidden="1">
      <c r="A970" t="s">
        <v>89</v>
      </c>
      <c r="B970" t="s">
        <v>1619</v>
      </c>
      <c r="C970" t="s">
        <v>642</v>
      </c>
      <c r="D970" s="2" t="s">
        <v>1621</v>
      </c>
      <c r="E970">
        <v>203.12</v>
      </c>
      <c r="F970">
        <v>4.0599999999999996</v>
      </c>
      <c r="G970" t="s">
        <v>63</v>
      </c>
      <c r="H970" t="s">
        <v>3328</v>
      </c>
      <c r="I970">
        <v>35</v>
      </c>
      <c r="J970">
        <v>723</v>
      </c>
      <c r="K970" s="5">
        <v>46161.59854486111</v>
      </c>
      <c r="M970" s="2" t="s">
        <v>3407</v>
      </c>
      <c r="N970" s="2" t="s">
        <v>1701</v>
      </c>
      <c r="O970" s="5">
        <v>45474.339049965267</v>
      </c>
      <c r="P970" t="str">
        <f>IF($Q970="DELETE",IF($S970="CONFIRMED: NO MODS &gt; 1YR","CONFIRMED: NO MODS &gt; 1YR","DO NOT DELETE — not defensibly confirmed"),IF($Q970="HOLD","DO NOT DELETE — HOLD (Charlie review)",IF($Q970="KEEP","DO NOT DELETE — KEEP",IF(ISNUMBER(SEARCH("REVIEW",$Q970)),"DO NOT DELETE — REVIEW pending",$S970))))</f>
        <v>DO NOT DELETE — REVIEW pending</v>
      </c>
      <c r="Q970" t="str" cm="1">
        <f t="array" ref="Q970">_xlfn.IFS(AND($A970="thg-beauty",ISNUMBER(SEARCH("liveramp",$C970))),"DELETE",$A970="agile-bonbon-662",_xlfn.IFS(LEFT($G970,9)="Tranche 1","DELETE",$C970="Sessions_Level_1_All_Sites","KEEP",ISNUMBER(--$C970),"REVIEW — UA raw logs",$C970="Emag_Reporting","KEEP",$C970="Nutrition_Data_Archived_Tables","KEEP",$C970="EU_Data","KEEP",TRUE,"REVIEW"),OR($A970="thg-influencer",$A970="thg-ingenuity",$A970="thg-central-marketing",$A970="thg-seoclarity"),"HOLD",TRUE,"")</f>
        <v>REVIEW — UA raw logs</v>
      </c>
      <c r="R970" t="str" cm="1">
        <f t="array" ref="R970">_xlfn.IFS(AND($A970="thg-beauty",ISNUMBER(SEARCH("liveramp",$C970))),"thg-beauty Liveramp dataset — confirmed safe to delete",$A970="agile-bonbon-662",_xlfn.IFS(LEFT($G970,9)="Tranche 1","Tranche 1: cleared",$C970="Sessions_Level_1_All_Sites","Downstream aggregation of UA raw logs — keep if raw tables go",ISNUMBER(--$C970),"UA raw site logs (account ID) — keep pending audit-retention check",$C970="Emag_Reporting","Legacy but likely needed",$C970="Nutrition_Data_Archived_Tables","Worth keeping",$C970="EU_Data","Static lookup tables — scripts still reference (smoke-test risk)",TRUE,"Review"),OR($A970="thg-influencer",$A970="thg-ingenuity",$A970="thg-central-marketing",$A970="thg-seoclarity"),"HOLD — Charlie Stringer to review before deletion",TRUE,"")</f>
        <v>UA raw site logs (account ID) — keep pending audit-retention check</v>
      </c>
      <c r="S970" t="s">
        <v>1624</v>
      </c>
    </row>
    <row r="971" spans="1:19" ht="76.5" hidden="1">
      <c r="A971" t="s">
        <v>89</v>
      </c>
      <c r="B971" t="s">
        <v>1619</v>
      </c>
      <c r="C971" t="s">
        <v>646</v>
      </c>
      <c r="D971" s="2" t="s">
        <v>1621</v>
      </c>
      <c r="E971">
        <v>184.61</v>
      </c>
      <c r="F971">
        <v>3.69</v>
      </c>
      <c r="G971" t="s">
        <v>63</v>
      </c>
      <c r="H971" t="s">
        <v>3328</v>
      </c>
      <c r="I971">
        <v>35</v>
      </c>
      <c r="J971">
        <v>1715</v>
      </c>
      <c r="K971" s="5">
        <v>46161.62403929398</v>
      </c>
      <c r="M971" s="2" t="s">
        <v>3445</v>
      </c>
      <c r="N971" s="2" t="s">
        <v>1701</v>
      </c>
      <c r="O971" s="5">
        <v>44482.33417141204</v>
      </c>
      <c r="P971" t="str">
        <f>IF($Q971="DELETE",IF($S971="CONFIRMED: NO MODS &gt; 1YR","CONFIRMED: NO MODS &gt; 1YR","DO NOT DELETE — not defensibly confirmed"),IF($Q971="HOLD","DO NOT DELETE — HOLD (Charlie review)",IF($Q971="KEEP","DO NOT DELETE — KEEP",IF(ISNUMBER(SEARCH("REVIEW",$Q971)),"DO NOT DELETE — REVIEW pending",$S971))))</f>
        <v>DO NOT DELETE — REVIEW pending</v>
      </c>
      <c r="Q971" t="str" cm="1">
        <f t="array" ref="Q971">_xlfn.IFS(AND($A971="thg-beauty",ISNUMBER(SEARCH("liveramp",$C971))),"DELETE",$A971="agile-bonbon-662",_xlfn.IFS(LEFT($G971,9)="Tranche 1","DELETE",$C971="Sessions_Level_1_All_Sites","KEEP",ISNUMBER(--$C971),"REVIEW — UA raw logs",$C971="Emag_Reporting","KEEP",$C971="Nutrition_Data_Archived_Tables","KEEP",$C971="EU_Data","KEEP",TRUE,"REVIEW"),OR($A971="thg-influencer",$A971="thg-ingenuity",$A971="thg-central-marketing",$A971="thg-seoclarity"),"HOLD",TRUE,"")</f>
        <v>REVIEW</v>
      </c>
      <c r="R971" t="str" cm="1">
        <f t="array" ref="R971">_xlfn.IFS(AND($A971="thg-beauty",ISNUMBER(SEARCH("liveramp",$C971))),"thg-beauty Liveramp dataset — confirmed safe to delete",$A971="agile-bonbon-662",_xlfn.IFS(LEFT($G971,9)="Tranche 1","Tranche 1: cleared",$C971="Sessions_Level_1_All_Sites","Downstream aggregation of UA raw logs — keep if raw tables go",ISNUMBER(--$C971),"UA raw site logs (account ID) — keep pending audit-retention check",$C971="Emag_Reporting","Legacy but likely needed",$C971="Nutrition_Data_Archived_Tables","Worth keeping",$C971="EU_Data","Static lookup tables — scripts still reference (smoke-test risk)",TRUE,"Review"),OR($A971="thg-influencer",$A971="thg-ingenuity",$A971="thg-central-marketing",$A971="thg-seoclarity"),"HOLD — Charlie Stringer to review before deletion",TRUE,"")</f>
        <v>Review</v>
      </c>
      <c r="S971" t="s">
        <v>1624</v>
      </c>
    </row>
    <row r="972" spans="1:19" ht="45.75" hidden="1">
      <c r="A972" t="s">
        <v>89</v>
      </c>
      <c r="B972" t="s">
        <v>1619</v>
      </c>
      <c r="C972" t="s">
        <v>651</v>
      </c>
      <c r="D972" s="2" t="s">
        <v>1621</v>
      </c>
      <c r="E972">
        <v>176.24</v>
      </c>
      <c r="F972">
        <v>3.52</v>
      </c>
      <c r="G972" t="s">
        <v>63</v>
      </c>
      <c r="H972" t="s">
        <v>3328</v>
      </c>
      <c r="I972">
        <v>35</v>
      </c>
      <c r="J972">
        <v>723</v>
      </c>
      <c r="K972" s="5">
        <v>46161.584695949066</v>
      </c>
      <c r="M972" s="2" t="s">
        <v>3446</v>
      </c>
      <c r="N972" s="2" t="s">
        <v>1701</v>
      </c>
      <c r="O972" s="5">
        <v>45474.273513784719</v>
      </c>
      <c r="P972" t="str">
        <f>IF($Q972="DELETE",IF($S972="CONFIRMED: NO MODS &gt; 1YR","CONFIRMED: NO MODS &gt; 1YR","DO NOT DELETE — not defensibly confirmed"),IF($Q972="HOLD","DO NOT DELETE — HOLD (Charlie review)",IF($Q972="KEEP","DO NOT DELETE — KEEP",IF(ISNUMBER(SEARCH("REVIEW",$Q972)),"DO NOT DELETE — REVIEW pending",$S972))))</f>
        <v>DO NOT DELETE — REVIEW pending</v>
      </c>
      <c r="Q972" t="str" cm="1">
        <f t="array" ref="Q972">_xlfn.IFS(AND($A972="thg-beauty",ISNUMBER(SEARCH("liveramp",$C972))),"DELETE",$A972="agile-bonbon-662",_xlfn.IFS(LEFT($G972,9)="Tranche 1","DELETE",$C972="Sessions_Level_1_All_Sites","KEEP",ISNUMBER(--$C972),"REVIEW — UA raw logs",$C972="Emag_Reporting","KEEP",$C972="Nutrition_Data_Archived_Tables","KEEP",$C972="EU_Data","KEEP",TRUE,"REVIEW"),OR($A972="thg-influencer",$A972="thg-ingenuity",$A972="thg-central-marketing",$A972="thg-seoclarity"),"HOLD",TRUE,"")</f>
        <v>REVIEW — UA raw logs</v>
      </c>
      <c r="R972" t="str" cm="1">
        <f t="array" ref="R972">_xlfn.IFS(AND($A972="thg-beauty",ISNUMBER(SEARCH("liveramp",$C972))),"thg-beauty Liveramp dataset — confirmed safe to delete",$A972="agile-bonbon-662",_xlfn.IFS(LEFT($G972,9)="Tranche 1","Tranche 1: cleared",$C972="Sessions_Level_1_All_Sites","Downstream aggregation of UA raw logs — keep if raw tables go",ISNUMBER(--$C972),"UA raw site logs (account ID) — keep pending audit-retention check",$C972="Emag_Reporting","Legacy but likely needed",$C972="Nutrition_Data_Archived_Tables","Worth keeping",$C972="EU_Data","Static lookup tables — scripts still reference (smoke-test risk)",TRUE,"Review"),OR($A972="thg-influencer",$A972="thg-ingenuity",$A972="thg-central-marketing",$A972="thg-seoclarity"),"HOLD — Charlie Stringer to review before deletion",TRUE,"")</f>
        <v>UA raw site logs (account ID) — keep pending audit-retention check</v>
      </c>
      <c r="S972" t="s">
        <v>1624</v>
      </c>
    </row>
    <row r="973" spans="1:19" ht="45.75" hidden="1">
      <c r="A973" t="s">
        <v>89</v>
      </c>
      <c r="B973" t="s">
        <v>1619</v>
      </c>
      <c r="C973" t="s">
        <v>655</v>
      </c>
      <c r="D973" s="2" t="s">
        <v>1621</v>
      </c>
      <c r="E973">
        <v>173.72</v>
      </c>
      <c r="F973">
        <v>3.47</v>
      </c>
      <c r="G973" t="s">
        <v>63</v>
      </c>
      <c r="H973" t="s">
        <v>3328</v>
      </c>
      <c r="I973">
        <v>35</v>
      </c>
      <c r="J973">
        <v>723</v>
      </c>
      <c r="K973" s="5">
        <v>46161.590839178243</v>
      </c>
      <c r="M973" s="2" t="s">
        <v>3447</v>
      </c>
      <c r="N973" s="2" t="s">
        <v>1701</v>
      </c>
      <c r="O973" s="5">
        <v>45474.276497592589</v>
      </c>
      <c r="P973" t="str">
        <f>IF($Q973="DELETE",IF($S973="CONFIRMED: NO MODS &gt; 1YR","CONFIRMED: NO MODS &gt; 1YR","DO NOT DELETE — not defensibly confirmed"),IF($Q973="HOLD","DO NOT DELETE — HOLD (Charlie review)",IF($Q973="KEEP","DO NOT DELETE — KEEP",IF(ISNUMBER(SEARCH("REVIEW",$Q973)),"DO NOT DELETE — REVIEW pending",$S973))))</f>
        <v>DO NOT DELETE — REVIEW pending</v>
      </c>
      <c r="Q973" t="str" cm="1">
        <f t="array" ref="Q973">_xlfn.IFS(AND($A973="thg-beauty",ISNUMBER(SEARCH("liveramp",$C973))),"DELETE",$A973="agile-bonbon-662",_xlfn.IFS(LEFT($G973,9)="Tranche 1","DELETE",$C973="Sessions_Level_1_All_Sites","KEEP",ISNUMBER(--$C973),"REVIEW — UA raw logs",$C973="Emag_Reporting","KEEP",$C973="Nutrition_Data_Archived_Tables","KEEP",$C973="EU_Data","KEEP",TRUE,"REVIEW"),OR($A973="thg-influencer",$A973="thg-ingenuity",$A973="thg-central-marketing",$A973="thg-seoclarity"),"HOLD",TRUE,"")</f>
        <v>REVIEW — UA raw logs</v>
      </c>
      <c r="R973" t="str" cm="1">
        <f t="array" ref="R973">_xlfn.IFS(AND($A973="thg-beauty",ISNUMBER(SEARCH("liveramp",$C973))),"thg-beauty Liveramp dataset — confirmed safe to delete",$A973="agile-bonbon-662",_xlfn.IFS(LEFT($G973,9)="Tranche 1","Tranche 1: cleared",$C973="Sessions_Level_1_All_Sites","Downstream aggregation of UA raw logs — keep if raw tables go",ISNUMBER(--$C973),"UA raw site logs (account ID) — keep pending audit-retention check",$C973="Emag_Reporting","Legacy but likely needed",$C973="Nutrition_Data_Archived_Tables","Worth keeping",$C973="EU_Data","Static lookup tables — scripts still reference (smoke-test risk)",TRUE,"Review"),OR($A973="thg-influencer",$A973="thg-ingenuity",$A973="thg-central-marketing",$A973="thg-seoclarity"),"HOLD — Charlie Stringer to review before deletion",TRUE,"")</f>
        <v>UA raw site logs (account ID) — keep pending audit-retention check</v>
      </c>
      <c r="S973" t="s">
        <v>1624</v>
      </c>
    </row>
    <row r="974" spans="1:19" ht="45.75" hidden="1">
      <c r="A974" t="s">
        <v>89</v>
      </c>
      <c r="B974" t="s">
        <v>1619</v>
      </c>
      <c r="C974" t="s">
        <v>659</v>
      </c>
      <c r="D974" s="2" t="s">
        <v>1621</v>
      </c>
      <c r="E974">
        <v>172.37</v>
      </c>
      <c r="F974">
        <v>3.45</v>
      </c>
      <c r="G974" t="s">
        <v>63</v>
      </c>
      <c r="H974" t="s">
        <v>3328</v>
      </c>
      <c r="I974">
        <v>35</v>
      </c>
      <c r="J974">
        <v>723</v>
      </c>
      <c r="K974" s="5">
        <v>46161.583160879629</v>
      </c>
      <c r="M974" s="2" t="s">
        <v>3435</v>
      </c>
      <c r="N974" s="2" t="s">
        <v>1701</v>
      </c>
      <c r="O974" s="5">
        <v>45474.336170636583</v>
      </c>
      <c r="P974" t="str">
        <f>IF($Q974="DELETE",IF($S974="CONFIRMED: NO MODS &gt; 1YR","CONFIRMED: NO MODS &gt; 1YR","DO NOT DELETE — not defensibly confirmed"),IF($Q974="HOLD","DO NOT DELETE — HOLD (Charlie review)",IF($Q974="KEEP","DO NOT DELETE — KEEP",IF(ISNUMBER(SEARCH("REVIEW",$Q974)),"DO NOT DELETE — REVIEW pending",$S974))))</f>
        <v>DO NOT DELETE — REVIEW pending</v>
      </c>
      <c r="Q974" t="str" cm="1">
        <f t="array" ref="Q974">_xlfn.IFS(AND($A974="thg-beauty",ISNUMBER(SEARCH("liveramp",$C974))),"DELETE",$A974="agile-bonbon-662",_xlfn.IFS(LEFT($G974,9)="Tranche 1","DELETE",$C974="Sessions_Level_1_All_Sites","KEEP",ISNUMBER(--$C974),"REVIEW — UA raw logs",$C974="Emag_Reporting","KEEP",$C974="Nutrition_Data_Archived_Tables","KEEP",$C974="EU_Data","KEEP",TRUE,"REVIEW"),OR($A974="thg-influencer",$A974="thg-ingenuity",$A974="thg-central-marketing",$A974="thg-seoclarity"),"HOLD",TRUE,"")</f>
        <v>REVIEW — UA raw logs</v>
      </c>
      <c r="R974" t="str" cm="1">
        <f t="array" ref="R974">_xlfn.IFS(AND($A974="thg-beauty",ISNUMBER(SEARCH("liveramp",$C974))),"thg-beauty Liveramp dataset — confirmed safe to delete",$A974="agile-bonbon-662",_xlfn.IFS(LEFT($G974,9)="Tranche 1","Tranche 1: cleared",$C974="Sessions_Level_1_All_Sites","Downstream aggregation of UA raw logs — keep if raw tables go",ISNUMBER(--$C974),"UA raw site logs (account ID) — keep pending audit-retention check",$C974="Emag_Reporting","Legacy but likely needed",$C974="Nutrition_Data_Archived_Tables","Worth keeping",$C974="EU_Data","Static lookup tables — scripts still reference (smoke-test risk)",TRUE,"Review"),OR($A974="thg-influencer",$A974="thg-ingenuity",$A974="thg-central-marketing",$A974="thg-seoclarity"),"HOLD — Charlie Stringer to review before deletion",TRUE,"")</f>
        <v>UA raw site logs (account ID) — keep pending audit-retention check</v>
      </c>
      <c r="S974" t="s">
        <v>1624</v>
      </c>
    </row>
    <row r="975" spans="1:19" ht="45.75" hidden="1">
      <c r="A975" t="s">
        <v>89</v>
      </c>
      <c r="B975" t="s">
        <v>1619</v>
      </c>
      <c r="C975" t="s">
        <v>663</v>
      </c>
      <c r="D975" s="2" t="s">
        <v>1621</v>
      </c>
      <c r="E975">
        <v>165.67</v>
      </c>
      <c r="F975">
        <v>3.31</v>
      </c>
      <c r="G975" t="s">
        <v>63</v>
      </c>
      <c r="H975" t="s">
        <v>3328</v>
      </c>
      <c r="I975">
        <v>35</v>
      </c>
      <c r="J975">
        <v>723</v>
      </c>
      <c r="K975" s="5">
        <v>46161.60170702546</v>
      </c>
      <c r="M975" s="2" t="s">
        <v>3433</v>
      </c>
      <c r="N975" s="2" t="s">
        <v>1701</v>
      </c>
      <c r="O975" s="5">
        <v>45474.339859270833</v>
      </c>
      <c r="P975" t="str">
        <f>IF($Q975="DELETE",IF($S975="CONFIRMED: NO MODS &gt; 1YR","CONFIRMED: NO MODS &gt; 1YR","DO NOT DELETE — not defensibly confirmed"),IF($Q975="HOLD","DO NOT DELETE — HOLD (Charlie review)",IF($Q975="KEEP","DO NOT DELETE — KEEP",IF(ISNUMBER(SEARCH("REVIEW",$Q975)),"DO NOT DELETE — REVIEW pending",$S975))))</f>
        <v>DO NOT DELETE — REVIEW pending</v>
      </c>
      <c r="Q975" t="str" cm="1">
        <f t="array" ref="Q975">_xlfn.IFS(AND($A975="thg-beauty",ISNUMBER(SEARCH("liveramp",$C975))),"DELETE",$A975="agile-bonbon-662",_xlfn.IFS(LEFT($G975,9)="Tranche 1","DELETE",$C975="Sessions_Level_1_All_Sites","KEEP",ISNUMBER(--$C975),"REVIEW — UA raw logs",$C975="Emag_Reporting","KEEP",$C975="Nutrition_Data_Archived_Tables","KEEP",$C975="EU_Data","KEEP",TRUE,"REVIEW"),OR($A975="thg-influencer",$A975="thg-ingenuity",$A975="thg-central-marketing",$A975="thg-seoclarity"),"HOLD",TRUE,"")</f>
        <v>REVIEW — UA raw logs</v>
      </c>
      <c r="R975" t="str" cm="1">
        <f t="array" ref="R975">_xlfn.IFS(AND($A975="thg-beauty",ISNUMBER(SEARCH("liveramp",$C975))),"thg-beauty Liveramp dataset — confirmed safe to delete",$A975="agile-bonbon-662",_xlfn.IFS(LEFT($G975,9)="Tranche 1","Tranche 1: cleared",$C975="Sessions_Level_1_All_Sites","Downstream aggregation of UA raw logs — keep if raw tables go",ISNUMBER(--$C975),"UA raw site logs (account ID) — keep pending audit-retention check",$C975="Emag_Reporting","Legacy but likely needed",$C975="Nutrition_Data_Archived_Tables","Worth keeping",$C975="EU_Data","Static lookup tables — scripts still reference (smoke-test risk)",TRUE,"Review"),OR($A975="thg-influencer",$A975="thg-ingenuity",$A975="thg-central-marketing",$A975="thg-seoclarity"),"HOLD — Charlie Stringer to review before deletion",TRUE,"")</f>
        <v>UA raw site logs (account ID) — keep pending audit-retention check</v>
      </c>
      <c r="S975" t="s">
        <v>1624</v>
      </c>
    </row>
    <row r="976" spans="1:19" ht="45.75" hidden="1">
      <c r="A976" t="s">
        <v>89</v>
      </c>
      <c r="B976" t="s">
        <v>1619</v>
      </c>
      <c r="C976" t="s">
        <v>676</v>
      </c>
      <c r="D976" s="2" t="s">
        <v>1621</v>
      </c>
      <c r="E976">
        <v>154.13999999999999</v>
      </c>
      <c r="F976">
        <v>3.08</v>
      </c>
      <c r="G976" t="s">
        <v>63</v>
      </c>
      <c r="H976" t="s">
        <v>3328</v>
      </c>
      <c r="I976">
        <v>35</v>
      </c>
      <c r="J976">
        <v>723</v>
      </c>
      <c r="K976" s="5">
        <v>46161.582220509263</v>
      </c>
      <c r="M976" s="2" t="s">
        <v>3444</v>
      </c>
      <c r="N976" s="2" t="s">
        <v>1701</v>
      </c>
      <c r="O976" s="5">
        <v>45474.336065358802</v>
      </c>
      <c r="P976" t="str">
        <f>IF($Q976="DELETE",IF($S976="CONFIRMED: NO MODS &gt; 1YR","CONFIRMED: NO MODS &gt; 1YR","DO NOT DELETE — not defensibly confirmed"),IF($Q976="HOLD","DO NOT DELETE — HOLD (Charlie review)",IF($Q976="KEEP","DO NOT DELETE — KEEP",IF(ISNUMBER(SEARCH("REVIEW",$Q976)),"DO NOT DELETE — REVIEW pending",$S976))))</f>
        <v>DO NOT DELETE — REVIEW pending</v>
      </c>
      <c r="Q976" t="str" cm="1">
        <f t="array" ref="Q976">_xlfn.IFS(AND($A976="thg-beauty",ISNUMBER(SEARCH("liveramp",$C976))),"DELETE",$A976="agile-bonbon-662",_xlfn.IFS(LEFT($G976,9)="Tranche 1","DELETE",$C976="Sessions_Level_1_All_Sites","KEEP",ISNUMBER(--$C976),"REVIEW — UA raw logs",$C976="Emag_Reporting","KEEP",$C976="Nutrition_Data_Archived_Tables","KEEP",$C976="EU_Data","KEEP",TRUE,"REVIEW"),OR($A976="thg-influencer",$A976="thg-ingenuity",$A976="thg-central-marketing",$A976="thg-seoclarity"),"HOLD",TRUE,"")</f>
        <v>REVIEW — UA raw logs</v>
      </c>
      <c r="R976" t="str" cm="1">
        <f t="array" ref="R976">_xlfn.IFS(AND($A976="thg-beauty",ISNUMBER(SEARCH("liveramp",$C976))),"thg-beauty Liveramp dataset — confirmed safe to delete",$A976="agile-bonbon-662",_xlfn.IFS(LEFT($G976,9)="Tranche 1","Tranche 1: cleared",$C976="Sessions_Level_1_All_Sites","Downstream aggregation of UA raw logs — keep if raw tables go",ISNUMBER(--$C976),"UA raw site logs (account ID) — keep pending audit-retention check",$C976="Emag_Reporting","Legacy but likely needed",$C976="Nutrition_Data_Archived_Tables","Worth keeping",$C976="EU_Data","Static lookup tables — scripts still reference (smoke-test risk)",TRUE,"Review"),OR($A976="thg-influencer",$A976="thg-ingenuity",$A976="thg-central-marketing",$A976="thg-seoclarity"),"HOLD — Charlie Stringer to review before deletion",TRUE,"")</f>
        <v>UA raw site logs (account ID) — keep pending audit-retention check</v>
      </c>
      <c r="S976" t="s">
        <v>1624</v>
      </c>
    </row>
    <row r="977" spans="1:19" ht="45.75" hidden="1">
      <c r="A977" t="s">
        <v>89</v>
      </c>
      <c r="B977" t="s">
        <v>1619</v>
      </c>
      <c r="C977" t="s">
        <v>680</v>
      </c>
      <c r="D977" s="2" t="s">
        <v>1621</v>
      </c>
      <c r="E977">
        <v>152.11000000000001</v>
      </c>
      <c r="F977">
        <v>3.04</v>
      </c>
      <c r="G977" t="s">
        <v>63</v>
      </c>
      <c r="H977" t="s">
        <v>3328</v>
      </c>
      <c r="I977">
        <v>35</v>
      </c>
      <c r="J977">
        <v>2274</v>
      </c>
      <c r="K977" s="5">
        <v>46161.598281481478</v>
      </c>
      <c r="M977" s="2" t="s">
        <v>3407</v>
      </c>
      <c r="N977" s="2" t="s">
        <v>1701</v>
      </c>
      <c r="O977" s="5">
        <v>43922.678202395837</v>
      </c>
      <c r="P977" t="str">
        <f>IF($Q977="DELETE",IF($S977="CONFIRMED: NO MODS &gt; 1YR","CONFIRMED: NO MODS &gt; 1YR","DO NOT DELETE — not defensibly confirmed"),IF($Q977="HOLD","DO NOT DELETE — HOLD (Charlie review)",IF($Q977="KEEP","DO NOT DELETE — KEEP",IF(ISNUMBER(SEARCH("REVIEW",$Q977)),"DO NOT DELETE — REVIEW pending",$S977))))</f>
        <v>DO NOT DELETE — REVIEW pending</v>
      </c>
      <c r="Q977" t="str" cm="1">
        <f t="array" ref="Q977">_xlfn.IFS(AND($A977="thg-beauty",ISNUMBER(SEARCH("liveramp",$C977))),"DELETE",$A977="agile-bonbon-662",_xlfn.IFS(LEFT($G977,9)="Tranche 1","DELETE",$C977="Sessions_Level_1_All_Sites","KEEP",ISNUMBER(--$C977),"REVIEW — UA raw logs",$C977="Emag_Reporting","KEEP",$C977="Nutrition_Data_Archived_Tables","KEEP",$C977="EU_Data","KEEP",TRUE,"REVIEW"),OR($A977="thg-influencer",$A977="thg-ingenuity",$A977="thg-central-marketing",$A977="thg-seoclarity"),"HOLD",TRUE,"")</f>
        <v>REVIEW — UA raw logs</v>
      </c>
      <c r="R977" t="str" cm="1">
        <f t="array" ref="R977">_xlfn.IFS(AND($A977="thg-beauty",ISNUMBER(SEARCH("liveramp",$C977))),"thg-beauty Liveramp dataset — confirmed safe to delete",$A977="agile-bonbon-662",_xlfn.IFS(LEFT($G977,9)="Tranche 1","Tranche 1: cleared",$C977="Sessions_Level_1_All_Sites","Downstream aggregation of UA raw logs — keep if raw tables go",ISNUMBER(--$C977),"UA raw site logs (account ID) — keep pending audit-retention check",$C977="Emag_Reporting","Legacy but likely needed",$C977="Nutrition_Data_Archived_Tables","Worth keeping",$C977="EU_Data","Static lookup tables — scripts still reference (smoke-test risk)",TRUE,"Review"),OR($A977="thg-influencer",$A977="thg-ingenuity",$A977="thg-central-marketing",$A977="thg-seoclarity"),"HOLD — Charlie Stringer to review before deletion",TRUE,"")</f>
        <v>UA raw site logs (account ID) — keep pending audit-retention check</v>
      </c>
      <c r="S977" t="s">
        <v>1624</v>
      </c>
    </row>
    <row r="978" spans="1:19" ht="45.75" hidden="1">
      <c r="A978" t="s">
        <v>89</v>
      </c>
      <c r="B978" t="s">
        <v>1619</v>
      </c>
      <c r="C978" t="s">
        <v>685</v>
      </c>
      <c r="D978" s="2" t="s">
        <v>1621</v>
      </c>
      <c r="E978">
        <v>146.04</v>
      </c>
      <c r="F978">
        <v>2.92</v>
      </c>
      <c r="G978" t="s">
        <v>63</v>
      </c>
      <c r="H978" t="s">
        <v>3328</v>
      </c>
      <c r="I978">
        <v>35</v>
      </c>
      <c r="J978">
        <v>723</v>
      </c>
      <c r="K978" s="5">
        <v>46161.596903807869</v>
      </c>
      <c r="M978" s="2" t="s">
        <v>3411</v>
      </c>
      <c r="N978" s="2" t="s">
        <v>1701</v>
      </c>
      <c r="O978" s="5">
        <v>45474.338079027781</v>
      </c>
      <c r="P978" t="str">
        <f>IF($Q978="DELETE",IF($S978="CONFIRMED: NO MODS &gt; 1YR","CONFIRMED: NO MODS &gt; 1YR","DO NOT DELETE — not defensibly confirmed"),IF($Q978="HOLD","DO NOT DELETE — HOLD (Charlie review)",IF($Q978="KEEP","DO NOT DELETE — KEEP",IF(ISNUMBER(SEARCH("REVIEW",$Q978)),"DO NOT DELETE — REVIEW pending",$S978))))</f>
        <v>DO NOT DELETE — REVIEW pending</v>
      </c>
      <c r="Q978" t="str" cm="1">
        <f t="array" ref="Q978">_xlfn.IFS(AND($A978="thg-beauty",ISNUMBER(SEARCH("liveramp",$C978))),"DELETE",$A978="agile-bonbon-662",_xlfn.IFS(LEFT($G978,9)="Tranche 1","DELETE",$C978="Sessions_Level_1_All_Sites","KEEP",ISNUMBER(--$C978),"REVIEW — UA raw logs",$C978="Emag_Reporting","KEEP",$C978="Nutrition_Data_Archived_Tables","KEEP",$C978="EU_Data","KEEP",TRUE,"REVIEW"),OR($A978="thg-influencer",$A978="thg-ingenuity",$A978="thg-central-marketing",$A978="thg-seoclarity"),"HOLD",TRUE,"")</f>
        <v>REVIEW — UA raw logs</v>
      </c>
      <c r="R978" t="str" cm="1">
        <f t="array" ref="R978">_xlfn.IFS(AND($A978="thg-beauty",ISNUMBER(SEARCH("liveramp",$C978))),"thg-beauty Liveramp dataset — confirmed safe to delete",$A978="agile-bonbon-662",_xlfn.IFS(LEFT($G978,9)="Tranche 1","Tranche 1: cleared",$C978="Sessions_Level_1_All_Sites","Downstream aggregation of UA raw logs — keep if raw tables go",ISNUMBER(--$C978),"UA raw site logs (account ID) — keep pending audit-retention check",$C978="Emag_Reporting","Legacy but likely needed",$C978="Nutrition_Data_Archived_Tables","Worth keeping",$C978="EU_Data","Static lookup tables — scripts still reference (smoke-test risk)",TRUE,"Review"),OR($A978="thg-influencer",$A978="thg-ingenuity",$A978="thg-central-marketing",$A978="thg-seoclarity"),"HOLD — Charlie Stringer to review before deletion",TRUE,"")</f>
        <v>UA raw site logs (account ID) — keep pending audit-retention check</v>
      </c>
      <c r="S978" t="s">
        <v>1624</v>
      </c>
    </row>
    <row r="979" spans="1:19" ht="45.75" hidden="1">
      <c r="A979" t="s">
        <v>89</v>
      </c>
      <c r="B979" t="s">
        <v>1619</v>
      </c>
      <c r="C979" t="s">
        <v>689</v>
      </c>
      <c r="D979" s="2" t="s">
        <v>1621</v>
      </c>
      <c r="E979">
        <v>144.97</v>
      </c>
      <c r="F979">
        <v>2.9</v>
      </c>
      <c r="G979" t="s">
        <v>63</v>
      </c>
      <c r="H979" t="s">
        <v>3328</v>
      </c>
      <c r="I979">
        <v>35</v>
      </c>
      <c r="J979">
        <v>723</v>
      </c>
      <c r="K979" s="5">
        <v>46161.588730000003</v>
      </c>
      <c r="M979" s="2" t="s">
        <v>3403</v>
      </c>
      <c r="N979" s="2" t="s">
        <v>1701</v>
      </c>
      <c r="O979" s="5">
        <v>45474.274329791668</v>
      </c>
      <c r="P979" t="str">
        <f>IF($Q979="DELETE",IF($S979="CONFIRMED: NO MODS &gt; 1YR","CONFIRMED: NO MODS &gt; 1YR","DO NOT DELETE — not defensibly confirmed"),IF($Q979="HOLD","DO NOT DELETE — HOLD (Charlie review)",IF($Q979="KEEP","DO NOT DELETE — KEEP",IF(ISNUMBER(SEARCH("REVIEW",$Q979)),"DO NOT DELETE — REVIEW pending",$S979))))</f>
        <v>DO NOT DELETE — REVIEW pending</v>
      </c>
      <c r="Q979" t="str" cm="1">
        <f t="array" ref="Q979">_xlfn.IFS(AND($A979="thg-beauty",ISNUMBER(SEARCH("liveramp",$C979))),"DELETE",$A979="agile-bonbon-662",_xlfn.IFS(LEFT($G979,9)="Tranche 1","DELETE",$C979="Sessions_Level_1_All_Sites","KEEP",ISNUMBER(--$C979),"REVIEW — UA raw logs",$C979="Emag_Reporting","KEEP",$C979="Nutrition_Data_Archived_Tables","KEEP",$C979="EU_Data","KEEP",TRUE,"REVIEW"),OR($A979="thg-influencer",$A979="thg-ingenuity",$A979="thg-central-marketing",$A979="thg-seoclarity"),"HOLD",TRUE,"")</f>
        <v>REVIEW — UA raw logs</v>
      </c>
      <c r="R979" t="str" cm="1">
        <f t="array" ref="R979">_xlfn.IFS(AND($A979="thg-beauty",ISNUMBER(SEARCH("liveramp",$C979))),"thg-beauty Liveramp dataset — confirmed safe to delete",$A979="agile-bonbon-662",_xlfn.IFS(LEFT($G979,9)="Tranche 1","Tranche 1: cleared",$C979="Sessions_Level_1_All_Sites","Downstream aggregation of UA raw logs — keep if raw tables go",ISNUMBER(--$C979),"UA raw site logs (account ID) — keep pending audit-retention check",$C979="Emag_Reporting","Legacy but likely needed",$C979="Nutrition_Data_Archived_Tables","Worth keeping",$C979="EU_Data","Static lookup tables — scripts still reference (smoke-test risk)",TRUE,"Review"),OR($A979="thg-influencer",$A979="thg-ingenuity",$A979="thg-central-marketing",$A979="thg-seoclarity"),"HOLD — Charlie Stringer to review before deletion",TRUE,"")</f>
        <v>UA raw site logs (account ID) — keep pending audit-retention check</v>
      </c>
      <c r="S979" t="s">
        <v>1624</v>
      </c>
    </row>
    <row r="980" spans="1:19" ht="60.75" hidden="1">
      <c r="A980" t="s">
        <v>89</v>
      </c>
      <c r="B980" t="s">
        <v>1619</v>
      </c>
      <c r="C980" t="s">
        <v>693</v>
      </c>
      <c r="D980" s="2" t="s">
        <v>1621</v>
      </c>
      <c r="E980">
        <v>144.26</v>
      </c>
      <c r="F980">
        <v>2.89</v>
      </c>
      <c r="G980" t="s">
        <v>63</v>
      </c>
      <c r="H980" t="s">
        <v>3328</v>
      </c>
      <c r="I980">
        <v>35</v>
      </c>
      <c r="J980">
        <v>714</v>
      </c>
      <c r="K980" s="5">
        <v>46161.581502546287</v>
      </c>
      <c r="M980" s="2" t="s">
        <v>2032</v>
      </c>
      <c r="N980" s="2" t="s">
        <v>1701</v>
      </c>
      <c r="O980" s="5">
        <v>45482.500558344909</v>
      </c>
      <c r="P980" t="str">
        <f>IF($Q980="DELETE",IF($S980="CONFIRMED: NO MODS &gt; 1YR","CONFIRMED: NO MODS &gt; 1YR","DO NOT DELETE — not defensibly confirmed"),IF($Q980="HOLD","DO NOT DELETE — HOLD (Charlie review)",IF($Q980="KEEP","DO NOT DELETE — KEEP",IF(ISNUMBER(SEARCH("REVIEW",$Q980)),"DO NOT DELETE — REVIEW pending",$S980))))</f>
        <v>DO NOT DELETE — REVIEW pending</v>
      </c>
      <c r="Q980" t="str" cm="1">
        <f t="array" ref="Q980">_xlfn.IFS(AND($A980="thg-beauty",ISNUMBER(SEARCH("liveramp",$C980))),"DELETE",$A980="agile-bonbon-662",_xlfn.IFS(LEFT($G980,9)="Tranche 1","DELETE",$C980="Sessions_Level_1_All_Sites","KEEP",ISNUMBER(--$C980),"REVIEW — UA raw logs",$C980="Emag_Reporting","KEEP",$C980="Nutrition_Data_Archived_Tables","KEEP",$C980="EU_Data","KEEP",TRUE,"REVIEW"),OR($A980="thg-influencer",$A980="thg-ingenuity",$A980="thg-central-marketing",$A980="thg-seoclarity"),"HOLD",TRUE,"")</f>
        <v>REVIEW</v>
      </c>
      <c r="R980" t="str" cm="1">
        <f t="array" ref="R980">_xlfn.IFS(AND($A980="thg-beauty",ISNUMBER(SEARCH("liveramp",$C980))),"thg-beauty Liveramp dataset — confirmed safe to delete",$A980="agile-bonbon-662",_xlfn.IFS(LEFT($G980,9)="Tranche 1","Tranche 1: cleared",$C980="Sessions_Level_1_All_Sites","Downstream aggregation of UA raw logs — keep if raw tables go",ISNUMBER(--$C980),"UA raw site logs (account ID) — keep pending audit-retention check",$C980="Emag_Reporting","Legacy but likely needed",$C980="Nutrition_Data_Archived_Tables","Worth keeping",$C980="EU_Data","Static lookup tables — scripts still reference (smoke-test risk)",TRUE,"Review"),OR($A980="thg-influencer",$A980="thg-ingenuity",$A980="thg-central-marketing",$A980="thg-seoclarity"),"HOLD — Charlie Stringer to review before deletion",TRUE,"")</f>
        <v>Review</v>
      </c>
      <c r="S980" t="s">
        <v>1624</v>
      </c>
    </row>
    <row r="981" spans="1:19" ht="45.75" hidden="1">
      <c r="A981" t="s">
        <v>89</v>
      </c>
      <c r="B981" t="s">
        <v>1619</v>
      </c>
      <c r="C981" t="s">
        <v>703</v>
      </c>
      <c r="D981" s="2" t="s">
        <v>1621</v>
      </c>
      <c r="E981">
        <v>141.57</v>
      </c>
      <c r="F981">
        <v>2.83</v>
      </c>
      <c r="G981" t="s">
        <v>63</v>
      </c>
      <c r="H981" t="s">
        <v>3328</v>
      </c>
      <c r="I981">
        <v>35</v>
      </c>
      <c r="J981">
        <v>866</v>
      </c>
      <c r="K981" s="5">
        <v>46161.592282164347</v>
      </c>
      <c r="M981" s="2" t="s">
        <v>3448</v>
      </c>
      <c r="N981" s="2" t="s">
        <v>1701</v>
      </c>
      <c r="O981" s="5">
        <v>45331.33379074074</v>
      </c>
      <c r="P981" t="str">
        <f>IF($Q981="DELETE",IF($S981="CONFIRMED: NO MODS &gt; 1YR","CONFIRMED: NO MODS &gt; 1YR","DO NOT DELETE — not defensibly confirmed"),IF($Q981="HOLD","DO NOT DELETE — HOLD (Charlie review)",IF($Q981="KEEP","DO NOT DELETE — KEEP",IF(ISNUMBER(SEARCH("REVIEW",$Q981)),"DO NOT DELETE — REVIEW pending",$S981))))</f>
        <v>DO NOT DELETE — REVIEW pending</v>
      </c>
      <c r="Q981" t="str" cm="1">
        <f t="array" ref="Q981">_xlfn.IFS(AND($A981="thg-beauty",ISNUMBER(SEARCH("liveramp",$C981))),"DELETE",$A981="agile-bonbon-662",_xlfn.IFS(LEFT($G981,9)="Tranche 1","DELETE",$C981="Sessions_Level_1_All_Sites","KEEP",ISNUMBER(--$C981),"REVIEW — UA raw logs",$C981="Emag_Reporting","KEEP",$C981="Nutrition_Data_Archived_Tables","KEEP",$C981="EU_Data","KEEP",TRUE,"REVIEW"),OR($A981="thg-influencer",$A981="thg-ingenuity",$A981="thg-central-marketing",$A981="thg-seoclarity"),"HOLD",TRUE,"")</f>
        <v>REVIEW — UA raw logs</v>
      </c>
      <c r="R981" t="str" cm="1">
        <f t="array" ref="R981">_xlfn.IFS(AND($A981="thg-beauty",ISNUMBER(SEARCH("liveramp",$C981))),"thg-beauty Liveramp dataset — confirmed safe to delete",$A981="agile-bonbon-662",_xlfn.IFS(LEFT($G981,9)="Tranche 1","Tranche 1: cleared",$C981="Sessions_Level_1_All_Sites","Downstream aggregation of UA raw logs — keep if raw tables go",ISNUMBER(--$C981),"UA raw site logs (account ID) — keep pending audit-retention check",$C981="Emag_Reporting","Legacy but likely needed",$C981="Nutrition_Data_Archived_Tables","Worth keeping",$C981="EU_Data","Static lookup tables — scripts still reference (smoke-test risk)",TRUE,"Review"),OR($A981="thg-influencer",$A981="thg-ingenuity",$A981="thg-central-marketing",$A981="thg-seoclarity"),"HOLD — Charlie Stringer to review before deletion",TRUE,"")</f>
        <v>UA raw site logs (account ID) — keep pending audit-retention check</v>
      </c>
      <c r="S981" t="s">
        <v>1624</v>
      </c>
    </row>
    <row r="982" spans="1:19" ht="45.75" hidden="1">
      <c r="A982" t="s">
        <v>89</v>
      </c>
      <c r="B982" t="s">
        <v>1619</v>
      </c>
      <c r="C982" t="s">
        <v>708</v>
      </c>
      <c r="D982" s="2" t="s">
        <v>1621</v>
      </c>
      <c r="E982">
        <v>137.57</v>
      </c>
      <c r="F982">
        <v>2.75</v>
      </c>
      <c r="G982" t="s">
        <v>63</v>
      </c>
      <c r="H982" t="s">
        <v>3328</v>
      </c>
      <c r="I982">
        <v>35</v>
      </c>
      <c r="J982">
        <v>723</v>
      </c>
      <c r="K982" s="5">
        <v>46161.589055729157</v>
      </c>
      <c r="M982" s="2" t="s">
        <v>3409</v>
      </c>
      <c r="N982" s="2" t="s">
        <v>1701</v>
      </c>
      <c r="O982" s="5">
        <v>45474.251882222219</v>
      </c>
      <c r="P982" t="str">
        <f>IF($Q982="DELETE",IF($S982="CONFIRMED: NO MODS &gt; 1YR","CONFIRMED: NO MODS &gt; 1YR","DO NOT DELETE — not defensibly confirmed"),IF($Q982="HOLD","DO NOT DELETE — HOLD (Charlie review)",IF($Q982="KEEP","DO NOT DELETE — KEEP",IF(ISNUMBER(SEARCH("REVIEW",$Q982)),"DO NOT DELETE — REVIEW pending",$S982))))</f>
        <v>DO NOT DELETE — REVIEW pending</v>
      </c>
      <c r="Q982" t="str" cm="1">
        <f t="array" ref="Q982">_xlfn.IFS(AND($A982="thg-beauty",ISNUMBER(SEARCH("liveramp",$C982))),"DELETE",$A982="agile-bonbon-662",_xlfn.IFS(LEFT($G982,9)="Tranche 1","DELETE",$C982="Sessions_Level_1_All_Sites","KEEP",ISNUMBER(--$C982),"REVIEW — UA raw logs",$C982="Emag_Reporting","KEEP",$C982="Nutrition_Data_Archived_Tables","KEEP",$C982="EU_Data","KEEP",TRUE,"REVIEW"),OR($A982="thg-influencer",$A982="thg-ingenuity",$A982="thg-central-marketing",$A982="thg-seoclarity"),"HOLD",TRUE,"")</f>
        <v>REVIEW — UA raw logs</v>
      </c>
      <c r="R982" t="str" cm="1">
        <f t="array" ref="R982">_xlfn.IFS(AND($A982="thg-beauty",ISNUMBER(SEARCH("liveramp",$C982))),"thg-beauty Liveramp dataset — confirmed safe to delete",$A982="agile-bonbon-662",_xlfn.IFS(LEFT($G982,9)="Tranche 1","Tranche 1: cleared",$C982="Sessions_Level_1_All_Sites","Downstream aggregation of UA raw logs — keep if raw tables go",ISNUMBER(--$C982),"UA raw site logs (account ID) — keep pending audit-retention check",$C982="Emag_Reporting","Legacy but likely needed",$C982="Nutrition_Data_Archived_Tables","Worth keeping",$C982="EU_Data","Static lookup tables — scripts still reference (smoke-test risk)",TRUE,"Review"),OR($A982="thg-influencer",$A982="thg-ingenuity",$A982="thg-central-marketing",$A982="thg-seoclarity"),"HOLD — Charlie Stringer to review before deletion",TRUE,"")</f>
        <v>UA raw site logs (account ID) — keep pending audit-retention check</v>
      </c>
      <c r="S982" t="s">
        <v>1624</v>
      </c>
    </row>
    <row r="983" spans="1:19" ht="45.75" hidden="1">
      <c r="A983" t="s">
        <v>89</v>
      </c>
      <c r="B983" t="s">
        <v>1619</v>
      </c>
      <c r="C983" t="s">
        <v>712</v>
      </c>
      <c r="D983" s="2" t="s">
        <v>1621</v>
      </c>
      <c r="E983">
        <v>136.66</v>
      </c>
      <c r="F983">
        <v>2.73</v>
      </c>
      <c r="G983" t="s">
        <v>63</v>
      </c>
      <c r="H983" t="s">
        <v>3328</v>
      </c>
      <c r="I983">
        <v>35</v>
      </c>
      <c r="J983">
        <v>935</v>
      </c>
      <c r="K983" s="5">
        <v>46161.616619375003</v>
      </c>
      <c r="M983" s="2" t="s">
        <v>1984</v>
      </c>
      <c r="N983" s="2" t="s">
        <v>1701</v>
      </c>
      <c r="O983" s="5">
        <v>45262.327319861113</v>
      </c>
      <c r="P983" t="str">
        <f>IF($Q983="DELETE",IF($S983="CONFIRMED: NO MODS &gt; 1YR","CONFIRMED: NO MODS &gt; 1YR","DO NOT DELETE — not defensibly confirmed"),IF($Q983="HOLD","DO NOT DELETE — HOLD (Charlie review)",IF($Q983="KEEP","DO NOT DELETE — KEEP",IF(ISNUMBER(SEARCH("REVIEW",$Q983)),"DO NOT DELETE — REVIEW pending",$S983))))</f>
        <v>DO NOT DELETE — REVIEW pending</v>
      </c>
      <c r="Q983" t="str" cm="1">
        <f t="array" ref="Q983">_xlfn.IFS(AND($A983="thg-beauty",ISNUMBER(SEARCH("liveramp",$C983))),"DELETE",$A983="agile-bonbon-662",_xlfn.IFS(LEFT($G983,9)="Tranche 1","DELETE",$C983="Sessions_Level_1_All_Sites","KEEP",ISNUMBER(--$C983),"REVIEW — UA raw logs",$C983="Emag_Reporting","KEEP",$C983="Nutrition_Data_Archived_Tables","KEEP",$C983="EU_Data","KEEP",TRUE,"REVIEW"),OR($A983="thg-influencer",$A983="thg-ingenuity",$A983="thg-central-marketing",$A983="thg-seoclarity"),"HOLD",TRUE,"")</f>
        <v>REVIEW</v>
      </c>
      <c r="R983" t="str" cm="1">
        <f t="array" ref="R983">_xlfn.IFS(AND($A983="thg-beauty",ISNUMBER(SEARCH("liveramp",$C983))),"thg-beauty Liveramp dataset — confirmed safe to delete",$A983="agile-bonbon-662",_xlfn.IFS(LEFT($G983,9)="Tranche 1","Tranche 1: cleared",$C983="Sessions_Level_1_All_Sites","Downstream aggregation of UA raw logs — keep if raw tables go",ISNUMBER(--$C983),"UA raw site logs (account ID) — keep pending audit-retention check",$C983="Emag_Reporting","Legacy but likely needed",$C983="Nutrition_Data_Archived_Tables","Worth keeping",$C983="EU_Data","Static lookup tables — scripts still reference (smoke-test risk)",TRUE,"Review"),OR($A983="thg-influencer",$A983="thg-ingenuity",$A983="thg-central-marketing",$A983="thg-seoclarity"),"HOLD — Charlie Stringer to review before deletion",TRUE,"")</f>
        <v>Review</v>
      </c>
      <c r="S983" t="s">
        <v>1624</v>
      </c>
    </row>
    <row r="984" spans="1:19" ht="45.75" hidden="1">
      <c r="A984" t="s">
        <v>89</v>
      </c>
      <c r="B984" t="s">
        <v>1619</v>
      </c>
      <c r="C984" t="s">
        <v>727</v>
      </c>
      <c r="D984" s="2" t="s">
        <v>1621</v>
      </c>
      <c r="E984">
        <v>130.30000000000001</v>
      </c>
      <c r="F984">
        <v>2.61</v>
      </c>
      <c r="G984" t="s">
        <v>63</v>
      </c>
      <c r="H984" t="s">
        <v>3328</v>
      </c>
      <c r="I984">
        <v>35</v>
      </c>
      <c r="J984">
        <v>723</v>
      </c>
      <c r="K984" s="5">
        <v>46161.600974803237</v>
      </c>
      <c r="M984" s="2" t="s">
        <v>3420</v>
      </c>
      <c r="N984" s="2" t="s">
        <v>1701</v>
      </c>
      <c r="O984" s="5">
        <v>45474.339797546287</v>
      </c>
      <c r="P984" t="str">
        <f>IF($Q984="DELETE",IF($S984="CONFIRMED: NO MODS &gt; 1YR","CONFIRMED: NO MODS &gt; 1YR","DO NOT DELETE — not defensibly confirmed"),IF($Q984="HOLD","DO NOT DELETE — HOLD (Charlie review)",IF($Q984="KEEP","DO NOT DELETE — KEEP",IF(ISNUMBER(SEARCH("REVIEW",$Q984)),"DO NOT DELETE — REVIEW pending",$S984))))</f>
        <v>DO NOT DELETE — REVIEW pending</v>
      </c>
      <c r="Q984" t="str" cm="1">
        <f t="array" ref="Q984">_xlfn.IFS(AND($A984="thg-beauty",ISNUMBER(SEARCH("liveramp",$C984))),"DELETE",$A984="agile-bonbon-662",_xlfn.IFS(LEFT($G984,9)="Tranche 1","DELETE",$C984="Sessions_Level_1_All_Sites","KEEP",ISNUMBER(--$C984),"REVIEW — UA raw logs",$C984="Emag_Reporting","KEEP",$C984="Nutrition_Data_Archived_Tables","KEEP",$C984="EU_Data","KEEP",TRUE,"REVIEW"),OR($A984="thg-influencer",$A984="thg-ingenuity",$A984="thg-central-marketing",$A984="thg-seoclarity"),"HOLD",TRUE,"")</f>
        <v>REVIEW — UA raw logs</v>
      </c>
      <c r="R984" t="str" cm="1">
        <f t="array" ref="R984">_xlfn.IFS(AND($A984="thg-beauty",ISNUMBER(SEARCH("liveramp",$C984))),"thg-beauty Liveramp dataset — confirmed safe to delete",$A984="agile-bonbon-662",_xlfn.IFS(LEFT($G984,9)="Tranche 1","Tranche 1: cleared",$C984="Sessions_Level_1_All_Sites","Downstream aggregation of UA raw logs — keep if raw tables go",ISNUMBER(--$C984),"UA raw site logs (account ID) — keep pending audit-retention check",$C984="Emag_Reporting","Legacy but likely needed",$C984="Nutrition_Data_Archived_Tables","Worth keeping",$C984="EU_Data","Static lookup tables — scripts still reference (smoke-test risk)",TRUE,"Review"),OR($A984="thg-influencer",$A984="thg-ingenuity",$A984="thg-central-marketing",$A984="thg-seoclarity"),"HOLD — Charlie Stringer to review before deletion",TRUE,"")</f>
        <v>UA raw site logs (account ID) — keep pending audit-retention check</v>
      </c>
      <c r="S984" t="s">
        <v>1624</v>
      </c>
    </row>
    <row r="985" spans="1:19" ht="45.75" hidden="1">
      <c r="A985" t="s">
        <v>89</v>
      </c>
      <c r="B985" t="s">
        <v>1619</v>
      </c>
      <c r="C985" t="s">
        <v>731</v>
      </c>
      <c r="D985" s="2" t="s">
        <v>1621</v>
      </c>
      <c r="E985">
        <v>126.85</v>
      </c>
      <c r="F985">
        <v>2.54</v>
      </c>
      <c r="G985" t="s">
        <v>63</v>
      </c>
      <c r="H985" t="s">
        <v>3328</v>
      </c>
      <c r="I985">
        <v>35</v>
      </c>
      <c r="J985">
        <v>724</v>
      </c>
      <c r="K985" s="5">
        <v>46161.597043449066</v>
      </c>
      <c r="M985" s="2" t="s">
        <v>3411</v>
      </c>
      <c r="N985" s="2" t="s">
        <v>1701</v>
      </c>
      <c r="O985" s="5">
        <v>45473.238083703713</v>
      </c>
      <c r="P985" t="str">
        <f>IF($Q985="DELETE",IF($S985="CONFIRMED: NO MODS &gt; 1YR","CONFIRMED: NO MODS &gt; 1YR","DO NOT DELETE — not defensibly confirmed"),IF($Q985="HOLD","DO NOT DELETE — HOLD (Charlie review)",IF($Q985="KEEP","DO NOT DELETE — KEEP",IF(ISNUMBER(SEARCH("REVIEW",$Q985)),"DO NOT DELETE — REVIEW pending",$S985))))</f>
        <v>DO NOT DELETE — REVIEW pending</v>
      </c>
      <c r="Q985" t="str" cm="1">
        <f t="array" ref="Q985">_xlfn.IFS(AND($A985="thg-beauty",ISNUMBER(SEARCH("liveramp",$C985))),"DELETE",$A985="agile-bonbon-662",_xlfn.IFS(LEFT($G985,9)="Tranche 1","DELETE",$C985="Sessions_Level_1_All_Sites","KEEP",ISNUMBER(--$C985),"REVIEW — UA raw logs",$C985="Emag_Reporting","KEEP",$C985="Nutrition_Data_Archived_Tables","KEEP",$C985="EU_Data","KEEP",TRUE,"REVIEW"),OR($A985="thg-influencer",$A985="thg-ingenuity",$A985="thg-central-marketing",$A985="thg-seoclarity"),"HOLD",TRUE,"")</f>
        <v>REVIEW — UA raw logs</v>
      </c>
      <c r="R985" t="str" cm="1">
        <f t="array" ref="R985">_xlfn.IFS(AND($A985="thg-beauty",ISNUMBER(SEARCH("liveramp",$C985))),"thg-beauty Liveramp dataset — confirmed safe to delete",$A985="agile-bonbon-662",_xlfn.IFS(LEFT($G985,9)="Tranche 1","Tranche 1: cleared",$C985="Sessions_Level_1_All_Sites","Downstream aggregation of UA raw logs — keep if raw tables go",ISNUMBER(--$C985),"UA raw site logs (account ID) — keep pending audit-retention check",$C985="Emag_Reporting","Legacy but likely needed",$C985="Nutrition_Data_Archived_Tables","Worth keeping",$C985="EU_Data","Static lookup tables — scripts still reference (smoke-test risk)",TRUE,"Review"),OR($A985="thg-influencer",$A985="thg-ingenuity",$A985="thg-central-marketing",$A985="thg-seoclarity"),"HOLD — Charlie Stringer to review before deletion",TRUE,"")</f>
        <v>UA raw site logs (account ID) — keep pending audit-retention check</v>
      </c>
      <c r="S985" t="s">
        <v>1624</v>
      </c>
    </row>
    <row r="986" spans="1:19" ht="45.75" hidden="1">
      <c r="A986" t="s">
        <v>89</v>
      </c>
      <c r="B986" t="s">
        <v>1619</v>
      </c>
      <c r="C986" t="s">
        <v>735</v>
      </c>
      <c r="D986" s="2" t="s">
        <v>1621</v>
      </c>
      <c r="E986">
        <v>126.84</v>
      </c>
      <c r="F986">
        <v>2.54</v>
      </c>
      <c r="G986" t="s">
        <v>63</v>
      </c>
      <c r="H986" t="s">
        <v>3328</v>
      </c>
      <c r="I986">
        <v>35</v>
      </c>
      <c r="J986">
        <v>791</v>
      </c>
      <c r="K986" s="5">
        <v>46161.595521226853</v>
      </c>
      <c r="M986" s="2" t="s">
        <v>3426</v>
      </c>
      <c r="N986" s="2" t="s">
        <v>1701</v>
      </c>
      <c r="O986" s="5">
        <v>45406.309347372677</v>
      </c>
      <c r="P986" t="str">
        <f>IF($Q986="DELETE",IF($S986="CONFIRMED: NO MODS &gt; 1YR","CONFIRMED: NO MODS &gt; 1YR","DO NOT DELETE — not defensibly confirmed"),IF($Q986="HOLD","DO NOT DELETE — HOLD (Charlie review)",IF($Q986="KEEP","DO NOT DELETE — KEEP",IF(ISNUMBER(SEARCH("REVIEW",$Q986)),"DO NOT DELETE — REVIEW pending",$S986))))</f>
        <v>DO NOT DELETE — REVIEW pending</v>
      </c>
      <c r="Q986" t="str" cm="1">
        <f t="array" ref="Q986">_xlfn.IFS(AND($A986="thg-beauty",ISNUMBER(SEARCH("liveramp",$C986))),"DELETE",$A986="agile-bonbon-662",_xlfn.IFS(LEFT($G986,9)="Tranche 1","DELETE",$C986="Sessions_Level_1_All_Sites","KEEP",ISNUMBER(--$C986),"REVIEW — UA raw logs",$C986="Emag_Reporting","KEEP",$C986="Nutrition_Data_Archived_Tables","KEEP",$C986="EU_Data","KEEP",TRUE,"REVIEW"),OR($A986="thg-influencer",$A986="thg-ingenuity",$A986="thg-central-marketing",$A986="thg-seoclarity"),"HOLD",TRUE,"")</f>
        <v>REVIEW — UA raw logs</v>
      </c>
      <c r="R986" t="str" cm="1">
        <f t="array" ref="R986">_xlfn.IFS(AND($A986="thg-beauty",ISNUMBER(SEARCH("liveramp",$C986))),"thg-beauty Liveramp dataset — confirmed safe to delete",$A986="agile-bonbon-662",_xlfn.IFS(LEFT($G986,9)="Tranche 1","Tranche 1: cleared",$C986="Sessions_Level_1_All_Sites","Downstream aggregation of UA raw logs — keep if raw tables go",ISNUMBER(--$C986),"UA raw site logs (account ID) — keep pending audit-retention check",$C986="Emag_Reporting","Legacy but likely needed",$C986="Nutrition_Data_Archived_Tables","Worth keeping",$C986="EU_Data","Static lookup tables — scripts still reference (smoke-test risk)",TRUE,"Review"),OR($A986="thg-influencer",$A986="thg-ingenuity",$A986="thg-central-marketing",$A986="thg-seoclarity"),"HOLD — Charlie Stringer to review before deletion",TRUE,"")</f>
        <v>UA raw site logs (account ID) — keep pending audit-retention check</v>
      </c>
      <c r="S986" t="s">
        <v>1624</v>
      </c>
    </row>
    <row r="987" spans="1:19" ht="45.75" hidden="1">
      <c r="A987" t="s">
        <v>89</v>
      </c>
      <c r="B987" t="s">
        <v>1619</v>
      </c>
      <c r="C987" t="s">
        <v>740</v>
      </c>
      <c r="D987" s="2" t="s">
        <v>1621</v>
      </c>
      <c r="E987">
        <v>126.67</v>
      </c>
      <c r="F987">
        <v>2.5299999999999998</v>
      </c>
      <c r="G987" t="s">
        <v>63</v>
      </c>
      <c r="H987" t="s">
        <v>3328</v>
      </c>
      <c r="I987">
        <v>35</v>
      </c>
      <c r="J987">
        <v>1966</v>
      </c>
      <c r="K987" s="5">
        <v>46161.621541782413</v>
      </c>
      <c r="M987" s="2" t="s">
        <v>3359</v>
      </c>
      <c r="N987" s="2" t="s">
        <v>1701</v>
      </c>
      <c r="O987" s="5">
        <v>44230.705466944448</v>
      </c>
      <c r="P987" t="str">
        <f>IF($Q987="DELETE",IF($S987="CONFIRMED: NO MODS &gt; 1YR","CONFIRMED: NO MODS &gt; 1YR","DO NOT DELETE — not defensibly confirmed"),IF($Q987="HOLD","DO NOT DELETE — HOLD (Charlie review)",IF($Q987="KEEP","DO NOT DELETE — KEEP",IF(ISNUMBER(SEARCH("REVIEW",$Q987)),"DO NOT DELETE — REVIEW pending",$S987))))</f>
        <v>DO NOT DELETE — REVIEW pending</v>
      </c>
      <c r="Q987" t="str" cm="1">
        <f t="array" ref="Q987">_xlfn.IFS(AND($A987="thg-beauty",ISNUMBER(SEARCH("liveramp",$C987))),"DELETE",$A987="agile-bonbon-662",_xlfn.IFS(LEFT($G987,9)="Tranche 1","DELETE",$C987="Sessions_Level_1_All_Sites","KEEP",ISNUMBER(--$C987),"REVIEW — UA raw logs",$C987="Emag_Reporting","KEEP",$C987="Nutrition_Data_Archived_Tables","KEEP",$C987="EU_Data","KEEP",TRUE,"REVIEW"),OR($A987="thg-influencer",$A987="thg-ingenuity",$A987="thg-central-marketing",$A987="thg-seoclarity"),"HOLD",TRUE,"")</f>
        <v>REVIEW</v>
      </c>
      <c r="R987" t="str" cm="1">
        <f t="array" ref="R987">_xlfn.IFS(AND($A987="thg-beauty",ISNUMBER(SEARCH("liveramp",$C987))),"thg-beauty Liveramp dataset — confirmed safe to delete",$A987="agile-bonbon-662",_xlfn.IFS(LEFT($G987,9)="Tranche 1","Tranche 1: cleared",$C987="Sessions_Level_1_All_Sites","Downstream aggregation of UA raw logs — keep if raw tables go",ISNUMBER(--$C987),"UA raw site logs (account ID) — keep pending audit-retention check",$C987="Emag_Reporting","Legacy but likely needed",$C987="Nutrition_Data_Archived_Tables","Worth keeping",$C987="EU_Data","Static lookup tables — scripts still reference (smoke-test risk)",TRUE,"Review"),OR($A987="thg-influencer",$A987="thg-ingenuity",$A987="thg-central-marketing",$A987="thg-seoclarity"),"HOLD — Charlie Stringer to review before deletion",TRUE,"")</f>
        <v>Review</v>
      </c>
      <c r="S987" t="s">
        <v>1624</v>
      </c>
    </row>
    <row r="988" spans="1:19" ht="45.75" hidden="1">
      <c r="A988" t="s">
        <v>89</v>
      </c>
      <c r="B988" t="s">
        <v>1619</v>
      </c>
      <c r="C988" t="s">
        <v>744</v>
      </c>
      <c r="D988" s="2" t="s">
        <v>1621</v>
      </c>
      <c r="E988">
        <v>125.83</v>
      </c>
      <c r="F988">
        <v>2.52</v>
      </c>
      <c r="G988" t="s">
        <v>63</v>
      </c>
      <c r="H988" t="s">
        <v>3328</v>
      </c>
      <c r="I988">
        <v>35</v>
      </c>
      <c r="J988">
        <v>868</v>
      </c>
      <c r="K988" s="5">
        <v>46161.616563831019</v>
      </c>
      <c r="M988" s="2" t="s">
        <v>1984</v>
      </c>
      <c r="N988" s="2" t="s">
        <v>1701</v>
      </c>
      <c r="O988" s="5">
        <v>45329.437373807872</v>
      </c>
      <c r="P988" t="str">
        <f>IF($Q988="DELETE",IF($S988="CONFIRMED: NO MODS &gt; 1YR","CONFIRMED: NO MODS &gt; 1YR","DO NOT DELETE — not defensibly confirmed"),IF($Q988="HOLD","DO NOT DELETE — HOLD (Charlie review)",IF($Q988="KEEP","DO NOT DELETE — KEEP",IF(ISNUMBER(SEARCH("REVIEW",$Q988)),"DO NOT DELETE — REVIEW pending",$S988))))</f>
        <v>DO NOT DELETE — REVIEW pending</v>
      </c>
      <c r="Q988" t="str" cm="1">
        <f t="array" ref="Q988">_xlfn.IFS(AND($A988="thg-beauty",ISNUMBER(SEARCH("liveramp",$C988))),"DELETE",$A988="agile-bonbon-662",_xlfn.IFS(LEFT($G988,9)="Tranche 1","DELETE",$C988="Sessions_Level_1_All_Sites","KEEP",ISNUMBER(--$C988),"REVIEW — UA raw logs",$C988="Emag_Reporting","KEEP",$C988="Nutrition_Data_Archived_Tables","KEEP",$C988="EU_Data","KEEP",TRUE,"REVIEW"),OR($A988="thg-influencer",$A988="thg-ingenuity",$A988="thg-central-marketing",$A988="thg-seoclarity"),"HOLD",TRUE,"")</f>
        <v>REVIEW</v>
      </c>
      <c r="R988" t="str" cm="1">
        <f t="array" ref="R988">_xlfn.IFS(AND($A988="thg-beauty",ISNUMBER(SEARCH("liveramp",$C988))),"thg-beauty Liveramp dataset — confirmed safe to delete",$A988="agile-bonbon-662",_xlfn.IFS(LEFT($G988,9)="Tranche 1","Tranche 1: cleared",$C988="Sessions_Level_1_All_Sites","Downstream aggregation of UA raw logs — keep if raw tables go",ISNUMBER(--$C988),"UA raw site logs (account ID) — keep pending audit-retention check",$C988="Emag_Reporting","Legacy but likely needed",$C988="Nutrition_Data_Archived_Tables","Worth keeping",$C988="EU_Data","Static lookup tables — scripts still reference (smoke-test risk)",TRUE,"Review"),OR($A988="thg-influencer",$A988="thg-ingenuity",$A988="thg-central-marketing",$A988="thg-seoclarity"),"HOLD — Charlie Stringer to review before deletion",TRUE,"")</f>
        <v>Review</v>
      </c>
      <c r="S988" t="s">
        <v>1624</v>
      </c>
    </row>
    <row r="989" spans="1:19" ht="45.75" hidden="1">
      <c r="A989" t="s">
        <v>89</v>
      </c>
      <c r="B989" t="s">
        <v>1619</v>
      </c>
      <c r="C989" t="s">
        <v>749</v>
      </c>
      <c r="D989" s="2" t="s">
        <v>1621</v>
      </c>
      <c r="E989">
        <v>118.61</v>
      </c>
      <c r="F989">
        <v>2.37</v>
      </c>
      <c r="G989" t="s">
        <v>63</v>
      </c>
      <c r="H989" t="s">
        <v>3328</v>
      </c>
      <c r="I989">
        <v>35</v>
      </c>
      <c r="J989">
        <v>723</v>
      </c>
      <c r="K989" s="5">
        <v>46161.582895902779</v>
      </c>
      <c r="M989" s="2" t="s">
        <v>3423</v>
      </c>
      <c r="N989" s="2" t="s">
        <v>1701</v>
      </c>
      <c r="O989" s="5">
        <v>45474.336153634264</v>
      </c>
      <c r="P989" t="str">
        <f>IF($Q989="DELETE",IF($S989="CONFIRMED: NO MODS &gt; 1YR","CONFIRMED: NO MODS &gt; 1YR","DO NOT DELETE — not defensibly confirmed"),IF($Q989="HOLD","DO NOT DELETE — HOLD (Charlie review)",IF($Q989="KEEP","DO NOT DELETE — KEEP",IF(ISNUMBER(SEARCH("REVIEW",$Q989)),"DO NOT DELETE — REVIEW pending",$S989))))</f>
        <v>DO NOT DELETE — REVIEW pending</v>
      </c>
      <c r="Q989" t="str" cm="1">
        <f t="array" ref="Q989">_xlfn.IFS(AND($A989="thg-beauty",ISNUMBER(SEARCH("liveramp",$C989))),"DELETE",$A989="agile-bonbon-662",_xlfn.IFS(LEFT($G989,9)="Tranche 1","DELETE",$C989="Sessions_Level_1_All_Sites","KEEP",ISNUMBER(--$C989),"REVIEW — UA raw logs",$C989="Emag_Reporting","KEEP",$C989="Nutrition_Data_Archived_Tables","KEEP",$C989="EU_Data","KEEP",TRUE,"REVIEW"),OR($A989="thg-influencer",$A989="thg-ingenuity",$A989="thg-central-marketing",$A989="thg-seoclarity"),"HOLD",TRUE,"")</f>
        <v>REVIEW — UA raw logs</v>
      </c>
      <c r="R989" t="str" cm="1">
        <f t="array" ref="R989">_xlfn.IFS(AND($A989="thg-beauty",ISNUMBER(SEARCH("liveramp",$C989))),"thg-beauty Liveramp dataset — confirmed safe to delete",$A989="agile-bonbon-662",_xlfn.IFS(LEFT($G989,9)="Tranche 1","Tranche 1: cleared",$C989="Sessions_Level_1_All_Sites","Downstream aggregation of UA raw logs — keep if raw tables go",ISNUMBER(--$C989),"UA raw site logs (account ID) — keep pending audit-retention check",$C989="Emag_Reporting","Legacy but likely needed",$C989="Nutrition_Data_Archived_Tables","Worth keeping",$C989="EU_Data","Static lookup tables — scripts still reference (smoke-test risk)",TRUE,"Review"),OR($A989="thg-influencer",$A989="thg-ingenuity",$A989="thg-central-marketing",$A989="thg-seoclarity"),"HOLD — Charlie Stringer to review before deletion",TRUE,"")</f>
        <v>UA raw site logs (account ID) — keep pending audit-retention check</v>
      </c>
      <c r="S989" t="s">
        <v>1624</v>
      </c>
    </row>
    <row r="990" spans="1:19" ht="45.75" hidden="1">
      <c r="A990" t="s">
        <v>89</v>
      </c>
      <c r="B990" t="s">
        <v>1619</v>
      </c>
      <c r="C990" t="s">
        <v>759</v>
      </c>
      <c r="D990" s="2" t="s">
        <v>1621</v>
      </c>
      <c r="E990">
        <v>115.52</v>
      </c>
      <c r="F990">
        <v>2.31</v>
      </c>
      <c r="G990" t="s">
        <v>63</v>
      </c>
      <c r="H990" t="s">
        <v>3328</v>
      </c>
      <c r="I990">
        <v>35</v>
      </c>
      <c r="J990">
        <v>723</v>
      </c>
      <c r="K990" s="5">
        <v>46161.590747418981</v>
      </c>
      <c r="M990" s="2" t="s">
        <v>3447</v>
      </c>
      <c r="N990" s="2" t="s">
        <v>1701</v>
      </c>
      <c r="O990" s="5">
        <v>45474.296237905102</v>
      </c>
      <c r="P990" t="str">
        <f>IF($Q990="DELETE",IF($S990="CONFIRMED: NO MODS &gt; 1YR","CONFIRMED: NO MODS &gt; 1YR","DO NOT DELETE — not defensibly confirmed"),IF($Q990="HOLD","DO NOT DELETE — HOLD (Charlie review)",IF($Q990="KEEP","DO NOT DELETE — KEEP",IF(ISNUMBER(SEARCH("REVIEW",$Q990)),"DO NOT DELETE — REVIEW pending",$S990))))</f>
        <v>DO NOT DELETE — REVIEW pending</v>
      </c>
      <c r="Q990" t="str" cm="1">
        <f t="array" ref="Q990">_xlfn.IFS(AND($A990="thg-beauty",ISNUMBER(SEARCH("liveramp",$C990))),"DELETE",$A990="agile-bonbon-662",_xlfn.IFS(LEFT($G990,9)="Tranche 1","DELETE",$C990="Sessions_Level_1_All_Sites","KEEP",ISNUMBER(--$C990),"REVIEW — UA raw logs",$C990="Emag_Reporting","KEEP",$C990="Nutrition_Data_Archived_Tables","KEEP",$C990="EU_Data","KEEP",TRUE,"REVIEW"),OR($A990="thg-influencer",$A990="thg-ingenuity",$A990="thg-central-marketing",$A990="thg-seoclarity"),"HOLD",TRUE,"")</f>
        <v>REVIEW — UA raw logs</v>
      </c>
      <c r="R990" t="str" cm="1">
        <f t="array" ref="R990">_xlfn.IFS(AND($A990="thg-beauty",ISNUMBER(SEARCH("liveramp",$C990))),"thg-beauty Liveramp dataset — confirmed safe to delete",$A990="agile-bonbon-662",_xlfn.IFS(LEFT($G990,9)="Tranche 1","Tranche 1: cleared",$C990="Sessions_Level_1_All_Sites","Downstream aggregation of UA raw logs — keep if raw tables go",ISNUMBER(--$C990),"UA raw site logs (account ID) — keep pending audit-retention check",$C990="Emag_Reporting","Legacy but likely needed",$C990="Nutrition_Data_Archived_Tables","Worth keeping",$C990="EU_Data","Static lookup tables — scripts still reference (smoke-test risk)",TRUE,"Review"),OR($A990="thg-influencer",$A990="thg-ingenuity",$A990="thg-central-marketing",$A990="thg-seoclarity"),"HOLD — Charlie Stringer to review before deletion",TRUE,"")</f>
        <v>UA raw site logs (account ID) — keep pending audit-retention check</v>
      </c>
      <c r="S990" t="s">
        <v>1624</v>
      </c>
    </row>
    <row r="991" spans="1:19" ht="45.75" hidden="1">
      <c r="A991" t="s">
        <v>89</v>
      </c>
      <c r="B991" t="s">
        <v>1619</v>
      </c>
      <c r="C991" t="s">
        <v>763</v>
      </c>
      <c r="D991" s="2" t="s">
        <v>1621</v>
      </c>
      <c r="E991">
        <v>114.77</v>
      </c>
      <c r="F991">
        <v>2.2999999999999998</v>
      </c>
      <c r="G991" t="s">
        <v>63</v>
      </c>
      <c r="H991" t="s">
        <v>3328</v>
      </c>
      <c r="I991">
        <v>35</v>
      </c>
      <c r="J991">
        <v>723</v>
      </c>
      <c r="K991" s="5">
        <v>46161.584790960653</v>
      </c>
      <c r="M991" s="2" t="s">
        <v>3449</v>
      </c>
      <c r="N991" s="2" t="s">
        <v>1701</v>
      </c>
      <c r="O991" s="5">
        <v>45474.273510312501</v>
      </c>
      <c r="P991" t="str">
        <f>IF($Q991="DELETE",IF($S991="CONFIRMED: NO MODS &gt; 1YR","CONFIRMED: NO MODS &gt; 1YR","DO NOT DELETE — not defensibly confirmed"),IF($Q991="HOLD","DO NOT DELETE — HOLD (Charlie review)",IF($Q991="KEEP","DO NOT DELETE — KEEP",IF(ISNUMBER(SEARCH("REVIEW",$Q991)),"DO NOT DELETE — REVIEW pending",$S991))))</f>
        <v>DO NOT DELETE — REVIEW pending</v>
      </c>
      <c r="Q991" t="str" cm="1">
        <f t="array" ref="Q991">_xlfn.IFS(AND($A991="thg-beauty",ISNUMBER(SEARCH("liveramp",$C991))),"DELETE",$A991="agile-bonbon-662",_xlfn.IFS(LEFT($G991,9)="Tranche 1","DELETE",$C991="Sessions_Level_1_All_Sites","KEEP",ISNUMBER(--$C991),"REVIEW — UA raw logs",$C991="Emag_Reporting","KEEP",$C991="Nutrition_Data_Archived_Tables","KEEP",$C991="EU_Data","KEEP",TRUE,"REVIEW"),OR($A991="thg-influencer",$A991="thg-ingenuity",$A991="thg-central-marketing",$A991="thg-seoclarity"),"HOLD",TRUE,"")</f>
        <v>REVIEW — UA raw logs</v>
      </c>
      <c r="R991" t="str" cm="1">
        <f t="array" ref="R991">_xlfn.IFS(AND($A991="thg-beauty",ISNUMBER(SEARCH("liveramp",$C991))),"thg-beauty Liveramp dataset — confirmed safe to delete",$A991="agile-bonbon-662",_xlfn.IFS(LEFT($G991,9)="Tranche 1","Tranche 1: cleared",$C991="Sessions_Level_1_All_Sites","Downstream aggregation of UA raw logs — keep if raw tables go",ISNUMBER(--$C991),"UA raw site logs (account ID) — keep pending audit-retention check",$C991="Emag_Reporting","Legacy but likely needed",$C991="Nutrition_Data_Archived_Tables","Worth keeping",$C991="EU_Data","Static lookup tables — scripts still reference (smoke-test risk)",TRUE,"Review"),OR($A991="thg-influencer",$A991="thg-ingenuity",$A991="thg-central-marketing",$A991="thg-seoclarity"),"HOLD — Charlie Stringer to review before deletion",TRUE,"")</f>
        <v>UA raw site logs (account ID) — keep pending audit-retention check</v>
      </c>
      <c r="S991" t="s">
        <v>1624</v>
      </c>
    </row>
    <row r="992" spans="1:19" ht="45.75" hidden="1">
      <c r="A992" t="s">
        <v>89</v>
      </c>
      <c r="B992" t="s">
        <v>1619</v>
      </c>
      <c r="C992" t="s">
        <v>767</v>
      </c>
      <c r="D992" s="2" t="s">
        <v>1621</v>
      </c>
      <c r="E992">
        <v>114.2</v>
      </c>
      <c r="F992">
        <v>2.2799999999999998</v>
      </c>
      <c r="G992" t="s">
        <v>63</v>
      </c>
      <c r="H992" t="s">
        <v>3328</v>
      </c>
      <c r="I992">
        <v>35</v>
      </c>
      <c r="J992">
        <v>839</v>
      </c>
      <c r="K992" s="5">
        <v>46161.615909884262</v>
      </c>
      <c r="M992" s="2" t="s">
        <v>1977</v>
      </c>
      <c r="N992" s="2" t="s">
        <v>1701</v>
      </c>
      <c r="O992" s="5">
        <v>45358.327028657397</v>
      </c>
      <c r="P992" t="str">
        <f>IF($Q992="DELETE",IF($S992="CONFIRMED: NO MODS &gt; 1YR","CONFIRMED: NO MODS &gt; 1YR","DO NOT DELETE — not defensibly confirmed"),IF($Q992="HOLD","DO NOT DELETE — HOLD (Charlie review)",IF($Q992="KEEP","DO NOT DELETE — KEEP",IF(ISNUMBER(SEARCH("REVIEW",$Q992)),"DO NOT DELETE — REVIEW pending",$S992))))</f>
        <v>DO NOT DELETE — REVIEW pending</v>
      </c>
      <c r="Q992" t="str" cm="1">
        <f t="array" ref="Q992">_xlfn.IFS(AND($A992="thg-beauty",ISNUMBER(SEARCH("liveramp",$C992))),"DELETE",$A992="agile-bonbon-662",_xlfn.IFS(LEFT($G992,9)="Tranche 1","DELETE",$C992="Sessions_Level_1_All_Sites","KEEP",ISNUMBER(--$C992),"REVIEW — UA raw logs",$C992="Emag_Reporting","KEEP",$C992="Nutrition_Data_Archived_Tables","KEEP",$C992="EU_Data","KEEP",TRUE,"REVIEW"),OR($A992="thg-influencer",$A992="thg-ingenuity",$A992="thg-central-marketing",$A992="thg-seoclarity"),"HOLD",TRUE,"")</f>
        <v>REVIEW</v>
      </c>
      <c r="R992" t="str" cm="1">
        <f t="array" ref="R992">_xlfn.IFS(AND($A992="thg-beauty",ISNUMBER(SEARCH("liveramp",$C992))),"thg-beauty Liveramp dataset — confirmed safe to delete",$A992="agile-bonbon-662",_xlfn.IFS(LEFT($G992,9)="Tranche 1","Tranche 1: cleared",$C992="Sessions_Level_1_All_Sites","Downstream aggregation of UA raw logs — keep if raw tables go",ISNUMBER(--$C992),"UA raw site logs (account ID) — keep pending audit-retention check",$C992="Emag_Reporting","Legacy but likely needed",$C992="Nutrition_Data_Archived_Tables","Worth keeping",$C992="EU_Data","Static lookup tables — scripts still reference (smoke-test risk)",TRUE,"Review"),OR($A992="thg-influencer",$A992="thg-ingenuity",$A992="thg-central-marketing",$A992="thg-seoclarity"),"HOLD — Charlie Stringer to review before deletion",TRUE,"")</f>
        <v>Review</v>
      </c>
      <c r="S992" t="s">
        <v>1624</v>
      </c>
    </row>
    <row r="993" spans="1:19" ht="45.75" hidden="1">
      <c r="A993" t="s">
        <v>89</v>
      </c>
      <c r="B993" t="s">
        <v>1619</v>
      </c>
      <c r="C993" t="s">
        <v>776</v>
      </c>
      <c r="D993" s="2" t="s">
        <v>1621</v>
      </c>
      <c r="E993">
        <v>106.38</v>
      </c>
      <c r="F993">
        <v>2.13</v>
      </c>
      <c r="G993" t="s">
        <v>63</v>
      </c>
      <c r="H993" t="s">
        <v>3328</v>
      </c>
      <c r="I993">
        <v>35</v>
      </c>
      <c r="J993">
        <v>723</v>
      </c>
      <c r="K993" s="5">
        <v>46161.590668449076</v>
      </c>
      <c r="M993" s="2" t="s">
        <v>3447</v>
      </c>
      <c r="N993" s="2" t="s">
        <v>1701</v>
      </c>
      <c r="O993" s="5">
        <v>45474.276310624999</v>
      </c>
      <c r="P993" t="str">
        <f>IF($Q993="DELETE",IF($S993="CONFIRMED: NO MODS &gt; 1YR","CONFIRMED: NO MODS &gt; 1YR","DO NOT DELETE — not defensibly confirmed"),IF($Q993="HOLD","DO NOT DELETE — HOLD (Charlie review)",IF($Q993="KEEP","DO NOT DELETE — KEEP",IF(ISNUMBER(SEARCH("REVIEW",$Q993)),"DO NOT DELETE — REVIEW pending",$S993))))</f>
        <v>DO NOT DELETE — REVIEW pending</v>
      </c>
      <c r="Q993" t="str" cm="1">
        <f t="array" ref="Q993">_xlfn.IFS(AND($A993="thg-beauty",ISNUMBER(SEARCH("liveramp",$C993))),"DELETE",$A993="agile-bonbon-662",_xlfn.IFS(LEFT($G993,9)="Tranche 1","DELETE",$C993="Sessions_Level_1_All_Sites","KEEP",ISNUMBER(--$C993),"REVIEW — UA raw logs",$C993="Emag_Reporting","KEEP",$C993="Nutrition_Data_Archived_Tables","KEEP",$C993="EU_Data","KEEP",TRUE,"REVIEW"),OR($A993="thg-influencer",$A993="thg-ingenuity",$A993="thg-central-marketing",$A993="thg-seoclarity"),"HOLD",TRUE,"")</f>
        <v>REVIEW — UA raw logs</v>
      </c>
      <c r="R993" t="str" cm="1">
        <f t="array" ref="R993">_xlfn.IFS(AND($A993="thg-beauty",ISNUMBER(SEARCH("liveramp",$C993))),"thg-beauty Liveramp dataset — confirmed safe to delete",$A993="agile-bonbon-662",_xlfn.IFS(LEFT($G993,9)="Tranche 1","Tranche 1: cleared",$C993="Sessions_Level_1_All_Sites","Downstream aggregation of UA raw logs — keep if raw tables go",ISNUMBER(--$C993),"UA raw site logs (account ID) — keep pending audit-retention check",$C993="Emag_Reporting","Legacy but likely needed",$C993="Nutrition_Data_Archived_Tables","Worth keeping",$C993="EU_Data","Static lookup tables — scripts still reference (smoke-test risk)",TRUE,"Review"),OR($A993="thg-influencer",$A993="thg-ingenuity",$A993="thg-central-marketing",$A993="thg-seoclarity"),"HOLD — Charlie Stringer to review before deletion",TRUE,"")</f>
        <v>UA raw site logs (account ID) — keep pending audit-retention check</v>
      </c>
      <c r="S993" t="s">
        <v>1624</v>
      </c>
    </row>
    <row r="994" spans="1:19" ht="45.75" hidden="1">
      <c r="A994" t="s">
        <v>89</v>
      </c>
      <c r="B994" t="s">
        <v>1619</v>
      </c>
      <c r="C994" t="s">
        <v>785</v>
      </c>
      <c r="D994" s="2" t="s">
        <v>1621</v>
      </c>
      <c r="E994">
        <v>102.61</v>
      </c>
      <c r="F994">
        <v>2.0499999999999998</v>
      </c>
      <c r="G994" t="s">
        <v>63</v>
      </c>
      <c r="H994" t="s">
        <v>3328</v>
      </c>
      <c r="I994">
        <v>35</v>
      </c>
      <c r="J994">
        <v>723</v>
      </c>
      <c r="K994" s="5">
        <v>46161.583801388893</v>
      </c>
      <c r="M994" s="2" t="s">
        <v>3434</v>
      </c>
      <c r="N994" s="2" t="s">
        <v>1701</v>
      </c>
      <c r="O994" s="5">
        <v>45474.25812189815</v>
      </c>
      <c r="P994" t="str">
        <f>IF($Q994="DELETE",IF($S994="CONFIRMED: NO MODS &gt; 1YR","CONFIRMED: NO MODS &gt; 1YR","DO NOT DELETE — not defensibly confirmed"),IF($Q994="HOLD","DO NOT DELETE — HOLD (Charlie review)",IF($Q994="KEEP","DO NOT DELETE — KEEP",IF(ISNUMBER(SEARCH("REVIEW",$Q994)),"DO NOT DELETE — REVIEW pending",$S994))))</f>
        <v>DO NOT DELETE — REVIEW pending</v>
      </c>
      <c r="Q994" t="str" cm="1">
        <f t="array" ref="Q994">_xlfn.IFS(AND($A994="thg-beauty",ISNUMBER(SEARCH("liveramp",$C994))),"DELETE",$A994="agile-bonbon-662",_xlfn.IFS(LEFT($G994,9)="Tranche 1","DELETE",$C994="Sessions_Level_1_All_Sites","KEEP",ISNUMBER(--$C994),"REVIEW — UA raw logs",$C994="Emag_Reporting","KEEP",$C994="Nutrition_Data_Archived_Tables","KEEP",$C994="EU_Data","KEEP",TRUE,"REVIEW"),OR($A994="thg-influencer",$A994="thg-ingenuity",$A994="thg-central-marketing",$A994="thg-seoclarity"),"HOLD",TRUE,"")</f>
        <v>REVIEW — UA raw logs</v>
      </c>
      <c r="R994" t="str" cm="1">
        <f t="array" ref="R994">_xlfn.IFS(AND($A994="thg-beauty",ISNUMBER(SEARCH("liveramp",$C994))),"thg-beauty Liveramp dataset — confirmed safe to delete",$A994="agile-bonbon-662",_xlfn.IFS(LEFT($G994,9)="Tranche 1","Tranche 1: cleared",$C994="Sessions_Level_1_All_Sites","Downstream aggregation of UA raw logs — keep if raw tables go",ISNUMBER(--$C994),"UA raw site logs (account ID) — keep pending audit-retention check",$C994="Emag_Reporting","Legacy but likely needed",$C994="Nutrition_Data_Archived_Tables","Worth keeping",$C994="EU_Data","Static lookup tables — scripts still reference (smoke-test risk)",TRUE,"Review"),OR($A994="thg-influencer",$A994="thg-ingenuity",$A994="thg-central-marketing",$A994="thg-seoclarity"),"HOLD — Charlie Stringer to review before deletion",TRUE,"")</f>
        <v>UA raw site logs (account ID) — keep pending audit-retention check</v>
      </c>
      <c r="S994" t="s">
        <v>1624</v>
      </c>
    </row>
    <row r="995" spans="1:19" ht="76.5" hidden="1">
      <c r="A995" t="s">
        <v>89</v>
      </c>
      <c r="B995" t="s">
        <v>1619</v>
      </c>
      <c r="C995" t="s">
        <v>667</v>
      </c>
      <c r="D995" s="2" t="s">
        <v>1621</v>
      </c>
      <c r="E995">
        <v>157.91999999999999</v>
      </c>
      <c r="F995">
        <v>3.16</v>
      </c>
      <c r="G995" t="s">
        <v>63</v>
      </c>
      <c r="H995" t="s">
        <v>3328</v>
      </c>
      <c r="I995">
        <v>9</v>
      </c>
      <c r="J995">
        <v>1947</v>
      </c>
      <c r="K995" s="5">
        <v>46188.338505405103</v>
      </c>
      <c r="M995" s="2" t="s">
        <v>3450</v>
      </c>
      <c r="N995" s="2" t="s">
        <v>1701</v>
      </c>
      <c r="O995" s="5">
        <v>44250.419959803243</v>
      </c>
      <c r="P995" t="str">
        <f>IF($Q995="DELETE",IF($S995="CONFIRMED: NO MODS &gt; 1YR","CONFIRMED: NO MODS &gt; 1YR","DO NOT DELETE — not defensibly confirmed"),IF($Q995="HOLD","DO NOT DELETE — HOLD (Charlie review)",IF($Q995="KEEP","DO NOT DELETE — KEEP",IF(ISNUMBER(SEARCH("REVIEW",$Q995)),"DO NOT DELETE — REVIEW pending",$S995))))</f>
        <v>DO NOT DELETE — REVIEW pending</v>
      </c>
      <c r="Q995" t="str" cm="1">
        <f t="array" ref="Q995">_xlfn.IFS(AND($A995="thg-beauty",ISNUMBER(SEARCH("liveramp",$C995))),"DELETE",$A995="agile-bonbon-662",_xlfn.IFS(LEFT($G995,9)="Tranche 1","DELETE",$C995="Sessions_Level_1_All_Sites","KEEP",ISNUMBER(--$C995),"REVIEW — UA raw logs",$C995="Emag_Reporting","KEEP",$C995="Nutrition_Data_Archived_Tables","KEEP",$C995="EU_Data","KEEP",TRUE,"REVIEW"),OR($A995="thg-influencer",$A995="thg-ingenuity",$A995="thg-central-marketing",$A995="thg-seoclarity"),"HOLD",TRUE,"")</f>
        <v>REVIEW</v>
      </c>
      <c r="R995" t="str" cm="1">
        <f t="array" ref="R995">_xlfn.IFS(AND($A995="thg-beauty",ISNUMBER(SEARCH("liveramp",$C995))),"thg-beauty Liveramp dataset — confirmed safe to delete",$A995="agile-bonbon-662",_xlfn.IFS(LEFT($G995,9)="Tranche 1","Tranche 1: cleared",$C995="Sessions_Level_1_All_Sites","Downstream aggregation of UA raw logs — keep if raw tables go",ISNUMBER(--$C995),"UA raw site logs (account ID) — keep pending audit-retention check",$C995="Emag_Reporting","Legacy but likely needed",$C995="Nutrition_Data_Archived_Tables","Worth keeping",$C995="EU_Data","Static lookup tables — scripts still reference (smoke-test risk)",TRUE,"Review"),OR($A995="thg-influencer",$A995="thg-ingenuity",$A995="thg-central-marketing",$A995="thg-seoclarity"),"HOLD — Charlie Stringer to review before deletion",TRUE,"")</f>
        <v>Review</v>
      </c>
      <c r="S995" t="s">
        <v>1624</v>
      </c>
    </row>
    <row r="996" spans="1:19" ht="76.5" hidden="1">
      <c r="A996" t="s">
        <v>89</v>
      </c>
      <c r="B996" t="s">
        <v>1619</v>
      </c>
      <c r="C996" t="s">
        <v>698</v>
      </c>
      <c r="D996" s="2" t="s">
        <v>1621</v>
      </c>
      <c r="E996">
        <v>144.04</v>
      </c>
      <c r="F996">
        <v>2.88</v>
      </c>
      <c r="G996" t="s">
        <v>63</v>
      </c>
      <c r="H996" t="s">
        <v>3328</v>
      </c>
      <c r="I996">
        <v>4</v>
      </c>
      <c r="J996">
        <v>1182</v>
      </c>
      <c r="K996" s="5">
        <v>46193.125076898148</v>
      </c>
      <c r="M996" s="2" t="s">
        <v>3451</v>
      </c>
      <c r="N996" s="2" t="s">
        <v>1701</v>
      </c>
      <c r="O996" s="5">
        <v>45015.167223067132</v>
      </c>
      <c r="P996" t="str">
        <f>IF($Q996="DELETE",IF($S996="CONFIRMED: NO MODS &gt; 1YR","CONFIRMED: NO MODS &gt; 1YR","DO NOT DELETE — not defensibly confirmed"),IF($Q996="HOLD","DO NOT DELETE — HOLD (Charlie review)",IF($Q996="KEEP","DO NOT DELETE — KEEP",IF(ISNUMBER(SEARCH("REVIEW",$Q996)),"DO NOT DELETE — REVIEW pending",$S996))))</f>
        <v>DO NOT DELETE — REVIEW pending</v>
      </c>
      <c r="Q996" t="str" cm="1">
        <f t="array" ref="Q996">_xlfn.IFS(AND($A996="thg-beauty",ISNUMBER(SEARCH("liveramp",$C996))),"DELETE",$A996="agile-bonbon-662",_xlfn.IFS(LEFT($G996,9)="Tranche 1","DELETE",$C996="Sessions_Level_1_All_Sites","KEEP",ISNUMBER(--$C996),"REVIEW — UA raw logs",$C996="Emag_Reporting","KEEP",$C996="Nutrition_Data_Archived_Tables","KEEP",$C996="EU_Data","KEEP",TRUE,"REVIEW"),OR($A996="thg-influencer",$A996="thg-ingenuity",$A996="thg-central-marketing",$A996="thg-seoclarity"),"HOLD",TRUE,"")</f>
        <v>REVIEW</v>
      </c>
      <c r="R996" t="str" cm="1">
        <f t="array" ref="R996">_xlfn.IFS(AND($A996="thg-beauty",ISNUMBER(SEARCH("liveramp",$C996))),"thg-beauty Liveramp dataset — confirmed safe to delete",$A996="agile-bonbon-662",_xlfn.IFS(LEFT($G996,9)="Tranche 1","Tranche 1: cleared",$C996="Sessions_Level_1_All_Sites","Downstream aggregation of UA raw logs — keep if raw tables go",ISNUMBER(--$C996),"UA raw site logs (account ID) — keep pending audit-retention check",$C996="Emag_Reporting","Legacy but likely needed",$C996="Nutrition_Data_Archived_Tables","Worth keeping",$C996="EU_Data","Static lookup tables — scripts still reference (smoke-test risk)",TRUE,"Review"),OR($A996="thg-influencer",$A996="thg-ingenuity",$A996="thg-central-marketing",$A996="thg-seoclarity"),"HOLD — Charlie Stringer to review before deletion",TRUE,"")</f>
        <v>Review</v>
      </c>
      <c r="S996" t="s">
        <v>1624</v>
      </c>
    </row>
    <row r="997" spans="1:19" ht="76.5" hidden="1">
      <c r="A997" t="s">
        <v>89</v>
      </c>
      <c r="B997" t="s">
        <v>1619</v>
      </c>
      <c r="C997" t="s">
        <v>192</v>
      </c>
      <c r="D997" s="2" t="s">
        <v>1621</v>
      </c>
      <c r="E997">
        <v>8510.5499999999993</v>
      </c>
      <c r="F997">
        <v>170.21</v>
      </c>
      <c r="G997" t="s">
        <v>63</v>
      </c>
      <c r="H997" t="s">
        <v>3328</v>
      </c>
      <c r="I997">
        <v>0</v>
      </c>
      <c r="J997">
        <v>718</v>
      </c>
      <c r="K997" s="5">
        <v>46197.425307048608</v>
      </c>
      <c r="M997" s="2" t="s">
        <v>3452</v>
      </c>
      <c r="N997" s="2" t="s">
        <v>1701</v>
      </c>
      <c r="O997" s="5">
        <v>45478.919990810187</v>
      </c>
      <c r="P997" t="str">
        <f>IF($Q997="DELETE",IF($S997="CONFIRMED: NO MODS &gt; 1YR","CONFIRMED: NO MODS &gt; 1YR","DO NOT DELETE — not defensibly confirmed"),IF($Q997="HOLD","DO NOT DELETE — HOLD (Charlie review)",IF($Q997="KEEP","DO NOT DELETE — KEEP",IF(ISNUMBER(SEARCH("REVIEW",$Q997)),"DO NOT DELETE — REVIEW pending",$S997))))</f>
        <v>DO NOT DELETE — KEEP</v>
      </c>
      <c r="Q997" t="str" cm="1">
        <f t="array" ref="Q997">_xlfn.IFS(AND($A997="thg-beauty",ISNUMBER(SEARCH("liveramp",$C997))),"DELETE",$A997="agile-bonbon-662",_xlfn.IFS(LEFT($G997,9)="Tranche 1","DELETE",$C997="Sessions_Level_1_All_Sites","KEEP",ISNUMBER(--$C997),"REVIEW — UA raw logs",$C997="Emag_Reporting","KEEP",$C997="Nutrition_Data_Archived_Tables","KEEP",$C997="EU_Data","KEEP",TRUE,"REVIEW"),OR($A997="thg-influencer",$A997="thg-ingenuity",$A997="thg-central-marketing",$A997="thg-seoclarity"),"HOLD",TRUE,"")</f>
        <v>KEEP</v>
      </c>
      <c r="R997" t="str" cm="1">
        <f t="array" ref="R997">_xlfn.IFS(AND($A997="thg-beauty",ISNUMBER(SEARCH("liveramp",$C997))),"thg-beauty Liveramp dataset — confirmed safe to delete",$A997="agile-bonbon-662",_xlfn.IFS(LEFT($G997,9)="Tranche 1","Tranche 1: cleared",$C997="Sessions_Level_1_All_Sites","Downstream aggregation of UA raw logs — keep if raw tables go",ISNUMBER(--$C997),"UA raw site logs (account ID) — keep pending audit-retention check",$C997="Emag_Reporting","Legacy but likely needed",$C997="Nutrition_Data_Archived_Tables","Worth keeping",$C997="EU_Data","Static lookup tables — scripts still reference (smoke-test risk)",TRUE,"Review"),OR($A997="thg-influencer",$A997="thg-ingenuity",$A997="thg-central-marketing",$A997="thg-seoclarity"),"HOLD — Charlie Stringer to review before deletion",TRUE,"")</f>
        <v>Downstream aggregation of UA raw logs — keep if raw tables go</v>
      </c>
      <c r="S997" t="s">
        <v>1624</v>
      </c>
    </row>
    <row r="998" spans="1:19" ht="76.5" hidden="1">
      <c r="A998" t="s">
        <v>89</v>
      </c>
      <c r="B998" t="s">
        <v>1619</v>
      </c>
      <c r="C998" t="s">
        <v>458</v>
      </c>
      <c r="D998" s="2" t="s">
        <v>1621</v>
      </c>
      <c r="E998">
        <v>390.02</v>
      </c>
      <c r="F998">
        <v>7.8</v>
      </c>
      <c r="G998" t="s">
        <v>63</v>
      </c>
      <c r="H998" t="s">
        <v>3328</v>
      </c>
      <c r="I998">
        <v>0</v>
      </c>
      <c r="J998">
        <v>861</v>
      </c>
      <c r="K998" s="5">
        <v>46197.399699317131</v>
      </c>
      <c r="M998" s="2" t="s">
        <v>3453</v>
      </c>
      <c r="N998" s="2" t="s">
        <v>1701</v>
      </c>
      <c r="O998" s="5">
        <v>45335.896882511573</v>
      </c>
      <c r="P998" t="str">
        <f>IF($Q998="DELETE",IF($S998="CONFIRMED: NO MODS &gt; 1YR","CONFIRMED: NO MODS &gt; 1YR","DO NOT DELETE — not defensibly confirmed"),IF($Q998="HOLD","DO NOT DELETE — HOLD (Charlie review)",IF($Q998="KEEP","DO NOT DELETE — KEEP",IF(ISNUMBER(SEARCH("REVIEW",$Q998)),"DO NOT DELETE — REVIEW pending",$S998))))</f>
        <v>DO NOT DELETE — REVIEW pending</v>
      </c>
      <c r="Q998" t="str" cm="1">
        <f t="array" ref="Q998">_xlfn.IFS(AND($A998="thg-beauty",ISNUMBER(SEARCH("liveramp",$C998))),"DELETE",$A998="agile-bonbon-662",_xlfn.IFS(LEFT($G998,9)="Tranche 1","DELETE",$C998="Sessions_Level_1_All_Sites","KEEP",ISNUMBER(--$C998),"REVIEW — UA raw logs",$C998="Emag_Reporting","KEEP",$C998="Nutrition_Data_Archived_Tables","KEEP",$C998="EU_Data","KEEP",TRUE,"REVIEW"),OR($A998="thg-influencer",$A998="thg-ingenuity",$A998="thg-central-marketing",$A998="thg-seoclarity"),"HOLD",TRUE,"")</f>
        <v>REVIEW</v>
      </c>
      <c r="R998" t="str" cm="1">
        <f t="array" ref="R998">_xlfn.IFS(AND($A998="thg-beauty",ISNUMBER(SEARCH("liveramp",$C998))),"thg-beauty Liveramp dataset — confirmed safe to delete",$A998="agile-bonbon-662",_xlfn.IFS(LEFT($G998,9)="Tranche 1","Tranche 1: cleared",$C998="Sessions_Level_1_All_Sites","Downstream aggregation of UA raw logs — keep if raw tables go",ISNUMBER(--$C998),"UA raw site logs (account ID) — keep pending audit-retention check",$C998="Emag_Reporting","Legacy but likely needed",$C998="Nutrition_Data_Archived_Tables","Worth keeping",$C998="EU_Data","Static lookup tables — scripts still reference (smoke-test risk)",TRUE,"Review"),OR($A998="thg-influencer",$A998="thg-ingenuity",$A998="thg-central-marketing",$A998="thg-seoclarity"),"HOLD — Charlie Stringer to review before deletion",TRUE,"")</f>
        <v>Review</v>
      </c>
      <c r="S998" t="s">
        <v>1624</v>
      </c>
    </row>
    <row r="999" spans="1:19" ht="76.5" hidden="1">
      <c r="A999" t="s">
        <v>2513</v>
      </c>
      <c r="B999" t="s">
        <v>1619</v>
      </c>
      <c r="C999" t="s">
        <v>3454</v>
      </c>
      <c r="D999" s="2" t="s">
        <v>1621</v>
      </c>
      <c r="E999">
        <v>208.37</v>
      </c>
      <c r="F999">
        <v>4.17</v>
      </c>
      <c r="G999" t="s">
        <v>63</v>
      </c>
      <c r="H999" t="s">
        <v>3328</v>
      </c>
      <c r="I999">
        <v>0</v>
      </c>
      <c r="J999">
        <v>849</v>
      </c>
      <c r="K999" s="5">
        <v>46197.156398854167</v>
      </c>
      <c r="M999" s="2" t="s">
        <v>3019</v>
      </c>
      <c r="N999" s="2" t="s">
        <v>1701</v>
      </c>
      <c r="O999" s="5">
        <v>45348.252012916673</v>
      </c>
      <c r="P999" t="str">
        <f>IF($Q999="DELETE",IF($S999="CONFIRMED: NO MODS &gt; 1YR","CONFIRMED: NO MODS &gt; 1YR","DO NOT DELETE — not defensibly confirmed"),IF($Q999="HOLD","DO NOT DELETE — HOLD (Charlie review)",IF($Q999="KEEP","DO NOT DELETE — KEEP",IF(ISNUMBER(SEARCH("REVIEW",$Q999)),"DO NOT DELETE — REVIEW pending",$S999))))</f>
        <v>CONFIRMED: NO MODS &gt; 1YR</v>
      </c>
      <c r="Q999" t="str" cm="1">
        <f t="array" ref="Q999">_xlfn.IFS(AND($A999="thg-beauty",ISNUMBER(SEARCH("liveramp",$C999))),"DELETE",$A999="agile-bonbon-662",_xlfn.IFS(LEFT($G999,9)="Tranche 1","DELETE",$C999="Sessions_Level_1_All_Sites","KEEP",ISNUMBER(--$C999),"REVIEW — UA raw logs",$C999="Emag_Reporting","KEEP",$C999="Nutrition_Data_Archived_Tables","KEEP",$C999="EU_Data","KEEP",TRUE,"REVIEW"),OR($A999="thg-influencer",$A999="thg-ingenuity",$A999="thg-central-marketing",$A999="thg-seoclarity"),"HOLD",TRUE,"")</f>
        <v/>
      </c>
      <c r="R999" t="str" cm="1">
        <f t="array" ref="R999">_xlfn.IFS(AND($A999="thg-beauty",ISNUMBER(SEARCH("liveramp",$C999))),"thg-beauty Liveramp dataset — confirmed safe to delete",$A999="agile-bonbon-662",_xlfn.IFS(LEFT($G999,9)="Tranche 1","Tranche 1: cleared",$C999="Sessions_Level_1_All_Sites","Downstream aggregation of UA raw logs — keep if raw tables go",ISNUMBER(--$C999),"UA raw site logs (account ID) — keep pending audit-retention check",$C999="Emag_Reporting","Legacy but likely needed",$C999="Nutrition_Data_Archived_Tables","Worth keeping",$C999="EU_Data","Static lookup tables — scripts still reference (smoke-test risk)",TRUE,"Review"),OR($A999="thg-influencer",$A999="thg-ingenuity",$A999="thg-central-marketing",$A999="thg-seoclarity"),"HOLD — Charlie Stringer to review before deletion",TRUE,"")</f>
        <v/>
      </c>
      <c r="S999" t="s">
        <v>1624</v>
      </c>
    </row>
    <row r="1000" spans="1:19" ht="76.5" hidden="1">
      <c r="A1000" t="s">
        <v>89</v>
      </c>
      <c r="B1000" t="s">
        <v>1619</v>
      </c>
      <c r="C1000" t="s">
        <v>672</v>
      </c>
      <c r="D1000" s="2" t="s">
        <v>1621</v>
      </c>
      <c r="E1000">
        <v>154.16</v>
      </c>
      <c r="F1000">
        <v>3.08</v>
      </c>
      <c r="G1000" t="s">
        <v>63</v>
      </c>
      <c r="H1000" t="s">
        <v>3328</v>
      </c>
      <c r="I1000">
        <v>0</v>
      </c>
      <c r="J1000">
        <v>723</v>
      </c>
      <c r="K1000" s="5">
        <v>46197.428565243063</v>
      </c>
      <c r="M1000" s="2" t="s">
        <v>2274</v>
      </c>
      <c r="N1000" s="2" t="s">
        <v>1701</v>
      </c>
      <c r="O1000" s="5">
        <v>45474.336360231478</v>
      </c>
      <c r="P1000" t="str">
        <f>IF($Q1000="DELETE",IF($S1000="CONFIRMED: NO MODS &gt; 1YR","CONFIRMED: NO MODS &gt; 1YR","DO NOT DELETE — not defensibly confirmed"),IF($Q1000="HOLD","DO NOT DELETE — HOLD (Charlie review)",IF($Q1000="KEEP","DO NOT DELETE — KEEP",IF(ISNUMBER(SEARCH("REVIEW",$Q1000)),"DO NOT DELETE — REVIEW pending",$S1000))))</f>
        <v>DO NOT DELETE — REVIEW pending</v>
      </c>
      <c r="Q1000" t="str" cm="1">
        <f t="array" ref="Q1000">_xlfn.IFS(AND($A1000="thg-beauty",ISNUMBER(SEARCH("liveramp",$C1000))),"DELETE",$A1000="agile-bonbon-662",_xlfn.IFS(LEFT($G1000,9)="Tranche 1","DELETE",$C1000="Sessions_Level_1_All_Sites","KEEP",ISNUMBER(--$C1000),"REVIEW — UA raw logs",$C1000="Emag_Reporting","KEEP",$C1000="Nutrition_Data_Archived_Tables","KEEP",$C1000="EU_Data","KEEP",TRUE,"REVIEW"),OR($A1000="thg-influencer",$A1000="thg-ingenuity",$A1000="thg-central-marketing",$A1000="thg-seoclarity"),"HOLD",TRUE,"")</f>
        <v>REVIEW — UA raw logs</v>
      </c>
      <c r="R1000" t="str" cm="1">
        <f t="array" ref="R1000">_xlfn.IFS(AND($A1000="thg-beauty",ISNUMBER(SEARCH("liveramp",$C1000))),"thg-beauty Liveramp dataset — confirmed safe to delete",$A1000="agile-bonbon-662",_xlfn.IFS(LEFT($G1000,9)="Tranche 1","Tranche 1: cleared",$C1000="Sessions_Level_1_All_Sites","Downstream aggregation of UA raw logs — keep if raw tables go",ISNUMBER(--$C1000),"UA raw site logs (account ID) — keep pending audit-retention check",$C1000="Emag_Reporting","Legacy but likely needed",$C1000="Nutrition_Data_Archived_Tables","Worth keeping",$C1000="EU_Data","Static lookup tables — scripts still reference (smoke-test risk)",TRUE,"Review"),OR($A1000="thg-influencer",$A1000="thg-ingenuity",$A1000="thg-central-marketing",$A1000="thg-seoclarity"),"HOLD — Charlie Stringer to review before deletion",TRUE,"")</f>
        <v>UA raw site logs (account ID) — keep pending audit-retention check</v>
      </c>
      <c r="S1000" t="s">
        <v>1624</v>
      </c>
    </row>
    <row r="1001" spans="1:19" hidden="1">
      <c r="A1001" t="s">
        <v>38</v>
      </c>
      <c r="B1001" t="s">
        <v>1619</v>
      </c>
      <c r="C1001" t="s">
        <v>3455</v>
      </c>
      <c r="D1001" s="2" t="s">
        <v>1621</v>
      </c>
      <c r="E1001">
        <v>0.01</v>
      </c>
      <c r="F1001">
        <v>0</v>
      </c>
      <c r="G1001" t="s">
        <v>3456</v>
      </c>
      <c r="H1001" t="s">
        <v>3457</v>
      </c>
      <c r="I1001">
        <v>2133</v>
      </c>
      <c r="J1001">
        <v>2133</v>
      </c>
      <c r="M1001" s="2" t="s">
        <v>1715</v>
      </c>
      <c r="N1001" s="2" t="s">
        <v>1701</v>
      </c>
      <c r="O1001" s="5">
        <v>44064.399962511583</v>
      </c>
      <c r="P1001" t="str">
        <f>IF($Q1001="DELETE",IF($S1001="CONFIRMED: NO MODS &gt; 1YR","CONFIRMED: NO MODS &gt; 1YR","DO NOT DELETE — not defensibly confirmed"),IF($Q1001="HOLD","DO NOT DELETE — HOLD (Charlie review)",IF($Q1001="KEEP","DO NOT DELETE — KEEP",IF(ISNUMBER(SEARCH("REVIEW",$Q1001)),"DO NOT DELETE — REVIEW pending",$S1001))))</f>
        <v>DO NOT DELETE — HOLD (Charlie review)</v>
      </c>
      <c r="Q1001" t="str" cm="1">
        <f t="array" ref="Q1001">_xlfn.IFS(AND($A1001="thg-beauty",ISNUMBER(SEARCH("liveramp",$C1001))),"DELETE",$A1001="agile-bonbon-662",_xlfn.IFS(LEFT($G1001,9)="Tranche 1","DELETE",$C1001="Sessions_Level_1_All_Sites","KEEP",ISNUMBER(--$C1001),"REVIEW — UA raw logs",$C1001="Emag_Reporting","KEEP",$C1001="Nutrition_Data_Archived_Tables","KEEP",$C1001="EU_Data","KEEP",TRUE,"REVIEW"),OR($A1001="thg-influencer",$A1001="thg-ingenuity",$A1001="thg-central-marketing",$A1001="thg-seoclarity"),"HOLD",TRUE,"")</f>
        <v>HOLD</v>
      </c>
      <c r="R1001" t="str" cm="1">
        <f t="array" ref="R1001">_xlfn.IFS(AND($A1001="thg-beauty",ISNUMBER(SEARCH("liveramp",$C1001))),"thg-beauty Liveramp dataset — confirmed safe to delete",$A1001="agile-bonbon-662",_xlfn.IFS(LEFT($G1001,9)="Tranche 1","Tranche 1: cleared",$C1001="Sessions_Level_1_All_Sites","Downstream aggregation of UA raw logs — keep if raw tables go",ISNUMBER(--$C1001),"UA raw site logs (account ID) — keep pending audit-retention check",$C1001="Emag_Reporting","Legacy but likely needed",$C1001="Nutrition_Data_Archived_Tables","Worth keeping",$C1001="EU_Data","Static lookup tables — scripts still reference (smoke-test risk)",TRUE,"Review"),OR($A1001="thg-influencer",$A1001="thg-ingenuity",$A1001="thg-central-marketing",$A1001="thg-seoclarity"),"HOLD — Charlie Stringer to review before deletion",TRUE,"")</f>
        <v>HOLD — Charlie Stringer to review before deletion</v>
      </c>
      <c r="S1001" t="s">
        <v>1624</v>
      </c>
    </row>
    <row r="1002" spans="1:19" hidden="1">
      <c r="A1002" t="s">
        <v>38</v>
      </c>
      <c r="B1002" t="s">
        <v>1619</v>
      </c>
      <c r="C1002" t="s">
        <v>3458</v>
      </c>
      <c r="D1002" s="2" t="s">
        <v>1621</v>
      </c>
      <c r="E1002">
        <v>0.27</v>
      </c>
      <c r="F1002">
        <v>0.01</v>
      </c>
      <c r="G1002" t="s">
        <v>3456</v>
      </c>
      <c r="H1002" t="s">
        <v>3457</v>
      </c>
      <c r="I1002">
        <v>2010</v>
      </c>
      <c r="J1002">
        <v>2010</v>
      </c>
      <c r="M1002" s="2" t="s">
        <v>1715</v>
      </c>
      <c r="N1002" s="2" t="s">
        <v>1701</v>
      </c>
      <c r="O1002" s="5">
        <v>44186.820889895833</v>
      </c>
      <c r="P1002" t="str">
        <f>IF($Q1002="DELETE",IF($S1002="CONFIRMED: NO MODS &gt; 1YR","CONFIRMED: NO MODS &gt; 1YR","DO NOT DELETE — not defensibly confirmed"),IF($Q1002="HOLD","DO NOT DELETE — HOLD (Charlie review)",IF($Q1002="KEEP","DO NOT DELETE — KEEP",IF(ISNUMBER(SEARCH("REVIEW",$Q1002)),"DO NOT DELETE — REVIEW pending",$S1002))))</f>
        <v>DO NOT DELETE — HOLD (Charlie review)</v>
      </c>
      <c r="Q1002" t="str" cm="1">
        <f t="array" ref="Q1002">_xlfn.IFS(AND($A1002="thg-beauty",ISNUMBER(SEARCH("liveramp",$C1002))),"DELETE",$A1002="agile-bonbon-662",_xlfn.IFS(LEFT($G1002,9)="Tranche 1","DELETE",$C1002="Sessions_Level_1_All_Sites","KEEP",ISNUMBER(--$C1002),"REVIEW — UA raw logs",$C1002="Emag_Reporting","KEEP",$C1002="Nutrition_Data_Archived_Tables","KEEP",$C1002="EU_Data","KEEP",TRUE,"REVIEW"),OR($A1002="thg-influencer",$A1002="thg-ingenuity",$A1002="thg-central-marketing",$A1002="thg-seoclarity"),"HOLD",TRUE,"")</f>
        <v>HOLD</v>
      </c>
      <c r="R1002" t="str" cm="1">
        <f t="array" ref="R1002">_xlfn.IFS(AND($A1002="thg-beauty",ISNUMBER(SEARCH("liveramp",$C1002))),"thg-beauty Liveramp dataset — confirmed safe to delete",$A1002="agile-bonbon-662",_xlfn.IFS(LEFT($G1002,9)="Tranche 1","Tranche 1: cleared",$C1002="Sessions_Level_1_All_Sites","Downstream aggregation of UA raw logs — keep if raw tables go",ISNUMBER(--$C1002),"UA raw site logs (account ID) — keep pending audit-retention check",$C1002="Emag_Reporting","Legacy but likely needed",$C1002="Nutrition_Data_Archived_Tables","Worth keeping",$C1002="EU_Data","Static lookup tables — scripts still reference (smoke-test risk)",TRUE,"Review"),OR($A1002="thg-influencer",$A1002="thg-ingenuity",$A1002="thg-central-marketing",$A1002="thg-seoclarity"),"HOLD — Charlie Stringer to review before deletion",TRUE,"")</f>
        <v>HOLD — Charlie Stringer to review before deletion</v>
      </c>
      <c r="S1002" t="s">
        <v>1624</v>
      </c>
    </row>
    <row r="1003" spans="1:19" hidden="1">
      <c r="A1003" t="s">
        <v>38</v>
      </c>
      <c r="B1003" t="s">
        <v>1619</v>
      </c>
      <c r="C1003" t="s">
        <v>3459</v>
      </c>
      <c r="D1003" s="2" t="s">
        <v>1621</v>
      </c>
      <c r="E1003">
        <v>0.11</v>
      </c>
      <c r="F1003">
        <v>0</v>
      </c>
      <c r="G1003" t="s">
        <v>3456</v>
      </c>
      <c r="H1003" t="s">
        <v>3457</v>
      </c>
      <c r="I1003">
        <v>1959</v>
      </c>
      <c r="J1003">
        <v>1959</v>
      </c>
      <c r="M1003" s="2" t="s">
        <v>1715</v>
      </c>
      <c r="N1003" s="2" t="s">
        <v>1701</v>
      </c>
      <c r="O1003" s="5">
        <v>44237.66066991898</v>
      </c>
      <c r="P1003" t="str">
        <f>IF($Q1003="DELETE",IF($S1003="CONFIRMED: NO MODS &gt; 1YR","CONFIRMED: NO MODS &gt; 1YR","DO NOT DELETE — not defensibly confirmed"),IF($Q1003="HOLD","DO NOT DELETE — HOLD (Charlie review)",IF($Q1003="KEEP","DO NOT DELETE — KEEP",IF(ISNUMBER(SEARCH("REVIEW",$Q1003)),"DO NOT DELETE — REVIEW pending",$S1003))))</f>
        <v>DO NOT DELETE — HOLD (Charlie review)</v>
      </c>
      <c r="Q1003" t="str" cm="1">
        <f t="array" ref="Q1003">_xlfn.IFS(AND($A1003="thg-beauty",ISNUMBER(SEARCH("liveramp",$C1003))),"DELETE",$A1003="agile-bonbon-662",_xlfn.IFS(LEFT($G1003,9)="Tranche 1","DELETE",$C1003="Sessions_Level_1_All_Sites","KEEP",ISNUMBER(--$C1003),"REVIEW — UA raw logs",$C1003="Emag_Reporting","KEEP",$C1003="Nutrition_Data_Archived_Tables","KEEP",$C1003="EU_Data","KEEP",TRUE,"REVIEW"),OR($A1003="thg-influencer",$A1003="thg-ingenuity",$A1003="thg-central-marketing",$A1003="thg-seoclarity"),"HOLD",TRUE,"")</f>
        <v>HOLD</v>
      </c>
      <c r="R1003" t="str" cm="1">
        <f t="array" ref="R1003">_xlfn.IFS(AND($A1003="thg-beauty",ISNUMBER(SEARCH("liveramp",$C1003))),"thg-beauty Liveramp dataset — confirmed safe to delete",$A1003="agile-bonbon-662",_xlfn.IFS(LEFT($G1003,9)="Tranche 1","Tranche 1: cleared",$C1003="Sessions_Level_1_All_Sites","Downstream aggregation of UA raw logs — keep if raw tables go",ISNUMBER(--$C1003),"UA raw site logs (account ID) — keep pending audit-retention check",$C1003="Emag_Reporting","Legacy but likely needed",$C1003="Nutrition_Data_Archived_Tables","Worth keeping",$C1003="EU_Data","Static lookup tables — scripts still reference (smoke-test risk)",TRUE,"Review"),OR($A1003="thg-influencer",$A1003="thg-ingenuity",$A1003="thg-central-marketing",$A1003="thg-seoclarity"),"HOLD — Charlie Stringer to review before deletion",TRUE,"")</f>
        <v>HOLD — Charlie Stringer to review before deletion</v>
      </c>
      <c r="S1003" t="s">
        <v>1624</v>
      </c>
    </row>
    <row r="1004" spans="1:19" hidden="1">
      <c r="A1004" t="s">
        <v>38</v>
      </c>
      <c r="B1004" t="s">
        <v>1619</v>
      </c>
      <c r="C1004" t="s">
        <v>3460</v>
      </c>
      <c r="D1004" s="2" t="s">
        <v>1621</v>
      </c>
      <c r="E1004">
        <v>0</v>
      </c>
      <c r="F1004">
        <v>0</v>
      </c>
      <c r="G1004" t="s">
        <v>3456</v>
      </c>
      <c r="H1004" t="s">
        <v>3457</v>
      </c>
      <c r="I1004">
        <v>1959</v>
      </c>
      <c r="J1004">
        <v>1959</v>
      </c>
      <c r="M1004" s="2" t="s">
        <v>1715</v>
      </c>
      <c r="N1004" s="2" t="s">
        <v>1701</v>
      </c>
      <c r="O1004" s="5">
        <v>44237.684752905086</v>
      </c>
      <c r="P1004" t="str">
        <f>IF($Q1004="DELETE",IF($S1004="CONFIRMED: NO MODS &gt; 1YR","CONFIRMED: NO MODS &gt; 1YR","DO NOT DELETE — not defensibly confirmed"),IF($Q1004="HOLD","DO NOT DELETE — HOLD (Charlie review)",IF($Q1004="KEEP","DO NOT DELETE — KEEP",IF(ISNUMBER(SEARCH("REVIEW",$Q1004)),"DO NOT DELETE — REVIEW pending",$S1004))))</f>
        <v>DO NOT DELETE — HOLD (Charlie review)</v>
      </c>
      <c r="Q1004" t="str" cm="1">
        <f t="array" ref="Q1004">_xlfn.IFS(AND($A1004="thg-beauty",ISNUMBER(SEARCH("liveramp",$C1004))),"DELETE",$A1004="agile-bonbon-662",_xlfn.IFS(LEFT($G1004,9)="Tranche 1","DELETE",$C1004="Sessions_Level_1_All_Sites","KEEP",ISNUMBER(--$C1004),"REVIEW — UA raw logs",$C1004="Emag_Reporting","KEEP",$C1004="Nutrition_Data_Archived_Tables","KEEP",$C1004="EU_Data","KEEP",TRUE,"REVIEW"),OR($A1004="thg-influencer",$A1004="thg-ingenuity",$A1004="thg-central-marketing",$A1004="thg-seoclarity"),"HOLD",TRUE,"")</f>
        <v>HOLD</v>
      </c>
      <c r="R1004" t="str" cm="1">
        <f t="array" ref="R1004">_xlfn.IFS(AND($A1004="thg-beauty",ISNUMBER(SEARCH("liveramp",$C1004))),"thg-beauty Liveramp dataset — confirmed safe to delete",$A1004="agile-bonbon-662",_xlfn.IFS(LEFT($G1004,9)="Tranche 1","Tranche 1: cleared",$C1004="Sessions_Level_1_All_Sites","Downstream aggregation of UA raw logs — keep if raw tables go",ISNUMBER(--$C1004),"UA raw site logs (account ID) — keep pending audit-retention check",$C1004="Emag_Reporting","Legacy but likely needed",$C1004="Nutrition_Data_Archived_Tables","Worth keeping",$C1004="EU_Data","Static lookup tables — scripts still reference (smoke-test risk)",TRUE,"Review"),OR($A1004="thg-influencer",$A1004="thg-ingenuity",$A1004="thg-central-marketing",$A1004="thg-seoclarity"),"HOLD — Charlie Stringer to review before deletion",TRUE,"")</f>
        <v>HOLD — Charlie Stringer to review before deletion</v>
      </c>
      <c r="S1004" t="s">
        <v>1624</v>
      </c>
    </row>
    <row r="1005" spans="1:19" hidden="1">
      <c r="A1005" t="s">
        <v>38</v>
      </c>
      <c r="B1005" t="s">
        <v>1619</v>
      </c>
      <c r="C1005" t="s">
        <v>3461</v>
      </c>
      <c r="D1005" s="2" t="s">
        <v>1621</v>
      </c>
      <c r="E1005">
        <v>54.54</v>
      </c>
      <c r="F1005">
        <v>1.0900000000000001</v>
      </c>
      <c r="G1005" t="s">
        <v>3456</v>
      </c>
      <c r="H1005" t="s">
        <v>3457</v>
      </c>
      <c r="I1005">
        <v>1957</v>
      </c>
      <c r="J1005">
        <v>1957</v>
      </c>
      <c r="M1005" s="2" t="s">
        <v>1715</v>
      </c>
      <c r="N1005" s="2" t="s">
        <v>1701</v>
      </c>
      <c r="O1005" s="5">
        <v>44239.548318831017</v>
      </c>
      <c r="P1005" t="str">
        <f>IF($Q1005="DELETE",IF($S1005="CONFIRMED: NO MODS &gt; 1YR","CONFIRMED: NO MODS &gt; 1YR","DO NOT DELETE — not defensibly confirmed"),IF($Q1005="HOLD","DO NOT DELETE — HOLD (Charlie review)",IF($Q1005="KEEP","DO NOT DELETE — KEEP",IF(ISNUMBER(SEARCH("REVIEW",$Q1005)),"DO NOT DELETE — REVIEW pending",$S1005))))</f>
        <v>DO NOT DELETE — HOLD (Charlie review)</v>
      </c>
      <c r="Q1005" t="str" cm="1">
        <f t="array" ref="Q1005">_xlfn.IFS(AND($A1005="thg-beauty",ISNUMBER(SEARCH("liveramp",$C1005))),"DELETE",$A1005="agile-bonbon-662",_xlfn.IFS(LEFT($G1005,9)="Tranche 1","DELETE",$C1005="Sessions_Level_1_All_Sites","KEEP",ISNUMBER(--$C1005),"REVIEW — UA raw logs",$C1005="Emag_Reporting","KEEP",$C1005="Nutrition_Data_Archived_Tables","KEEP",$C1005="EU_Data","KEEP",TRUE,"REVIEW"),OR($A1005="thg-influencer",$A1005="thg-ingenuity",$A1005="thg-central-marketing",$A1005="thg-seoclarity"),"HOLD",TRUE,"")</f>
        <v>HOLD</v>
      </c>
      <c r="R1005" t="str" cm="1">
        <f t="array" ref="R1005">_xlfn.IFS(AND($A1005="thg-beauty",ISNUMBER(SEARCH("liveramp",$C1005))),"thg-beauty Liveramp dataset — confirmed safe to delete",$A1005="agile-bonbon-662",_xlfn.IFS(LEFT($G1005,9)="Tranche 1","Tranche 1: cleared",$C1005="Sessions_Level_1_All_Sites","Downstream aggregation of UA raw logs — keep if raw tables go",ISNUMBER(--$C1005),"UA raw site logs (account ID) — keep pending audit-retention check",$C1005="Emag_Reporting","Legacy but likely needed",$C1005="Nutrition_Data_Archived_Tables","Worth keeping",$C1005="EU_Data","Static lookup tables — scripts still reference (smoke-test risk)",TRUE,"Review"),OR($A1005="thg-influencer",$A1005="thg-ingenuity",$A1005="thg-central-marketing",$A1005="thg-seoclarity"),"HOLD — Charlie Stringer to review before deletion",TRUE,"")</f>
        <v>HOLD — Charlie Stringer to review before deletion</v>
      </c>
      <c r="S1005" t="s">
        <v>1624</v>
      </c>
    </row>
    <row r="1006" spans="1:19" hidden="1">
      <c r="A1006" t="s">
        <v>38</v>
      </c>
      <c r="B1006" t="s">
        <v>1619</v>
      </c>
      <c r="C1006" t="s">
        <v>667</v>
      </c>
      <c r="D1006" s="2" t="s">
        <v>1621</v>
      </c>
      <c r="E1006">
        <v>1.68</v>
      </c>
      <c r="F1006">
        <v>0.03</v>
      </c>
      <c r="G1006" t="s">
        <v>3456</v>
      </c>
      <c r="H1006" t="s">
        <v>3457</v>
      </c>
      <c r="I1006">
        <v>1947</v>
      </c>
      <c r="J1006">
        <v>1947</v>
      </c>
      <c r="M1006" s="2" t="s">
        <v>1715</v>
      </c>
      <c r="N1006" s="2" t="s">
        <v>1701</v>
      </c>
      <c r="O1006" s="5">
        <v>44250.41873484954</v>
      </c>
      <c r="P1006" t="str">
        <f>IF($Q1006="DELETE",IF($S1006="CONFIRMED: NO MODS &gt; 1YR","CONFIRMED: NO MODS &gt; 1YR","DO NOT DELETE — not defensibly confirmed"),IF($Q1006="HOLD","DO NOT DELETE — HOLD (Charlie review)",IF($Q1006="KEEP","DO NOT DELETE — KEEP",IF(ISNUMBER(SEARCH("REVIEW",$Q1006)),"DO NOT DELETE — REVIEW pending",$S1006))))</f>
        <v>DO NOT DELETE — HOLD (Charlie review)</v>
      </c>
      <c r="Q1006" t="str" cm="1">
        <f t="array" ref="Q1006">_xlfn.IFS(AND($A1006="thg-beauty",ISNUMBER(SEARCH("liveramp",$C1006))),"DELETE",$A1006="agile-bonbon-662",_xlfn.IFS(LEFT($G1006,9)="Tranche 1","DELETE",$C1006="Sessions_Level_1_All_Sites","KEEP",ISNUMBER(--$C1006),"REVIEW — UA raw logs",$C1006="Emag_Reporting","KEEP",$C1006="Nutrition_Data_Archived_Tables","KEEP",$C1006="EU_Data","KEEP",TRUE,"REVIEW"),OR($A1006="thg-influencer",$A1006="thg-ingenuity",$A1006="thg-central-marketing",$A1006="thg-seoclarity"),"HOLD",TRUE,"")</f>
        <v>HOLD</v>
      </c>
      <c r="R1006" t="str" cm="1">
        <f t="array" ref="R1006">_xlfn.IFS(AND($A1006="thg-beauty",ISNUMBER(SEARCH("liveramp",$C1006))),"thg-beauty Liveramp dataset — confirmed safe to delete",$A1006="agile-bonbon-662",_xlfn.IFS(LEFT($G1006,9)="Tranche 1","Tranche 1: cleared",$C1006="Sessions_Level_1_All_Sites","Downstream aggregation of UA raw logs — keep if raw tables go",ISNUMBER(--$C1006),"UA raw site logs (account ID) — keep pending audit-retention check",$C1006="Emag_Reporting","Legacy but likely needed",$C1006="Nutrition_Data_Archived_Tables","Worth keeping",$C1006="EU_Data","Static lookup tables — scripts still reference (smoke-test risk)",TRUE,"Review"),OR($A1006="thg-influencer",$A1006="thg-ingenuity",$A1006="thg-central-marketing",$A1006="thg-seoclarity"),"HOLD — Charlie Stringer to review before deletion",TRUE,"")</f>
        <v>HOLD — Charlie Stringer to review before deletion</v>
      </c>
      <c r="S1006" t="s">
        <v>1624</v>
      </c>
    </row>
    <row r="1007" spans="1:19" hidden="1">
      <c r="A1007" t="s">
        <v>38</v>
      </c>
      <c r="B1007" t="s">
        <v>1619</v>
      </c>
      <c r="C1007" t="s">
        <v>3462</v>
      </c>
      <c r="D1007" s="2" t="s">
        <v>1621</v>
      </c>
      <c r="E1007">
        <v>0.36</v>
      </c>
      <c r="F1007">
        <v>0.01</v>
      </c>
      <c r="G1007" t="s">
        <v>3456</v>
      </c>
      <c r="H1007" t="s">
        <v>3457</v>
      </c>
      <c r="I1007">
        <v>1944</v>
      </c>
      <c r="J1007">
        <v>1944</v>
      </c>
      <c r="M1007" s="2" t="s">
        <v>1715</v>
      </c>
      <c r="N1007" s="2" t="s">
        <v>1701</v>
      </c>
      <c r="O1007" s="5">
        <v>44252.603674085651</v>
      </c>
      <c r="P1007" t="str">
        <f>IF($Q1007="DELETE",IF($S1007="CONFIRMED: NO MODS &gt; 1YR","CONFIRMED: NO MODS &gt; 1YR","DO NOT DELETE — not defensibly confirmed"),IF($Q1007="HOLD","DO NOT DELETE — HOLD (Charlie review)",IF($Q1007="KEEP","DO NOT DELETE — KEEP",IF(ISNUMBER(SEARCH("REVIEW",$Q1007)),"DO NOT DELETE — REVIEW pending",$S1007))))</f>
        <v>DO NOT DELETE — HOLD (Charlie review)</v>
      </c>
      <c r="Q1007" t="str" cm="1">
        <f t="array" ref="Q1007">_xlfn.IFS(AND($A1007="thg-beauty",ISNUMBER(SEARCH("liveramp",$C1007))),"DELETE",$A1007="agile-bonbon-662",_xlfn.IFS(LEFT($G1007,9)="Tranche 1","DELETE",$C1007="Sessions_Level_1_All_Sites","KEEP",ISNUMBER(--$C1007),"REVIEW — UA raw logs",$C1007="Emag_Reporting","KEEP",$C1007="Nutrition_Data_Archived_Tables","KEEP",$C1007="EU_Data","KEEP",TRUE,"REVIEW"),OR($A1007="thg-influencer",$A1007="thg-ingenuity",$A1007="thg-central-marketing",$A1007="thg-seoclarity"),"HOLD",TRUE,"")</f>
        <v>HOLD</v>
      </c>
      <c r="R1007" t="str" cm="1">
        <f t="array" ref="R1007">_xlfn.IFS(AND($A1007="thg-beauty",ISNUMBER(SEARCH("liveramp",$C1007))),"thg-beauty Liveramp dataset — confirmed safe to delete",$A1007="agile-bonbon-662",_xlfn.IFS(LEFT($G1007,9)="Tranche 1","Tranche 1: cleared",$C1007="Sessions_Level_1_All_Sites","Downstream aggregation of UA raw logs — keep if raw tables go",ISNUMBER(--$C1007),"UA raw site logs (account ID) — keep pending audit-retention check",$C1007="Emag_Reporting","Legacy but likely needed",$C1007="Nutrition_Data_Archived_Tables","Worth keeping",$C1007="EU_Data","Static lookup tables — scripts still reference (smoke-test risk)",TRUE,"Review"),OR($A1007="thg-influencer",$A1007="thg-ingenuity",$A1007="thg-central-marketing",$A1007="thg-seoclarity"),"HOLD — Charlie Stringer to review before deletion",TRUE,"")</f>
        <v>HOLD — Charlie Stringer to review before deletion</v>
      </c>
      <c r="S1007" t="s">
        <v>1624</v>
      </c>
    </row>
    <row r="1008" spans="1:19" hidden="1">
      <c r="A1008" t="s">
        <v>38</v>
      </c>
      <c r="B1008" t="s">
        <v>1619</v>
      </c>
      <c r="C1008" t="s">
        <v>3463</v>
      </c>
      <c r="D1008" s="2" t="s">
        <v>1621</v>
      </c>
      <c r="E1008">
        <v>0.01</v>
      </c>
      <c r="F1008">
        <v>0</v>
      </c>
      <c r="G1008" t="s">
        <v>3456</v>
      </c>
      <c r="H1008" t="s">
        <v>3457</v>
      </c>
      <c r="I1008">
        <v>1934</v>
      </c>
      <c r="J1008">
        <v>1934</v>
      </c>
      <c r="M1008" s="2" t="s">
        <v>1715</v>
      </c>
      <c r="N1008" s="2" t="s">
        <v>1701</v>
      </c>
      <c r="O1008" s="5">
        <v>44262.837566504633</v>
      </c>
      <c r="P1008" t="str">
        <f>IF($Q1008="DELETE",IF($S1008="CONFIRMED: NO MODS &gt; 1YR","CONFIRMED: NO MODS &gt; 1YR","DO NOT DELETE — not defensibly confirmed"),IF($Q1008="HOLD","DO NOT DELETE — HOLD (Charlie review)",IF($Q1008="KEEP","DO NOT DELETE — KEEP",IF(ISNUMBER(SEARCH("REVIEW",$Q1008)),"DO NOT DELETE — REVIEW pending",$S1008))))</f>
        <v>DO NOT DELETE — HOLD (Charlie review)</v>
      </c>
      <c r="Q1008" t="str" cm="1">
        <f t="array" ref="Q1008">_xlfn.IFS(AND($A1008="thg-beauty",ISNUMBER(SEARCH("liveramp",$C1008))),"DELETE",$A1008="agile-bonbon-662",_xlfn.IFS(LEFT($G1008,9)="Tranche 1","DELETE",$C1008="Sessions_Level_1_All_Sites","KEEP",ISNUMBER(--$C1008),"REVIEW — UA raw logs",$C1008="Emag_Reporting","KEEP",$C1008="Nutrition_Data_Archived_Tables","KEEP",$C1008="EU_Data","KEEP",TRUE,"REVIEW"),OR($A1008="thg-influencer",$A1008="thg-ingenuity",$A1008="thg-central-marketing",$A1008="thg-seoclarity"),"HOLD",TRUE,"")</f>
        <v>HOLD</v>
      </c>
      <c r="R1008" t="str" cm="1">
        <f t="array" ref="R1008">_xlfn.IFS(AND($A1008="thg-beauty",ISNUMBER(SEARCH("liveramp",$C1008))),"thg-beauty Liveramp dataset — confirmed safe to delete",$A1008="agile-bonbon-662",_xlfn.IFS(LEFT($G1008,9)="Tranche 1","Tranche 1: cleared",$C1008="Sessions_Level_1_All_Sites","Downstream aggregation of UA raw logs — keep if raw tables go",ISNUMBER(--$C1008),"UA raw site logs (account ID) — keep pending audit-retention check",$C1008="Emag_Reporting","Legacy but likely needed",$C1008="Nutrition_Data_Archived_Tables","Worth keeping",$C1008="EU_Data","Static lookup tables — scripts still reference (smoke-test risk)",TRUE,"Review"),OR($A1008="thg-influencer",$A1008="thg-ingenuity",$A1008="thg-central-marketing",$A1008="thg-seoclarity"),"HOLD — Charlie Stringer to review before deletion",TRUE,"")</f>
        <v>HOLD — Charlie Stringer to review before deletion</v>
      </c>
      <c r="S1008" t="s">
        <v>1624</v>
      </c>
    </row>
    <row r="1009" spans="1:19" hidden="1">
      <c r="A1009" t="s">
        <v>38</v>
      </c>
      <c r="B1009" t="s">
        <v>1619</v>
      </c>
      <c r="C1009" t="s">
        <v>3464</v>
      </c>
      <c r="D1009" s="2" t="s">
        <v>1621</v>
      </c>
      <c r="E1009">
        <v>0.05</v>
      </c>
      <c r="F1009">
        <v>0</v>
      </c>
      <c r="G1009" t="s">
        <v>3456</v>
      </c>
      <c r="H1009" t="s">
        <v>3457</v>
      </c>
      <c r="I1009">
        <v>1930</v>
      </c>
      <c r="J1009">
        <v>1930</v>
      </c>
      <c r="M1009" s="2" t="s">
        <v>1715</v>
      </c>
      <c r="N1009" s="2" t="s">
        <v>1701</v>
      </c>
      <c r="O1009" s="5">
        <v>44266.804178495368</v>
      </c>
      <c r="P1009" t="str">
        <f>IF($Q1009="DELETE",IF($S1009="CONFIRMED: NO MODS &gt; 1YR","CONFIRMED: NO MODS &gt; 1YR","DO NOT DELETE — not defensibly confirmed"),IF($Q1009="HOLD","DO NOT DELETE — HOLD (Charlie review)",IF($Q1009="KEEP","DO NOT DELETE — KEEP",IF(ISNUMBER(SEARCH("REVIEW",$Q1009)),"DO NOT DELETE — REVIEW pending",$S1009))))</f>
        <v>DO NOT DELETE — HOLD (Charlie review)</v>
      </c>
      <c r="Q1009" t="str" cm="1">
        <f t="array" ref="Q1009">_xlfn.IFS(AND($A1009="thg-beauty",ISNUMBER(SEARCH("liveramp",$C1009))),"DELETE",$A1009="agile-bonbon-662",_xlfn.IFS(LEFT($G1009,9)="Tranche 1","DELETE",$C1009="Sessions_Level_1_All_Sites","KEEP",ISNUMBER(--$C1009),"REVIEW — UA raw logs",$C1009="Emag_Reporting","KEEP",$C1009="Nutrition_Data_Archived_Tables","KEEP",$C1009="EU_Data","KEEP",TRUE,"REVIEW"),OR($A1009="thg-influencer",$A1009="thg-ingenuity",$A1009="thg-central-marketing",$A1009="thg-seoclarity"),"HOLD",TRUE,"")</f>
        <v>HOLD</v>
      </c>
      <c r="R1009" t="str" cm="1">
        <f t="array" ref="R1009">_xlfn.IFS(AND($A1009="thg-beauty",ISNUMBER(SEARCH("liveramp",$C1009))),"thg-beauty Liveramp dataset — confirmed safe to delete",$A1009="agile-bonbon-662",_xlfn.IFS(LEFT($G1009,9)="Tranche 1","Tranche 1: cleared",$C1009="Sessions_Level_1_All_Sites","Downstream aggregation of UA raw logs — keep if raw tables go",ISNUMBER(--$C1009),"UA raw site logs (account ID) — keep pending audit-retention check",$C1009="Emag_Reporting","Legacy but likely needed",$C1009="Nutrition_Data_Archived_Tables","Worth keeping",$C1009="EU_Data","Static lookup tables — scripts still reference (smoke-test risk)",TRUE,"Review"),OR($A1009="thg-influencer",$A1009="thg-ingenuity",$A1009="thg-central-marketing",$A1009="thg-seoclarity"),"HOLD — Charlie Stringer to review before deletion",TRUE,"")</f>
        <v>HOLD — Charlie Stringer to review before deletion</v>
      </c>
      <c r="S1009" t="s">
        <v>1624</v>
      </c>
    </row>
    <row r="1010" spans="1:19" hidden="1">
      <c r="A1010" t="s">
        <v>35</v>
      </c>
      <c r="B1010" t="s">
        <v>1619</v>
      </c>
      <c r="C1010" t="s">
        <v>3465</v>
      </c>
      <c r="D1010" s="2" t="s">
        <v>1621</v>
      </c>
      <c r="E1010">
        <v>15.75</v>
      </c>
      <c r="F1010">
        <v>0.31</v>
      </c>
      <c r="G1010" t="s">
        <v>3456</v>
      </c>
      <c r="H1010" t="s">
        <v>3457</v>
      </c>
      <c r="I1010">
        <v>1891</v>
      </c>
      <c r="J1010">
        <v>1891</v>
      </c>
      <c r="M1010" s="2" t="s">
        <v>1715</v>
      </c>
      <c r="N1010" s="2" t="s">
        <v>1701</v>
      </c>
      <c r="O1010" s="5">
        <v>44306.395757430553</v>
      </c>
      <c r="P1010" t="str">
        <f>IF($Q1010="DELETE",IF($S1010="CONFIRMED: NO MODS &gt; 1YR","CONFIRMED: NO MODS &gt; 1YR","DO NOT DELETE — not defensibly confirmed"),IF($Q1010="HOLD","DO NOT DELETE — HOLD (Charlie review)",IF($Q1010="KEEP","DO NOT DELETE — KEEP",IF(ISNUMBER(SEARCH("REVIEW",$Q1010)),"DO NOT DELETE — REVIEW pending",$S1010))))</f>
        <v>DO NOT DELETE — HOLD (Charlie review)</v>
      </c>
      <c r="Q1010" t="str" cm="1">
        <f t="array" ref="Q1010">_xlfn.IFS(AND($A1010="thg-beauty",ISNUMBER(SEARCH("liveramp",$C1010))),"DELETE",$A1010="agile-bonbon-662",_xlfn.IFS(LEFT($G1010,9)="Tranche 1","DELETE",$C1010="Sessions_Level_1_All_Sites","KEEP",ISNUMBER(--$C1010),"REVIEW — UA raw logs",$C1010="Emag_Reporting","KEEP",$C1010="Nutrition_Data_Archived_Tables","KEEP",$C1010="EU_Data","KEEP",TRUE,"REVIEW"),OR($A1010="thg-influencer",$A1010="thg-ingenuity",$A1010="thg-central-marketing",$A1010="thg-seoclarity"),"HOLD",TRUE,"")</f>
        <v>HOLD</v>
      </c>
      <c r="R1010" t="str" cm="1">
        <f t="array" ref="R1010">_xlfn.IFS(AND($A1010="thg-beauty",ISNUMBER(SEARCH("liveramp",$C1010))),"thg-beauty Liveramp dataset — confirmed safe to delete",$A1010="agile-bonbon-662",_xlfn.IFS(LEFT($G1010,9)="Tranche 1","Tranche 1: cleared",$C1010="Sessions_Level_1_All_Sites","Downstream aggregation of UA raw logs — keep if raw tables go",ISNUMBER(--$C1010),"UA raw site logs (account ID) — keep pending audit-retention check",$C1010="Emag_Reporting","Legacy but likely needed",$C1010="Nutrition_Data_Archived_Tables","Worth keeping",$C1010="EU_Data","Static lookup tables — scripts still reference (smoke-test risk)",TRUE,"Review"),OR($A1010="thg-influencer",$A1010="thg-ingenuity",$A1010="thg-central-marketing",$A1010="thg-seoclarity"),"HOLD — Charlie Stringer to review before deletion",TRUE,"")</f>
        <v>HOLD — Charlie Stringer to review before deletion</v>
      </c>
      <c r="S1010" t="s">
        <v>1624</v>
      </c>
    </row>
    <row r="1011" spans="1:19" hidden="1">
      <c r="A1011" t="s">
        <v>35</v>
      </c>
      <c r="B1011" t="s">
        <v>1619</v>
      </c>
      <c r="C1011" t="s">
        <v>3466</v>
      </c>
      <c r="D1011" s="2" t="s">
        <v>1621</v>
      </c>
      <c r="E1011">
        <v>1.88</v>
      </c>
      <c r="F1011">
        <v>0.04</v>
      </c>
      <c r="G1011" t="s">
        <v>3456</v>
      </c>
      <c r="H1011" t="s">
        <v>3457</v>
      </c>
      <c r="I1011">
        <v>1891</v>
      </c>
      <c r="J1011">
        <v>1891</v>
      </c>
      <c r="M1011" s="2" t="s">
        <v>1715</v>
      </c>
      <c r="N1011" s="2" t="s">
        <v>1701</v>
      </c>
      <c r="O1011" s="5">
        <v>44306.450880902783</v>
      </c>
      <c r="P1011" t="str">
        <f>IF($Q1011="DELETE",IF($S1011="CONFIRMED: NO MODS &gt; 1YR","CONFIRMED: NO MODS &gt; 1YR","DO NOT DELETE — not defensibly confirmed"),IF($Q1011="HOLD","DO NOT DELETE — HOLD (Charlie review)",IF($Q1011="KEEP","DO NOT DELETE — KEEP",IF(ISNUMBER(SEARCH("REVIEW",$Q1011)),"DO NOT DELETE — REVIEW pending",$S1011))))</f>
        <v>DO NOT DELETE — HOLD (Charlie review)</v>
      </c>
      <c r="Q1011" t="str" cm="1">
        <f t="array" ref="Q1011">_xlfn.IFS(AND($A1011="thg-beauty",ISNUMBER(SEARCH("liveramp",$C1011))),"DELETE",$A1011="agile-bonbon-662",_xlfn.IFS(LEFT($G1011,9)="Tranche 1","DELETE",$C1011="Sessions_Level_1_All_Sites","KEEP",ISNUMBER(--$C1011),"REVIEW — UA raw logs",$C1011="Emag_Reporting","KEEP",$C1011="Nutrition_Data_Archived_Tables","KEEP",$C1011="EU_Data","KEEP",TRUE,"REVIEW"),OR($A1011="thg-influencer",$A1011="thg-ingenuity",$A1011="thg-central-marketing",$A1011="thg-seoclarity"),"HOLD",TRUE,"")</f>
        <v>HOLD</v>
      </c>
      <c r="R1011" t="str" cm="1">
        <f t="array" ref="R1011">_xlfn.IFS(AND($A1011="thg-beauty",ISNUMBER(SEARCH("liveramp",$C1011))),"thg-beauty Liveramp dataset — confirmed safe to delete",$A1011="agile-bonbon-662",_xlfn.IFS(LEFT($G1011,9)="Tranche 1","Tranche 1: cleared",$C1011="Sessions_Level_1_All_Sites","Downstream aggregation of UA raw logs — keep if raw tables go",ISNUMBER(--$C1011),"UA raw site logs (account ID) — keep pending audit-retention check",$C1011="Emag_Reporting","Legacy but likely needed",$C1011="Nutrition_Data_Archived_Tables","Worth keeping",$C1011="EU_Data","Static lookup tables — scripts still reference (smoke-test risk)",TRUE,"Review"),OR($A1011="thg-influencer",$A1011="thg-ingenuity",$A1011="thg-central-marketing",$A1011="thg-seoclarity"),"HOLD — Charlie Stringer to review before deletion",TRUE,"")</f>
        <v>HOLD — Charlie Stringer to review before deletion</v>
      </c>
      <c r="S1011" t="s">
        <v>1624</v>
      </c>
    </row>
    <row r="1012" spans="1:19" hidden="1">
      <c r="A1012" t="s">
        <v>35</v>
      </c>
      <c r="B1012" t="s">
        <v>1619</v>
      </c>
      <c r="C1012" t="s">
        <v>3467</v>
      </c>
      <c r="D1012" s="2" t="s">
        <v>1621</v>
      </c>
      <c r="E1012">
        <v>1.1100000000000001</v>
      </c>
      <c r="F1012">
        <v>0.02</v>
      </c>
      <c r="G1012" t="s">
        <v>3456</v>
      </c>
      <c r="H1012" t="s">
        <v>3457</v>
      </c>
      <c r="I1012">
        <v>1891</v>
      </c>
      <c r="J1012">
        <v>1891</v>
      </c>
      <c r="M1012" s="2" t="s">
        <v>1715</v>
      </c>
      <c r="N1012" s="2" t="s">
        <v>1701</v>
      </c>
      <c r="O1012" s="5">
        <v>44306.449220462957</v>
      </c>
      <c r="P1012" t="str">
        <f>IF($Q1012="DELETE",IF($S1012="CONFIRMED: NO MODS &gt; 1YR","CONFIRMED: NO MODS &gt; 1YR","DO NOT DELETE — not defensibly confirmed"),IF($Q1012="HOLD","DO NOT DELETE — HOLD (Charlie review)",IF($Q1012="KEEP","DO NOT DELETE — KEEP",IF(ISNUMBER(SEARCH("REVIEW",$Q1012)),"DO NOT DELETE — REVIEW pending",$S1012))))</f>
        <v>DO NOT DELETE — HOLD (Charlie review)</v>
      </c>
      <c r="Q1012" t="str" cm="1">
        <f t="array" ref="Q1012">_xlfn.IFS(AND($A1012="thg-beauty",ISNUMBER(SEARCH("liveramp",$C1012))),"DELETE",$A1012="agile-bonbon-662",_xlfn.IFS(LEFT($G1012,9)="Tranche 1","DELETE",$C1012="Sessions_Level_1_All_Sites","KEEP",ISNUMBER(--$C1012),"REVIEW — UA raw logs",$C1012="Emag_Reporting","KEEP",$C1012="Nutrition_Data_Archived_Tables","KEEP",$C1012="EU_Data","KEEP",TRUE,"REVIEW"),OR($A1012="thg-influencer",$A1012="thg-ingenuity",$A1012="thg-central-marketing",$A1012="thg-seoclarity"),"HOLD",TRUE,"")</f>
        <v>HOLD</v>
      </c>
      <c r="R1012" t="str" cm="1">
        <f t="array" ref="R1012">_xlfn.IFS(AND($A1012="thg-beauty",ISNUMBER(SEARCH("liveramp",$C1012))),"thg-beauty Liveramp dataset — confirmed safe to delete",$A1012="agile-bonbon-662",_xlfn.IFS(LEFT($G1012,9)="Tranche 1","Tranche 1: cleared",$C1012="Sessions_Level_1_All_Sites","Downstream aggregation of UA raw logs — keep if raw tables go",ISNUMBER(--$C1012),"UA raw site logs (account ID) — keep pending audit-retention check",$C1012="Emag_Reporting","Legacy but likely needed",$C1012="Nutrition_Data_Archived_Tables","Worth keeping",$C1012="EU_Data","Static lookup tables — scripts still reference (smoke-test risk)",TRUE,"Review"),OR($A1012="thg-influencer",$A1012="thg-ingenuity",$A1012="thg-central-marketing",$A1012="thg-seoclarity"),"HOLD — Charlie Stringer to review before deletion",TRUE,"")</f>
        <v>HOLD — Charlie Stringer to review before deletion</v>
      </c>
      <c r="S1012" t="s">
        <v>1624</v>
      </c>
    </row>
    <row r="1013" spans="1:19" hidden="1">
      <c r="A1013" t="s">
        <v>35</v>
      </c>
      <c r="B1013" t="s">
        <v>1619</v>
      </c>
      <c r="C1013" t="s">
        <v>3468</v>
      </c>
      <c r="D1013" s="2" t="s">
        <v>1621</v>
      </c>
      <c r="E1013">
        <v>0.2</v>
      </c>
      <c r="F1013">
        <v>0</v>
      </c>
      <c r="G1013" t="s">
        <v>3456</v>
      </c>
      <c r="H1013" t="s">
        <v>3457</v>
      </c>
      <c r="I1013">
        <v>1891</v>
      </c>
      <c r="J1013">
        <v>1891</v>
      </c>
      <c r="M1013" s="2" t="s">
        <v>1715</v>
      </c>
      <c r="N1013" s="2" t="s">
        <v>1701</v>
      </c>
      <c r="O1013" s="5">
        <v>44306.402010983787</v>
      </c>
      <c r="P1013" t="str">
        <f>IF($Q1013="DELETE",IF($S1013="CONFIRMED: NO MODS &gt; 1YR","CONFIRMED: NO MODS &gt; 1YR","DO NOT DELETE — not defensibly confirmed"),IF($Q1013="HOLD","DO NOT DELETE — HOLD (Charlie review)",IF($Q1013="KEEP","DO NOT DELETE — KEEP",IF(ISNUMBER(SEARCH("REVIEW",$Q1013)),"DO NOT DELETE — REVIEW pending",$S1013))))</f>
        <v>DO NOT DELETE — HOLD (Charlie review)</v>
      </c>
      <c r="Q1013" t="str" cm="1">
        <f t="array" ref="Q1013">_xlfn.IFS(AND($A1013="thg-beauty",ISNUMBER(SEARCH("liveramp",$C1013))),"DELETE",$A1013="agile-bonbon-662",_xlfn.IFS(LEFT($G1013,9)="Tranche 1","DELETE",$C1013="Sessions_Level_1_All_Sites","KEEP",ISNUMBER(--$C1013),"REVIEW — UA raw logs",$C1013="Emag_Reporting","KEEP",$C1013="Nutrition_Data_Archived_Tables","KEEP",$C1013="EU_Data","KEEP",TRUE,"REVIEW"),OR($A1013="thg-influencer",$A1013="thg-ingenuity",$A1013="thg-central-marketing",$A1013="thg-seoclarity"),"HOLD",TRUE,"")</f>
        <v>HOLD</v>
      </c>
      <c r="R1013" t="str" cm="1">
        <f t="array" ref="R1013">_xlfn.IFS(AND($A1013="thg-beauty",ISNUMBER(SEARCH("liveramp",$C1013))),"thg-beauty Liveramp dataset — confirmed safe to delete",$A1013="agile-bonbon-662",_xlfn.IFS(LEFT($G1013,9)="Tranche 1","Tranche 1: cleared",$C1013="Sessions_Level_1_All_Sites","Downstream aggregation of UA raw logs — keep if raw tables go",ISNUMBER(--$C1013),"UA raw site logs (account ID) — keep pending audit-retention check",$C1013="Emag_Reporting","Legacy but likely needed",$C1013="Nutrition_Data_Archived_Tables","Worth keeping",$C1013="EU_Data","Static lookup tables — scripts still reference (smoke-test risk)",TRUE,"Review"),OR($A1013="thg-influencer",$A1013="thg-ingenuity",$A1013="thg-central-marketing",$A1013="thg-seoclarity"),"HOLD — Charlie Stringer to review before deletion",TRUE,"")</f>
        <v>HOLD — Charlie Stringer to review before deletion</v>
      </c>
      <c r="S1013" t="s">
        <v>1624</v>
      </c>
    </row>
    <row r="1014" spans="1:19" hidden="1">
      <c r="A1014" t="s">
        <v>38</v>
      </c>
      <c r="B1014" t="s">
        <v>1619</v>
      </c>
      <c r="C1014" t="s">
        <v>3469</v>
      </c>
      <c r="D1014" s="2" t="s">
        <v>1621</v>
      </c>
      <c r="E1014">
        <v>5.3</v>
      </c>
      <c r="F1014">
        <v>0.11</v>
      </c>
      <c r="G1014" t="s">
        <v>3456</v>
      </c>
      <c r="H1014" t="s">
        <v>3457</v>
      </c>
      <c r="I1014">
        <v>1873</v>
      </c>
      <c r="J1014">
        <v>1873</v>
      </c>
      <c r="M1014" s="2" t="s">
        <v>1715</v>
      </c>
      <c r="N1014" s="2" t="s">
        <v>1701</v>
      </c>
      <c r="O1014" s="5">
        <v>44324.23336528935</v>
      </c>
      <c r="P1014" t="str">
        <f>IF($Q1014="DELETE",IF($S1014="CONFIRMED: NO MODS &gt; 1YR","CONFIRMED: NO MODS &gt; 1YR","DO NOT DELETE — not defensibly confirmed"),IF($Q1014="HOLD","DO NOT DELETE — HOLD (Charlie review)",IF($Q1014="KEEP","DO NOT DELETE — KEEP",IF(ISNUMBER(SEARCH("REVIEW",$Q1014)),"DO NOT DELETE — REVIEW pending",$S1014))))</f>
        <v>DO NOT DELETE — HOLD (Charlie review)</v>
      </c>
      <c r="Q1014" t="str" cm="1">
        <f t="array" ref="Q1014">_xlfn.IFS(AND($A1014="thg-beauty",ISNUMBER(SEARCH("liveramp",$C1014))),"DELETE",$A1014="agile-bonbon-662",_xlfn.IFS(LEFT($G1014,9)="Tranche 1","DELETE",$C1014="Sessions_Level_1_All_Sites","KEEP",ISNUMBER(--$C1014),"REVIEW — UA raw logs",$C1014="Emag_Reporting","KEEP",$C1014="Nutrition_Data_Archived_Tables","KEEP",$C1014="EU_Data","KEEP",TRUE,"REVIEW"),OR($A1014="thg-influencer",$A1014="thg-ingenuity",$A1014="thg-central-marketing",$A1014="thg-seoclarity"),"HOLD",TRUE,"")</f>
        <v>HOLD</v>
      </c>
      <c r="R1014" t="str" cm="1">
        <f t="array" ref="R1014">_xlfn.IFS(AND($A1014="thg-beauty",ISNUMBER(SEARCH("liveramp",$C1014))),"thg-beauty Liveramp dataset — confirmed safe to delete",$A1014="agile-bonbon-662",_xlfn.IFS(LEFT($G1014,9)="Tranche 1","Tranche 1: cleared",$C1014="Sessions_Level_1_All_Sites","Downstream aggregation of UA raw logs — keep if raw tables go",ISNUMBER(--$C1014),"UA raw site logs (account ID) — keep pending audit-retention check",$C1014="Emag_Reporting","Legacy but likely needed",$C1014="Nutrition_Data_Archived_Tables","Worth keeping",$C1014="EU_Data","Static lookup tables — scripts still reference (smoke-test risk)",TRUE,"Review"),OR($A1014="thg-influencer",$A1014="thg-ingenuity",$A1014="thg-central-marketing",$A1014="thg-seoclarity"),"HOLD — Charlie Stringer to review before deletion",TRUE,"")</f>
        <v>HOLD — Charlie Stringer to review before deletion</v>
      </c>
      <c r="S1014" t="s">
        <v>1624</v>
      </c>
    </row>
    <row r="1015" spans="1:19" hidden="1">
      <c r="A1015" t="s">
        <v>38</v>
      </c>
      <c r="B1015" t="s">
        <v>1619</v>
      </c>
      <c r="C1015" t="s">
        <v>3470</v>
      </c>
      <c r="D1015" s="2" t="s">
        <v>1621</v>
      </c>
      <c r="E1015">
        <v>0.01</v>
      </c>
      <c r="F1015">
        <v>0</v>
      </c>
      <c r="G1015" t="s">
        <v>3456</v>
      </c>
      <c r="H1015" t="s">
        <v>3457</v>
      </c>
      <c r="I1015">
        <v>1859</v>
      </c>
      <c r="J1015">
        <v>1859</v>
      </c>
      <c r="M1015" s="2" t="s">
        <v>1715</v>
      </c>
      <c r="N1015" s="2" t="s">
        <v>1701</v>
      </c>
      <c r="O1015" s="5">
        <v>44337.632234108787</v>
      </c>
      <c r="P1015" t="str">
        <f>IF($Q1015="DELETE",IF($S1015="CONFIRMED: NO MODS &gt; 1YR","CONFIRMED: NO MODS &gt; 1YR","DO NOT DELETE — not defensibly confirmed"),IF($Q1015="HOLD","DO NOT DELETE — HOLD (Charlie review)",IF($Q1015="KEEP","DO NOT DELETE — KEEP",IF(ISNUMBER(SEARCH("REVIEW",$Q1015)),"DO NOT DELETE — REVIEW pending",$S1015))))</f>
        <v>DO NOT DELETE — HOLD (Charlie review)</v>
      </c>
      <c r="Q1015" t="str" cm="1">
        <f t="array" ref="Q1015">_xlfn.IFS(AND($A1015="thg-beauty",ISNUMBER(SEARCH("liveramp",$C1015))),"DELETE",$A1015="agile-bonbon-662",_xlfn.IFS(LEFT($G1015,9)="Tranche 1","DELETE",$C1015="Sessions_Level_1_All_Sites","KEEP",ISNUMBER(--$C1015),"REVIEW — UA raw logs",$C1015="Emag_Reporting","KEEP",$C1015="Nutrition_Data_Archived_Tables","KEEP",$C1015="EU_Data","KEEP",TRUE,"REVIEW"),OR($A1015="thg-influencer",$A1015="thg-ingenuity",$A1015="thg-central-marketing",$A1015="thg-seoclarity"),"HOLD",TRUE,"")</f>
        <v>HOLD</v>
      </c>
      <c r="R1015" t="str" cm="1">
        <f t="array" ref="R1015">_xlfn.IFS(AND($A1015="thg-beauty",ISNUMBER(SEARCH("liveramp",$C1015))),"thg-beauty Liveramp dataset — confirmed safe to delete",$A1015="agile-bonbon-662",_xlfn.IFS(LEFT($G1015,9)="Tranche 1","Tranche 1: cleared",$C1015="Sessions_Level_1_All_Sites","Downstream aggregation of UA raw logs — keep if raw tables go",ISNUMBER(--$C1015),"UA raw site logs (account ID) — keep pending audit-retention check",$C1015="Emag_Reporting","Legacy but likely needed",$C1015="Nutrition_Data_Archived_Tables","Worth keeping",$C1015="EU_Data","Static lookup tables — scripts still reference (smoke-test risk)",TRUE,"Review"),OR($A1015="thg-influencer",$A1015="thg-ingenuity",$A1015="thg-central-marketing",$A1015="thg-seoclarity"),"HOLD — Charlie Stringer to review before deletion",TRUE,"")</f>
        <v>HOLD — Charlie Stringer to review before deletion</v>
      </c>
      <c r="S1015" t="s">
        <v>1624</v>
      </c>
    </row>
    <row r="1016" spans="1:19" hidden="1">
      <c r="A1016" t="s">
        <v>38</v>
      </c>
      <c r="B1016" t="s">
        <v>1619</v>
      </c>
      <c r="C1016" t="s">
        <v>3471</v>
      </c>
      <c r="D1016" s="2" t="s">
        <v>1621</v>
      </c>
      <c r="E1016">
        <v>0.02</v>
      </c>
      <c r="F1016">
        <v>0</v>
      </c>
      <c r="G1016" t="s">
        <v>3456</v>
      </c>
      <c r="H1016" t="s">
        <v>3457</v>
      </c>
      <c r="I1016">
        <v>1798</v>
      </c>
      <c r="J1016">
        <v>1798</v>
      </c>
      <c r="M1016" s="2" t="s">
        <v>1715</v>
      </c>
      <c r="N1016" s="2" t="s">
        <v>1701</v>
      </c>
      <c r="O1016" s="5">
        <v>44399.393491319453</v>
      </c>
      <c r="P1016" t="str">
        <f>IF($Q1016="DELETE",IF($S1016="CONFIRMED: NO MODS &gt; 1YR","CONFIRMED: NO MODS &gt; 1YR","DO NOT DELETE — not defensibly confirmed"),IF($Q1016="HOLD","DO NOT DELETE — HOLD (Charlie review)",IF($Q1016="KEEP","DO NOT DELETE — KEEP",IF(ISNUMBER(SEARCH("REVIEW",$Q1016)),"DO NOT DELETE — REVIEW pending",$S1016))))</f>
        <v>DO NOT DELETE — HOLD (Charlie review)</v>
      </c>
      <c r="Q1016" t="str" cm="1">
        <f t="array" ref="Q1016">_xlfn.IFS(AND($A1016="thg-beauty",ISNUMBER(SEARCH("liveramp",$C1016))),"DELETE",$A1016="agile-bonbon-662",_xlfn.IFS(LEFT($G1016,9)="Tranche 1","DELETE",$C1016="Sessions_Level_1_All_Sites","KEEP",ISNUMBER(--$C1016),"REVIEW — UA raw logs",$C1016="Emag_Reporting","KEEP",$C1016="Nutrition_Data_Archived_Tables","KEEP",$C1016="EU_Data","KEEP",TRUE,"REVIEW"),OR($A1016="thg-influencer",$A1016="thg-ingenuity",$A1016="thg-central-marketing",$A1016="thg-seoclarity"),"HOLD",TRUE,"")</f>
        <v>HOLD</v>
      </c>
      <c r="R1016" t="str" cm="1">
        <f t="array" ref="R1016">_xlfn.IFS(AND($A1016="thg-beauty",ISNUMBER(SEARCH("liveramp",$C1016))),"thg-beauty Liveramp dataset — confirmed safe to delete",$A1016="agile-bonbon-662",_xlfn.IFS(LEFT($G1016,9)="Tranche 1","Tranche 1: cleared",$C1016="Sessions_Level_1_All_Sites","Downstream aggregation of UA raw logs — keep if raw tables go",ISNUMBER(--$C1016),"UA raw site logs (account ID) — keep pending audit-retention check",$C1016="Emag_Reporting","Legacy but likely needed",$C1016="Nutrition_Data_Archived_Tables","Worth keeping",$C1016="EU_Data","Static lookup tables — scripts still reference (smoke-test risk)",TRUE,"Review"),OR($A1016="thg-influencer",$A1016="thg-ingenuity",$A1016="thg-central-marketing",$A1016="thg-seoclarity"),"HOLD — Charlie Stringer to review before deletion",TRUE,"")</f>
        <v>HOLD — Charlie Stringer to review before deletion</v>
      </c>
      <c r="S1016" t="s">
        <v>1624</v>
      </c>
    </row>
    <row r="1017" spans="1:19" hidden="1">
      <c r="A1017" t="s">
        <v>38</v>
      </c>
      <c r="B1017" t="s">
        <v>1619</v>
      </c>
      <c r="C1017" t="s">
        <v>3472</v>
      </c>
      <c r="D1017" s="2" t="s">
        <v>1621</v>
      </c>
      <c r="E1017">
        <v>2.37</v>
      </c>
      <c r="F1017">
        <v>0.05</v>
      </c>
      <c r="G1017" t="s">
        <v>3456</v>
      </c>
      <c r="H1017" t="s">
        <v>3457</v>
      </c>
      <c r="I1017">
        <v>1747</v>
      </c>
      <c r="J1017">
        <v>1747</v>
      </c>
      <c r="M1017" s="2" t="s">
        <v>1715</v>
      </c>
      <c r="N1017" s="2" t="s">
        <v>1701</v>
      </c>
      <c r="O1017" s="5">
        <v>44449.4783975463</v>
      </c>
      <c r="P1017" t="str">
        <f>IF($Q1017="DELETE",IF($S1017="CONFIRMED: NO MODS &gt; 1YR","CONFIRMED: NO MODS &gt; 1YR","DO NOT DELETE — not defensibly confirmed"),IF($Q1017="HOLD","DO NOT DELETE — HOLD (Charlie review)",IF($Q1017="KEEP","DO NOT DELETE — KEEP",IF(ISNUMBER(SEARCH("REVIEW",$Q1017)),"DO NOT DELETE — REVIEW pending",$S1017))))</f>
        <v>DO NOT DELETE — HOLD (Charlie review)</v>
      </c>
      <c r="Q1017" t="str" cm="1">
        <f t="array" ref="Q1017">_xlfn.IFS(AND($A1017="thg-beauty",ISNUMBER(SEARCH("liveramp",$C1017))),"DELETE",$A1017="agile-bonbon-662",_xlfn.IFS(LEFT($G1017,9)="Tranche 1","DELETE",$C1017="Sessions_Level_1_All_Sites","KEEP",ISNUMBER(--$C1017),"REVIEW — UA raw logs",$C1017="Emag_Reporting","KEEP",$C1017="Nutrition_Data_Archived_Tables","KEEP",$C1017="EU_Data","KEEP",TRUE,"REVIEW"),OR($A1017="thg-influencer",$A1017="thg-ingenuity",$A1017="thg-central-marketing",$A1017="thg-seoclarity"),"HOLD",TRUE,"")</f>
        <v>HOLD</v>
      </c>
      <c r="R1017" t="str" cm="1">
        <f t="array" ref="R1017">_xlfn.IFS(AND($A1017="thg-beauty",ISNUMBER(SEARCH("liveramp",$C1017))),"thg-beauty Liveramp dataset — confirmed safe to delete",$A1017="agile-bonbon-662",_xlfn.IFS(LEFT($G1017,9)="Tranche 1","Tranche 1: cleared",$C1017="Sessions_Level_1_All_Sites","Downstream aggregation of UA raw logs — keep if raw tables go",ISNUMBER(--$C1017),"UA raw site logs (account ID) — keep pending audit-retention check",$C1017="Emag_Reporting","Legacy but likely needed",$C1017="Nutrition_Data_Archived_Tables","Worth keeping",$C1017="EU_Data","Static lookup tables — scripts still reference (smoke-test risk)",TRUE,"Review"),OR($A1017="thg-influencer",$A1017="thg-ingenuity",$A1017="thg-central-marketing",$A1017="thg-seoclarity"),"HOLD — Charlie Stringer to review before deletion",TRUE,"")</f>
        <v>HOLD — Charlie Stringer to review before deletion</v>
      </c>
      <c r="S1017" t="s">
        <v>1624</v>
      </c>
    </row>
    <row r="1018" spans="1:19" hidden="1">
      <c r="A1018" t="s">
        <v>38</v>
      </c>
      <c r="B1018" t="s">
        <v>1619</v>
      </c>
      <c r="C1018" t="s">
        <v>3473</v>
      </c>
      <c r="D1018" s="2" t="s">
        <v>1621</v>
      </c>
      <c r="E1018">
        <v>0.56000000000000005</v>
      </c>
      <c r="F1018">
        <v>0.01</v>
      </c>
      <c r="G1018" t="s">
        <v>3456</v>
      </c>
      <c r="H1018" t="s">
        <v>3457</v>
      </c>
      <c r="I1018">
        <v>1708</v>
      </c>
      <c r="J1018">
        <v>1708</v>
      </c>
      <c r="M1018" s="2" t="s">
        <v>1715</v>
      </c>
      <c r="N1018" s="2" t="s">
        <v>1701</v>
      </c>
      <c r="O1018" s="5">
        <v>44489.368582453702</v>
      </c>
      <c r="P1018" t="str">
        <f>IF($Q1018="DELETE",IF($S1018="CONFIRMED: NO MODS &gt; 1YR","CONFIRMED: NO MODS &gt; 1YR","DO NOT DELETE — not defensibly confirmed"),IF($Q1018="HOLD","DO NOT DELETE — HOLD (Charlie review)",IF($Q1018="KEEP","DO NOT DELETE — KEEP",IF(ISNUMBER(SEARCH("REVIEW",$Q1018)),"DO NOT DELETE — REVIEW pending",$S1018))))</f>
        <v>DO NOT DELETE — HOLD (Charlie review)</v>
      </c>
      <c r="Q1018" t="str" cm="1">
        <f t="array" ref="Q1018">_xlfn.IFS(AND($A1018="thg-beauty",ISNUMBER(SEARCH("liveramp",$C1018))),"DELETE",$A1018="agile-bonbon-662",_xlfn.IFS(LEFT($G1018,9)="Tranche 1","DELETE",$C1018="Sessions_Level_1_All_Sites","KEEP",ISNUMBER(--$C1018),"REVIEW — UA raw logs",$C1018="Emag_Reporting","KEEP",$C1018="Nutrition_Data_Archived_Tables","KEEP",$C1018="EU_Data","KEEP",TRUE,"REVIEW"),OR($A1018="thg-influencer",$A1018="thg-ingenuity",$A1018="thg-central-marketing",$A1018="thg-seoclarity"),"HOLD",TRUE,"")</f>
        <v>HOLD</v>
      </c>
      <c r="R1018" t="str" cm="1">
        <f t="array" ref="R1018">_xlfn.IFS(AND($A1018="thg-beauty",ISNUMBER(SEARCH("liveramp",$C1018))),"thg-beauty Liveramp dataset — confirmed safe to delete",$A1018="agile-bonbon-662",_xlfn.IFS(LEFT($G1018,9)="Tranche 1","Tranche 1: cleared",$C1018="Sessions_Level_1_All_Sites","Downstream aggregation of UA raw logs — keep if raw tables go",ISNUMBER(--$C1018),"UA raw site logs (account ID) — keep pending audit-retention check",$C1018="Emag_Reporting","Legacy but likely needed",$C1018="Nutrition_Data_Archived_Tables","Worth keeping",$C1018="EU_Data","Static lookup tables — scripts still reference (smoke-test risk)",TRUE,"Review"),OR($A1018="thg-influencer",$A1018="thg-ingenuity",$A1018="thg-central-marketing",$A1018="thg-seoclarity"),"HOLD — Charlie Stringer to review before deletion",TRUE,"")</f>
        <v>HOLD — Charlie Stringer to review before deletion</v>
      </c>
      <c r="S1018" t="s">
        <v>1624</v>
      </c>
    </row>
    <row r="1019" spans="1:19" hidden="1">
      <c r="A1019" t="s">
        <v>38</v>
      </c>
      <c r="B1019" t="s">
        <v>1619</v>
      </c>
      <c r="C1019" t="s">
        <v>3474</v>
      </c>
      <c r="D1019" s="2" t="s">
        <v>1621</v>
      </c>
      <c r="E1019">
        <v>0.2</v>
      </c>
      <c r="F1019">
        <v>0</v>
      </c>
      <c r="G1019" t="s">
        <v>3456</v>
      </c>
      <c r="H1019" t="s">
        <v>3457</v>
      </c>
      <c r="I1019">
        <v>1679</v>
      </c>
      <c r="J1019">
        <v>1679</v>
      </c>
      <c r="M1019" s="2" t="s">
        <v>1715</v>
      </c>
      <c r="N1019" s="2" t="s">
        <v>1701</v>
      </c>
      <c r="O1019" s="5">
        <v>44518.324709120367</v>
      </c>
      <c r="P1019" t="str">
        <f>IF($Q1019="DELETE",IF($S1019="CONFIRMED: NO MODS &gt; 1YR","CONFIRMED: NO MODS &gt; 1YR","DO NOT DELETE — not defensibly confirmed"),IF($Q1019="HOLD","DO NOT DELETE — HOLD (Charlie review)",IF($Q1019="KEEP","DO NOT DELETE — KEEP",IF(ISNUMBER(SEARCH("REVIEW",$Q1019)),"DO NOT DELETE — REVIEW pending",$S1019))))</f>
        <v>DO NOT DELETE — HOLD (Charlie review)</v>
      </c>
      <c r="Q1019" t="str" cm="1">
        <f t="array" ref="Q1019">_xlfn.IFS(AND($A1019="thg-beauty",ISNUMBER(SEARCH("liveramp",$C1019))),"DELETE",$A1019="agile-bonbon-662",_xlfn.IFS(LEFT($G1019,9)="Tranche 1","DELETE",$C1019="Sessions_Level_1_All_Sites","KEEP",ISNUMBER(--$C1019),"REVIEW — UA raw logs",$C1019="Emag_Reporting","KEEP",$C1019="Nutrition_Data_Archived_Tables","KEEP",$C1019="EU_Data","KEEP",TRUE,"REVIEW"),OR($A1019="thg-influencer",$A1019="thg-ingenuity",$A1019="thg-central-marketing",$A1019="thg-seoclarity"),"HOLD",TRUE,"")</f>
        <v>HOLD</v>
      </c>
      <c r="R1019" t="str" cm="1">
        <f t="array" ref="R1019">_xlfn.IFS(AND($A1019="thg-beauty",ISNUMBER(SEARCH("liveramp",$C1019))),"thg-beauty Liveramp dataset — confirmed safe to delete",$A1019="agile-bonbon-662",_xlfn.IFS(LEFT($G1019,9)="Tranche 1","Tranche 1: cleared",$C1019="Sessions_Level_1_All_Sites","Downstream aggregation of UA raw logs — keep if raw tables go",ISNUMBER(--$C1019),"UA raw site logs (account ID) — keep pending audit-retention check",$C1019="Emag_Reporting","Legacy but likely needed",$C1019="Nutrition_Data_Archived_Tables","Worth keeping",$C1019="EU_Data","Static lookup tables — scripts still reference (smoke-test risk)",TRUE,"Review"),OR($A1019="thg-influencer",$A1019="thg-ingenuity",$A1019="thg-central-marketing",$A1019="thg-seoclarity"),"HOLD — Charlie Stringer to review before deletion",TRUE,"")</f>
        <v>HOLD — Charlie Stringer to review before deletion</v>
      </c>
      <c r="S1019" t="s">
        <v>1624</v>
      </c>
    </row>
    <row r="1020" spans="1:19" hidden="1">
      <c r="A1020" t="s">
        <v>35</v>
      </c>
      <c r="B1020" t="s">
        <v>1619</v>
      </c>
      <c r="C1020" t="s">
        <v>3475</v>
      </c>
      <c r="D1020" s="2" t="s">
        <v>1621</v>
      </c>
      <c r="E1020">
        <v>0.04</v>
      </c>
      <c r="F1020">
        <v>0</v>
      </c>
      <c r="G1020" t="s">
        <v>3456</v>
      </c>
      <c r="H1020" t="s">
        <v>3457</v>
      </c>
      <c r="I1020">
        <v>1674</v>
      </c>
      <c r="J1020">
        <v>1674</v>
      </c>
      <c r="M1020" s="2" t="s">
        <v>1715</v>
      </c>
      <c r="N1020" s="2" t="s">
        <v>1701</v>
      </c>
      <c r="O1020" s="5">
        <v>44523.007052337962</v>
      </c>
      <c r="P1020" t="str">
        <f>IF($Q1020="DELETE",IF($S1020="CONFIRMED: NO MODS &gt; 1YR","CONFIRMED: NO MODS &gt; 1YR","DO NOT DELETE — not defensibly confirmed"),IF($Q1020="HOLD","DO NOT DELETE — HOLD (Charlie review)",IF($Q1020="KEEP","DO NOT DELETE — KEEP",IF(ISNUMBER(SEARCH("REVIEW",$Q1020)),"DO NOT DELETE — REVIEW pending",$S1020))))</f>
        <v>DO NOT DELETE — HOLD (Charlie review)</v>
      </c>
      <c r="Q1020" t="str" cm="1">
        <f t="array" ref="Q1020">_xlfn.IFS(AND($A1020="thg-beauty",ISNUMBER(SEARCH("liveramp",$C1020))),"DELETE",$A1020="agile-bonbon-662",_xlfn.IFS(LEFT($G1020,9)="Tranche 1","DELETE",$C1020="Sessions_Level_1_All_Sites","KEEP",ISNUMBER(--$C1020),"REVIEW — UA raw logs",$C1020="Emag_Reporting","KEEP",$C1020="Nutrition_Data_Archived_Tables","KEEP",$C1020="EU_Data","KEEP",TRUE,"REVIEW"),OR($A1020="thg-influencer",$A1020="thg-ingenuity",$A1020="thg-central-marketing",$A1020="thg-seoclarity"),"HOLD",TRUE,"")</f>
        <v>HOLD</v>
      </c>
      <c r="R1020" t="str" cm="1">
        <f t="array" ref="R1020">_xlfn.IFS(AND($A1020="thg-beauty",ISNUMBER(SEARCH("liveramp",$C1020))),"thg-beauty Liveramp dataset — confirmed safe to delete",$A1020="agile-bonbon-662",_xlfn.IFS(LEFT($G1020,9)="Tranche 1","Tranche 1: cleared",$C1020="Sessions_Level_1_All_Sites","Downstream aggregation of UA raw logs — keep if raw tables go",ISNUMBER(--$C1020),"UA raw site logs (account ID) — keep pending audit-retention check",$C1020="Emag_Reporting","Legacy but likely needed",$C1020="Nutrition_Data_Archived_Tables","Worth keeping",$C1020="EU_Data","Static lookup tables — scripts still reference (smoke-test risk)",TRUE,"Review"),OR($A1020="thg-influencer",$A1020="thg-ingenuity",$A1020="thg-central-marketing",$A1020="thg-seoclarity"),"HOLD — Charlie Stringer to review before deletion",TRUE,"")</f>
        <v>HOLD — Charlie Stringer to review before deletion</v>
      </c>
      <c r="S1020" t="s">
        <v>1624</v>
      </c>
    </row>
    <row r="1021" spans="1:19" hidden="1">
      <c r="A1021" t="s">
        <v>38</v>
      </c>
      <c r="B1021" t="s">
        <v>1619</v>
      </c>
      <c r="C1021" t="s">
        <v>3476</v>
      </c>
      <c r="D1021" s="2" t="s">
        <v>1621</v>
      </c>
      <c r="E1021">
        <v>0.01</v>
      </c>
      <c r="F1021">
        <v>0</v>
      </c>
      <c r="G1021" t="s">
        <v>3456</v>
      </c>
      <c r="H1021" t="s">
        <v>3457</v>
      </c>
      <c r="I1021">
        <v>1632</v>
      </c>
      <c r="J1021">
        <v>1632</v>
      </c>
      <c r="M1021" s="2" t="s">
        <v>1715</v>
      </c>
      <c r="N1021" s="2" t="s">
        <v>1701</v>
      </c>
      <c r="O1021" s="5">
        <v>44565.300127465278</v>
      </c>
      <c r="P1021" t="str">
        <f>IF($Q1021="DELETE",IF($S1021="CONFIRMED: NO MODS &gt; 1YR","CONFIRMED: NO MODS &gt; 1YR","DO NOT DELETE — not defensibly confirmed"),IF($Q1021="HOLD","DO NOT DELETE — HOLD (Charlie review)",IF($Q1021="KEEP","DO NOT DELETE — KEEP",IF(ISNUMBER(SEARCH("REVIEW",$Q1021)),"DO NOT DELETE — REVIEW pending",$S1021))))</f>
        <v>DO NOT DELETE — HOLD (Charlie review)</v>
      </c>
      <c r="Q1021" t="str" cm="1">
        <f t="array" ref="Q1021">_xlfn.IFS(AND($A1021="thg-beauty",ISNUMBER(SEARCH("liveramp",$C1021))),"DELETE",$A1021="agile-bonbon-662",_xlfn.IFS(LEFT($G1021,9)="Tranche 1","DELETE",$C1021="Sessions_Level_1_All_Sites","KEEP",ISNUMBER(--$C1021),"REVIEW — UA raw logs",$C1021="Emag_Reporting","KEEP",$C1021="Nutrition_Data_Archived_Tables","KEEP",$C1021="EU_Data","KEEP",TRUE,"REVIEW"),OR($A1021="thg-influencer",$A1021="thg-ingenuity",$A1021="thg-central-marketing",$A1021="thg-seoclarity"),"HOLD",TRUE,"")</f>
        <v>HOLD</v>
      </c>
      <c r="R1021" t="str" cm="1">
        <f t="array" ref="R1021">_xlfn.IFS(AND($A1021="thg-beauty",ISNUMBER(SEARCH("liveramp",$C1021))),"thg-beauty Liveramp dataset — confirmed safe to delete",$A1021="agile-bonbon-662",_xlfn.IFS(LEFT($G1021,9)="Tranche 1","Tranche 1: cleared",$C1021="Sessions_Level_1_All_Sites","Downstream aggregation of UA raw logs — keep if raw tables go",ISNUMBER(--$C1021),"UA raw site logs (account ID) — keep pending audit-retention check",$C1021="Emag_Reporting","Legacy but likely needed",$C1021="Nutrition_Data_Archived_Tables","Worth keeping",$C1021="EU_Data","Static lookup tables — scripts still reference (smoke-test risk)",TRUE,"Review"),OR($A1021="thg-influencer",$A1021="thg-ingenuity",$A1021="thg-central-marketing",$A1021="thg-seoclarity"),"HOLD — Charlie Stringer to review before deletion",TRUE,"")</f>
        <v>HOLD — Charlie Stringer to review before deletion</v>
      </c>
      <c r="S1021" t="s">
        <v>1624</v>
      </c>
    </row>
    <row r="1022" spans="1:19" hidden="1">
      <c r="A1022" t="s">
        <v>35</v>
      </c>
      <c r="B1022" t="s">
        <v>1619</v>
      </c>
      <c r="C1022" t="s">
        <v>3477</v>
      </c>
      <c r="D1022" s="2" t="s">
        <v>1621</v>
      </c>
      <c r="E1022">
        <v>0.14000000000000001</v>
      </c>
      <c r="F1022">
        <v>0</v>
      </c>
      <c r="G1022" t="s">
        <v>3456</v>
      </c>
      <c r="H1022" t="s">
        <v>3457</v>
      </c>
      <c r="I1022">
        <v>1623</v>
      </c>
      <c r="J1022">
        <v>1623</v>
      </c>
      <c r="M1022" s="2" t="s">
        <v>1715</v>
      </c>
      <c r="N1022" s="2" t="s">
        <v>1701</v>
      </c>
      <c r="O1022" s="5">
        <v>44574.127048506947</v>
      </c>
      <c r="P1022" t="str">
        <f>IF($Q1022="DELETE",IF($S1022="CONFIRMED: NO MODS &gt; 1YR","CONFIRMED: NO MODS &gt; 1YR","DO NOT DELETE — not defensibly confirmed"),IF($Q1022="HOLD","DO NOT DELETE — HOLD (Charlie review)",IF($Q1022="KEEP","DO NOT DELETE — KEEP",IF(ISNUMBER(SEARCH("REVIEW",$Q1022)),"DO NOT DELETE — REVIEW pending",$S1022))))</f>
        <v>DO NOT DELETE — HOLD (Charlie review)</v>
      </c>
      <c r="Q1022" t="str" cm="1">
        <f t="array" ref="Q1022">_xlfn.IFS(AND($A1022="thg-beauty",ISNUMBER(SEARCH("liveramp",$C1022))),"DELETE",$A1022="agile-bonbon-662",_xlfn.IFS(LEFT($G1022,9)="Tranche 1","DELETE",$C1022="Sessions_Level_1_All_Sites","KEEP",ISNUMBER(--$C1022),"REVIEW — UA raw logs",$C1022="Emag_Reporting","KEEP",$C1022="Nutrition_Data_Archived_Tables","KEEP",$C1022="EU_Data","KEEP",TRUE,"REVIEW"),OR($A1022="thg-influencer",$A1022="thg-ingenuity",$A1022="thg-central-marketing",$A1022="thg-seoclarity"),"HOLD",TRUE,"")</f>
        <v>HOLD</v>
      </c>
      <c r="R1022" t="str" cm="1">
        <f t="array" ref="R1022">_xlfn.IFS(AND($A1022="thg-beauty",ISNUMBER(SEARCH("liveramp",$C1022))),"thg-beauty Liveramp dataset — confirmed safe to delete",$A1022="agile-bonbon-662",_xlfn.IFS(LEFT($G1022,9)="Tranche 1","Tranche 1: cleared",$C1022="Sessions_Level_1_All_Sites","Downstream aggregation of UA raw logs — keep if raw tables go",ISNUMBER(--$C1022),"UA raw site logs (account ID) — keep pending audit-retention check",$C1022="Emag_Reporting","Legacy but likely needed",$C1022="Nutrition_Data_Archived_Tables","Worth keeping",$C1022="EU_Data","Static lookup tables — scripts still reference (smoke-test risk)",TRUE,"Review"),OR($A1022="thg-influencer",$A1022="thg-ingenuity",$A1022="thg-central-marketing",$A1022="thg-seoclarity"),"HOLD — Charlie Stringer to review before deletion",TRUE,"")</f>
        <v>HOLD — Charlie Stringer to review before deletion</v>
      </c>
      <c r="S1022" t="s">
        <v>1624</v>
      </c>
    </row>
    <row r="1023" spans="1:19" hidden="1">
      <c r="A1023" t="s">
        <v>38</v>
      </c>
      <c r="B1023" t="s">
        <v>1619</v>
      </c>
      <c r="C1023" t="s">
        <v>3478</v>
      </c>
      <c r="D1023" s="2" t="s">
        <v>1621</v>
      </c>
      <c r="E1023">
        <v>0</v>
      </c>
      <c r="F1023">
        <v>0</v>
      </c>
      <c r="G1023" t="s">
        <v>3456</v>
      </c>
      <c r="H1023" t="s">
        <v>3457</v>
      </c>
      <c r="I1023">
        <v>1598</v>
      </c>
      <c r="J1023">
        <v>1598</v>
      </c>
      <c r="M1023" s="2" t="s">
        <v>1715</v>
      </c>
      <c r="N1023" s="2" t="s">
        <v>1701</v>
      </c>
      <c r="O1023" s="5">
        <v>44598.596110543978</v>
      </c>
      <c r="P1023" t="str">
        <f>IF($Q1023="DELETE",IF($S1023="CONFIRMED: NO MODS &gt; 1YR","CONFIRMED: NO MODS &gt; 1YR","DO NOT DELETE — not defensibly confirmed"),IF($Q1023="HOLD","DO NOT DELETE — HOLD (Charlie review)",IF($Q1023="KEEP","DO NOT DELETE — KEEP",IF(ISNUMBER(SEARCH("REVIEW",$Q1023)),"DO NOT DELETE — REVIEW pending",$S1023))))</f>
        <v>DO NOT DELETE — HOLD (Charlie review)</v>
      </c>
      <c r="Q1023" t="str" cm="1">
        <f t="array" ref="Q1023">_xlfn.IFS(AND($A1023="thg-beauty",ISNUMBER(SEARCH("liveramp",$C1023))),"DELETE",$A1023="agile-bonbon-662",_xlfn.IFS(LEFT($G1023,9)="Tranche 1","DELETE",$C1023="Sessions_Level_1_All_Sites","KEEP",ISNUMBER(--$C1023),"REVIEW — UA raw logs",$C1023="Emag_Reporting","KEEP",$C1023="Nutrition_Data_Archived_Tables","KEEP",$C1023="EU_Data","KEEP",TRUE,"REVIEW"),OR($A1023="thg-influencer",$A1023="thg-ingenuity",$A1023="thg-central-marketing",$A1023="thg-seoclarity"),"HOLD",TRUE,"")</f>
        <v>HOLD</v>
      </c>
      <c r="R1023" t="str" cm="1">
        <f t="array" ref="R1023">_xlfn.IFS(AND($A1023="thg-beauty",ISNUMBER(SEARCH("liveramp",$C1023))),"thg-beauty Liveramp dataset — confirmed safe to delete",$A1023="agile-bonbon-662",_xlfn.IFS(LEFT($G1023,9)="Tranche 1","Tranche 1: cleared",$C1023="Sessions_Level_1_All_Sites","Downstream aggregation of UA raw logs — keep if raw tables go",ISNUMBER(--$C1023),"UA raw site logs (account ID) — keep pending audit-retention check",$C1023="Emag_Reporting","Legacy but likely needed",$C1023="Nutrition_Data_Archived_Tables","Worth keeping",$C1023="EU_Data","Static lookup tables — scripts still reference (smoke-test risk)",TRUE,"Review"),OR($A1023="thg-influencer",$A1023="thg-ingenuity",$A1023="thg-central-marketing",$A1023="thg-seoclarity"),"HOLD — Charlie Stringer to review before deletion",TRUE,"")</f>
        <v>HOLD — Charlie Stringer to review before deletion</v>
      </c>
      <c r="S1023" t="s">
        <v>1624</v>
      </c>
    </row>
    <row r="1024" spans="1:19" hidden="1">
      <c r="A1024" t="s">
        <v>38</v>
      </c>
      <c r="B1024" t="s">
        <v>1619</v>
      </c>
      <c r="C1024" t="s">
        <v>3479</v>
      </c>
      <c r="D1024" s="2" t="s">
        <v>1621</v>
      </c>
      <c r="E1024">
        <v>102.84</v>
      </c>
      <c r="F1024">
        <v>2.06</v>
      </c>
      <c r="G1024" t="s">
        <v>3456</v>
      </c>
      <c r="H1024" t="s">
        <v>3328</v>
      </c>
      <c r="I1024">
        <v>1581</v>
      </c>
      <c r="J1024">
        <v>1581</v>
      </c>
      <c r="M1024" s="2" t="s">
        <v>1715</v>
      </c>
      <c r="N1024" s="2" t="s">
        <v>1701</v>
      </c>
      <c r="O1024" s="5">
        <v>44615.503030659733</v>
      </c>
      <c r="P1024" t="str">
        <f>IF($Q1024="DELETE",IF($S1024="CONFIRMED: NO MODS &gt; 1YR","CONFIRMED: NO MODS &gt; 1YR","DO NOT DELETE — not defensibly confirmed"),IF($Q1024="HOLD","DO NOT DELETE — HOLD (Charlie review)",IF($Q1024="KEEP","DO NOT DELETE — KEEP",IF(ISNUMBER(SEARCH("REVIEW",$Q1024)),"DO NOT DELETE — REVIEW pending",$S1024))))</f>
        <v>DO NOT DELETE — HOLD (Charlie review)</v>
      </c>
      <c r="Q1024" t="str" cm="1">
        <f t="array" ref="Q1024">_xlfn.IFS(AND($A1024="thg-beauty",ISNUMBER(SEARCH("liveramp",$C1024))),"DELETE",$A1024="agile-bonbon-662",_xlfn.IFS(LEFT($G1024,9)="Tranche 1","DELETE",$C1024="Sessions_Level_1_All_Sites","KEEP",ISNUMBER(--$C1024),"REVIEW — UA raw logs",$C1024="Emag_Reporting","KEEP",$C1024="Nutrition_Data_Archived_Tables","KEEP",$C1024="EU_Data","KEEP",TRUE,"REVIEW"),OR($A1024="thg-influencer",$A1024="thg-ingenuity",$A1024="thg-central-marketing",$A1024="thg-seoclarity"),"HOLD",TRUE,"")</f>
        <v>HOLD</v>
      </c>
      <c r="R1024" t="str" cm="1">
        <f t="array" ref="R1024">_xlfn.IFS(AND($A1024="thg-beauty",ISNUMBER(SEARCH("liveramp",$C1024))),"thg-beauty Liveramp dataset — confirmed safe to delete",$A1024="agile-bonbon-662",_xlfn.IFS(LEFT($G1024,9)="Tranche 1","Tranche 1: cleared",$C1024="Sessions_Level_1_All_Sites","Downstream aggregation of UA raw logs — keep if raw tables go",ISNUMBER(--$C1024),"UA raw site logs (account ID) — keep pending audit-retention check",$C1024="Emag_Reporting","Legacy but likely needed",$C1024="Nutrition_Data_Archived_Tables","Worth keeping",$C1024="EU_Data","Static lookup tables — scripts still reference (smoke-test risk)",TRUE,"Review"),OR($A1024="thg-influencer",$A1024="thg-ingenuity",$A1024="thg-central-marketing",$A1024="thg-seoclarity"),"HOLD — Charlie Stringer to review before deletion",TRUE,"")</f>
        <v>HOLD — Charlie Stringer to review before deletion</v>
      </c>
      <c r="S1024" t="s">
        <v>1624</v>
      </c>
    </row>
    <row r="1025" spans="1:19" hidden="1">
      <c r="A1025" t="s">
        <v>38</v>
      </c>
      <c r="B1025" t="s">
        <v>1619</v>
      </c>
      <c r="C1025" t="s">
        <v>3480</v>
      </c>
      <c r="D1025" s="2" t="s">
        <v>1621</v>
      </c>
      <c r="E1025">
        <v>0.02</v>
      </c>
      <c r="F1025">
        <v>0</v>
      </c>
      <c r="G1025" t="s">
        <v>3456</v>
      </c>
      <c r="H1025" t="s">
        <v>3457</v>
      </c>
      <c r="I1025">
        <v>1581</v>
      </c>
      <c r="J1025">
        <v>1581</v>
      </c>
      <c r="M1025" s="2" t="s">
        <v>1715</v>
      </c>
      <c r="N1025" s="2" t="s">
        <v>1701</v>
      </c>
      <c r="O1025" s="5">
        <v>44615.519135833332</v>
      </c>
      <c r="P1025" t="str">
        <f>IF($Q1025="DELETE",IF($S1025="CONFIRMED: NO MODS &gt; 1YR","CONFIRMED: NO MODS &gt; 1YR","DO NOT DELETE — not defensibly confirmed"),IF($Q1025="HOLD","DO NOT DELETE — HOLD (Charlie review)",IF($Q1025="KEEP","DO NOT DELETE — KEEP",IF(ISNUMBER(SEARCH("REVIEW",$Q1025)),"DO NOT DELETE — REVIEW pending",$S1025))))</f>
        <v>DO NOT DELETE — HOLD (Charlie review)</v>
      </c>
      <c r="Q1025" t="str" cm="1">
        <f t="array" ref="Q1025">_xlfn.IFS(AND($A1025="thg-beauty",ISNUMBER(SEARCH("liveramp",$C1025))),"DELETE",$A1025="agile-bonbon-662",_xlfn.IFS(LEFT($G1025,9)="Tranche 1","DELETE",$C1025="Sessions_Level_1_All_Sites","KEEP",ISNUMBER(--$C1025),"REVIEW — UA raw logs",$C1025="Emag_Reporting","KEEP",$C1025="Nutrition_Data_Archived_Tables","KEEP",$C1025="EU_Data","KEEP",TRUE,"REVIEW"),OR($A1025="thg-influencer",$A1025="thg-ingenuity",$A1025="thg-central-marketing",$A1025="thg-seoclarity"),"HOLD",TRUE,"")</f>
        <v>HOLD</v>
      </c>
      <c r="R1025" t="str" cm="1">
        <f t="array" ref="R1025">_xlfn.IFS(AND($A1025="thg-beauty",ISNUMBER(SEARCH("liveramp",$C1025))),"thg-beauty Liveramp dataset — confirmed safe to delete",$A1025="agile-bonbon-662",_xlfn.IFS(LEFT($G1025,9)="Tranche 1","Tranche 1: cleared",$C1025="Sessions_Level_1_All_Sites","Downstream aggregation of UA raw logs — keep if raw tables go",ISNUMBER(--$C1025),"UA raw site logs (account ID) — keep pending audit-retention check",$C1025="Emag_Reporting","Legacy but likely needed",$C1025="Nutrition_Data_Archived_Tables","Worth keeping",$C1025="EU_Data","Static lookup tables — scripts still reference (smoke-test risk)",TRUE,"Review"),OR($A1025="thg-influencer",$A1025="thg-ingenuity",$A1025="thg-central-marketing",$A1025="thg-seoclarity"),"HOLD — Charlie Stringer to review before deletion",TRUE,"")</f>
        <v>HOLD — Charlie Stringer to review before deletion</v>
      </c>
      <c r="S1025" t="s">
        <v>1624</v>
      </c>
    </row>
    <row r="1026" spans="1:19" hidden="1">
      <c r="A1026" t="s">
        <v>38</v>
      </c>
      <c r="B1026" t="s">
        <v>1619</v>
      </c>
      <c r="C1026" t="s">
        <v>3481</v>
      </c>
      <c r="D1026" s="2" t="s">
        <v>1621</v>
      </c>
      <c r="E1026">
        <v>0</v>
      </c>
      <c r="F1026">
        <v>0</v>
      </c>
      <c r="G1026" t="s">
        <v>3456</v>
      </c>
      <c r="H1026" t="s">
        <v>3457</v>
      </c>
      <c r="I1026">
        <v>1581</v>
      </c>
      <c r="J1026">
        <v>1581</v>
      </c>
      <c r="M1026" s="2" t="s">
        <v>1715</v>
      </c>
      <c r="N1026" s="2" t="s">
        <v>1701</v>
      </c>
      <c r="O1026" s="5">
        <v>44615.454856307872</v>
      </c>
      <c r="P1026" t="str">
        <f>IF($Q1026="DELETE",IF($S1026="CONFIRMED: NO MODS &gt; 1YR","CONFIRMED: NO MODS &gt; 1YR","DO NOT DELETE — not defensibly confirmed"),IF($Q1026="HOLD","DO NOT DELETE — HOLD (Charlie review)",IF($Q1026="KEEP","DO NOT DELETE — KEEP",IF(ISNUMBER(SEARCH("REVIEW",$Q1026)),"DO NOT DELETE — REVIEW pending",$S1026))))</f>
        <v>DO NOT DELETE — HOLD (Charlie review)</v>
      </c>
      <c r="Q1026" t="str" cm="1">
        <f t="array" ref="Q1026">_xlfn.IFS(AND($A1026="thg-beauty",ISNUMBER(SEARCH("liveramp",$C1026))),"DELETE",$A1026="agile-bonbon-662",_xlfn.IFS(LEFT($G1026,9)="Tranche 1","DELETE",$C1026="Sessions_Level_1_All_Sites","KEEP",ISNUMBER(--$C1026),"REVIEW — UA raw logs",$C1026="Emag_Reporting","KEEP",$C1026="Nutrition_Data_Archived_Tables","KEEP",$C1026="EU_Data","KEEP",TRUE,"REVIEW"),OR($A1026="thg-influencer",$A1026="thg-ingenuity",$A1026="thg-central-marketing",$A1026="thg-seoclarity"),"HOLD",TRUE,"")</f>
        <v>HOLD</v>
      </c>
      <c r="R1026" t="str" cm="1">
        <f t="array" ref="R1026">_xlfn.IFS(AND($A1026="thg-beauty",ISNUMBER(SEARCH("liveramp",$C1026))),"thg-beauty Liveramp dataset — confirmed safe to delete",$A1026="agile-bonbon-662",_xlfn.IFS(LEFT($G1026,9)="Tranche 1","Tranche 1: cleared",$C1026="Sessions_Level_1_All_Sites","Downstream aggregation of UA raw logs — keep if raw tables go",ISNUMBER(--$C1026),"UA raw site logs (account ID) — keep pending audit-retention check",$C1026="Emag_Reporting","Legacy but likely needed",$C1026="Nutrition_Data_Archived_Tables","Worth keeping",$C1026="EU_Data","Static lookup tables — scripts still reference (smoke-test risk)",TRUE,"Review"),OR($A1026="thg-influencer",$A1026="thg-ingenuity",$A1026="thg-central-marketing",$A1026="thg-seoclarity"),"HOLD — Charlie Stringer to review before deletion",TRUE,"")</f>
        <v>HOLD — Charlie Stringer to review before deletion</v>
      </c>
      <c r="S1026" t="s">
        <v>1624</v>
      </c>
    </row>
    <row r="1027" spans="1:19" hidden="1">
      <c r="A1027" t="s">
        <v>35</v>
      </c>
      <c r="B1027" t="s">
        <v>1619</v>
      </c>
      <c r="C1027" t="s">
        <v>3482</v>
      </c>
      <c r="D1027" s="2" t="s">
        <v>1621</v>
      </c>
      <c r="E1027">
        <v>0</v>
      </c>
      <c r="F1027">
        <v>0</v>
      </c>
      <c r="G1027" t="s">
        <v>3456</v>
      </c>
      <c r="H1027" t="s">
        <v>3457</v>
      </c>
      <c r="I1027">
        <v>1576</v>
      </c>
      <c r="J1027">
        <v>1576</v>
      </c>
      <c r="M1027" s="2" t="s">
        <v>1715</v>
      </c>
      <c r="N1027" s="2" t="s">
        <v>1701</v>
      </c>
      <c r="O1027" s="5">
        <v>44620.577890092587</v>
      </c>
      <c r="P1027" t="str">
        <f>IF($Q1027="DELETE",IF($S1027="CONFIRMED: NO MODS &gt; 1YR","CONFIRMED: NO MODS &gt; 1YR","DO NOT DELETE — not defensibly confirmed"),IF($Q1027="HOLD","DO NOT DELETE — HOLD (Charlie review)",IF($Q1027="KEEP","DO NOT DELETE — KEEP",IF(ISNUMBER(SEARCH("REVIEW",$Q1027)),"DO NOT DELETE — REVIEW pending",$S1027))))</f>
        <v>DO NOT DELETE — HOLD (Charlie review)</v>
      </c>
      <c r="Q1027" t="str" cm="1">
        <f t="array" ref="Q1027">_xlfn.IFS(AND($A1027="thg-beauty",ISNUMBER(SEARCH("liveramp",$C1027))),"DELETE",$A1027="agile-bonbon-662",_xlfn.IFS(LEFT($G1027,9)="Tranche 1","DELETE",$C1027="Sessions_Level_1_All_Sites","KEEP",ISNUMBER(--$C1027),"REVIEW — UA raw logs",$C1027="Emag_Reporting","KEEP",$C1027="Nutrition_Data_Archived_Tables","KEEP",$C1027="EU_Data","KEEP",TRUE,"REVIEW"),OR($A1027="thg-influencer",$A1027="thg-ingenuity",$A1027="thg-central-marketing",$A1027="thg-seoclarity"),"HOLD",TRUE,"")</f>
        <v>HOLD</v>
      </c>
      <c r="R1027" t="str" cm="1">
        <f t="array" ref="R1027">_xlfn.IFS(AND($A1027="thg-beauty",ISNUMBER(SEARCH("liveramp",$C1027))),"thg-beauty Liveramp dataset — confirmed safe to delete",$A1027="agile-bonbon-662",_xlfn.IFS(LEFT($G1027,9)="Tranche 1","Tranche 1: cleared",$C1027="Sessions_Level_1_All_Sites","Downstream aggregation of UA raw logs — keep if raw tables go",ISNUMBER(--$C1027),"UA raw site logs (account ID) — keep pending audit-retention check",$C1027="Emag_Reporting","Legacy but likely needed",$C1027="Nutrition_Data_Archived_Tables","Worth keeping",$C1027="EU_Data","Static lookup tables — scripts still reference (smoke-test risk)",TRUE,"Review"),OR($A1027="thg-influencer",$A1027="thg-ingenuity",$A1027="thg-central-marketing",$A1027="thg-seoclarity"),"HOLD — Charlie Stringer to review before deletion",TRUE,"")</f>
        <v>HOLD — Charlie Stringer to review before deletion</v>
      </c>
      <c r="S1027" t="s">
        <v>1624</v>
      </c>
    </row>
    <row r="1028" spans="1:19" hidden="1">
      <c r="A1028" t="s">
        <v>38</v>
      </c>
      <c r="B1028" t="s">
        <v>1619</v>
      </c>
      <c r="C1028" t="s">
        <v>3483</v>
      </c>
      <c r="D1028" s="2" t="s">
        <v>1621</v>
      </c>
      <c r="E1028">
        <v>1.07</v>
      </c>
      <c r="F1028">
        <v>0.02</v>
      </c>
      <c r="G1028" t="s">
        <v>3456</v>
      </c>
      <c r="H1028" t="s">
        <v>3457</v>
      </c>
      <c r="I1028">
        <v>1574</v>
      </c>
      <c r="J1028">
        <v>1574</v>
      </c>
      <c r="M1028" s="2" t="s">
        <v>1715</v>
      </c>
      <c r="N1028" s="2" t="s">
        <v>1701</v>
      </c>
      <c r="O1028" s="5">
        <v>44622.705439953701</v>
      </c>
      <c r="P1028" t="str">
        <f>IF($Q1028="DELETE",IF($S1028="CONFIRMED: NO MODS &gt; 1YR","CONFIRMED: NO MODS &gt; 1YR","DO NOT DELETE — not defensibly confirmed"),IF($Q1028="HOLD","DO NOT DELETE — HOLD (Charlie review)",IF($Q1028="KEEP","DO NOT DELETE — KEEP",IF(ISNUMBER(SEARCH("REVIEW",$Q1028)),"DO NOT DELETE — REVIEW pending",$S1028))))</f>
        <v>DO NOT DELETE — HOLD (Charlie review)</v>
      </c>
      <c r="Q1028" t="str" cm="1">
        <f t="array" ref="Q1028">_xlfn.IFS(AND($A1028="thg-beauty",ISNUMBER(SEARCH("liveramp",$C1028))),"DELETE",$A1028="agile-bonbon-662",_xlfn.IFS(LEFT($G1028,9)="Tranche 1","DELETE",$C1028="Sessions_Level_1_All_Sites","KEEP",ISNUMBER(--$C1028),"REVIEW — UA raw logs",$C1028="Emag_Reporting","KEEP",$C1028="Nutrition_Data_Archived_Tables","KEEP",$C1028="EU_Data","KEEP",TRUE,"REVIEW"),OR($A1028="thg-influencer",$A1028="thg-ingenuity",$A1028="thg-central-marketing",$A1028="thg-seoclarity"),"HOLD",TRUE,"")</f>
        <v>HOLD</v>
      </c>
      <c r="R1028" t="str" cm="1">
        <f t="array" ref="R1028">_xlfn.IFS(AND($A1028="thg-beauty",ISNUMBER(SEARCH("liveramp",$C1028))),"thg-beauty Liveramp dataset — confirmed safe to delete",$A1028="agile-bonbon-662",_xlfn.IFS(LEFT($G1028,9)="Tranche 1","Tranche 1: cleared",$C1028="Sessions_Level_1_All_Sites","Downstream aggregation of UA raw logs — keep if raw tables go",ISNUMBER(--$C1028),"UA raw site logs (account ID) — keep pending audit-retention check",$C1028="Emag_Reporting","Legacy but likely needed",$C1028="Nutrition_Data_Archived_Tables","Worth keeping",$C1028="EU_Data","Static lookup tables — scripts still reference (smoke-test risk)",TRUE,"Review"),OR($A1028="thg-influencer",$A1028="thg-ingenuity",$A1028="thg-central-marketing",$A1028="thg-seoclarity"),"HOLD — Charlie Stringer to review before deletion",TRUE,"")</f>
        <v>HOLD — Charlie Stringer to review before deletion</v>
      </c>
      <c r="S1028" t="s">
        <v>1624</v>
      </c>
    </row>
    <row r="1029" spans="1:19" hidden="1">
      <c r="A1029" t="s">
        <v>38</v>
      </c>
      <c r="B1029" t="s">
        <v>1619</v>
      </c>
      <c r="C1029" t="s">
        <v>3484</v>
      </c>
      <c r="D1029" s="2" t="s">
        <v>1621</v>
      </c>
      <c r="E1029">
        <v>0.43</v>
      </c>
      <c r="F1029">
        <v>0.01</v>
      </c>
      <c r="G1029" t="s">
        <v>3456</v>
      </c>
      <c r="H1029" t="s">
        <v>3457</v>
      </c>
      <c r="I1029">
        <v>1567</v>
      </c>
      <c r="J1029">
        <v>1567</v>
      </c>
      <c r="M1029" s="2" t="s">
        <v>1715</v>
      </c>
      <c r="N1029" s="2" t="s">
        <v>1701</v>
      </c>
      <c r="O1029" s="5">
        <v>44630.371127256942</v>
      </c>
      <c r="P1029" t="str">
        <f>IF($Q1029="DELETE",IF($S1029="CONFIRMED: NO MODS &gt; 1YR","CONFIRMED: NO MODS &gt; 1YR","DO NOT DELETE — not defensibly confirmed"),IF($Q1029="HOLD","DO NOT DELETE — HOLD (Charlie review)",IF($Q1029="KEEP","DO NOT DELETE — KEEP",IF(ISNUMBER(SEARCH("REVIEW",$Q1029)),"DO NOT DELETE — REVIEW pending",$S1029))))</f>
        <v>DO NOT DELETE — HOLD (Charlie review)</v>
      </c>
      <c r="Q1029" t="str" cm="1">
        <f t="array" ref="Q1029">_xlfn.IFS(AND($A1029="thg-beauty",ISNUMBER(SEARCH("liveramp",$C1029))),"DELETE",$A1029="agile-bonbon-662",_xlfn.IFS(LEFT($G1029,9)="Tranche 1","DELETE",$C1029="Sessions_Level_1_All_Sites","KEEP",ISNUMBER(--$C1029),"REVIEW — UA raw logs",$C1029="Emag_Reporting","KEEP",$C1029="Nutrition_Data_Archived_Tables","KEEP",$C1029="EU_Data","KEEP",TRUE,"REVIEW"),OR($A1029="thg-influencer",$A1029="thg-ingenuity",$A1029="thg-central-marketing",$A1029="thg-seoclarity"),"HOLD",TRUE,"")</f>
        <v>HOLD</v>
      </c>
      <c r="R1029" t="str" cm="1">
        <f t="array" ref="R1029">_xlfn.IFS(AND($A1029="thg-beauty",ISNUMBER(SEARCH("liveramp",$C1029))),"thg-beauty Liveramp dataset — confirmed safe to delete",$A1029="agile-bonbon-662",_xlfn.IFS(LEFT($G1029,9)="Tranche 1","Tranche 1: cleared",$C1029="Sessions_Level_1_All_Sites","Downstream aggregation of UA raw logs — keep if raw tables go",ISNUMBER(--$C1029),"UA raw site logs (account ID) — keep pending audit-retention check",$C1029="Emag_Reporting","Legacy but likely needed",$C1029="Nutrition_Data_Archived_Tables","Worth keeping",$C1029="EU_Data","Static lookup tables — scripts still reference (smoke-test risk)",TRUE,"Review"),OR($A1029="thg-influencer",$A1029="thg-ingenuity",$A1029="thg-central-marketing",$A1029="thg-seoclarity"),"HOLD — Charlie Stringer to review before deletion",TRUE,"")</f>
        <v>HOLD — Charlie Stringer to review before deletion</v>
      </c>
      <c r="S1029" t="s">
        <v>1624</v>
      </c>
    </row>
    <row r="1030" spans="1:19" hidden="1">
      <c r="A1030" t="s">
        <v>38</v>
      </c>
      <c r="B1030" t="s">
        <v>1619</v>
      </c>
      <c r="C1030" t="s">
        <v>3485</v>
      </c>
      <c r="D1030" s="2" t="s">
        <v>1621</v>
      </c>
      <c r="E1030">
        <v>0.04</v>
      </c>
      <c r="F1030">
        <v>0</v>
      </c>
      <c r="G1030" t="s">
        <v>3456</v>
      </c>
      <c r="H1030" t="s">
        <v>3457</v>
      </c>
      <c r="I1030">
        <v>1561</v>
      </c>
      <c r="J1030">
        <v>1561</v>
      </c>
      <c r="M1030" s="2" t="s">
        <v>1715</v>
      </c>
      <c r="N1030" s="2" t="s">
        <v>1701</v>
      </c>
      <c r="O1030" s="5">
        <v>44635.837012546297</v>
      </c>
      <c r="P1030" t="str">
        <f>IF($Q1030="DELETE",IF($S1030="CONFIRMED: NO MODS &gt; 1YR","CONFIRMED: NO MODS &gt; 1YR","DO NOT DELETE — not defensibly confirmed"),IF($Q1030="HOLD","DO NOT DELETE — HOLD (Charlie review)",IF($Q1030="KEEP","DO NOT DELETE — KEEP",IF(ISNUMBER(SEARCH("REVIEW",$Q1030)),"DO NOT DELETE — REVIEW pending",$S1030))))</f>
        <v>DO NOT DELETE — HOLD (Charlie review)</v>
      </c>
      <c r="Q1030" t="str" cm="1">
        <f t="array" ref="Q1030">_xlfn.IFS(AND($A1030="thg-beauty",ISNUMBER(SEARCH("liveramp",$C1030))),"DELETE",$A1030="agile-bonbon-662",_xlfn.IFS(LEFT($G1030,9)="Tranche 1","DELETE",$C1030="Sessions_Level_1_All_Sites","KEEP",ISNUMBER(--$C1030),"REVIEW — UA raw logs",$C1030="Emag_Reporting","KEEP",$C1030="Nutrition_Data_Archived_Tables","KEEP",$C1030="EU_Data","KEEP",TRUE,"REVIEW"),OR($A1030="thg-influencer",$A1030="thg-ingenuity",$A1030="thg-central-marketing",$A1030="thg-seoclarity"),"HOLD",TRUE,"")</f>
        <v>HOLD</v>
      </c>
      <c r="R1030" t="str" cm="1">
        <f t="array" ref="R1030">_xlfn.IFS(AND($A1030="thg-beauty",ISNUMBER(SEARCH("liveramp",$C1030))),"thg-beauty Liveramp dataset — confirmed safe to delete",$A1030="agile-bonbon-662",_xlfn.IFS(LEFT($G1030,9)="Tranche 1","Tranche 1: cleared",$C1030="Sessions_Level_1_All_Sites","Downstream aggregation of UA raw logs — keep if raw tables go",ISNUMBER(--$C1030),"UA raw site logs (account ID) — keep pending audit-retention check",$C1030="Emag_Reporting","Legacy but likely needed",$C1030="Nutrition_Data_Archived_Tables","Worth keeping",$C1030="EU_Data","Static lookup tables — scripts still reference (smoke-test risk)",TRUE,"Review"),OR($A1030="thg-influencer",$A1030="thg-ingenuity",$A1030="thg-central-marketing",$A1030="thg-seoclarity"),"HOLD — Charlie Stringer to review before deletion",TRUE,"")</f>
        <v>HOLD — Charlie Stringer to review before deletion</v>
      </c>
      <c r="S1030" t="s">
        <v>1624</v>
      </c>
    </row>
    <row r="1031" spans="1:19" hidden="1">
      <c r="A1031" t="s">
        <v>38</v>
      </c>
      <c r="B1031" t="s">
        <v>1619</v>
      </c>
      <c r="C1031" t="s">
        <v>3486</v>
      </c>
      <c r="D1031" s="2" t="s">
        <v>1621</v>
      </c>
      <c r="E1031">
        <v>0.25</v>
      </c>
      <c r="F1031">
        <v>0</v>
      </c>
      <c r="G1031" t="s">
        <v>3456</v>
      </c>
      <c r="H1031" t="s">
        <v>3457</v>
      </c>
      <c r="I1031">
        <v>1540</v>
      </c>
      <c r="J1031">
        <v>1540</v>
      </c>
      <c r="M1031" s="2" t="s">
        <v>1715</v>
      </c>
      <c r="N1031" s="2" t="s">
        <v>1701</v>
      </c>
      <c r="O1031" s="5">
        <v>44657.320528414362</v>
      </c>
      <c r="P1031" t="str">
        <f>IF($Q1031="DELETE",IF($S1031="CONFIRMED: NO MODS &gt; 1YR","CONFIRMED: NO MODS &gt; 1YR","DO NOT DELETE — not defensibly confirmed"),IF($Q1031="HOLD","DO NOT DELETE — HOLD (Charlie review)",IF($Q1031="KEEP","DO NOT DELETE — KEEP",IF(ISNUMBER(SEARCH("REVIEW",$Q1031)),"DO NOT DELETE — REVIEW pending",$S1031))))</f>
        <v>DO NOT DELETE — HOLD (Charlie review)</v>
      </c>
      <c r="Q1031" t="str" cm="1">
        <f t="array" ref="Q1031">_xlfn.IFS(AND($A1031="thg-beauty",ISNUMBER(SEARCH("liveramp",$C1031))),"DELETE",$A1031="agile-bonbon-662",_xlfn.IFS(LEFT($G1031,9)="Tranche 1","DELETE",$C1031="Sessions_Level_1_All_Sites","KEEP",ISNUMBER(--$C1031),"REVIEW — UA raw logs",$C1031="Emag_Reporting","KEEP",$C1031="Nutrition_Data_Archived_Tables","KEEP",$C1031="EU_Data","KEEP",TRUE,"REVIEW"),OR($A1031="thg-influencer",$A1031="thg-ingenuity",$A1031="thg-central-marketing",$A1031="thg-seoclarity"),"HOLD",TRUE,"")</f>
        <v>HOLD</v>
      </c>
      <c r="R1031" t="str" cm="1">
        <f t="array" ref="R1031">_xlfn.IFS(AND($A1031="thg-beauty",ISNUMBER(SEARCH("liveramp",$C1031))),"thg-beauty Liveramp dataset — confirmed safe to delete",$A1031="agile-bonbon-662",_xlfn.IFS(LEFT($G1031,9)="Tranche 1","Tranche 1: cleared",$C1031="Sessions_Level_1_All_Sites","Downstream aggregation of UA raw logs — keep if raw tables go",ISNUMBER(--$C1031),"UA raw site logs (account ID) — keep pending audit-retention check",$C1031="Emag_Reporting","Legacy but likely needed",$C1031="Nutrition_Data_Archived_Tables","Worth keeping",$C1031="EU_Data","Static lookup tables — scripts still reference (smoke-test risk)",TRUE,"Review"),OR($A1031="thg-influencer",$A1031="thg-ingenuity",$A1031="thg-central-marketing",$A1031="thg-seoclarity"),"HOLD — Charlie Stringer to review before deletion",TRUE,"")</f>
        <v>HOLD — Charlie Stringer to review before deletion</v>
      </c>
      <c r="S1031" t="s">
        <v>1624</v>
      </c>
    </row>
    <row r="1032" spans="1:19" hidden="1">
      <c r="A1032" t="s">
        <v>38</v>
      </c>
      <c r="B1032" t="s">
        <v>1619</v>
      </c>
      <c r="C1032" t="s">
        <v>3487</v>
      </c>
      <c r="D1032" s="2" t="s">
        <v>1621</v>
      </c>
      <c r="E1032">
        <v>0.72</v>
      </c>
      <c r="F1032">
        <v>0.01</v>
      </c>
      <c r="G1032" t="s">
        <v>3456</v>
      </c>
      <c r="H1032" t="s">
        <v>3457</v>
      </c>
      <c r="I1032">
        <v>1493</v>
      </c>
      <c r="J1032">
        <v>1493</v>
      </c>
      <c r="M1032" s="2" t="s">
        <v>1715</v>
      </c>
      <c r="N1032" s="2" t="s">
        <v>1701</v>
      </c>
      <c r="O1032" s="5">
        <v>44704.416056122682</v>
      </c>
      <c r="P1032" t="str">
        <f>IF($Q1032="DELETE",IF($S1032="CONFIRMED: NO MODS &gt; 1YR","CONFIRMED: NO MODS &gt; 1YR","DO NOT DELETE — not defensibly confirmed"),IF($Q1032="HOLD","DO NOT DELETE — HOLD (Charlie review)",IF($Q1032="KEEP","DO NOT DELETE — KEEP",IF(ISNUMBER(SEARCH("REVIEW",$Q1032)),"DO NOT DELETE — REVIEW pending",$S1032))))</f>
        <v>DO NOT DELETE — HOLD (Charlie review)</v>
      </c>
      <c r="Q1032" t="str" cm="1">
        <f t="array" ref="Q1032">_xlfn.IFS(AND($A1032="thg-beauty",ISNUMBER(SEARCH("liveramp",$C1032))),"DELETE",$A1032="agile-bonbon-662",_xlfn.IFS(LEFT($G1032,9)="Tranche 1","DELETE",$C1032="Sessions_Level_1_All_Sites","KEEP",ISNUMBER(--$C1032),"REVIEW — UA raw logs",$C1032="Emag_Reporting","KEEP",$C1032="Nutrition_Data_Archived_Tables","KEEP",$C1032="EU_Data","KEEP",TRUE,"REVIEW"),OR($A1032="thg-influencer",$A1032="thg-ingenuity",$A1032="thg-central-marketing",$A1032="thg-seoclarity"),"HOLD",TRUE,"")</f>
        <v>HOLD</v>
      </c>
      <c r="R1032" t="str" cm="1">
        <f t="array" ref="R1032">_xlfn.IFS(AND($A1032="thg-beauty",ISNUMBER(SEARCH("liveramp",$C1032))),"thg-beauty Liveramp dataset — confirmed safe to delete",$A1032="agile-bonbon-662",_xlfn.IFS(LEFT($G1032,9)="Tranche 1","Tranche 1: cleared",$C1032="Sessions_Level_1_All_Sites","Downstream aggregation of UA raw logs — keep if raw tables go",ISNUMBER(--$C1032),"UA raw site logs (account ID) — keep pending audit-retention check",$C1032="Emag_Reporting","Legacy but likely needed",$C1032="Nutrition_Data_Archived_Tables","Worth keeping",$C1032="EU_Data","Static lookup tables — scripts still reference (smoke-test risk)",TRUE,"Review"),OR($A1032="thg-influencer",$A1032="thg-ingenuity",$A1032="thg-central-marketing",$A1032="thg-seoclarity"),"HOLD — Charlie Stringer to review before deletion",TRUE,"")</f>
        <v>HOLD — Charlie Stringer to review before deletion</v>
      </c>
      <c r="S1032" t="s">
        <v>1624</v>
      </c>
    </row>
    <row r="1033" spans="1:19" hidden="1">
      <c r="A1033" t="s">
        <v>38</v>
      </c>
      <c r="B1033" t="s">
        <v>1619</v>
      </c>
      <c r="C1033" t="s">
        <v>3488</v>
      </c>
      <c r="D1033" s="2" t="s">
        <v>1621</v>
      </c>
      <c r="E1033">
        <v>3.6</v>
      </c>
      <c r="F1033">
        <v>7.0000000000000007E-2</v>
      </c>
      <c r="G1033" t="s">
        <v>3456</v>
      </c>
      <c r="H1033" t="s">
        <v>3457</v>
      </c>
      <c r="I1033">
        <v>1491</v>
      </c>
      <c r="J1033">
        <v>1491</v>
      </c>
      <c r="M1033" s="2" t="s">
        <v>1715</v>
      </c>
      <c r="N1033" s="2" t="s">
        <v>1701</v>
      </c>
      <c r="O1033" s="5">
        <v>44706.406025578697</v>
      </c>
      <c r="P1033" t="str">
        <f>IF($Q1033="DELETE",IF($S1033="CONFIRMED: NO MODS &gt; 1YR","CONFIRMED: NO MODS &gt; 1YR","DO NOT DELETE — not defensibly confirmed"),IF($Q1033="HOLD","DO NOT DELETE — HOLD (Charlie review)",IF($Q1033="KEEP","DO NOT DELETE — KEEP",IF(ISNUMBER(SEARCH("REVIEW",$Q1033)),"DO NOT DELETE — REVIEW pending",$S1033))))</f>
        <v>DO NOT DELETE — HOLD (Charlie review)</v>
      </c>
      <c r="Q1033" t="str" cm="1">
        <f t="array" ref="Q1033">_xlfn.IFS(AND($A1033="thg-beauty",ISNUMBER(SEARCH("liveramp",$C1033))),"DELETE",$A1033="agile-bonbon-662",_xlfn.IFS(LEFT($G1033,9)="Tranche 1","DELETE",$C1033="Sessions_Level_1_All_Sites","KEEP",ISNUMBER(--$C1033),"REVIEW — UA raw logs",$C1033="Emag_Reporting","KEEP",$C1033="Nutrition_Data_Archived_Tables","KEEP",$C1033="EU_Data","KEEP",TRUE,"REVIEW"),OR($A1033="thg-influencer",$A1033="thg-ingenuity",$A1033="thg-central-marketing",$A1033="thg-seoclarity"),"HOLD",TRUE,"")</f>
        <v>HOLD</v>
      </c>
      <c r="R1033" t="str" cm="1">
        <f t="array" ref="R1033">_xlfn.IFS(AND($A1033="thg-beauty",ISNUMBER(SEARCH("liveramp",$C1033))),"thg-beauty Liveramp dataset — confirmed safe to delete",$A1033="agile-bonbon-662",_xlfn.IFS(LEFT($G1033,9)="Tranche 1","Tranche 1: cleared",$C1033="Sessions_Level_1_All_Sites","Downstream aggregation of UA raw logs — keep if raw tables go",ISNUMBER(--$C1033),"UA raw site logs (account ID) — keep pending audit-retention check",$C1033="Emag_Reporting","Legacy but likely needed",$C1033="Nutrition_Data_Archived_Tables","Worth keeping",$C1033="EU_Data","Static lookup tables — scripts still reference (smoke-test risk)",TRUE,"Review"),OR($A1033="thg-influencer",$A1033="thg-ingenuity",$A1033="thg-central-marketing",$A1033="thg-seoclarity"),"HOLD — Charlie Stringer to review before deletion",TRUE,"")</f>
        <v>HOLD — Charlie Stringer to review before deletion</v>
      </c>
      <c r="S1033" t="s">
        <v>1624</v>
      </c>
    </row>
    <row r="1034" spans="1:19" hidden="1">
      <c r="A1034" t="s">
        <v>38</v>
      </c>
      <c r="B1034" t="s">
        <v>1619</v>
      </c>
      <c r="C1034" t="s">
        <v>3489</v>
      </c>
      <c r="D1034" s="2" t="s">
        <v>1621</v>
      </c>
      <c r="E1034">
        <v>1.58</v>
      </c>
      <c r="F1034">
        <v>0.03</v>
      </c>
      <c r="G1034" t="s">
        <v>3456</v>
      </c>
      <c r="H1034" t="s">
        <v>3457</v>
      </c>
      <c r="I1034">
        <v>1491</v>
      </c>
      <c r="J1034">
        <v>1491</v>
      </c>
      <c r="M1034" s="2" t="s">
        <v>1715</v>
      </c>
      <c r="N1034" s="2" t="s">
        <v>1701</v>
      </c>
      <c r="O1034" s="5">
        <v>44706.405784953713</v>
      </c>
      <c r="P1034" t="str">
        <f>IF($Q1034="DELETE",IF($S1034="CONFIRMED: NO MODS &gt; 1YR","CONFIRMED: NO MODS &gt; 1YR","DO NOT DELETE — not defensibly confirmed"),IF($Q1034="HOLD","DO NOT DELETE — HOLD (Charlie review)",IF($Q1034="KEEP","DO NOT DELETE — KEEP",IF(ISNUMBER(SEARCH("REVIEW",$Q1034)),"DO NOT DELETE — REVIEW pending",$S1034))))</f>
        <v>DO NOT DELETE — HOLD (Charlie review)</v>
      </c>
      <c r="Q1034" t="str" cm="1">
        <f t="array" ref="Q1034">_xlfn.IFS(AND($A1034="thg-beauty",ISNUMBER(SEARCH("liveramp",$C1034))),"DELETE",$A1034="agile-bonbon-662",_xlfn.IFS(LEFT($G1034,9)="Tranche 1","DELETE",$C1034="Sessions_Level_1_All_Sites","KEEP",ISNUMBER(--$C1034),"REVIEW — UA raw logs",$C1034="Emag_Reporting","KEEP",$C1034="Nutrition_Data_Archived_Tables","KEEP",$C1034="EU_Data","KEEP",TRUE,"REVIEW"),OR($A1034="thg-influencer",$A1034="thg-ingenuity",$A1034="thg-central-marketing",$A1034="thg-seoclarity"),"HOLD",TRUE,"")</f>
        <v>HOLD</v>
      </c>
      <c r="R1034" t="str" cm="1">
        <f t="array" ref="R1034">_xlfn.IFS(AND($A1034="thg-beauty",ISNUMBER(SEARCH("liveramp",$C1034))),"thg-beauty Liveramp dataset — confirmed safe to delete",$A1034="agile-bonbon-662",_xlfn.IFS(LEFT($G1034,9)="Tranche 1","Tranche 1: cleared",$C1034="Sessions_Level_1_All_Sites","Downstream aggregation of UA raw logs — keep if raw tables go",ISNUMBER(--$C1034),"UA raw site logs (account ID) — keep pending audit-retention check",$C1034="Emag_Reporting","Legacy but likely needed",$C1034="Nutrition_Data_Archived_Tables","Worth keeping",$C1034="EU_Data","Static lookup tables — scripts still reference (smoke-test risk)",TRUE,"Review"),OR($A1034="thg-influencer",$A1034="thg-ingenuity",$A1034="thg-central-marketing",$A1034="thg-seoclarity"),"HOLD — Charlie Stringer to review before deletion",TRUE,"")</f>
        <v>HOLD — Charlie Stringer to review before deletion</v>
      </c>
      <c r="S1034" t="s">
        <v>1624</v>
      </c>
    </row>
    <row r="1035" spans="1:19" hidden="1">
      <c r="A1035" t="s">
        <v>38</v>
      </c>
      <c r="B1035" t="s">
        <v>1619</v>
      </c>
      <c r="C1035" t="s">
        <v>3490</v>
      </c>
      <c r="D1035" s="2" t="s">
        <v>1621</v>
      </c>
      <c r="E1035">
        <v>1.44</v>
      </c>
      <c r="F1035">
        <v>0.03</v>
      </c>
      <c r="G1035" t="s">
        <v>3456</v>
      </c>
      <c r="H1035" t="s">
        <v>3457</v>
      </c>
      <c r="I1035">
        <v>1491</v>
      </c>
      <c r="J1035">
        <v>1491</v>
      </c>
      <c r="M1035" s="2" t="s">
        <v>1715</v>
      </c>
      <c r="N1035" s="2" t="s">
        <v>1701</v>
      </c>
      <c r="O1035" s="5">
        <v>44706.406328726851</v>
      </c>
      <c r="P1035" t="str">
        <f>IF($Q1035="DELETE",IF($S1035="CONFIRMED: NO MODS &gt; 1YR","CONFIRMED: NO MODS &gt; 1YR","DO NOT DELETE — not defensibly confirmed"),IF($Q1035="HOLD","DO NOT DELETE — HOLD (Charlie review)",IF($Q1035="KEEP","DO NOT DELETE — KEEP",IF(ISNUMBER(SEARCH("REVIEW",$Q1035)),"DO NOT DELETE — REVIEW pending",$S1035))))</f>
        <v>DO NOT DELETE — HOLD (Charlie review)</v>
      </c>
      <c r="Q1035" t="str" cm="1">
        <f t="array" ref="Q1035">_xlfn.IFS(AND($A1035="thg-beauty",ISNUMBER(SEARCH("liveramp",$C1035))),"DELETE",$A1035="agile-bonbon-662",_xlfn.IFS(LEFT($G1035,9)="Tranche 1","DELETE",$C1035="Sessions_Level_1_All_Sites","KEEP",ISNUMBER(--$C1035),"REVIEW — UA raw logs",$C1035="Emag_Reporting","KEEP",$C1035="Nutrition_Data_Archived_Tables","KEEP",$C1035="EU_Data","KEEP",TRUE,"REVIEW"),OR($A1035="thg-influencer",$A1035="thg-ingenuity",$A1035="thg-central-marketing",$A1035="thg-seoclarity"),"HOLD",TRUE,"")</f>
        <v>HOLD</v>
      </c>
      <c r="R1035" t="str" cm="1">
        <f t="array" ref="R1035">_xlfn.IFS(AND($A1035="thg-beauty",ISNUMBER(SEARCH("liveramp",$C1035))),"thg-beauty Liveramp dataset — confirmed safe to delete",$A1035="agile-bonbon-662",_xlfn.IFS(LEFT($G1035,9)="Tranche 1","Tranche 1: cleared",$C1035="Sessions_Level_1_All_Sites","Downstream aggregation of UA raw logs — keep if raw tables go",ISNUMBER(--$C1035),"UA raw site logs (account ID) — keep pending audit-retention check",$C1035="Emag_Reporting","Legacy but likely needed",$C1035="Nutrition_Data_Archived_Tables","Worth keeping",$C1035="EU_Data","Static lookup tables — scripts still reference (smoke-test risk)",TRUE,"Review"),OR($A1035="thg-influencer",$A1035="thg-ingenuity",$A1035="thg-central-marketing",$A1035="thg-seoclarity"),"HOLD — Charlie Stringer to review before deletion",TRUE,"")</f>
        <v>HOLD — Charlie Stringer to review before deletion</v>
      </c>
      <c r="S1035" t="s">
        <v>1624</v>
      </c>
    </row>
    <row r="1036" spans="1:19" hidden="1">
      <c r="A1036" t="s">
        <v>38</v>
      </c>
      <c r="B1036" t="s">
        <v>1619</v>
      </c>
      <c r="C1036" t="s">
        <v>3491</v>
      </c>
      <c r="D1036" s="2" t="s">
        <v>1621</v>
      </c>
      <c r="E1036">
        <v>1.33</v>
      </c>
      <c r="F1036">
        <v>0.03</v>
      </c>
      <c r="G1036" t="s">
        <v>3456</v>
      </c>
      <c r="H1036" t="s">
        <v>3457</v>
      </c>
      <c r="I1036">
        <v>1491</v>
      </c>
      <c r="J1036">
        <v>1491</v>
      </c>
      <c r="M1036" s="2" t="s">
        <v>1715</v>
      </c>
      <c r="N1036" s="2" t="s">
        <v>1701</v>
      </c>
      <c r="O1036" s="5">
        <v>44706.40615047454</v>
      </c>
      <c r="P1036" t="str">
        <f>IF($Q1036="DELETE",IF($S1036="CONFIRMED: NO MODS &gt; 1YR","CONFIRMED: NO MODS &gt; 1YR","DO NOT DELETE — not defensibly confirmed"),IF($Q1036="HOLD","DO NOT DELETE — HOLD (Charlie review)",IF($Q1036="KEEP","DO NOT DELETE — KEEP",IF(ISNUMBER(SEARCH("REVIEW",$Q1036)),"DO NOT DELETE — REVIEW pending",$S1036))))</f>
        <v>DO NOT DELETE — HOLD (Charlie review)</v>
      </c>
      <c r="Q1036" t="str" cm="1">
        <f t="array" ref="Q1036">_xlfn.IFS(AND($A1036="thg-beauty",ISNUMBER(SEARCH("liveramp",$C1036))),"DELETE",$A1036="agile-bonbon-662",_xlfn.IFS(LEFT($G1036,9)="Tranche 1","DELETE",$C1036="Sessions_Level_1_All_Sites","KEEP",ISNUMBER(--$C1036),"REVIEW — UA raw logs",$C1036="Emag_Reporting","KEEP",$C1036="Nutrition_Data_Archived_Tables","KEEP",$C1036="EU_Data","KEEP",TRUE,"REVIEW"),OR($A1036="thg-influencer",$A1036="thg-ingenuity",$A1036="thg-central-marketing",$A1036="thg-seoclarity"),"HOLD",TRUE,"")</f>
        <v>HOLD</v>
      </c>
      <c r="R1036" t="str" cm="1">
        <f t="array" ref="R1036">_xlfn.IFS(AND($A1036="thg-beauty",ISNUMBER(SEARCH("liveramp",$C1036))),"thg-beauty Liveramp dataset — confirmed safe to delete",$A1036="agile-bonbon-662",_xlfn.IFS(LEFT($G1036,9)="Tranche 1","Tranche 1: cleared",$C1036="Sessions_Level_1_All_Sites","Downstream aggregation of UA raw logs — keep if raw tables go",ISNUMBER(--$C1036),"UA raw site logs (account ID) — keep pending audit-retention check",$C1036="Emag_Reporting","Legacy but likely needed",$C1036="Nutrition_Data_Archived_Tables","Worth keeping",$C1036="EU_Data","Static lookup tables — scripts still reference (smoke-test risk)",TRUE,"Review"),OR($A1036="thg-influencer",$A1036="thg-ingenuity",$A1036="thg-central-marketing",$A1036="thg-seoclarity"),"HOLD — Charlie Stringer to review before deletion",TRUE,"")</f>
        <v>HOLD — Charlie Stringer to review before deletion</v>
      </c>
      <c r="S1036" t="s">
        <v>1624</v>
      </c>
    </row>
    <row r="1037" spans="1:19" hidden="1">
      <c r="A1037" t="s">
        <v>38</v>
      </c>
      <c r="B1037" t="s">
        <v>1619</v>
      </c>
      <c r="C1037" t="s">
        <v>3492</v>
      </c>
      <c r="D1037" s="2" t="s">
        <v>1621</v>
      </c>
      <c r="E1037">
        <v>0</v>
      </c>
      <c r="F1037">
        <v>0</v>
      </c>
      <c r="G1037" t="s">
        <v>3456</v>
      </c>
      <c r="H1037" t="s">
        <v>3457</v>
      </c>
      <c r="I1037">
        <v>1452</v>
      </c>
      <c r="J1037">
        <v>1452</v>
      </c>
      <c r="M1037" s="2" t="s">
        <v>1715</v>
      </c>
      <c r="N1037" s="2" t="s">
        <v>1701</v>
      </c>
      <c r="O1037" s="5">
        <v>44745.129525138887</v>
      </c>
      <c r="P1037" t="str">
        <f>IF($Q1037="DELETE",IF($S1037="CONFIRMED: NO MODS &gt; 1YR","CONFIRMED: NO MODS &gt; 1YR","DO NOT DELETE — not defensibly confirmed"),IF($Q1037="HOLD","DO NOT DELETE — HOLD (Charlie review)",IF($Q1037="KEEP","DO NOT DELETE — KEEP",IF(ISNUMBER(SEARCH("REVIEW",$Q1037)),"DO NOT DELETE — REVIEW pending",$S1037))))</f>
        <v>DO NOT DELETE — HOLD (Charlie review)</v>
      </c>
      <c r="Q1037" t="str" cm="1">
        <f t="array" ref="Q1037">_xlfn.IFS(AND($A1037="thg-beauty",ISNUMBER(SEARCH("liveramp",$C1037))),"DELETE",$A1037="agile-bonbon-662",_xlfn.IFS(LEFT($G1037,9)="Tranche 1","DELETE",$C1037="Sessions_Level_1_All_Sites","KEEP",ISNUMBER(--$C1037),"REVIEW — UA raw logs",$C1037="Emag_Reporting","KEEP",$C1037="Nutrition_Data_Archived_Tables","KEEP",$C1037="EU_Data","KEEP",TRUE,"REVIEW"),OR($A1037="thg-influencer",$A1037="thg-ingenuity",$A1037="thg-central-marketing",$A1037="thg-seoclarity"),"HOLD",TRUE,"")</f>
        <v>HOLD</v>
      </c>
      <c r="R1037" t="str" cm="1">
        <f t="array" ref="R1037">_xlfn.IFS(AND($A1037="thg-beauty",ISNUMBER(SEARCH("liveramp",$C1037))),"thg-beauty Liveramp dataset — confirmed safe to delete",$A1037="agile-bonbon-662",_xlfn.IFS(LEFT($G1037,9)="Tranche 1","Tranche 1: cleared",$C1037="Sessions_Level_1_All_Sites","Downstream aggregation of UA raw logs — keep if raw tables go",ISNUMBER(--$C1037),"UA raw site logs (account ID) — keep pending audit-retention check",$C1037="Emag_Reporting","Legacy but likely needed",$C1037="Nutrition_Data_Archived_Tables","Worth keeping",$C1037="EU_Data","Static lookup tables — scripts still reference (smoke-test risk)",TRUE,"Review"),OR($A1037="thg-influencer",$A1037="thg-ingenuity",$A1037="thg-central-marketing",$A1037="thg-seoclarity"),"HOLD — Charlie Stringer to review before deletion",TRUE,"")</f>
        <v>HOLD — Charlie Stringer to review before deletion</v>
      </c>
      <c r="S1037" t="s">
        <v>1624</v>
      </c>
    </row>
    <row r="1038" spans="1:19" hidden="1">
      <c r="A1038" t="s">
        <v>38</v>
      </c>
      <c r="B1038" t="s">
        <v>1619</v>
      </c>
      <c r="C1038" t="s">
        <v>3493</v>
      </c>
      <c r="D1038" s="2" t="s">
        <v>1621</v>
      </c>
      <c r="E1038">
        <v>0.91</v>
      </c>
      <c r="F1038">
        <v>0.02</v>
      </c>
      <c r="G1038" t="s">
        <v>3456</v>
      </c>
      <c r="H1038" t="s">
        <v>3457</v>
      </c>
      <c r="I1038">
        <v>1448</v>
      </c>
      <c r="J1038">
        <v>1448</v>
      </c>
      <c r="M1038" s="2" t="s">
        <v>1715</v>
      </c>
      <c r="N1038" s="2" t="s">
        <v>1701</v>
      </c>
      <c r="O1038" s="5">
        <v>44749.172382337973</v>
      </c>
      <c r="P1038" t="str">
        <f>IF($Q1038="DELETE",IF($S1038="CONFIRMED: NO MODS &gt; 1YR","CONFIRMED: NO MODS &gt; 1YR","DO NOT DELETE — not defensibly confirmed"),IF($Q1038="HOLD","DO NOT DELETE — HOLD (Charlie review)",IF($Q1038="KEEP","DO NOT DELETE — KEEP",IF(ISNUMBER(SEARCH("REVIEW",$Q1038)),"DO NOT DELETE — REVIEW pending",$S1038))))</f>
        <v>DO NOT DELETE — HOLD (Charlie review)</v>
      </c>
      <c r="Q1038" t="str" cm="1">
        <f t="array" ref="Q1038">_xlfn.IFS(AND($A1038="thg-beauty",ISNUMBER(SEARCH("liveramp",$C1038))),"DELETE",$A1038="agile-bonbon-662",_xlfn.IFS(LEFT($G1038,9)="Tranche 1","DELETE",$C1038="Sessions_Level_1_All_Sites","KEEP",ISNUMBER(--$C1038),"REVIEW — UA raw logs",$C1038="Emag_Reporting","KEEP",$C1038="Nutrition_Data_Archived_Tables","KEEP",$C1038="EU_Data","KEEP",TRUE,"REVIEW"),OR($A1038="thg-influencer",$A1038="thg-ingenuity",$A1038="thg-central-marketing",$A1038="thg-seoclarity"),"HOLD",TRUE,"")</f>
        <v>HOLD</v>
      </c>
      <c r="R1038" t="str" cm="1">
        <f t="array" ref="R1038">_xlfn.IFS(AND($A1038="thg-beauty",ISNUMBER(SEARCH("liveramp",$C1038))),"thg-beauty Liveramp dataset — confirmed safe to delete",$A1038="agile-bonbon-662",_xlfn.IFS(LEFT($G1038,9)="Tranche 1","Tranche 1: cleared",$C1038="Sessions_Level_1_All_Sites","Downstream aggregation of UA raw logs — keep if raw tables go",ISNUMBER(--$C1038),"UA raw site logs (account ID) — keep pending audit-retention check",$C1038="Emag_Reporting","Legacy but likely needed",$C1038="Nutrition_Data_Archived_Tables","Worth keeping",$C1038="EU_Data","Static lookup tables — scripts still reference (smoke-test risk)",TRUE,"Review"),OR($A1038="thg-influencer",$A1038="thg-ingenuity",$A1038="thg-central-marketing",$A1038="thg-seoclarity"),"HOLD — Charlie Stringer to review before deletion",TRUE,"")</f>
        <v>HOLD — Charlie Stringer to review before deletion</v>
      </c>
      <c r="S1038" t="s">
        <v>1624</v>
      </c>
    </row>
    <row r="1039" spans="1:19" hidden="1">
      <c r="A1039" t="s">
        <v>38</v>
      </c>
      <c r="B1039" t="s">
        <v>1619</v>
      </c>
      <c r="C1039" t="s">
        <v>3494</v>
      </c>
      <c r="D1039" s="2" t="s">
        <v>1621</v>
      </c>
      <c r="E1039">
        <v>0.05</v>
      </c>
      <c r="F1039">
        <v>0</v>
      </c>
      <c r="G1039" t="s">
        <v>3456</v>
      </c>
      <c r="H1039" t="s">
        <v>3457</v>
      </c>
      <c r="I1039">
        <v>1448</v>
      </c>
      <c r="J1039">
        <v>1448</v>
      </c>
      <c r="M1039" s="2" t="s">
        <v>1715</v>
      </c>
      <c r="N1039" s="2" t="s">
        <v>1701</v>
      </c>
      <c r="O1039" s="5">
        <v>44749.130290891197</v>
      </c>
      <c r="P1039" t="str">
        <f>IF($Q1039="DELETE",IF($S1039="CONFIRMED: NO MODS &gt; 1YR","CONFIRMED: NO MODS &gt; 1YR","DO NOT DELETE — not defensibly confirmed"),IF($Q1039="HOLD","DO NOT DELETE — HOLD (Charlie review)",IF($Q1039="KEEP","DO NOT DELETE — KEEP",IF(ISNUMBER(SEARCH("REVIEW",$Q1039)),"DO NOT DELETE — REVIEW pending",$S1039))))</f>
        <v>DO NOT DELETE — HOLD (Charlie review)</v>
      </c>
      <c r="Q1039" t="str" cm="1">
        <f t="array" ref="Q1039">_xlfn.IFS(AND($A1039="thg-beauty",ISNUMBER(SEARCH("liveramp",$C1039))),"DELETE",$A1039="agile-bonbon-662",_xlfn.IFS(LEFT($G1039,9)="Tranche 1","DELETE",$C1039="Sessions_Level_1_All_Sites","KEEP",ISNUMBER(--$C1039),"REVIEW — UA raw logs",$C1039="Emag_Reporting","KEEP",$C1039="Nutrition_Data_Archived_Tables","KEEP",$C1039="EU_Data","KEEP",TRUE,"REVIEW"),OR($A1039="thg-influencer",$A1039="thg-ingenuity",$A1039="thg-central-marketing",$A1039="thg-seoclarity"),"HOLD",TRUE,"")</f>
        <v>HOLD</v>
      </c>
      <c r="R1039" t="str" cm="1">
        <f t="array" ref="R1039">_xlfn.IFS(AND($A1039="thg-beauty",ISNUMBER(SEARCH("liveramp",$C1039))),"thg-beauty Liveramp dataset — confirmed safe to delete",$A1039="agile-bonbon-662",_xlfn.IFS(LEFT($G1039,9)="Tranche 1","Tranche 1: cleared",$C1039="Sessions_Level_1_All_Sites","Downstream aggregation of UA raw logs — keep if raw tables go",ISNUMBER(--$C1039),"UA raw site logs (account ID) — keep pending audit-retention check",$C1039="Emag_Reporting","Legacy but likely needed",$C1039="Nutrition_Data_Archived_Tables","Worth keeping",$C1039="EU_Data","Static lookup tables — scripts still reference (smoke-test risk)",TRUE,"Review"),OR($A1039="thg-influencer",$A1039="thg-ingenuity",$A1039="thg-central-marketing",$A1039="thg-seoclarity"),"HOLD — Charlie Stringer to review before deletion",TRUE,"")</f>
        <v>HOLD — Charlie Stringer to review before deletion</v>
      </c>
      <c r="S1039" t="s">
        <v>1624</v>
      </c>
    </row>
    <row r="1040" spans="1:19" hidden="1">
      <c r="A1040" t="s">
        <v>38</v>
      </c>
      <c r="B1040" t="s">
        <v>1619</v>
      </c>
      <c r="C1040" t="s">
        <v>3495</v>
      </c>
      <c r="D1040" s="2" t="s">
        <v>1621</v>
      </c>
      <c r="E1040">
        <v>0.05</v>
      </c>
      <c r="F1040">
        <v>0</v>
      </c>
      <c r="G1040" t="s">
        <v>3456</v>
      </c>
      <c r="H1040" t="s">
        <v>3457</v>
      </c>
      <c r="I1040">
        <v>1448</v>
      </c>
      <c r="J1040">
        <v>1448</v>
      </c>
      <c r="M1040" s="2" t="s">
        <v>1715</v>
      </c>
      <c r="N1040" s="2" t="s">
        <v>1701</v>
      </c>
      <c r="O1040" s="5">
        <v>44749.130545115739</v>
      </c>
      <c r="P1040" t="str">
        <f>IF($Q1040="DELETE",IF($S1040="CONFIRMED: NO MODS &gt; 1YR","CONFIRMED: NO MODS &gt; 1YR","DO NOT DELETE — not defensibly confirmed"),IF($Q1040="HOLD","DO NOT DELETE — HOLD (Charlie review)",IF($Q1040="KEEP","DO NOT DELETE — KEEP",IF(ISNUMBER(SEARCH("REVIEW",$Q1040)),"DO NOT DELETE — REVIEW pending",$S1040))))</f>
        <v>DO NOT DELETE — HOLD (Charlie review)</v>
      </c>
      <c r="Q1040" t="str" cm="1">
        <f t="array" ref="Q1040">_xlfn.IFS(AND($A1040="thg-beauty",ISNUMBER(SEARCH("liveramp",$C1040))),"DELETE",$A1040="agile-bonbon-662",_xlfn.IFS(LEFT($G1040,9)="Tranche 1","DELETE",$C1040="Sessions_Level_1_All_Sites","KEEP",ISNUMBER(--$C1040),"REVIEW — UA raw logs",$C1040="Emag_Reporting","KEEP",$C1040="Nutrition_Data_Archived_Tables","KEEP",$C1040="EU_Data","KEEP",TRUE,"REVIEW"),OR($A1040="thg-influencer",$A1040="thg-ingenuity",$A1040="thg-central-marketing",$A1040="thg-seoclarity"),"HOLD",TRUE,"")</f>
        <v>HOLD</v>
      </c>
      <c r="R1040" t="str" cm="1">
        <f t="array" ref="R1040">_xlfn.IFS(AND($A1040="thg-beauty",ISNUMBER(SEARCH("liveramp",$C1040))),"thg-beauty Liveramp dataset — confirmed safe to delete",$A1040="agile-bonbon-662",_xlfn.IFS(LEFT($G1040,9)="Tranche 1","Tranche 1: cleared",$C1040="Sessions_Level_1_All_Sites","Downstream aggregation of UA raw logs — keep if raw tables go",ISNUMBER(--$C1040),"UA raw site logs (account ID) — keep pending audit-retention check",$C1040="Emag_Reporting","Legacy but likely needed",$C1040="Nutrition_Data_Archived_Tables","Worth keeping",$C1040="EU_Data","Static lookup tables — scripts still reference (smoke-test risk)",TRUE,"Review"),OR($A1040="thg-influencer",$A1040="thg-ingenuity",$A1040="thg-central-marketing",$A1040="thg-seoclarity"),"HOLD — Charlie Stringer to review before deletion",TRUE,"")</f>
        <v>HOLD — Charlie Stringer to review before deletion</v>
      </c>
      <c r="S1040" t="s">
        <v>1624</v>
      </c>
    </row>
    <row r="1041" spans="1:19" hidden="1">
      <c r="A1041" t="s">
        <v>38</v>
      </c>
      <c r="B1041" t="s">
        <v>1619</v>
      </c>
      <c r="C1041" t="s">
        <v>3496</v>
      </c>
      <c r="D1041" s="2" t="s">
        <v>1621</v>
      </c>
      <c r="E1041">
        <v>0.02</v>
      </c>
      <c r="F1041">
        <v>0</v>
      </c>
      <c r="G1041" t="s">
        <v>3456</v>
      </c>
      <c r="H1041" t="s">
        <v>3457</v>
      </c>
      <c r="I1041">
        <v>1448</v>
      </c>
      <c r="J1041">
        <v>1448</v>
      </c>
      <c r="M1041" s="2" t="s">
        <v>1715</v>
      </c>
      <c r="N1041" s="2" t="s">
        <v>1701</v>
      </c>
      <c r="O1041" s="5">
        <v>44749.129406377317</v>
      </c>
      <c r="P1041" t="str">
        <f>IF($Q1041="DELETE",IF($S1041="CONFIRMED: NO MODS &gt; 1YR","CONFIRMED: NO MODS &gt; 1YR","DO NOT DELETE — not defensibly confirmed"),IF($Q1041="HOLD","DO NOT DELETE — HOLD (Charlie review)",IF($Q1041="KEEP","DO NOT DELETE — KEEP",IF(ISNUMBER(SEARCH("REVIEW",$Q1041)),"DO NOT DELETE — REVIEW pending",$S1041))))</f>
        <v>DO NOT DELETE — HOLD (Charlie review)</v>
      </c>
      <c r="Q1041" t="str" cm="1">
        <f t="array" ref="Q1041">_xlfn.IFS(AND($A1041="thg-beauty",ISNUMBER(SEARCH("liveramp",$C1041))),"DELETE",$A1041="agile-bonbon-662",_xlfn.IFS(LEFT($G1041,9)="Tranche 1","DELETE",$C1041="Sessions_Level_1_All_Sites","KEEP",ISNUMBER(--$C1041),"REVIEW — UA raw logs",$C1041="Emag_Reporting","KEEP",$C1041="Nutrition_Data_Archived_Tables","KEEP",$C1041="EU_Data","KEEP",TRUE,"REVIEW"),OR($A1041="thg-influencer",$A1041="thg-ingenuity",$A1041="thg-central-marketing",$A1041="thg-seoclarity"),"HOLD",TRUE,"")</f>
        <v>HOLD</v>
      </c>
      <c r="R1041" t="str" cm="1">
        <f t="array" ref="R1041">_xlfn.IFS(AND($A1041="thg-beauty",ISNUMBER(SEARCH("liveramp",$C1041))),"thg-beauty Liveramp dataset — confirmed safe to delete",$A1041="agile-bonbon-662",_xlfn.IFS(LEFT($G1041,9)="Tranche 1","Tranche 1: cleared",$C1041="Sessions_Level_1_All_Sites","Downstream aggregation of UA raw logs — keep if raw tables go",ISNUMBER(--$C1041),"UA raw site logs (account ID) — keep pending audit-retention check",$C1041="Emag_Reporting","Legacy but likely needed",$C1041="Nutrition_Data_Archived_Tables","Worth keeping",$C1041="EU_Data","Static lookup tables — scripts still reference (smoke-test risk)",TRUE,"Review"),OR($A1041="thg-influencer",$A1041="thg-ingenuity",$A1041="thg-central-marketing",$A1041="thg-seoclarity"),"HOLD — Charlie Stringer to review before deletion",TRUE,"")</f>
        <v>HOLD — Charlie Stringer to review before deletion</v>
      </c>
      <c r="S1041" t="s">
        <v>1624</v>
      </c>
    </row>
    <row r="1042" spans="1:19" hidden="1">
      <c r="A1042" t="s">
        <v>38</v>
      </c>
      <c r="B1042" t="s">
        <v>1619</v>
      </c>
      <c r="C1042" t="s">
        <v>3497</v>
      </c>
      <c r="D1042" s="2" t="s">
        <v>1621</v>
      </c>
      <c r="E1042">
        <v>0</v>
      </c>
      <c r="F1042">
        <v>0</v>
      </c>
      <c r="G1042" t="s">
        <v>3456</v>
      </c>
      <c r="H1042" t="s">
        <v>3457</v>
      </c>
      <c r="I1042">
        <v>1448</v>
      </c>
      <c r="J1042">
        <v>1448</v>
      </c>
      <c r="M1042" s="2" t="s">
        <v>1715</v>
      </c>
      <c r="N1042" s="2" t="s">
        <v>1701</v>
      </c>
      <c r="O1042" s="5">
        <v>44749.127982118058</v>
      </c>
      <c r="P1042" t="str">
        <f>IF($Q1042="DELETE",IF($S1042="CONFIRMED: NO MODS &gt; 1YR","CONFIRMED: NO MODS &gt; 1YR","DO NOT DELETE — not defensibly confirmed"),IF($Q1042="HOLD","DO NOT DELETE — HOLD (Charlie review)",IF($Q1042="KEEP","DO NOT DELETE — KEEP",IF(ISNUMBER(SEARCH("REVIEW",$Q1042)),"DO NOT DELETE — REVIEW pending",$S1042))))</f>
        <v>DO NOT DELETE — HOLD (Charlie review)</v>
      </c>
      <c r="Q1042" t="str" cm="1">
        <f t="array" ref="Q1042">_xlfn.IFS(AND($A1042="thg-beauty",ISNUMBER(SEARCH("liveramp",$C1042))),"DELETE",$A1042="agile-bonbon-662",_xlfn.IFS(LEFT($G1042,9)="Tranche 1","DELETE",$C1042="Sessions_Level_1_All_Sites","KEEP",ISNUMBER(--$C1042),"REVIEW — UA raw logs",$C1042="Emag_Reporting","KEEP",$C1042="Nutrition_Data_Archived_Tables","KEEP",$C1042="EU_Data","KEEP",TRUE,"REVIEW"),OR($A1042="thg-influencer",$A1042="thg-ingenuity",$A1042="thg-central-marketing",$A1042="thg-seoclarity"),"HOLD",TRUE,"")</f>
        <v>HOLD</v>
      </c>
      <c r="R1042" t="str" cm="1">
        <f t="array" ref="R1042">_xlfn.IFS(AND($A1042="thg-beauty",ISNUMBER(SEARCH("liveramp",$C1042))),"thg-beauty Liveramp dataset — confirmed safe to delete",$A1042="agile-bonbon-662",_xlfn.IFS(LEFT($G1042,9)="Tranche 1","Tranche 1: cleared",$C1042="Sessions_Level_1_All_Sites","Downstream aggregation of UA raw logs — keep if raw tables go",ISNUMBER(--$C1042),"UA raw site logs (account ID) — keep pending audit-retention check",$C1042="Emag_Reporting","Legacy but likely needed",$C1042="Nutrition_Data_Archived_Tables","Worth keeping",$C1042="EU_Data","Static lookup tables — scripts still reference (smoke-test risk)",TRUE,"Review"),OR($A1042="thg-influencer",$A1042="thg-ingenuity",$A1042="thg-central-marketing",$A1042="thg-seoclarity"),"HOLD — Charlie Stringer to review before deletion",TRUE,"")</f>
        <v>HOLD — Charlie Stringer to review before deletion</v>
      </c>
      <c r="S1042" t="s">
        <v>1624</v>
      </c>
    </row>
    <row r="1043" spans="1:19" hidden="1">
      <c r="A1043" t="s">
        <v>38</v>
      </c>
      <c r="B1043" t="s">
        <v>1619</v>
      </c>
      <c r="C1043" t="s">
        <v>3498</v>
      </c>
      <c r="D1043" s="2" t="s">
        <v>1621</v>
      </c>
      <c r="E1043">
        <v>0</v>
      </c>
      <c r="F1043">
        <v>0</v>
      </c>
      <c r="G1043" t="s">
        <v>3456</v>
      </c>
      <c r="H1043" t="s">
        <v>3457</v>
      </c>
      <c r="I1043">
        <v>1448</v>
      </c>
      <c r="J1043">
        <v>1448</v>
      </c>
      <c r="M1043" s="2" t="s">
        <v>1715</v>
      </c>
      <c r="N1043" s="2" t="s">
        <v>1701</v>
      </c>
      <c r="O1043" s="5">
        <v>44749.130900601849</v>
      </c>
      <c r="P1043" t="str">
        <f>IF($Q1043="DELETE",IF($S1043="CONFIRMED: NO MODS &gt; 1YR","CONFIRMED: NO MODS &gt; 1YR","DO NOT DELETE — not defensibly confirmed"),IF($Q1043="HOLD","DO NOT DELETE — HOLD (Charlie review)",IF($Q1043="KEEP","DO NOT DELETE — KEEP",IF(ISNUMBER(SEARCH("REVIEW",$Q1043)),"DO NOT DELETE — REVIEW pending",$S1043))))</f>
        <v>DO NOT DELETE — HOLD (Charlie review)</v>
      </c>
      <c r="Q1043" t="str" cm="1">
        <f t="array" ref="Q1043">_xlfn.IFS(AND($A1043="thg-beauty",ISNUMBER(SEARCH("liveramp",$C1043))),"DELETE",$A1043="agile-bonbon-662",_xlfn.IFS(LEFT($G1043,9)="Tranche 1","DELETE",$C1043="Sessions_Level_1_All_Sites","KEEP",ISNUMBER(--$C1043),"REVIEW — UA raw logs",$C1043="Emag_Reporting","KEEP",$C1043="Nutrition_Data_Archived_Tables","KEEP",$C1043="EU_Data","KEEP",TRUE,"REVIEW"),OR($A1043="thg-influencer",$A1043="thg-ingenuity",$A1043="thg-central-marketing",$A1043="thg-seoclarity"),"HOLD",TRUE,"")</f>
        <v>HOLD</v>
      </c>
      <c r="R1043" t="str" cm="1">
        <f t="array" ref="R1043">_xlfn.IFS(AND($A1043="thg-beauty",ISNUMBER(SEARCH("liveramp",$C1043))),"thg-beauty Liveramp dataset — confirmed safe to delete",$A1043="agile-bonbon-662",_xlfn.IFS(LEFT($G1043,9)="Tranche 1","Tranche 1: cleared",$C1043="Sessions_Level_1_All_Sites","Downstream aggregation of UA raw logs — keep if raw tables go",ISNUMBER(--$C1043),"UA raw site logs (account ID) — keep pending audit-retention check",$C1043="Emag_Reporting","Legacy but likely needed",$C1043="Nutrition_Data_Archived_Tables","Worth keeping",$C1043="EU_Data","Static lookup tables — scripts still reference (smoke-test risk)",TRUE,"Review"),OR($A1043="thg-influencer",$A1043="thg-ingenuity",$A1043="thg-central-marketing",$A1043="thg-seoclarity"),"HOLD — Charlie Stringer to review before deletion",TRUE,"")</f>
        <v>HOLD — Charlie Stringer to review before deletion</v>
      </c>
      <c r="S1043" t="s">
        <v>1624</v>
      </c>
    </row>
    <row r="1044" spans="1:19" hidden="1">
      <c r="A1044" t="s">
        <v>38</v>
      </c>
      <c r="B1044" t="s">
        <v>1619</v>
      </c>
      <c r="C1044" t="s">
        <v>3499</v>
      </c>
      <c r="D1044" s="2" t="s">
        <v>1621</v>
      </c>
      <c r="E1044">
        <v>0</v>
      </c>
      <c r="F1044">
        <v>0</v>
      </c>
      <c r="G1044" t="s">
        <v>3456</v>
      </c>
      <c r="H1044" t="s">
        <v>3328</v>
      </c>
      <c r="I1044">
        <v>1446</v>
      </c>
      <c r="J1044">
        <v>1446</v>
      </c>
      <c r="M1044" s="2" t="s">
        <v>1715</v>
      </c>
      <c r="N1044" s="2" t="s">
        <v>1701</v>
      </c>
      <c r="O1044" s="5">
        <v>44750.676048321759</v>
      </c>
      <c r="P1044" t="str">
        <f>IF($Q1044="DELETE",IF($S1044="CONFIRMED: NO MODS &gt; 1YR","CONFIRMED: NO MODS &gt; 1YR","DO NOT DELETE — not defensibly confirmed"),IF($Q1044="HOLD","DO NOT DELETE — HOLD (Charlie review)",IF($Q1044="KEEP","DO NOT DELETE — KEEP",IF(ISNUMBER(SEARCH("REVIEW",$Q1044)),"DO NOT DELETE — REVIEW pending",$S1044))))</f>
        <v>DO NOT DELETE — HOLD (Charlie review)</v>
      </c>
      <c r="Q1044" t="str" cm="1">
        <f t="array" ref="Q1044">_xlfn.IFS(AND($A1044="thg-beauty",ISNUMBER(SEARCH("liveramp",$C1044))),"DELETE",$A1044="agile-bonbon-662",_xlfn.IFS(LEFT($G1044,9)="Tranche 1","DELETE",$C1044="Sessions_Level_1_All_Sites","KEEP",ISNUMBER(--$C1044),"REVIEW — UA raw logs",$C1044="Emag_Reporting","KEEP",$C1044="Nutrition_Data_Archived_Tables","KEEP",$C1044="EU_Data","KEEP",TRUE,"REVIEW"),OR($A1044="thg-influencer",$A1044="thg-ingenuity",$A1044="thg-central-marketing",$A1044="thg-seoclarity"),"HOLD",TRUE,"")</f>
        <v>HOLD</v>
      </c>
      <c r="R1044" t="str" cm="1">
        <f t="array" ref="R1044">_xlfn.IFS(AND($A1044="thg-beauty",ISNUMBER(SEARCH("liveramp",$C1044))),"thg-beauty Liveramp dataset — confirmed safe to delete",$A1044="agile-bonbon-662",_xlfn.IFS(LEFT($G1044,9)="Tranche 1","Tranche 1: cleared",$C1044="Sessions_Level_1_All_Sites","Downstream aggregation of UA raw logs — keep if raw tables go",ISNUMBER(--$C1044),"UA raw site logs (account ID) — keep pending audit-retention check",$C1044="Emag_Reporting","Legacy but likely needed",$C1044="Nutrition_Data_Archived_Tables","Worth keeping",$C1044="EU_Data","Static lookup tables — scripts still reference (smoke-test risk)",TRUE,"Review"),OR($A1044="thg-influencer",$A1044="thg-ingenuity",$A1044="thg-central-marketing",$A1044="thg-seoclarity"),"HOLD — Charlie Stringer to review before deletion",TRUE,"")</f>
        <v>HOLD — Charlie Stringer to review before deletion</v>
      </c>
      <c r="S1044" t="s">
        <v>1624</v>
      </c>
    </row>
    <row r="1045" spans="1:19" hidden="1">
      <c r="A1045" t="s">
        <v>38</v>
      </c>
      <c r="B1045" t="s">
        <v>1619</v>
      </c>
      <c r="C1045" t="s">
        <v>3500</v>
      </c>
      <c r="D1045" s="2" t="s">
        <v>1621</v>
      </c>
      <c r="E1045">
        <v>0.16</v>
      </c>
      <c r="F1045">
        <v>0</v>
      </c>
      <c r="G1045" t="s">
        <v>3456</v>
      </c>
      <c r="H1045" t="s">
        <v>3457</v>
      </c>
      <c r="I1045">
        <v>1435</v>
      </c>
      <c r="J1045">
        <v>1435</v>
      </c>
      <c r="M1045" s="2" t="s">
        <v>1715</v>
      </c>
      <c r="N1045" s="2" t="s">
        <v>1701</v>
      </c>
      <c r="O1045" s="5">
        <v>44762.343504305558</v>
      </c>
      <c r="P1045" t="str">
        <f>IF($Q1045="DELETE",IF($S1045="CONFIRMED: NO MODS &gt; 1YR","CONFIRMED: NO MODS &gt; 1YR","DO NOT DELETE — not defensibly confirmed"),IF($Q1045="HOLD","DO NOT DELETE — HOLD (Charlie review)",IF($Q1045="KEEP","DO NOT DELETE — KEEP",IF(ISNUMBER(SEARCH("REVIEW",$Q1045)),"DO NOT DELETE — REVIEW pending",$S1045))))</f>
        <v>DO NOT DELETE — HOLD (Charlie review)</v>
      </c>
      <c r="Q1045" t="str" cm="1">
        <f t="array" ref="Q1045">_xlfn.IFS(AND($A1045="thg-beauty",ISNUMBER(SEARCH("liveramp",$C1045))),"DELETE",$A1045="agile-bonbon-662",_xlfn.IFS(LEFT($G1045,9)="Tranche 1","DELETE",$C1045="Sessions_Level_1_All_Sites","KEEP",ISNUMBER(--$C1045),"REVIEW — UA raw logs",$C1045="Emag_Reporting","KEEP",$C1045="Nutrition_Data_Archived_Tables","KEEP",$C1045="EU_Data","KEEP",TRUE,"REVIEW"),OR($A1045="thg-influencer",$A1045="thg-ingenuity",$A1045="thg-central-marketing",$A1045="thg-seoclarity"),"HOLD",TRUE,"")</f>
        <v>HOLD</v>
      </c>
      <c r="R1045" t="str" cm="1">
        <f t="array" ref="R1045">_xlfn.IFS(AND($A1045="thg-beauty",ISNUMBER(SEARCH("liveramp",$C1045))),"thg-beauty Liveramp dataset — confirmed safe to delete",$A1045="agile-bonbon-662",_xlfn.IFS(LEFT($G1045,9)="Tranche 1","Tranche 1: cleared",$C1045="Sessions_Level_1_All_Sites","Downstream aggregation of UA raw logs — keep if raw tables go",ISNUMBER(--$C1045),"UA raw site logs (account ID) — keep pending audit-retention check",$C1045="Emag_Reporting","Legacy but likely needed",$C1045="Nutrition_Data_Archived_Tables","Worth keeping",$C1045="EU_Data","Static lookup tables — scripts still reference (smoke-test risk)",TRUE,"Review"),OR($A1045="thg-influencer",$A1045="thg-ingenuity",$A1045="thg-central-marketing",$A1045="thg-seoclarity"),"HOLD — Charlie Stringer to review before deletion",TRUE,"")</f>
        <v>HOLD — Charlie Stringer to review before deletion</v>
      </c>
      <c r="S1045" t="s">
        <v>1624</v>
      </c>
    </row>
    <row r="1046" spans="1:19" hidden="1">
      <c r="A1046" t="s">
        <v>38</v>
      </c>
      <c r="B1046" t="s">
        <v>1619</v>
      </c>
      <c r="C1046" t="s">
        <v>3501</v>
      </c>
      <c r="D1046" s="2" t="s">
        <v>1621</v>
      </c>
      <c r="E1046">
        <v>2.2999999999999998</v>
      </c>
      <c r="F1046">
        <v>0.05</v>
      </c>
      <c r="G1046" t="s">
        <v>3456</v>
      </c>
      <c r="H1046" t="s">
        <v>3457</v>
      </c>
      <c r="I1046">
        <v>1429</v>
      </c>
      <c r="J1046">
        <v>1429</v>
      </c>
      <c r="M1046" s="2" t="s">
        <v>1715</v>
      </c>
      <c r="N1046" s="2" t="s">
        <v>1701</v>
      </c>
      <c r="O1046" s="5">
        <v>44767.707660520828</v>
      </c>
      <c r="P1046" t="str">
        <f>IF($Q1046="DELETE",IF($S1046="CONFIRMED: NO MODS &gt; 1YR","CONFIRMED: NO MODS &gt; 1YR","DO NOT DELETE — not defensibly confirmed"),IF($Q1046="HOLD","DO NOT DELETE — HOLD (Charlie review)",IF($Q1046="KEEP","DO NOT DELETE — KEEP",IF(ISNUMBER(SEARCH("REVIEW",$Q1046)),"DO NOT DELETE — REVIEW pending",$S1046))))</f>
        <v>DO NOT DELETE — HOLD (Charlie review)</v>
      </c>
      <c r="Q1046" t="str" cm="1">
        <f t="array" ref="Q1046">_xlfn.IFS(AND($A1046="thg-beauty",ISNUMBER(SEARCH("liveramp",$C1046))),"DELETE",$A1046="agile-bonbon-662",_xlfn.IFS(LEFT($G1046,9)="Tranche 1","DELETE",$C1046="Sessions_Level_1_All_Sites","KEEP",ISNUMBER(--$C1046),"REVIEW — UA raw logs",$C1046="Emag_Reporting","KEEP",$C1046="Nutrition_Data_Archived_Tables","KEEP",$C1046="EU_Data","KEEP",TRUE,"REVIEW"),OR($A1046="thg-influencer",$A1046="thg-ingenuity",$A1046="thg-central-marketing",$A1046="thg-seoclarity"),"HOLD",TRUE,"")</f>
        <v>HOLD</v>
      </c>
      <c r="R1046" t="str" cm="1">
        <f t="array" ref="R1046">_xlfn.IFS(AND($A1046="thg-beauty",ISNUMBER(SEARCH("liveramp",$C1046))),"thg-beauty Liveramp dataset — confirmed safe to delete",$A1046="agile-bonbon-662",_xlfn.IFS(LEFT($G1046,9)="Tranche 1","Tranche 1: cleared",$C1046="Sessions_Level_1_All_Sites","Downstream aggregation of UA raw logs — keep if raw tables go",ISNUMBER(--$C1046),"UA raw site logs (account ID) — keep pending audit-retention check",$C1046="Emag_Reporting","Legacy but likely needed",$C1046="Nutrition_Data_Archived_Tables","Worth keeping",$C1046="EU_Data","Static lookup tables — scripts still reference (smoke-test risk)",TRUE,"Review"),OR($A1046="thg-influencer",$A1046="thg-ingenuity",$A1046="thg-central-marketing",$A1046="thg-seoclarity"),"HOLD — Charlie Stringer to review before deletion",TRUE,"")</f>
        <v>HOLD — Charlie Stringer to review before deletion</v>
      </c>
      <c r="S1046" t="s">
        <v>1624</v>
      </c>
    </row>
    <row r="1047" spans="1:19" hidden="1">
      <c r="A1047" t="s">
        <v>38</v>
      </c>
      <c r="B1047" t="s">
        <v>1619</v>
      </c>
      <c r="C1047" t="s">
        <v>3502</v>
      </c>
      <c r="D1047" s="2" t="s">
        <v>1621</v>
      </c>
      <c r="E1047">
        <v>0.24</v>
      </c>
      <c r="F1047">
        <v>0</v>
      </c>
      <c r="G1047" t="s">
        <v>3456</v>
      </c>
      <c r="H1047" t="s">
        <v>3457</v>
      </c>
      <c r="I1047">
        <v>1414</v>
      </c>
      <c r="J1047">
        <v>1414</v>
      </c>
      <c r="M1047" s="2" t="s">
        <v>1715</v>
      </c>
      <c r="N1047" s="2" t="s">
        <v>1701</v>
      </c>
      <c r="O1047" s="5">
        <v>44783.312702511583</v>
      </c>
      <c r="P1047" t="str">
        <f>IF($Q1047="DELETE",IF($S1047="CONFIRMED: NO MODS &gt; 1YR","CONFIRMED: NO MODS &gt; 1YR","DO NOT DELETE — not defensibly confirmed"),IF($Q1047="HOLD","DO NOT DELETE — HOLD (Charlie review)",IF($Q1047="KEEP","DO NOT DELETE — KEEP",IF(ISNUMBER(SEARCH("REVIEW",$Q1047)),"DO NOT DELETE — REVIEW pending",$S1047))))</f>
        <v>DO NOT DELETE — HOLD (Charlie review)</v>
      </c>
      <c r="Q1047" t="str" cm="1">
        <f t="array" ref="Q1047">_xlfn.IFS(AND($A1047="thg-beauty",ISNUMBER(SEARCH("liveramp",$C1047))),"DELETE",$A1047="agile-bonbon-662",_xlfn.IFS(LEFT($G1047,9)="Tranche 1","DELETE",$C1047="Sessions_Level_1_All_Sites","KEEP",ISNUMBER(--$C1047),"REVIEW — UA raw logs",$C1047="Emag_Reporting","KEEP",$C1047="Nutrition_Data_Archived_Tables","KEEP",$C1047="EU_Data","KEEP",TRUE,"REVIEW"),OR($A1047="thg-influencer",$A1047="thg-ingenuity",$A1047="thg-central-marketing",$A1047="thg-seoclarity"),"HOLD",TRUE,"")</f>
        <v>HOLD</v>
      </c>
      <c r="R1047" t="str" cm="1">
        <f t="array" ref="R1047">_xlfn.IFS(AND($A1047="thg-beauty",ISNUMBER(SEARCH("liveramp",$C1047))),"thg-beauty Liveramp dataset — confirmed safe to delete",$A1047="agile-bonbon-662",_xlfn.IFS(LEFT($G1047,9)="Tranche 1","Tranche 1: cleared",$C1047="Sessions_Level_1_All_Sites","Downstream aggregation of UA raw logs — keep if raw tables go",ISNUMBER(--$C1047),"UA raw site logs (account ID) — keep pending audit-retention check",$C1047="Emag_Reporting","Legacy but likely needed",$C1047="Nutrition_Data_Archived_Tables","Worth keeping",$C1047="EU_Data","Static lookup tables — scripts still reference (smoke-test risk)",TRUE,"Review"),OR($A1047="thg-influencer",$A1047="thg-ingenuity",$A1047="thg-central-marketing",$A1047="thg-seoclarity"),"HOLD — Charlie Stringer to review before deletion",TRUE,"")</f>
        <v>HOLD — Charlie Stringer to review before deletion</v>
      </c>
      <c r="S1047" t="s">
        <v>1624</v>
      </c>
    </row>
    <row r="1048" spans="1:19" hidden="1">
      <c r="A1048" t="s">
        <v>38</v>
      </c>
      <c r="B1048" t="s">
        <v>1619</v>
      </c>
      <c r="C1048" t="s">
        <v>3503</v>
      </c>
      <c r="D1048" s="2" t="s">
        <v>1621</v>
      </c>
      <c r="E1048">
        <v>0.01</v>
      </c>
      <c r="F1048">
        <v>0</v>
      </c>
      <c r="G1048" t="s">
        <v>3456</v>
      </c>
      <c r="H1048" t="s">
        <v>3457</v>
      </c>
      <c r="I1048">
        <v>1414</v>
      </c>
      <c r="J1048">
        <v>1414</v>
      </c>
      <c r="M1048" s="2" t="s">
        <v>1715</v>
      </c>
      <c r="N1048" s="2" t="s">
        <v>1701</v>
      </c>
      <c r="O1048" s="5">
        <v>44783.447586469912</v>
      </c>
      <c r="P1048" t="str">
        <f>IF($Q1048="DELETE",IF($S1048="CONFIRMED: NO MODS &gt; 1YR","CONFIRMED: NO MODS &gt; 1YR","DO NOT DELETE — not defensibly confirmed"),IF($Q1048="HOLD","DO NOT DELETE — HOLD (Charlie review)",IF($Q1048="KEEP","DO NOT DELETE — KEEP",IF(ISNUMBER(SEARCH("REVIEW",$Q1048)),"DO NOT DELETE — REVIEW pending",$S1048))))</f>
        <v>DO NOT DELETE — HOLD (Charlie review)</v>
      </c>
      <c r="Q1048" t="str" cm="1">
        <f t="array" ref="Q1048">_xlfn.IFS(AND($A1048="thg-beauty",ISNUMBER(SEARCH("liveramp",$C1048))),"DELETE",$A1048="agile-bonbon-662",_xlfn.IFS(LEFT($G1048,9)="Tranche 1","DELETE",$C1048="Sessions_Level_1_All_Sites","KEEP",ISNUMBER(--$C1048),"REVIEW — UA raw logs",$C1048="Emag_Reporting","KEEP",$C1048="Nutrition_Data_Archived_Tables","KEEP",$C1048="EU_Data","KEEP",TRUE,"REVIEW"),OR($A1048="thg-influencer",$A1048="thg-ingenuity",$A1048="thg-central-marketing",$A1048="thg-seoclarity"),"HOLD",TRUE,"")</f>
        <v>HOLD</v>
      </c>
      <c r="R1048" t="str" cm="1">
        <f t="array" ref="R1048">_xlfn.IFS(AND($A1048="thg-beauty",ISNUMBER(SEARCH("liveramp",$C1048))),"thg-beauty Liveramp dataset — confirmed safe to delete",$A1048="agile-bonbon-662",_xlfn.IFS(LEFT($G1048,9)="Tranche 1","Tranche 1: cleared",$C1048="Sessions_Level_1_All_Sites","Downstream aggregation of UA raw logs — keep if raw tables go",ISNUMBER(--$C1048),"UA raw site logs (account ID) — keep pending audit-retention check",$C1048="Emag_Reporting","Legacy but likely needed",$C1048="Nutrition_Data_Archived_Tables","Worth keeping",$C1048="EU_Data","Static lookup tables — scripts still reference (smoke-test risk)",TRUE,"Review"),OR($A1048="thg-influencer",$A1048="thg-ingenuity",$A1048="thg-central-marketing",$A1048="thg-seoclarity"),"HOLD — Charlie Stringer to review before deletion",TRUE,"")</f>
        <v>HOLD — Charlie Stringer to review before deletion</v>
      </c>
      <c r="S1048" t="s">
        <v>1624</v>
      </c>
    </row>
    <row r="1049" spans="1:19" hidden="1">
      <c r="A1049" t="s">
        <v>38</v>
      </c>
      <c r="B1049" t="s">
        <v>1619</v>
      </c>
      <c r="C1049" t="s">
        <v>3504</v>
      </c>
      <c r="D1049" s="2" t="s">
        <v>1621</v>
      </c>
      <c r="E1049">
        <v>0.3</v>
      </c>
      <c r="F1049">
        <v>0.01</v>
      </c>
      <c r="G1049" t="s">
        <v>3456</v>
      </c>
      <c r="H1049" t="s">
        <v>3457</v>
      </c>
      <c r="I1049">
        <v>1411</v>
      </c>
      <c r="J1049">
        <v>1411</v>
      </c>
      <c r="M1049" s="2" t="s">
        <v>1715</v>
      </c>
      <c r="N1049" s="2" t="s">
        <v>1701</v>
      </c>
      <c r="O1049" s="5">
        <v>44786.286952442133</v>
      </c>
      <c r="P1049" t="str">
        <f>IF($Q1049="DELETE",IF($S1049="CONFIRMED: NO MODS &gt; 1YR","CONFIRMED: NO MODS &gt; 1YR","DO NOT DELETE — not defensibly confirmed"),IF($Q1049="HOLD","DO NOT DELETE — HOLD (Charlie review)",IF($Q1049="KEEP","DO NOT DELETE — KEEP",IF(ISNUMBER(SEARCH("REVIEW",$Q1049)),"DO NOT DELETE — REVIEW pending",$S1049))))</f>
        <v>DO NOT DELETE — HOLD (Charlie review)</v>
      </c>
      <c r="Q1049" t="str" cm="1">
        <f t="array" ref="Q1049">_xlfn.IFS(AND($A1049="thg-beauty",ISNUMBER(SEARCH("liveramp",$C1049))),"DELETE",$A1049="agile-bonbon-662",_xlfn.IFS(LEFT($G1049,9)="Tranche 1","DELETE",$C1049="Sessions_Level_1_All_Sites","KEEP",ISNUMBER(--$C1049),"REVIEW — UA raw logs",$C1049="Emag_Reporting","KEEP",$C1049="Nutrition_Data_Archived_Tables","KEEP",$C1049="EU_Data","KEEP",TRUE,"REVIEW"),OR($A1049="thg-influencer",$A1049="thg-ingenuity",$A1049="thg-central-marketing",$A1049="thg-seoclarity"),"HOLD",TRUE,"")</f>
        <v>HOLD</v>
      </c>
      <c r="R1049" t="str" cm="1">
        <f t="array" ref="R1049">_xlfn.IFS(AND($A1049="thg-beauty",ISNUMBER(SEARCH("liveramp",$C1049))),"thg-beauty Liveramp dataset — confirmed safe to delete",$A1049="agile-bonbon-662",_xlfn.IFS(LEFT($G1049,9)="Tranche 1","Tranche 1: cleared",$C1049="Sessions_Level_1_All_Sites","Downstream aggregation of UA raw logs — keep if raw tables go",ISNUMBER(--$C1049),"UA raw site logs (account ID) — keep pending audit-retention check",$C1049="Emag_Reporting","Legacy but likely needed",$C1049="Nutrition_Data_Archived_Tables","Worth keeping",$C1049="EU_Data","Static lookup tables — scripts still reference (smoke-test risk)",TRUE,"Review"),OR($A1049="thg-influencer",$A1049="thg-ingenuity",$A1049="thg-central-marketing",$A1049="thg-seoclarity"),"HOLD — Charlie Stringer to review before deletion",TRUE,"")</f>
        <v>HOLD — Charlie Stringer to review before deletion</v>
      </c>
      <c r="S1049" t="s">
        <v>1624</v>
      </c>
    </row>
    <row r="1050" spans="1:19" hidden="1">
      <c r="A1050" t="s">
        <v>38</v>
      </c>
      <c r="B1050" t="s">
        <v>1619</v>
      </c>
      <c r="C1050" t="s">
        <v>3505</v>
      </c>
      <c r="D1050" s="2" t="s">
        <v>1621</v>
      </c>
      <c r="E1050">
        <v>0</v>
      </c>
      <c r="F1050">
        <v>0</v>
      </c>
      <c r="G1050" t="s">
        <v>3456</v>
      </c>
      <c r="H1050" t="s">
        <v>3457</v>
      </c>
      <c r="I1050">
        <v>1399</v>
      </c>
      <c r="J1050">
        <v>1399</v>
      </c>
      <c r="M1050" s="2" t="s">
        <v>1715</v>
      </c>
      <c r="N1050" s="2" t="s">
        <v>1701</v>
      </c>
      <c r="O1050" s="5">
        <v>44797.567809386572</v>
      </c>
      <c r="P1050" t="str">
        <f>IF($Q1050="DELETE",IF($S1050="CONFIRMED: NO MODS &gt; 1YR","CONFIRMED: NO MODS &gt; 1YR","DO NOT DELETE — not defensibly confirmed"),IF($Q1050="HOLD","DO NOT DELETE — HOLD (Charlie review)",IF($Q1050="KEEP","DO NOT DELETE — KEEP",IF(ISNUMBER(SEARCH("REVIEW",$Q1050)),"DO NOT DELETE — REVIEW pending",$S1050))))</f>
        <v>DO NOT DELETE — HOLD (Charlie review)</v>
      </c>
      <c r="Q1050" t="str" cm="1">
        <f t="array" ref="Q1050">_xlfn.IFS(AND($A1050="thg-beauty",ISNUMBER(SEARCH("liveramp",$C1050))),"DELETE",$A1050="agile-bonbon-662",_xlfn.IFS(LEFT($G1050,9)="Tranche 1","DELETE",$C1050="Sessions_Level_1_All_Sites","KEEP",ISNUMBER(--$C1050),"REVIEW — UA raw logs",$C1050="Emag_Reporting","KEEP",$C1050="Nutrition_Data_Archived_Tables","KEEP",$C1050="EU_Data","KEEP",TRUE,"REVIEW"),OR($A1050="thg-influencer",$A1050="thg-ingenuity",$A1050="thg-central-marketing",$A1050="thg-seoclarity"),"HOLD",TRUE,"")</f>
        <v>HOLD</v>
      </c>
      <c r="R1050" t="str" cm="1">
        <f t="array" ref="R1050">_xlfn.IFS(AND($A1050="thg-beauty",ISNUMBER(SEARCH("liveramp",$C1050))),"thg-beauty Liveramp dataset — confirmed safe to delete",$A1050="agile-bonbon-662",_xlfn.IFS(LEFT($G1050,9)="Tranche 1","Tranche 1: cleared",$C1050="Sessions_Level_1_All_Sites","Downstream aggregation of UA raw logs — keep if raw tables go",ISNUMBER(--$C1050),"UA raw site logs (account ID) — keep pending audit-retention check",$C1050="Emag_Reporting","Legacy but likely needed",$C1050="Nutrition_Data_Archived_Tables","Worth keeping",$C1050="EU_Data","Static lookup tables — scripts still reference (smoke-test risk)",TRUE,"Review"),OR($A1050="thg-influencer",$A1050="thg-ingenuity",$A1050="thg-central-marketing",$A1050="thg-seoclarity"),"HOLD — Charlie Stringer to review before deletion",TRUE,"")</f>
        <v>HOLD — Charlie Stringer to review before deletion</v>
      </c>
      <c r="S1050" t="s">
        <v>1624</v>
      </c>
    </row>
    <row r="1051" spans="1:19" hidden="1">
      <c r="A1051" t="s">
        <v>38</v>
      </c>
      <c r="B1051" t="s">
        <v>1619</v>
      </c>
      <c r="C1051" t="s">
        <v>3506</v>
      </c>
      <c r="D1051" s="2" t="s">
        <v>1621</v>
      </c>
      <c r="E1051">
        <v>0.93</v>
      </c>
      <c r="F1051">
        <v>0.02</v>
      </c>
      <c r="G1051" t="s">
        <v>3456</v>
      </c>
      <c r="H1051" t="s">
        <v>3457</v>
      </c>
      <c r="I1051">
        <v>1392</v>
      </c>
      <c r="J1051">
        <v>1392</v>
      </c>
      <c r="M1051" s="2" t="s">
        <v>1715</v>
      </c>
      <c r="N1051" s="2" t="s">
        <v>1701</v>
      </c>
      <c r="O1051" s="5">
        <v>44805.334003159733</v>
      </c>
      <c r="P1051" t="str">
        <f>IF($Q1051="DELETE",IF($S1051="CONFIRMED: NO MODS &gt; 1YR","CONFIRMED: NO MODS &gt; 1YR","DO NOT DELETE — not defensibly confirmed"),IF($Q1051="HOLD","DO NOT DELETE — HOLD (Charlie review)",IF($Q1051="KEEP","DO NOT DELETE — KEEP",IF(ISNUMBER(SEARCH("REVIEW",$Q1051)),"DO NOT DELETE — REVIEW pending",$S1051))))</f>
        <v>DO NOT DELETE — HOLD (Charlie review)</v>
      </c>
      <c r="Q1051" t="str" cm="1">
        <f t="array" ref="Q1051">_xlfn.IFS(AND($A1051="thg-beauty",ISNUMBER(SEARCH("liveramp",$C1051))),"DELETE",$A1051="agile-bonbon-662",_xlfn.IFS(LEFT($G1051,9)="Tranche 1","DELETE",$C1051="Sessions_Level_1_All_Sites","KEEP",ISNUMBER(--$C1051),"REVIEW — UA raw logs",$C1051="Emag_Reporting","KEEP",$C1051="Nutrition_Data_Archived_Tables","KEEP",$C1051="EU_Data","KEEP",TRUE,"REVIEW"),OR($A1051="thg-influencer",$A1051="thg-ingenuity",$A1051="thg-central-marketing",$A1051="thg-seoclarity"),"HOLD",TRUE,"")</f>
        <v>HOLD</v>
      </c>
      <c r="R1051" t="str" cm="1">
        <f t="array" ref="R1051">_xlfn.IFS(AND($A1051="thg-beauty",ISNUMBER(SEARCH("liveramp",$C1051))),"thg-beauty Liveramp dataset — confirmed safe to delete",$A1051="agile-bonbon-662",_xlfn.IFS(LEFT($G1051,9)="Tranche 1","Tranche 1: cleared",$C1051="Sessions_Level_1_All_Sites","Downstream aggregation of UA raw logs — keep if raw tables go",ISNUMBER(--$C1051),"UA raw site logs (account ID) — keep pending audit-retention check",$C1051="Emag_Reporting","Legacy but likely needed",$C1051="Nutrition_Data_Archived_Tables","Worth keeping",$C1051="EU_Data","Static lookup tables — scripts still reference (smoke-test risk)",TRUE,"Review"),OR($A1051="thg-influencer",$A1051="thg-ingenuity",$A1051="thg-central-marketing",$A1051="thg-seoclarity"),"HOLD — Charlie Stringer to review before deletion",TRUE,"")</f>
        <v>HOLD — Charlie Stringer to review before deletion</v>
      </c>
      <c r="S1051" t="s">
        <v>1624</v>
      </c>
    </row>
    <row r="1052" spans="1:19" hidden="1">
      <c r="A1052" t="s">
        <v>38</v>
      </c>
      <c r="B1052" t="s">
        <v>1619</v>
      </c>
      <c r="C1052" t="s">
        <v>3507</v>
      </c>
      <c r="D1052" s="2" t="s">
        <v>1621</v>
      </c>
      <c r="E1052">
        <v>0.3</v>
      </c>
      <c r="F1052">
        <v>0.01</v>
      </c>
      <c r="G1052" t="s">
        <v>3456</v>
      </c>
      <c r="H1052" t="s">
        <v>3457</v>
      </c>
      <c r="I1052">
        <v>1383</v>
      </c>
      <c r="J1052">
        <v>1383</v>
      </c>
      <c r="M1052" s="2" t="s">
        <v>1715</v>
      </c>
      <c r="N1052" s="2" t="s">
        <v>1701</v>
      </c>
      <c r="O1052" s="5">
        <v>44814.316143217591</v>
      </c>
      <c r="P1052" t="str">
        <f>IF($Q1052="DELETE",IF($S1052="CONFIRMED: NO MODS &gt; 1YR","CONFIRMED: NO MODS &gt; 1YR","DO NOT DELETE — not defensibly confirmed"),IF($Q1052="HOLD","DO NOT DELETE — HOLD (Charlie review)",IF($Q1052="KEEP","DO NOT DELETE — KEEP",IF(ISNUMBER(SEARCH("REVIEW",$Q1052)),"DO NOT DELETE — REVIEW pending",$S1052))))</f>
        <v>DO NOT DELETE — HOLD (Charlie review)</v>
      </c>
      <c r="Q1052" t="str" cm="1">
        <f t="array" ref="Q1052">_xlfn.IFS(AND($A1052="thg-beauty",ISNUMBER(SEARCH("liveramp",$C1052))),"DELETE",$A1052="agile-bonbon-662",_xlfn.IFS(LEFT($G1052,9)="Tranche 1","DELETE",$C1052="Sessions_Level_1_All_Sites","KEEP",ISNUMBER(--$C1052),"REVIEW — UA raw logs",$C1052="Emag_Reporting","KEEP",$C1052="Nutrition_Data_Archived_Tables","KEEP",$C1052="EU_Data","KEEP",TRUE,"REVIEW"),OR($A1052="thg-influencer",$A1052="thg-ingenuity",$A1052="thg-central-marketing",$A1052="thg-seoclarity"),"HOLD",TRUE,"")</f>
        <v>HOLD</v>
      </c>
      <c r="R1052" t="str" cm="1">
        <f t="array" ref="R1052">_xlfn.IFS(AND($A1052="thg-beauty",ISNUMBER(SEARCH("liveramp",$C1052))),"thg-beauty Liveramp dataset — confirmed safe to delete",$A1052="agile-bonbon-662",_xlfn.IFS(LEFT($G1052,9)="Tranche 1","Tranche 1: cleared",$C1052="Sessions_Level_1_All_Sites","Downstream aggregation of UA raw logs — keep if raw tables go",ISNUMBER(--$C1052),"UA raw site logs (account ID) — keep pending audit-retention check",$C1052="Emag_Reporting","Legacy but likely needed",$C1052="Nutrition_Data_Archived_Tables","Worth keeping",$C1052="EU_Data","Static lookup tables — scripts still reference (smoke-test risk)",TRUE,"Review"),OR($A1052="thg-influencer",$A1052="thg-ingenuity",$A1052="thg-central-marketing",$A1052="thg-seoclarity"),"HOLD — Charlie Stringer to review before deletion",TRUE,"")</f>
        <v>HOLD — Charlie Stringer to review before deletion</v>
      </c>
      <c r="S1052" t="s">
        <v>1624</v>
      </c>
    </row>
    <row r="1053" spans="1:19" hidden="1">
      <c r="A1053" t="s">
        <v>38</v>
      </c>
      <c r="B1053" t="s">
        <v>1619</v>
      </c>
      <c r="C1053" t="s">
        <v>3508</v>
      </c>
      <c r="D1053" s="2" t="s">
        <v>1621</v>
      </c>
      <c r="E1053">
        <v>0.1</v>
      </c>
      <c r="F1053">
        <v>0</v>
      </c>
      <c r="G1053" t="s">
        <v>3456</v>
      </c>
      <c r="H1053" t="s">
        <v>3457</v>
      </c>
      <c r="I1053">
        <v>1378</v>
      </c>
      <c r="J1053">
        <v>1378</v>
      </c>
      <c r="M1053" s="2" t="s">
        <v>1715</v>
      </c>
      <c r="N1053" s="2" t="s">
        <v>1701</v>
      </c>
      <c r="O1053" s="5">
        <v>44819.332072881953</v>
      </c>
      <c r="P1053" t="str">
        <f>IF($Q1053="DELETE",IF($S1053="CONFIRMED: NO MODS &gt; 1YR","CONFIRMED: NO MODS &gt; 1YR","DO NOT DELETE — not defensibly confirmed"),IF($Q1053="HOLD","DO NOT DELETE — HOLD (Charlie review)",IF($Q1053="KEEP","DO NOT DELETE — KEEP",IF(ISNUMBER(SEARCH("REVIEW",$Q1053)),"DO NOT DELETE — REVIEW pending",$S1053))))</f>
        <v>DO NOT DELETE — HOLD (Charlie review)</v>
      </c>
      <c r="Q1053" t="str" cm="1">
        <f t="array" ref="Q1053">_xlfn.IFS(AND($A1053="thg-beauty",ISNUMBER(SEARCH("liveramp",$C1053))),"DELETE",$A1053="agile-bonbon-662",_xlfn.IFS(LEFT($G1053,9)="Tranche 1","DELETE",$C1053="Sessions_Level_1_All_Sites","KEEP",ISNUMBER(--$C1053),"REVIEW — UA raw logs",$C1053="Emag_Reporting","KEEP",$C1053="Nutrition_Data_Archived_Tables","KEEP",$C1053="EU_Data","KEEP",TRUE,"REVIEW"),OR($A1053="thg-influencer",$A1053="thg-ingenuity",$A1053="thg-central-marketing",$A1053="thg-seoclarity"),"HOLD",TRUE,"")</f>
        <v>HOLD</v>
      </c>
      <c r="R1053" t="str" cm="1">
        <f t="array" ref="R1053">_xlfn.IFS(AND($A1053="thg-beauty",ISNUMBER(SEARCH("liveramp",$C1053))),"thg-beauty Liveramp dataset — confirmed safe to delete",$A1053="agile-bonbon-662",_xlfn.IFS(LEFT($G1053,9)="Tranche 1","Tranche 1: cleared",$C1053="Sessions_Level_1_All_Sites","Downstream aggregation of UA raw logs — keep if raw tables go",ISNUMBER(--$C1053),"UA raw site logs (account ID) — keep pending audit-retention check",$C1053="Emag_Reporting","Legacy but likely needed",$C1053="Nutrition_Data_Archived_Tables","Worth keeping",$C1053="EU_Data","Static lookup tables — scripts still reference (smoke-test risk)",TRUE,"Review"),OR($A1053="thg-influencer",$A1053="thg-ingenuity",$A1053="thg-central-marketing",$A1053="thg-seoclarity"),"HOLD — Charlie Stringer to review before deletion",TRUE,"")</f>
        <v>HOLD — Charlie Stringer to review before deletion</v>
      </c>
      <c r="S1053" t="s">
        <v>1624</v>
      </c>
    </row>
    <row r="1054" spans="1:19" hidden="1">
      <c r="A1054" t="s">
        <v>38</v>
      </c>
      <c r="B1054" t="s">
        <v>1619</v>
      </c>
      <c r="C1054" t="s">
        <v>3509</v>
      </c>
      <c r="D1054" s="2" t="s">
        <v>1621</v>
      </c>
      <c r="E1054">
        <v>0.01</v>
      </c>
      <c r="F1054">
        <v>0</v>
      </c>
      <c r="G1054" t="s">
        <v>3456</v>
      </c>
      <c r="H1054" t="s">
        <v>3457</v>
      </c>
      <c r="I1054">
        <v>1377</v>
      </c>
      <c r="J1054">
        <v>1377</v>
      </c>
      <c r="M1054" s="2" t="s">
        <v>1715</v>
      </c>
      <c r="N1054" s="2" t="s">
        <v>1701</v>
      </c>
      <c r="O1054" s="5">
        <v>44820.322214571759</v>
      </c>
      <c r="P1054" t="str">
        <f>IF($Q1054="DELETE",IF($S1054="CONFIRMED: NO MODS &gt; 1YR","CONFIRMED: NO MODS &gt; 1YR","DO NOT DELETE — not defensibly confirmed"),IF($Q1054="HOLD","DO NOT DELETE — HOLD (Charlie review)",IF($Q1054="KEEP","DO NOT DELETE — KEEP",IF(ISNUMBER(SEARCH("REVIEW",$Q1054)),"DO NOT DELETE — REVIEW pending",$S1054))))</f>
        <v>DO NOT DELETE — HOLD (Charlie review)</v>
      </c>
      <c r="Q1054" t="str" cm="1">
        <f t="array" ref="Q1054">_xlfn.IFS(AND($A1054="thg-beauty",ISNUMBER(SEARCH("liveramp",$C1054))),"DELETE",$A1054="agile-bonbon-662",_xlfn.IFS(LEFT($G1054,9)="Tranche 1","DELETE",$C1054="Sessions_Level_1_All_Sites","KEEP",ISNUMBER(--$C1054),"REVIEW — UA raw logs",$C1054="Emag_Reporting","KEEP",$C1054="Nutrition_Data_Archived_Tables","KEEP",$C1054="EU_Data","KEEP",TRUE,"REVIEW"),OR($A1054="thg-influencer",$A1054="thg-ingenuity",$A1054="thg-central-marketing",$A1054="thg-seoclarity"),"HOLD",TRUE,"")</f>
        <v>HOLD</v>
      </c>
      <c r="R1054" t="str" cm="1">
        <f t="array" ref="R1054">_xlfn.IFS(AND($A1054="thg-beauty",ISNUMBER(SEARCH("liveramp",$C1054))),"thg-beauty Liveramp dataset — confirmed safe to delete",$A1054="agile-bonbon-662",_xlfn.IFS(LEFT($G1054,9)="Tranche 1","Tranche 1: cleared",$C1054="Sessions_Level_1_All_Sites","Downstream aggregation of UA raw logs — keep if raw tables go",ISNUMBER(--$C1054),"UA raw site logs (account ID) — keep pending audit-retention check",$C1054="Emag_Reporting","Legacy but likely needed",$C1054="Nutrition_Data_Archived_Tables","Worth keeping",$C1054="EU_Data","Static lookup tables — scripts still reference (smoke-test risk)",TRUE,"Review"),OR($A1054="thg-influencer",$A1054="thg-ingenuity",$A1054="thg-central-marketing",$A1054="thg-seoclarity"),"HOLD — Charlie Stringer to review before deletion",TRUE,"")</f>
        <v>HOLD — Charlie Stringer to review before deletion</v>
      </c>
      <c r="S1054" t="s">
        <v>1624</v>
      </c>
    </row>
    <row r="1055" spans="1:19" hidden="1">
      <c r="A1055" t="s">
        <v>38</v>
      </c>
      <c r="B1055" t="s">
        <v>1619</v>
      </c>
      <c r="C1055" t="s">
        <v>3510</v>
      </c>
      <c r="D1055" s="2" t="s">
        <v>1621</v>
      </c>
      <c r="E1055">
        <v>7.0000000000000007E-2</v>
      </c>
      <c r="F1055">
        <v>0</v>
      </c>
      <c r="G1055" t="s">
        <v>3456</v>
      </c>
      <c r="H1055" t="s">
        <v>3457</v>
      </c>
      <c r="I1055">
        <v>1366</v>
      </c>
      <c r="J1055">
        <v>1366</v>
      </c>
      <c r="M1055" s="2" t="s">
        <v>1715</v>
      </c>
      <c r="N1055" s="2" t="s">
        <v>1701</v>
      </c>
      <c r="O1055" s="5">
        <v>44831.327204236113</v>
      </c>
      <c r="P1055" t="str">
        <f>IF($Q1055="DELETE",IF($S1055="CONFIRMED: NO MODS &gt; 1YR","CONFIRMED: NO MODS &gt; 1YR","DO NOT DELETE — not defensibly confirmed"),IF($Q1055="HOLD","DO NOT DELETE — HOLD (Charlie review)",IF($Q1055="KEEP","DO NOT DELETE — KEEP",IF(ISNUMBER(SEARCH("REVIEW",$Q1055)),"DO NOT DELETE — REVIEW pending",$S1055))))</f>
        <v>DO NOT DELETE — HOLD (Charlie review)</v>
      </c>
      <c r="Q1055" t="str" cm="1">
        <f t="array" ref="Q1055">_xlfn.IFS(AND($A1055="thg-beauty",ISNUMBER(SEARCH("liveramp",$C1055))),"DELETE",$A1055="agile-bonbon-662",_xlfn.IFS(LEFT($G1055,9)="Tranche 1","DELETE",$C1055="Sessions_Level_1_All_Sites","KEEP",ISNUMBER(--$C1055),"REVIEW — UA raw logs",$C1055="Emag_Reporting","KEEP",$C1055="Nutrition_Data_Archived_Tables","KEEP",$C1055="EU_Data","KEEP",TRUE,"REVIEW"),OR($A1055="thg-influencer",$A1055="thg-ingenuity",$A1055="thg-central-marketing",$A1055="thg-seoclarity"),"HOLD",TRUE,"")</f>
        <v>HOLD</v>
      </c>
      <c r="R1055" t="str" cm="1">
        <f t="array" ref="R1055">_xlfn.IFS(AND($A1055="thg-beauty",ISNUMBER(SEARCH("liveramp",$C1055))),"thg-beauty Liveramp dataset — confirmed safe to delete",$A1055="agile-bonbon-662",_xlfn.IFS(LEFT($G1055,9)="Tranche 1","Tranche 1: cleared",$C1055="Sessions_Level_1_All_Sites","Downstream aggregation of UA raw logs — keep if raw tables go",ISNUMBER(--$C1055),"UA raw site logs (account ID) — keep pending audit-retention check",$C1055="Emag_Reporting","Legacy but likely needed",$C1055="Nutrition_Data_Archived_Tables","Worth keeping",$C1055="EU_Data","Static lookup tables — scripts still reference (smoke-test risk)",TRUE,"Review"),OR($A1055="thg-influencer",$A1055="thg-ingenuity",$A1055="thg-central-marketing",$A1055="thg-seoclarity"),"HOLD — Charlie Stringer to review before deletion",TRUE,"")</f>
        <v>HOLD — Charlie Stringer to review before deletion</v>
      </c>
      <c r="S1055" t="s">
        <v>1624</v>
      </c>
    </row>
    <row r="1056" spans="1:19" hidden="1">
      <c r="A1056" t="s">
        <v>38</v>
      </c>
      <c r="B1056" t="s">
        <v>1619</v>
      </c>
      <c r="C1056" t="s">
        <v>3511</v>
      </c>
      <c r="D1056" s="2" t="s">
        <v>1621</v>
      </c>
      <c r="E1056">
        <v>7.0000000000000007E-2</v>
      </c>
      <c r="F1056">
        <v>0</v>
      </c>
      <c r="G1056" t="s">
        <v>3456</v>
      </c>
      <c r="H1056" t="s">
        <v>3457</v>
      </c>
      <c r="I1056">
        <v>1358</v>
      </c>
      <c r="J1056">
        <v>1358</v>
      </c>
      <c r="M1056" s="2" t="s">
        <v>1715</v>
      </c>
      <c r="N1056" s="2" t="s">
        <v>1701</v>
      </c>
      <c r="O1056" s="5">
        <v>44839.327113344909</v>
      </c>
      <c r="P1056" t="str">
        <f>IF($Q1056="DELETE",IF($S1056="CONFIRMED: NO MODS &gt; 1YR","CONFIRMED: NO MODS &gt; 1YR","DO NOT DELETE — not defensibly confirmed"),IF($Q1056="HOLD","DO NOT DELETE — HOLD (Charlie review)",IF($Q1056="KEEP","DO NOT DELETE — KEEP",IF(ISNUMBER(SEARCH("REVIEW",$Q1056)),"DO NOT DELETE — REVIEW pending",$S1056))))</f>
        <v>DO NOT DELETE — HOLD (Charlie review)</v>
      </c>
      <c r="Q1056" t="str" cm="1">
        <f t="array" ref="Q1056">_xlfn.IFS(AND($A1056="thg-beauty",ISNUMBER(SEARCH("liveramp",$C1056))),"DELETE",$A1056="agile-bonbon-662",_xlfn.IFS(LEFT($G1056,9)="Tranche 1","DELETE",$C1056="Sessions_Level_1_All_Sites","KEEP",ISNUMBER(--$C1056),"REVIEW — UA raw logs",$C1056="Emag_Reporting","KEEP",$C1056="Nutrition_Data_Archived_Tables","KEEP",$C1056="EU_Data","KEEP",TRUE,"REVIEW"),OR($A1056="thg-influencer",$A1056="thg-ingenuity",$A1056="thg-central-marketing",$A1056="thg-seoclarity"),"HOLD",TRUE,"")</f>
        <v>HOLD</v>
      </c>
      <c r="R1056" t="str" cm="1">
        <f t="array" ref="R1056">_xlfn.IFS(AND($A1056="thg-beauty",ISNUMBER(SEARCH("liveramp",$C1056))),"thg-beauty Liveramp dataset — confirmed safe to delete",$A1056="agile-bonbon-662",_xlfn.IFS(LEFT($G1056,9)="Tranche 1","Tranche 1: cleared",$C1056="Sessions_Level_1_All_Sites","Downstream aggregation of UA raw logs — keep if raw tables go",ISNUMBER(--$C1056),"UA raw site logs (account ID) — keep pending audit-retention check",$C1056="Emag_Reporting","Legacy but likely needed",$C1056="Nutrition_Data_Archived_Tables","Worth keeping",$C1056="EU_Data","Static lookup tables — scripts still reference (smoke-test risk)",TRUE,"Review"),OR($A1056="thg-influencer",$A1056="thg-ingenuity",$A1056="thg-central-marketing",$A1056="thg-seoclarity"),"HOLD — Charlie Stringer to review before deletion",TRUE,"")</f>
        <v>HOLD — Charlie Stringer to review before deletion</v>
      </c>
      <c r="S1056" t="s">
        <v>1624</v>
      </c>
    </row>
    <row r="1057" spans="1:19" hidden="1">
      <c r="A1057" t="s">
        <v>38</v>
      </c>
      <c r="B1057" t="s">
        <v>1619</v>
      </c>
      <c r="C1057" t="s">
        <v>3512</v>
      </c>
      <c r="D1057" s="2" t="s">
        <v>1621</v>
      </c>
      <c r="E1057">
        <v>0</v>
      </c>
      <c r="F1057">
        <v>0</v>
      </c>
      <c r="G1057" t="s">
        <v>3456</v>
      </c>
      <c r="H1057" t="s">
        <v>3457</v>
      </c>
      <c r="I1057">
        <v>1358</v>
      </c>
      <c r="J1057">
        <v>1358</v>
      </c>
      <c r="M1057" s="2" t="s">
        <v>1715</v>
      </c>
      <c r="N1057" s="2" t="s">
        <v>1701</v>
      </c>
      <c r="O1057" s="5">
        <v>44839.326526215278</v>
      </c>
      <c r="P1057" t="str">
        <f>IF($Q1057="DELETE",IF($S1057="CONFIRMED: NO MODS &gt; 1YR","CONFIRMED: NO MODS &gt; 1YR","DO NOT DELETE — not defensibly confirmed"),IF($Q1057="HOLD","DO NOT DELETE — HOLD (Charlie review)",IF($Q1057="KEEP","DO NOT DELETE — KEEP",IF(ISNUMBER(SEARCH("REVIEW",$Q1057)),"DO NOT DELETE — REVIEW pending",$S1057))))</f>
        <v>DO NOT DELETE — HOLD (Charlie review)</v>
      </c>
      <c r="Q1057" t="str" cm="1">
        <f t="array" ref="Q1057">_xlfn.IFS(AND($A1057="thg-beauty",ISNUMBER(SEARCH("liveramp",$C1057))),"DELETE",$A1057="agile-bonbon-662",_xlfn.IFS(LEFT($G1057,9)="Tranche 1","DELETE",$C1057="Sessions_Level_1_All_Sites","KEEP",ISNUMBER(--$C1057),"REVIEW — UA raw logs",$C1057="Emag_Reporting","KEEP",$C1057="Nutrition_Data_Archived_Tables","KEEP",$C1057="EU_Data","KEEP",TRUE,"REVIEW"),OR($A1057="thg-influencer",$A1057="thg-ingenuity",$A1057="thg-central-marketing",$A1057="thg-seoclarity"),"HOLD",TRUE,"")</f>
        <v>HOLD</v>
      </c>
      <c r="R1057" t="str" cm="1">
        <f t="array" ref="R1057">_xlfn.IFS(AND($A1057="thg-beauty",ISNUMBER(SEARCH("liveramp",$C1057))),"thg-beauty Liveramp dataset — confirmed safe to delete",$A1057="agile-bonbon-662",_xlfn.IFS(LEFT($G1057,9)="Tranche 1","Tranche 1: cleared",$C1057="Sessions_Level_1_All_Sites","Downstream aggregation of UA raw logs — keep if raw tables go",ISNUMBER(--$C1057),"UA raw site logs (account ID) — keep pending audit-retention check",$C1057="Emag_Reporting","Legacy but likely needed",$C1057="Nutrition_Data_Archived_Tables","Worth keeping",$C1057="EU_Data","Static lookup tables — scripts still reference (smoke-test risk)",TRUE,"Review"),OR($A1057="thg-influencer",$A1057="thg-ingenuity",$A1057="thg-central-marketing",$A1057="thg-seoclarity"),"HOLD — Charlie Stringer to review before deletion",TRUE,"")</f>
        <v>HOLD — Charlie Stringer to review before deletion</v>
      </c>
      <c r="S1057" t="s">
        <v>1624</v>
      </c>
    </row>
    <row r="1058" spans="1:19" hidden="1">
      <c r="A1058" t="s">
        <v>38</v>
      </c>
      <c r="B1058" t="s">
        <v>1619</v>
      </c>
      <c r="C1058" t="s">
        <v>3513</v>
      </c>
      <c r="D1058" s="2" t="s">
        <v>1621</v>
      </c>
      <c r="E1058">
        <v>0.28000000000000003</v>
      </c>
      <c r="F1058">
        <v>0.01</v>
      </c>
      <c r="G1058" t="s">
        <v>3456</v>
      </c>
      <c r="H1058" t="s">
        <v>3457</v>
      </c>
      <c r="I1058">
        <v>1351</v>
      </c>
      <c r="J1058">
        <v>1351</v>
      </c>
      <c r="M1058" s="2" t="s">
        <v>1715</v>
      </c>
      <c r="N1058" s="2" t="s">
        <v>1701</v>
      </c>
      <c r="O1058" s="5">
        <v>44845.877292349527</v>
      </c>
      <c r="P1058" t="str">
        <f>IF($Q1058="DELETE",IF($S1058="CONFIRMED: NO MODS &gt; 1YR","CONFIRMED: NO MODS &gt; 1YR","DO NOT DELETE — not defensibly confirmed"),IF($Q1058="HOLD","DO NOT DELETE — HOLD (Charlie review)",IF($Q1058="KEEP","DO NOT DELETE — KEEP",IF(ISNUMBER(SEARCH("REVIEW",$Q1058)),"DO NOT DELETE — REVIEW pending",$S1058))))</f>
        <v>DO NOT DELETE — HOLD (Charlie review)</v>
      </c>
      <c r="Q1058" t="str" cm="1">
        <f t="array" ref="Q1058">_xlfn.IFS(AND($A1058="thg-beauty",ISNUMBER(SEARCH("liveramp",$C1058))),"DELETE",$A1058="agile-bonbon-662",_xlfn.IFS(LEFT($G1058,9)="Tranche 1","DELETE",$C1058="Sessions_Level_1_All_Sites","KEEP",ISNUMBER(--$C1058),"REVIEW — UA raw logs",$C1058="Emag_Reporting","KEEP",$C1058="Nutrition_Data_Archived_Tables","KEEP",$C1058="EU_Data","KEEP",TRUE,"REVIEW"),OR($A1058="thg-influencer",$A1058="thg-ingenuity",$A1058="thg-central-marketing",$A1058="thg-seoclarity"),"HOLD",TRUE,"")</f>
        <v>HOLD</v>
      </c>
      <c r="R1058" t="str" cm="1">
        <f t="array" ref="R1058">_xlfn.IFS(AND($A1058="thg-beauty",ISNUMBER(SEARCH("liveramp",$C1058))),"thg-beauty Liveramp dataset — confirmed safe to delete",$A1058="agile-bonbon-662",_xlfn.IFS(LEFT($G1058,9)="Tranche 1","Tranche 1: cleared",$C1058="Sessions_Level_1_All_Sites","Downstream aggregation of UA raw logs — keep if raw tables go",ISNUMBER(--$C1058),"UA raw site logs (account ID) — keep pending audit-retention check",$C1058="Emag_Reporting","Legacy but likely needed",$C1058="Nutrition_Data_Archived_Tables","Worth keeping",$C1058="EU_Data","Static lookup tables — scripts still reference (smoke-test risk)",TRUE,"Review"),OR($A1058="thg-influencer",$A1058="thg-ingenuity",$A1058="thg-central-marketing",$A1058="thg-seoclarity"),"HOLD — Charlie Stringer to review before deletion",TRUE,"")</f>
        <v>HOLD — Charlie Stringer to review before deletion</v>
      </c>
      <c r="S1058" t="s">
        <v>1624</v>
      </c>
    </row>
    <row r="1059" spans="1:19" hidden="1">
      <c r="A1059" t="s">
        <v>38</v>
      </c>
      <c r="B1059" t="s">
        <v>1619</v>
      </c>
      <c r="C1059" t="s">
        <v>3514</v>
      </c>
      <c r="D1059" s="2" t="s">
        <v>1621</v>
      </c>
      <c r="E1059">
        <v>0.01</v>
      </c>
      <c r="F1059">
        <v>0</v>
      </c>
      <c r="G1059" t="s">
        <v>3456</v>
      </c>
      <c r="H1059" t="s">
        <v>3457</v>
      </c>
      <c r="I1059">
        <v>1351</v>
      </c>
      <c r="J1059">
        <v>1351</v>
      </c>
      <c r="M1059" s="2" t="s">
        <v>1715</v>
      </c>
      <c r="N1059" s="2" t="s">
        <v>1701</v>
      </c>
      <c r="O1059" s="5">
        <v>44846.34477570602</v>
      </c>
      <c r="P1059" t="str">
        <f>IF($Q1059="DELETE",IF($S1059="CONFIRMED: NO MODS &gt; 1YR","CONFIRMED: NO MODS &gt; 1YR","DO NOT DELETE — not defensibly confirmed"),IF($Q1059="HOLD","DO NOT DELETE — HOLD (Charlie review)",IF($Q1059="KEEP","DO NOT DELETE — KEEP",IF(ISNUMBER(SEARCH("REVIEW",$Q1059)),"DO NOT DELETE — REVIEW pending",$S1059))))</f>
        <v>DO NOT DELETE — HOLD (Charlie review)</v>
      </c>
      <c r="Q1059" t="str" cm="1">
        <f t="array" ref="Q1059">_xlfn.IFS(AND($A1059="thg-beauty",ISNUMBER(SEARCH("liveramp",$C1059))),"DELETE",$A1059="agile-bonbon-662",_xlfn.IFS(LEFT($G1059,9)="Tranche 1","DELETE",$C1059="Sessions_Level_1_All_Sites","KEEP",ISNUMBER(--$C1059),"REVIEW — UA raw logs",$C1059="Emag_Reporting","KEEP",$C1059="Nutrition_Data_Archived_Tables","KEEP",$C1059="EU_Data","KEEP",TRUE,"REVIEW"),OR($A1059="thg-influencer",$A1059="thg-ingenuity",$A1059="thg-central-marketing",$A1059="thg-seoclarity"),"HOLD",TRUE,"")</f>
        <v>HOLD</v>
      </c>
      <c r="R1059" t="str" cm="1">
        <f t="array" ref="R1059">_xlfn.IFS(AND($A1059="thg-beauty",ISNUMBER(SEARCH("liveramp",$C1059))),"thg-beauty Liveramp dataset — confirmed safe to delete",$A1059="agile-bonbon-662",_xlfn.IFS(LEFT($G1059,9)="Tranche 1","Tranche 1: cleared",$C1059="Sessions_Level_1_All_Sites","Downstream aggregation of UA raw logs — keep if raw tables go",ISNUMBER(--$C1059),"UA raw site logs (account ID) — keep pending audit-retention check",$C1059="Emag_Reporting","Legacy but likely needed",$C1059="Nutrition_Data_Archived_Tables","Worth keeping",$C1059="EU_Data","Static lookup tables — scripts still reference (smoke-test risk)",TRUE,"Review"),OR($A1059="thg-influencer",$A1059="thg-ingenuity",$A1059="thg-central-marketing",$A1059="thg-seoclarity"),"HOLD — Charlie Stringer to review before deletion",TRUE,"")</f>
        <v>HOLD — Charlie Stringer to review before deletion</v>
      </c>
      <c r="S1059" t="s">
        <v>1624</v>
      </c>
    </row>
    <row r="1060" spans="1:19" hidden="1">
      <c r="A1060" t="s">
        <v>38</v>
      </c>
      <c r="B1060" t="s">
        <v>1619</v>
      </c>
      <c r="C1060" t="s">
        <v>3515</v>
      </c>
      <c r="D1060" s="2" t="s">
        <v>1621</v>
      </c>
      <c r="E1060">
        <v>1.81</v>
      </c>
      <c r="F1060">
        <v>0.04</v>
      </c>
      <c r="G1060" t="s">
        <v>3456</v>
      </c>
      <c r="H1060" t="s">
        <v>3457</v>
      </c>
      <c r="I1060">
        <v>1335</v>
      </c>
      <c r="J1060">
        <v>1335</v>
      </c>
      <c r="M1060" s="2" t="s">
        <v>1715</v>
      </c>
      <c r="N1060" s="2" t="s">
        <v>1701</v>
      </c>
      <c r="O1060" s="5">
        <v>44862.344700312497</v>
      </c>
      <c r="P1060" t="str">
        <f>IF($Q1060="DELETE",IF($S1060="CONFIRMED: NO MODS &gt; 1YR","CONFIRMED: NO MODS &gt; 1YR","DO NOT DELETE — not defensibly confirmed"),IF($Q1060="HOLD","DO NOT DELETE — HOLD (Charlie review)",IF($Q1060="KEEP","DO NOT DELETE — KEEP",IF(ISNUMBER(SEARCH("REVIEW",$Q1060)),"DO NOT DELETE — REVIEW pending",$S1060))))</f>
        <v>DO NOT DELETE — HOLD (Charlie review)</v>
      </c>
      <c r="Q1060" t="str" cm="1">
        <f t="array" ref="Q1060">_xlfn.IFS(AND($A1060="thg-beauty",ISNUMBER(SEARCH("liveramp",$C1060))),"DELETE",$A1060="agile-bonbon-662",_xlfn.IFS(LEFT($G1060,9)="Tranche 1","DELETE",$C1060="Sessions_Level_1_All_Sites","KEEP",ISNUMBER(--$C1060),"REVIEW — UA raw logs",$C1060="Emag_Reporting","KEEP",$C1060="Nutrition_Data_Archived_Tables","KEEP",$C1060="EU_Data","KEEP",TRUE,"REVIEW"),OR($A1060="thg-influencer",$A1060="thg-ingenuity",$A1060="thg-central-marketing",$A1060="thg-seoclarity"),"HOLD",TRUE,"")</f>
        <v>HOLD</v>
      </c>
      <c r="R1060" t="str" cm="1">
        <f t="array" ref="R1060">_xlfn.IFS(AND($A1060="thg-beauty",ISNUMBER(SEARCH("liveramp",$C1060))),"thg-beauty Liveramp dataset — confirmed safe to delete",$A1060="agile-bonbon-662",_xlfn.IFS(LEFT($G1060,9)="Tranche 1","Tranche 1: cleared",$C1060="Sessions_Level_1_All_Sites","Downstream aggregation of UA raw logs — keep if raw tables go",ISNUMBER(--$C1060),"UA raw site logs (account ID) — keep pending audit-retention check",$C1060="Emag_Reporting","Legacy but likely needed",$C1060="Nutrition_Data_Archived_Tables","Worth keeping",$C1060="EU_Data","Static lookup tables — scripts still reference (smoke-test risk)",TRUE,"Review"),OR($A1060="thg-influencer",$A1060="thg-ingenuity",$A1060="thg-central-marketing",$A1060="thg-seoclarity"),"HOLD — Charlie Stringer to review before deletion",TRUE,"")</f>
        <v>HOLD — Charlie Stringer to review before deletion</v>
      </c>
      <c r="S1060" t="s">
        <v>1624</v>
      </c>
    </row>
    <row r="1061" spans="1:19" hidden="1">
      <c r="A1061" t="s">
        <v>38</v>
      </c>
      <c r="B1061" t="s">
        <v>1619</v>
      </c>
      <c r="C1061" t="s">
        <v>3516</v>
      </c>
      <c r="D1061" s="2" t="s">
        <v>1621</v>
      </c>
      <c r="E1061">
        <v>7.79</v>
      </c>
      <c r="F1061">
        <v>0.16</v>
      </c>
      <c r="G1061" t="s">
        <v>3456</v>
      </c>
      <c r="H1061" t="s">
        <v>3457</v>
      </c>
      <c r="I1061">
        <v>1334</v>
      </c>
      <c r="J1061">
        <v>1334</v>
      </c>
      <c r="M1061" s="2" t="s">
        <v>1715</v>
      </c>
      <c r="N1061" s="2" t="s">
        <v>1701</v>
      </c>
      <c r="O1061" s="5">
        <v>44863.339016701393</v>
      </c>
      <c r="P1061" t="str">
        <f>IF($Q1061="DELETE",IF($S1061="CONFIRMED: NO MODS &gt; 1YR","CONFIRMED: NO MODS &gt; 1YR","DO NOT DELETE — not defensibly confirmed"),IF($Q1061="HOLD","DO NOT DELETE — HOLD (Charlie review)",IF($Q1061="KEEP","DO NOT DELETE — KEEP",IF(ISNUMBER(SEARCH("REVIEW",$Q1061)),"DO NOT DELETE — REVIEW pending",$S1061))))</f>
        <v>DO NOT DELETE — HOLD (Charlie review)</v>
      </c>
      <c r="Q1061" t="str" cm="1">
        <f t="array" ref="Q1061">_xlfn.IFS(AND($A1061="thg-beauty",ISNUMBER(SEARCH("liveramp",$C1061))),"DELETE",$A1061="agile-bonbon-662",_xlfn.IFS(LEFT($G1061,9)="Tranche 1","DELETE",$C1061="Sessions_Level_1_All_Sites","KEEP",ISNUMBER(--$C1061),"REVIEW — UA raw logs",$C1061="Emag_Reporting","KEEP",$C1061="Nutrition_Data_Archived_Tables","KEEP",$C1061="EU_Data","KEEP",TRUE,"REVIEW"),OR($A1061="thg-influencer",$A1061="thg-ingenuity",$A1061="thg-central-marketing",$A1061="thg-seoclarity"),"HOLD",TRUE,"")</f>
        <v>HOLD</v>
      </c>
      <c r="R1061" t="str" cm="1">
        <f t="array" ref="R1061">_xlfn.IFS(AND($A1061="thg-beauty",ISNUMBER(SEARCH("liveramp",$C1061))),"thg-beauty Liveramp dataset — confirmed safe to delete",$A1061="agile-bonbon-662",_xlfn.IFS(LEFT($G1061,9)="Tranche 1","Tranche 1: cleared",$C1061="Sessions_Level_1_All_Sites","Downstream aggregation of UA raw logs — keep if raw tables go",ISNUMBER(--$C1061),"UA raw site logs (account ID) — keep pending audit-retention check",$C1061="Emag_Reporting","Legacy but likely needed",$C1061="Nutrition_Data_Archived_Tables","Worth keeping",$C1061="EU_Data","Static lookup tables — scripts still reference (smoke-test risk)",TRUE,"Review"),OR($A1061="thg-influencer",$A1061="thg-ingenuity",$A1061="thg-central-marketing",$A1061="thg-seoclarity"),"HOLD — Charlie Stringer to review before deletion",TRUE,"")</f>
        <v>HOLD — Charlie Stringer to review before deletion</v>
      </c>
      <c r="S1061" t="s">
        <v>1624</v>
      </c>
    </row>
    <row r="1062" spans="1:19" hidden="1">
      <c r="A1062" t="s">
        <v>38</v>
      </c>
      <c r="B1062" t="s">
        <v>1619</v>
      </c>
      <c r="C1062" t="s">
        <v>3517</v>
      </c>
      <c r="D1062" s="2" t="s">
        <v>1621</v>
      </c>
      <c r="E1062">
        <v>14.76</v>
      </c>
      <c r="F1062">
        <v>0.3</v>
      </c>
      <c r="G1062" t="s">
        <v>3456</v>
      </c>
      <c r="H1062" t="s">
        <v>3457</v>
      </c>
      <c r="I1062">
        <v>1323</v>
      </c>
      <c r="J1062">
        <v>1323</v>
      </c>
      <c r="M1062" s="2" t="s">
        <v>1715</v>
      </c>
      <c r="N1062" s="2" t="s">
        <v>1701</v>
      </c>
      <c r="O1062" s="5">
        <v>44873.579540462961</v>
      </c>
      <c r="P1062" t="str">
        <f>IF($Q1062="DELETE",IF($S1062="CONFIRMED: NO MODS &gt; 1YR","CONFIRMED: NO MODS &gt; 1YR","DO NOT DELETE — not defensibly confirmed"),IF($Q1062="HOLD","DO NOT DELETE — HOLD (Charlie review)",IF($Q1062="KEEP","DO NOT DELETE — KEEP",IF(ISNUMBER(SEARCH("REVIEW",$Q1062)),"DO NOT DELETE — REVIEW pending",$S1062))))</f>
        <v>DO NOT DELETE — HOLD (Charlie review)</v>
      </c>
      <c r="Q1062" t="str" cm="1">
        <f t="array" ref="Q1062">_xlfn.IFS(AND($A1062="thg-beauty",ISNUMBER(SEARCH("liveramp",$C1062))),"DELETE",$A1062="agile-bonbon-662",_xlfn.IFS(LEFT($G1062,9)="Tranche 1","DELETE",$C1062="Sessions_Level_1_All_Sites","KEEP",ISNUMBER(--$C1062),"REVIEW — UA raw logs",$C1062="Emag_Reporting","KEEP",$C1062="Nutrition_Data_Archived_Tables","KEEP",$C1062="EU_Data","KEEP",TRUE,"REVIEW"),OR($A1062="thg-influencer",$A1062="thg-ingenuity",$A1062="thg-central-marketing",$A1062="thg-seoclarity"),"HOLD",TRUE,"")</f>
        <v>HOLD</v>
      </c>
      <c r="R1062" t="str" cm="1">
        <f t="array" ref="R1062">_xlfn.IFS(AND($A1062="thg-beauty",ISNUMBER(SEARCH("liveramp",$C1062))),"thg-beauty Liveramp dataset — confirmed safe to delete",$A1062="agile-bonbon-662",_xlfn.IFS(LEFT($G1062,9)="Tranche 1","Tranche 1: cleared",$C1062="Sessions_Level_1_All_Sites","Downstream aggregation of UA raw logs — keep if raw tables go",ISNUMBER(--$C1062),"UA raw site logs (account ID) — keep pending audit-retention check",$C1062="Emag_Reporting","Legacy but likely needed",$C1062="Nutrition_Data_Archived_Tables","Worth keeping",$C1062="EU_Data","Static lookup tables — scripts still reference (smoke-test risk)",TRUE,"Review"),OR($A1062="thg-influencer",$A1062="thg-ingenuity",$A1062="thg-central-marketing",$A1062="thg-seoclarity"),"HOLD — Charlie Stringer to review before deletion",TRUE,"")</f>
        <v>HOLD — Charlie Stringer to review before deletion</v>
      </c>
      <c r="S1062" t="s">
        <v>1624</v>
      </c>
    </row>
    <row r="1063" spans="1:19" hidden="1">
      <c r="A1063" t="s">
        <v>38</v>
      </c>
      <c r="B1063" t="s">
        <v>1619</v>
      </c>
      <c r="C1063" t="s">
        <v>3518</v>
      </c>
      <c r="D1063" s="2" t="s">
        <v>1621</v>
      </c>
      <c r="E1063">
        <v>5.88</v>
      </c>
      <c r="F1063">
        <v>0.12</v>
      </c>
      <c r="G1063" t="s">
        <v>3456</v>
      </c>
      <c r="H1063" t="s">
        <v>3457</v>
      </c>
      <c r="I1063">
        <v>1296</v>
      </c>
      <c r="J1063">
        <v>1296</v>
      </c>
      <c r="M1063" s="2" t="s">
        <v>1715</v>
      </c>
      <c r="N1063" s="2" t="s">
        <v>1701</v>
      </c>
      <c r="O1063" s="5">
        <v>44901.206798506937</v>
      </c>
      <c r="P1063" t="str">
        <f>IF($Q1063="DELETE",IF($S1063="CONFIRMED: NO MODS &gt; 1YR","CONFIRMED: NO MODS &gt; 1YR","DO NOT DELETE — not defensibly confirmed"),IF($Q1063="HOLD","DO NOT DELETE — HOLD (Charlie review)",IF($Q1063="KEEP","DO NOT DELETE — KEEP",IF(ISNUMBER(SEARCH("REVIEW",$Q1063)),"DO NOT DELETE — REVIEW pending",$S1063))))</f>
        <v>DO NOT DELETE — HOLD (Charlie review)</v>
      </c>
      <c r="Q1063" t="str" cm="1">
        <f t="array" ref="Q1063">_xlfn.IFS(AND($A1063="thg-beauty",ISNUMBER(SEARCH("liveramp",$C1063))),"DELETE",$A1063="agile-bonbon-662",_xlfn.IFS(LEFT($G1063,9)="Tranche 1","DELETE",$C1063="Sessions_Level_1_All_Sites","KEEP",ISNUMBER(--$C1063),"REVIEW — UA raw logs",$C1063="Emag_Reporting","KEEP",$C1063="Nutrition_Data_Archived_Tables","KEEP",$C1063="EU_Data","KEEP",TRUE,"REVIEW"),OR($A1063="thg-influencer",$A1063="thg-ingenuity",$A1063="thg-central-marketing",$A1063="thg-seoclarity"),"HOLD",TRUE,"")</f>
        <v>HOLD</v>
      </c>
      <c r="R1063" t="str" cm="1">
        <f t="array" ref="R1063">_xlfn.IFS(AND($A1063="thg-beauty",ISNUMBER(SEARCH("liveramp",$C1063))),"thg-beauty Liveramp dataset — confirmed safe to delete",$A1063="agile-bonbon-662",_xlfn.IFS(LEFT($G1063,9)="Tranche 1","Tranche 1: cleared",$C1063="Sessions_Level_1_All_Sites","Downstream aggregation of UA raw logs — keep if raw tables go",ISNUMBER(--$C1063),"UA raw site logs (account ID) — keep pending audit-retention check",$C1063="Emag_Reporting","Legacy but likely needed",$C1063="Nutrition_Data_Archived_Tables","Worth keeping",$C1063="EU_Data","Static lookup tables — scripts still reference (smoke-test risk)",TRUE,"Review"),OR($A1063="thg-influencer",$A1063="thg-ingenuity",$A1063="thg-central-marketing",$A1063="thg-seoclarity"),"HOLD — Charlie Stringer to review before deletion",TRUE,"")</f>
        <v>HOLD — Charlie Stringer to review before deletion</v>
      </c>
      <c r="S1063" t="s">
        <v>1624</v>
      </c>
    </row>
    <row r="1064" spans="1:19" hidden="1">
      <c r="A1064" t="s">
        <v>38</v>
      </c>
      <c r="B1064" t="s">
        <v>1619</v>
      </c>
      <c r="C1064" t="s">
        <v>3519</v>
      </c>
      <c r="D1064" s="2" t="s">
        <v>1621</v>
      </c>
      <c r="E1064">
        <v>0.34</v>
      </c>
      <c r="F1064">
        <v>0.01</v>
      </c>
      <c r="G1064" t="s">
        <v>3456</v>
      </c>
      <c r="H1064" t="s">
        <v>3457</v>
      </c>
      <c r="I1064">
        <v>1296</v>
      </c>
      <c r="J1064">
        <v>1296</v>
      </c>
      <c r="M1064" s="2" t="s">
        <v>1715</v>
      </c>
      <c r="N1064" s="2" t="s">
        <v>1701</v>
      </c>
      <c r="O1064" s="5">
        <v>44901.348368460647</v>
      </c>
      <c r="P1064" t="str">
        <f>IF($Q1064="DELETE",IF($S1064="CONFIRMED: NO MODS &gt; 1YR","CONFIRMED: NO MODS &gt; 1YR","DO NOT DELETE — not defensibly confirmed"),IF($Q1064="HOLD","DO NOT DELETE — HOLD (Charlie review)",IF($Q1064="KEEP","DO NOT DELETE — KEEP",IF(ISNUMBER(SEARCH("REVIEW",$Q1064)),"DO NOT DELETE — REVIEW pending",$S1064))))</f>
        <v>DO NOT DELETE — HOLD (Charlie review)</v>
      </c>
      <c r="Q1064" t="str" cm="1">
        <f t="array" ref="Q1064">_xlfn.IFS(AND($A1064="thg-beauty",ISNUMBER(SEARCH("liveramp",$C1064))),"DELETE",$A1064="agile-bonbon-662",_xlfn.IFS(LEFT($G1064,9)="Tranche 1","DELETE",$C1064="Sessions_Level_1_All_Sites","KEEP",ISNUMBER(--$C1064),"REVIEW — UA raw logs",$C1064="Emag_Reporting","KEEP",$C1064="Nutrition_Data_Archived_Tables","KEEP",$C1064="EU_Data","KEEP",TRUE,"REVIEW"),OR($A1064="thg-influencer",$A1064="thg-ingenuity",$A1064="thg-central-marketing",$A1064="thg-seoclarity"),"HOLD",TRUE,"")</f>
        <v>HOLD</v>
      </c>
      <c r="R1064" t="str" cm="1">
        <f t="array" ref="R1064">_xlfn.IFS(AND($A1064="thg-beauty",ISNUMBER(SEARCH("liveramp",$C1064))),"thg-beauty Liveramp dataset — confirmed safe to delete",$A1064="agile-bonbon-662",_xlfn.IFS(LEFT($G1064,9)="Tranche 1","Tranche 1: cleared",$C1064="Sessions_Level_1_All_Sites","Downstream aggregation of UA raw logs — keep if raw tables go",ISNUMBER(--$C1064),"UA raw site logs (account ID) — keep pending audit-retention check",$C1064="Emag_Reporting","Legacy but likely needed",$C1064="Nutrition_Data_Archived_Tables","Worth keeping",$C1064="EU_Data","Static lookup tables — scripts still reference (smoke-test risk)",TRUE,"Review"),OR($A1064="thg-influencer",$A1064="thg-ingenuity",$A1064="thg-central-marketing",$A1064="thg-seoclarity"),"HOLD — Charlie Stringer to review before deletion",TRUE,"")</f>
        <v>HOLD — Charlie Stringer to review before deletion</v>
      </c>
      <c r="S1064" t="s">
        <v>1624</v>
      </c>
    </row>
    <row r="1065" spans="1:19" hidden="1">
      <c r="A1065" t="s">
        <v>38</v>
      </c>
      <c r="B1065" t="s">
        <v>1619</v>
      </c>
      <c r="C1065" t="s">
        <v>3520</v>
      </c>
      <c r="D1065" s="2" t="s">
        <v>1621</v>
      </c>
      <c r="E1065">
        <v>520.85</v>
      </c>
      <c r="F1065">
        <v>10.42</v>
      </c>
      <c r="G1065" t="s">
        <v>3456</v>
      </c>
      <c r="H1065" t="s">
        <v>3328</v>
      </c>
      <c r="I1065">
        <v>1261</v>
      </c>
      <c r="J1065">
        <v>1261</v>
      </c>
      <c r="M1065" s="2" t="s">
        <v>1715</v>
      </c>
      <c r="N1065" s="2" t="s">
        <v>1701</v>
      </c>
      <c r="O1065" s="5">
        <v>44936.228952569443</v>
      </c>
      <c r="P1065" t="str">
        <f>IF($Q1065="DELETE",IF($S1065="CONFIRMED: NO MODS &gt; 1YR","CONFIRMED: NO MODS &gt; 1YR","DO NOT DELETE — not defensibly confirmed"),IF($Q1065="HOLD","DO NOT DELETE — HOLD (Charlie review)",IF($Q1065="KEEP","DO NOT DELETE — KEEP",IF(ISNUMBER(SEARCH("REVIEW",$Q1065)),"DO NOT DELETE — REVIEW pending",$S1065))))</f>
        <v>DO NOT DELETE — HOLD (Charlie review)</v>
      </c>
      <c r="Q1065" t="str" cm="1">
        <f t="array" ref="Q1065">_xlfn.IFS(AND($A1065="thg-beauty",ISNUMBER(SEARCH("liveramp",$C1065))),"DELETE",$A1065="agile-bonbon-662",_xlfn.IFS(LEFT($G1065,9)="Tranche 1","DELETE",$C1065="Sessions_Level_1_All_Sites","KEEP",ISNUMBER(--$C1065),"REVIEW — UA raw logs",$C1065="Emag_Reporting","KEEP",$C1065="Nutrition_Data_Archived_Tables","KEEP",$C1065="EU_Data","KEEP",TRUE,"REVIEW"),OR($A1065="thg-influencer",$A1065="thg-ingenuity",$A1065="thg-central-marketing",$A1065="thg-seoclarity"),"HOLD",TRUE,"")</f>
        <v>HOLD</v>
      </c>
      <c r="R1065" t="str" cm="1">
        <f t="array" ref="R1065">_xlfn.IFS(AND($A1065="thg-beauty",ISNUMBER(SEARCH("liveramp",$C1065))),"thg-beauty Liveramp dataset — confirmed safe to delete",$A1065="agile-bonbon-662",_xlfn.IFS(LEFT($G1065,9)="Tranche 1","Tranche 1: cleared",$C1065="Sessions_Level_1_All_Sites","Downstream aggregation of UA raw logs — keep if raw tables go",ISNUMBER(--$C1065),"UA raw site logs (account ID) — keep pending audit-retention check",$C1065="Emag_Reporting","Legacy but likely needed",$C1065="Nutrition_Data_Archived_Tables","Worth keeping",$C1065="EU_Data","Static lookup tables — scripts still reference (smoke-test risk)",TRUE,"Review"),OR($A1065="thg-influencer",$A1065="thg-ingenuity",$A1065="thg-central-marketing",$A1065="thg-seoclarity"),"HOLD — Charlie Stringer to review before deletion",TRUE,"")</f>
        <v>HOLD — Charlie Stringer to review before deletion</v>
      </c>
      <c r="S1065" t="s">
        <v>1624</v>
      </c>
    </row>
    <row r="1066" spans="1:19" hidden="1">
      <c r="A1066" t="s">
        <v>38</v>
      </c>
      <c r="B1066" t="s">
        <v>1619</v>
      </c>
      <c r="C1066" t="s">
        <v>3521</v>
      </c>
      <c r="D1066" s="2" t="s">
        <v>1621</v>
      </c>
      <c r="E1066">
        <v>1.64</v>
      </c>
      <c r="F1066">
        <v>0.03</v>
      </c>
      <c r="G1066" t="s">
        <v>3456</v>
      </c>
      <c r="H1066" t="s">
        <v>3457</v>
      </c>
      <c r="I1066">
        <v>1259</v>
      </c>
      <c r="J1066">
        <v>1259</v>
      </c>
      <c r="M1066" s="2" t="s">
        <v>1715</v>
      </c>
      <c r="N1066" s="2" t="s">
        <v>1701</v>
      </c>
      <c r="O1066" s="5">
        <v>44938.299323101863</v>
      </c>
      <c r="P1066" t="str">
        <f>IF($Q1066="DELETE",IF($S1066="CONFIRMED: NO MODS &gt; 1YR","CONFIRMED: NO MODS &gt; 1YR","DO NOT DELETE — not defensibly confirmed"),IF($Q1066="HOLD","DO NOT DELETE — HOLD (Charlie review)",IF($Q1066="KEEP","DO NOT DELETE — KEEP",IF(ISNUMBER(SEARCH("REVIEW",$Q1066)),"DO NOT DELETE — REVIEW pending",$S1066))))</f>
        <v>DO NOT DELETE — HOLD (Charlie review)</v>
      </c>
      <c r="Q1066" t="str" cm="1">
        <f t="array" ref="Q1066">_xlfn.IFS(AND($A1066="thg-beauty",ISNUMBER(SEARCH("liveramp",$C1066))),"DELETE",$A1066="agile-bonbon-662",_xlfn.IFS(LEFT($G1066,9)="Tranche 1","DELETE",$C1066="Sessions_Level_1_All_Sites","KEEP",ISNUMBER(--$C1066),"REVIEW — UA raw logs",$C1066="Emag_Reporting","KEEP",$C1066="Nutrition_Data_Archived_Tables","KEEP",$C1066="EU_Data","KEEP",TRUE,"REVIEW"),OR($A1066="thg-influencer",$A1066="thg-ingenuity",$A1066="thg-central-marketing",$A1066="thg-seoclarity"),"HOLD",TRUE,"")</f>
        <v>HOLD</v>
      </c>
      <c r="R1066" t="str" cm="1">
        <f t="array" ref="R1066">_xlfn.IFS(AND($A1066="thg-beauty",ISNUMBER(SEARCH("liveramp",$C1066))),"thg-beauty Liveramp dataset — confirmed safe to delete",$A1066="agile-bonbon-662",_xlfn.IFS(LEFT($G1066,9)="Tranche 1","Tranche 1: cleared",$C1066="Sessions_Level_1_All_Sites","Downstream aggregation of UA raw logs — keep if raw tables go",ISNUMBER(--$C1066),"UA raw site logs (account ID) — keep pending audit-retention check",$C1066="Emag_Reporting","Legacy but likely needed",$C1066="Nutrition_Data_Archived_Tables","Worth keeping",$C1066="EU_Data","Static lookup tables — scripts still reference (smoke-test risk)",TRUE,"Review"),OR($A1066="thg-influencer",$A1066="thg-ingenuity",$A1066="thg-central-marketing",$A1066="thg-seoclarity"),"HOLD — Charlie Stringer to review before deletion",TRUE,"")</f>
        <v>HOLD — Charlie Stringer to review before deletion</v>
      </c>
      <c r="S1066" t="s">
        <v>1624</v>
      </c>
    </row>
    <row r="1067" spans="1:19" hidden="1">
      <c r="A1067" t="s">
        <v>38</v>
      </c>
      <c r="B1067" t="s">
        <v>1619</v>
      </c>
      <c r="C1067" t="s">
        <v>3522</v>
      </c>
      <c r="D1067" s="2" t="s">
        <v>1621</v>
      </c>
      <c r="E1067">
        <v>0.87</v>
      </c>
      <c r="F1067">
        <v>0.02</v>
      </c>
      <c r="G1067" t="s">
        <v>3456</v>
      </c>
      <c r="H1067" t="s">
        <v>3457</v>
      </c>
      <c r="I1067">
        <v>1259</v>
      </c>
      <c r="J1067">
        <v>1259</v>
      </c>
      <c r="M1067" s="2" t="s">
        <v>1715</v>
      </c>
      <c r="N1067" s="2" t="s">
        <v>1701</v>
      </c>
      <c r="O1067" s="5">
        <v>44938.404339351851</v>
      </c>
      <c r="P1067" t="str">
        <f>IF($Q1067="DELETE",IF($S1067="CONFIRMED: NO MODS &gt; 1YR","CONFIRMED: NO MODS &gt; 1YR","DO NOT DELETE — not defensibly confirmed"),IF($Q1067="HOLD","DO NOT DELETE — HOLD (Charlie review)",IF($Q1067="KEEP","DO NOT DELETE — KEEP",IF(ISNUMBER(SEARCH("REVIEW",$Q1067)),"DO NOT DELETE — REVIEW pending",$S1067))))</f>
        <v>DO NOT DELETE — HOLD (Charlie review)</v>
      </c>
      <c r="Q1067" t="str" cm="1">
        <f t="array" ref="Q1067">_xlfn.IFS(AND($A1067="thg-beauty",ISNUMBER(SEARCH("liveramp",$C1067))),"DELETE",$A1067="agile-bonbon-662",_xlfn.IFS(LEFT($G1067,9)="Tranche 1","DELETE",$C1067="Sessions_Level_1_All_Sites","KEEP",ISNUMBER(--$C1067),"REVIEW — UA raw logs",$C1067="Emag_Reporting","KEEP",$C1067="Nutrition_Data_Archived_Tables","KEEP",$C1067="EU_Data","KEEP",TRUE,"REVIEW"),OR($A1067="thg-influencer",$A1067="thg-ingenuity",$A1067="thg-central-marketing",$A1067="thg-seoclarity"),"HOLD",TRUE,"")</f>
        <v>HOLD</v>
      </c>
      <c r="R1067" t="str" cm="1">
        <f t="array" ref="R1067">_xlfn.IFS(AND($A1067="thg-beauty",ISNUMBER(SEARCH("liveramp",$C1067))),"thg-beauty Liveramp dataset — confirmed safe to delete",$A1067="agile-bonbon-662",_xlfn.IFS(LEFT($G1067,9)="Tranche 1","Tranche 1: cleared",$C1067="Sessions_Level_1_All_Sites","Downstream aggregation of UA raw logs — keep if raw tables go",ISNUMBER(--$C1067),"UA raw site logs (account ID) — keep pending audit-retention check",$C1067="Emag_Reporting","Legacy but likely needed",$C1067="Nutrition_Data_Archived_Tables","Worth keeping",$C1067="EU_Data","Static lookup tables — scripts still reference (smoke-test risk)",TRUE,"Review"),OR($A1067="thg-influencer",$A1067="thg-ingenuity",$A1067="thg-central-marketing",$A1067="thg-seoclarity"),"HOLD — Charlie Stringer to review before deletion",TRUE,"")</f>
        <v>HOLD — Charlie Stringer to review before deletion</v>
      </c>
      <c r="S1067" t="s">
        <v>1624</v>
      </c>
    </row>
    <row r="1068" spans="1:19" hidden="1">
      <c r="A1068" t="s">
        <v>38</v>
      </c>
      <c r="B1068" t="s">
        <v>1619</v>
      </c>
      <c r="C1068" t="s">
        <v>3523</v>
      </c>
      <c r="D1068" s="2" t="s">
        <v>1621</v>
      </c>
      <c r="E1068">
        <v>109.39</v>
      </c>
      <c r="F1068">
        <v>2.19</v>
      </c>
      <c r="G1068" t="s">
        <v>3456</v>
      </c>
      <c r="H1068" t="s">
        <v>3328</v>
      </c>
      <c r="I1068">
        <v>1258</v>
      </c>
      <c r="J1068">
        <v>1258</v>
      </c>
      <c r="M1068" s="2" t="s">
        <v>1715</v>
      </c>
      <c r="N1068" s="2" t="s">
        <v>1701</v>
      </c>
      <c r="O1068" s="5">
        <v>44938.81018630787</v>
      </c>
      <c r="P1068" t="str">
        <f>IF($Q1068="DELETE",IF($S1068="CONFIRMED: NO MODS &gt; 1YR","CONFIRMED: NO MODS &gt; 1YR","DO NOT DELETE — not defensibly confirmed"),IF($Q1068="HOLD","DO NOT DELETE — HOLD (Charlie review)",IF($Q1068="KEEP","DO NOT DELETE — KEEP",IF(ISNUMBER(SEARCH("REVIEW",$Q1068)),"DO NOT DELETE — REVIEW pending",$S1068))))</f>
        <v>DO NOT DELETE — HOLD (Charlie review)</v>
      </c>
      <c r="Q1068" t="str" cm="1">
        <f t="array" ref="Q1068">_xlfn.IFS(AND($A1068="thg-beauty",ISNUMBER(SEARCH("liveramp",$C1068))),"DELETE",$A1068="agile-bonbon-662",_xlfn.IFS(LEFT($G1068,9)="Tranche 1","DELETE",$C1068="Sessions_Level_1_All_Sites","KEEP",ISNUMBER(--$C1068),"REVIEW — UA raw logs",$C1068="Emag_Reporting","KEEP",$C1068="Nutrition_Data_Archived_Tables","KEEP",$C1068="EU_Data","KEEP",TRUE,"REVIEW"),OR($A1068="thg-influencer",$A1068="thg-ingenuity",$A1068="thg-central-marketing",$A1068="thg-seoclarity"),"HOLD",TRUE,"")</f>
        <v>HOLD</v>
      </c>
      <c r="R1068" t="str" cm="1">
        <f t="array" ref="R1068">_xlfn.IFS(AND($A1068="thg-beauty",ISNUMBER(SEARCH("liveramp",$C1068))),"thg-beauty Liveramp dataset — confirmed safe to delete",$A1068="agile-bonbon-662",_xlfn.IFS(LEFT($G1068,9)="Tranche 1","Tranche 1: cleared",$C1068="Sessions_Level_1_All_Sites","Downstream aggregation of UA raw logs — keep if raw tables go",ISNUMBER(--$C1068),"UA raw site logs (account ID) — keep pending audit-retention check",$C1068="Emag_Reporting","Legacy but likely needed",$C1068="Nutrition_Data_Archived_Tables","Worth keeping",$C1068="EU_Data","Static lookup tables — scripts still reference (smoke-test risk)",TRUE,"Review"),OR($A1068="thg-influencer",$A1068="thg-ingenuity",$A1068="thg-central-marketing",$A1068="thg-seoclarity"),"HOLD — Charlie Stringer to review before deletion",TRUE,"")</f>
        <v>HOLD — Charlie Stringer to review before deletion</v>
      </c>
      <c r="S1068" t="s">
        <v>1624</v>
      </c>
    </row>
    <row r="1069" spans="1:19" hidden="1">
      <c r="A1069" t="s">
        <v>38</v>
      </c>
      <c r="B1069" t="s">
        <v>1619</v>
      </c>
      <c r="C1069" t="s">
        <v>3524</v>
      </c>
      <c r="D1069" s="2" t="s">
        <v>1621</v>
      </c>
      <c r="E1069">
        <v>0.27</v>
      </c>
      <c r="F1069">
        <v>0.01</v>
      </c>
      <c r="G1069" t="s">
        <v>3456</v>
      </c>
      <c r="H1069" t="s">
        <v>3457</v>
      </c>
      <c r="I1069">
        <v>1239</v>
      </c>
      <c r="J1069">
        <v>1239</v>
      </c>
      <c r="M1069" s="2" t="s">
        <v>1715</v>
      </c>
      <c r="N1069" s="2" t="s">
        <v>1701</v>
      </c>
      <c r="O1069" s="5">
        <v>44958.372226342603</v>
      </c>
      <c r="P1069" t="str">
        <f>IF($Q1069="DELETE",IF($S1069="CONFIRMED: NO MODS &gt; 1YR","CONFIRMED: NO MODS &gt; 1YR","DO NOT DELETE — not defensibly confirmed"),IF($Q1069="HOLD","DO NOT DELETE — HOLD (Charlie review)",IF($Q1069="KEEP","DO NOT DELETE — KEEP",IF(ISNUMBER(SEARCH("REVIEW",$Q1069)),"DO NOT DELETE — REVIEW pending",$S1069))))</f>
        <v>DO NOT DELETE — HOLD (Charlie review)</v>
      </c>
      <c r="Q1069" t="str" cm="1">
        <f t="array" ref="Q1069">_xlfn.IFS(AND($A1069="thg-beauty",ISNUMBER(SEARCH("liveramp",$C1069))),"DELETE",$A1069="agile-bonbon-662",_xlfn.IFS(LEFT($G1069,9)="Tranche 1","DELETE",$C1069="Sessions_Level_1_All_Sites","KEEP",ISNUMBER(--$C1069),"REVIEW — UA raw logs",$C1069="Emag_Reporting","KEEP",$C1069="Nutrition_Data_Archived_Tables","KEEP",$C1069="EU_Data","KEEP",TRUE,"REVIEW"),OR($A1069="thg-influencer",$A1069="thg-ingenuity",$A1069="thg-central-marketing",$A1069="thg-seoclarity"),"HOLD",TRUE,"")</f>
        <v>HOLD</v>
      </c>
      <c r="R1069" t="str" cm="1">
        <f t="array" ref="R1069">_xlfn.IFS(AND($A1069="thg-beauty",ISNUMBER(SEARCH("liveramp",$C1069))),"thg-beauty Liveramp dataset — confirmed safe to delete",$A1069="agile-bonbon-662",_xlfn.IFS(LEFT($G1069,9)="Tranche 1","Tranche 1: cleared",$C1069="Sessions_Level_1_All_Sites","Downstream aggregation of UA raw logs — keep if raw tables go",ISNUMBER(--$C1069),"UA raw site logs (account ID) — keep pending audit-retention check",$C1069="Emag_Reporting","Legacy but likely needed",$C1069="Nutrition_Data_Archived_Tables","Worth keeping",$C1069="EU_Data","Static lookup tables — scripts still reference (smoke-test risk)",TRUE,"Review"),OR($A1069="thg-influencer",$A1069="thg-ingenuity",$A1069="thg-central-marketing",$A1069="thg-seoclarity"),"HOLD — Charlie Stringer to review before deletion",TRUE,"")</f>
        <v>HOLD — Charlie Stringer to review before deletion</v>
      </c>
      <c r="S1069" t="s">
        <v>1624</v>
      </c>
    </row>
    <row r="1070" spans="1:19" hidden="1">
      <c r="A1070" t="s">
        <v>38</v>
      </c>
      <c r="B1070" t="s">
        <v>1619</v>
      </c>
      <c r="C1070" t="s">
        <v>3525</v>
      </c>
      <c r="D1070" s="2" t="s">
        <v>1621</v>
      </c>
      <c r="E1070">
        <v>0.01</v>
      </c>
      <c r="F1070">
        <v>0</v>
      </c>
      <c r="G1070" t="s">
        <v>3456</v>
      </c>
      <c r="H1070" t="s">
        <v>3457</v>
      </c>
      <c r="I1070">
        <v>1236</v>
      </c>
      <c r="J1070">
        <v>1236</v>
      </c>
      <c r="M1070" s="2" t="s">
        <v>1715</v>
      </c>
      <c r="N1070" s="2" t="s">
        <v>1701</v>
      </c>
      <c r="O1070" s="5">
        <v>44961.331520254629</v>
      </c>
      <c r="P1070" t="str">
        <f>IF($Q1070="DELETE",IF($S1070="CONFIRMED: NO MODS &gt; 1YR","CONFIRMED: NO MODS &gt; 1YR","DO NOT DELETE — not defensibly confirmed"),IF($Q1070="HOLD","DO NOT DELETE — HOLD (Charlie review)",IF($Q1070="KEEP","DO NOT DELETE — KEEP",IF(ISNUMBER(SEARCH("REVIEW",$Q1070)),"DO NOT DELETE — REVIEW pending",$S1070))))</f>
        <v>DO NOT DELETE — HOLD (Charlie review)</v>
      </c>
      <c r="Q1070" t="str" cm="1">
        <f t="array" ref="Q1070">_xlfn.IFS(AND($A1070="thg-beauty",ISNUMBER(SEARCH("liveramp",$C1070))),"DELETE",$A1070="agile-bonbon-662",_xlfn.IFS(LEFT($G1070,9)="Tranche 1","DELETE",$C1070="Sessions_Level_1_All_Sites","KEEP",ISNUMBER(--$C1070),"REVIEW — UA raw logs",$C1070="Emag_Reporting","KEEP",$C1070="Nutrition_Data_Archived_Tables","KEEP",$C1070="EU_Data","KEEP",TRUE,"REVIEW"),OR($A1070="thg-influencer",$A1070="thg-ingenuity",$A1070="thg-central-marketing",$A1070="thg-seoclarity"),"HOLD",TRUE,"")</f>
        <v>HOLD</v>
      </c>
      <c r="R1070" t="str" cm="1">
        <f t="array" ref="R1070">_xlfn.IFS(AND($A1070="thg-beauty",ISNUMBER(SEARCH("liveramp",$C1070))),"thg-beauty Liveramp dataset — confirmed safe to delete",$A1070="agile-bonbon-662",_xlfn.IFS(LEFT($G1070,9)="Tranche 1","Tranche 1: cleared",$C1070="Sessions_Level_1_All_Sites","Downstream aggregation of UA raw logs — keep if raw tables go",ISNUMBER(--$C1070),"UA raw site logs (account ID) — keep pending audit-retention check",$C1070="Emag_Reporting","Legacy but likely needed",$C1070="Nutrition_Data_Archived_Tables","Worth keeping",$C1070="EU_Data","Static lookup tables — scripts still reference (smoke-test risk)",TRUE,"Review"),OR($A1070="thg-influencer",$A1070="thg-ingenuity",$A1070="thg-central-marketing",$A1070="thg-seoclarity"),"HOLD — Charlie Stringer to review before deletion",TRUE,"")</f>
        <v>HOLD — Charlie Stringer to review before deletion</v>
      </c>
      <c r="S1070" t="s">
        <v>1624</v>
      </c>
    </row>
    <row r="1071" spans="1:19" hidden="1">
      <c r="A1071" t="s">
        <v>38</v>
      </c>
      <c r="B1071" t="s">
        <v>1619</v>
      </c>
      <c r="C1071" t="s">
        <v>3526</v>
      </c>
      <c r="D1071" s="2" t="s">
        <v>1621</v>
      </c>
      <c r="E1071">
        <v>0.01</v>
      </c>
      <c r="F1071">
        <v>0</v>
      </c>
      <c r="G1071" t="s">
        <v>3456</v>
      </c>
      <c r="H1071" t="s">
        <v>3457</v>
      </c>
      <c r="I1071">
        <v>1231</v>
      </c>
      <c r="J1071">
        <v>1231</v>
      </c>
      <c r="M1071" s="2" t="s">
        <v>1715</v>
      </c>
      <c r="N1071" s="2" t="s">
        <v>1701</v>
      </c>
      <c r="O1071" s="5">
        <v>44966.297994733803</v>
      </c>
      <c r="P1071" t="str">
        <f>IF($Q1071="DELETE",IF($S1071="CONFIRMED: NO MODS &gt; 1YR","CONFIRMED: NO MODS &gt; 1YR","DO NOT DELETE — not defensibly confirmed"),IF($Q1071="HOLD","DO NOT DELETE — HOLD (Charlie review)",IF($Q1071="KEEP","DO NOT DELETE — KEEP",IF(ISNUMBER(SEARCH("REVIEW",$Q1071)),"DO NOT DELETE — REVIEW pending",$S1071))))</f>
        <v>DO NOT DELETE — HOLD (Charlie review)</v>
      </c>
      <c r="Q1071" t="str" cm="1">
        <f t="array" ref="Q1071">_xlfn.IFS(AND($A1071="thg-beauty",ISNUMBER(SEARCH("liveramp",$C1071))),"DELETE",$A1071="agile-bonbon-662",_xlfn.IFS(LEFT($G1071,9)="Tranche 1","DELETE",$C1071="Sessions_Level_1_All_Sites","KEEP",ISNUMBER(--$C1071),"REVIEW — UA raw logs",$C1071="Emag_Reporting","KEEP",$C1071="Nutrition_Data_Archived_Tables","KEEP",$C1071="EU_Data","KEEP",TRUE,"REVIEW"),OR($A1071="thg-influencer",$A1071="thg-ingenuity",$A1071="thg-central-marketing",$A1071="thg-seoclarity"),"HOLD",TRUE,"")</f>
        <v>HOLD</v>
      </c>
      <c r="R1071" t="str" cm="1">
        <f t="array" ref="R1071">_xlfn.IFS(AND($A1071="thg-beauty",ISNUMBER(SEARCH("liveramp",$C1071))),"thg-beauty Liveramp dataset — confirmed safe to delete",$A1071="agile-bonbon-662",_xlfn.IFS(LEFT($G1071,9)="Tranche 1","Tranche 1: cleared",$C1071="Sessions_Level_1_All_Sites","Downstream aggregation of UA raw logs — keep if raw tables go",ISNUMBER(--$C1071),"UA raw site logs (account ID) — keep pending audit-retention check",$C1071="Emag_Reporting","Legacy but likely needed",$C1071="Nutrition_Data_Archived_Tables","Worth keeping",$C1071="EU_Data","Static lookup tables — scripts still reference (smoke-test risk)",TRUE,"Review"),OR($A1071="thg-influencer",$A1071="thg-ingenuity",$A1071="thg-central-marketing",$A1071="thg-seoclarity"),"HOLD — Charlie Stringer to review before deletion",TRUE,"")</f>
        <v>HOLD — Charlie Stringer to review before deletion</v>
      </c>
      <c r="S1071" t="s">
        <v>1624</v>
      </c>
    </row>
    <row r="1072" spans="1:19" hidden="1">
      <c r="A1072" t="s">
        <v>38</v>
      </c>
      <c r="B1072" t="s">
        <v>1619</v>
      </c>
      <c r="C1072" t="s">
        <v>3527</v>
      </c>
      <c r="D1072" s="2" t="s">
        <v>1621</v>
      </c>
      <c r="E1072">
        <v>0.14000000000000001</v>
      </c>
      <c r="F1072">
        <v>0</v>
      </c>
      <c r="G1072" t="s">
        <v>3456</v>
      </c>
      <c r="H1072" t="s">
        <v>3457</v>
      </c>
      <c r="I1072">
        <v>1230</v>
      </c>
      <c r="J1072">
        <v>1230</v>
      </c>
      <c r="M1072" s="2" t="s">
        <v>1715</v>
      </c>
      <c r="N1072" s="2" t="s">
        <v>1701</v>
      </c>
      <c r="O1072" s="5">
        <v>44967.384448472221</v>
      </c>
      <c r="P1072" t="str">
        <f>IF($Q1072="DELETE",IF($S1072="CONFIRMED: NO MODS &gt; 1YR","CONFIRMED: NO MODS &gt; 1YR","DO NOT DELETE — not defensibly confirmed"),IF($Q1072="HOLD","DO NOT DELETE — HOLD (Charlie review)",IF($Q1072="KEEP","DO NOT DELETE — KEEP",IF(ISNUMBER(SEARCH("REVIEW",$Q1072)),"DO NOT DELETE — REVIEW pending",$S1072))))</f>
        <v>DO NOT DELETE — HOLD (Charlie review)</v>
      </c>
      <c r="Q1072" t="str" cm="1">
        <f t="array" ref="Q1072">_xlfn.IFS(AND($A1072="thg-beauty",ISNUMBER(SEARCH("liveramp",$C1072))),"DELETE",$A1072="agile-bonbon-662",_xlfn.IFS(LEFT($G1072,9)="Tranche 1","DELETE",$C1072="Sessions_Level_1_All_Sites","KEEP",ISNUMBER(--$C1072),"REVIEW — UA raw logs",$C1072="Emag_Reporting","KEEP",$C1072="Nutrition_Data_Archived_Tables","KEEP",$C1072="EU_Data","KEEP",TRUE,"REVIEW"),OR($A1072="thg-influencer",$A1072="thg-ingenuity",$A1072="thg-central-marketing",$A1072="thg-seoclarity"),"HOLD",TRUE,"")</f>
        <v>HOLD</v>
      </c>
      <c r="R1072" t="str" cm="1">
        <f t="array" ref="R1072">_xlfn.IFS(AND($A1072="thg-beauty",ISNUMBER(SEARCH("liveramp",$C1072))),"thg-beauty Liveramp dataset — confirmed safe to delete",$A1072="agile-bonbon-662",_xlfn.IFS(LEFT($G1072,9)="Tranche 1","Tranche 1: cleared",$C1072="Sessions_Level_1_All_Sites","Downstream aggregation of UA raw logs — keep if raw tables go",ISNUMBER(--$C1072),"UA raw site logs (account ID) — keep pending audit-retention check",$C1072="Emag_Reporting","Legacy but likely needed",$C1072="Nutrition_Data_Archived_Tables","Worth keeping",$C1072="EU_Data","Static lookup tables — scripts still reference (smoke-test risk)",TRUE,"Review"),OR($A1072="thg-influencer",$A1072="thg-ingenuity",$A1072="thg-central-marketing",$A1072="thg-seoclarity"),"HOLD — Charlie Stringer to review before deletion",TRUE,"")</f>
        <v>HOLD — Charlie Stringer to review before deletion</v>
      </c>
      <c r="S1072" t="s">
        <v>1624</v>
      </c>
    </row>
    <row r="1073" spans="1:19" hidden="1">
      <c r="A1073" t="s">
        <v>38</v>
      </c>
      <c r="B1073" t="s">
        <v>1619</v>
      </c>
      <c r="C1073" t="s">
        <v>3528</v>
      </c>
      <c r="D1073" s="2" t="s">
        <v>1621</v>
      </c>
      <c r="E1073">
        <v>0.01</v>
      </c>
      <c r="F1073">
        <v>0</v>
      </c>
      <c r="G1073" t="s">
        <v>3456</v>
      </c>
      <c r="H1073" t="s">
        <v>3457</v>
      </c>
      <c r="I1073">
        <v>1230</v>
      </c>
      <c r="J1073">
        <v>1230</v>
      </c>
      <c r="M1073" s="2" t="s">
        <v>1715</v>
      </c>
      <c r="N1073" s="2" t="s">
        <v>1701</v>
      </c>
      <c r="O1073" s="5">
        <v>44966.757341064818</v>
      </c>
      <c r="P1073" t="str">
        <f>IF($Q1073="DELETE",IF($S1073="CONFIRMED: NO MODS &gt; 1YR","CONFIRMED: NO MODS &gt; 1YR","DO NOT DELETE — not defensibly confirmed"),IF($Q1073="HOLD","DO NOT DELETE — HOLD (Charlie review)",IF($Q1073="KEEP","DO NOT DELETE — KEEP",IF(ISNUMBER(SEARCH("REVIEW",$Q1073)),"DO NOT DELETE — REVIEW pending",$S1073))))</f>
        <v>DO NOT DELETE — HOLD (Charlie review)</v>
      </c>
      <c r="Q1073" t="str" cm="1">
        <f t="array" ref="Q1073">_xlfn.IFS(AND($A1073="thg-beauty",ISNUMBER(SEARCH("liveramp",$C1073))),"DELETE",$A1073="agile-bonbon-662",_xlfn.IFS(LEFT($G1073,9)="Tranche 1","DELETE",$C1073="Sessions_Level_1_All_Sites","KEEP",ISNUMBER(--$C1073),"REVIEW — UA raw logs",$C1073="Emag_Reporting","KEEP",$C1073="Nutrition_Data_Archived_Tables","KEEP",$C1073="EU_Data","KEEP",TRUE,"REVIEW"),OR($A1073="thg-influencer",$A1073="thg-ingenuity",$A1073="thg-central-marketing",$A1073="thg-seoclarity"),"HOLD",TRUE,"")</f>
        <v>HOLD</v>
      </c>
      <c r="R1073" t="str" cm="1">
        <f t="array" ref="R1073">_xlfn.IFS(AND($A1073="thg-beauty",ISNUMBER(SEARCH("liveramp",$C1073))),"thg-beauty Liveramp dataset — confirmed safe to delete",$A1073="agile-bonbon-662",_xlfn.IFS(LEFT($G1073,9)="Tranche 1","Tranche 1: cleared",$C1073="Sessions_Level_1_All_Sites","Downstream aggregation of UA raw logs — keep if raw tables go",ISNUMBER(--$C1073),"UA raw site logs (account ID) — keep pending audit-retention check",$C1073="Emag_Reporting","Legacy but likely needed",$C1073="Nutrition_Data_Archived_Tables","Worth keeping",$C1073="EU_Data","Static lookup tables — scripts still reference (smoke-test risk)",TRUE,"Review"),OR($A1073="thg-influencer",$A1073="thg-ingenuity",$A1073="thg-central-marketing",$A1073="thg-seoclarity"),"HOLD — Charlie Stringer to review before deletion",TRUE,"")</f>
        <v>HOLD — Charlie Stringer to review before deletion</v>
      </c>
      <c r="S1073" t="s">
        <v>1624</v>
      </c>
    </row>
    <row r="1074" spans="1:19" hidden="1">
      <c r="A1074" t="s">
        <v>38</v>
      </c>
      <c r="B1074" t="s">
        <v>1619</v>
      </c>
      <c r="C1074" t="s">
        <v>3529</v>
      </c>
      <c r="D1074" s="2" t="s">
        <v>1621</v>
      </c>
      <c r="E1074">
        <v>1.07</v>
      </c>
      <c r="F1074">
        <v>0.02</v>
      </c>
      <c r="G1074" t="s">
        <v>3456</v>
      </c>
      <c r="H1074" t="s">
        <v>3457</v>
      </c>
      <c r="I1074">
        <v>1229</v>
      </c>
      <c r="J1074">
        <v>1229</v>
      </c>
      <c r="M1074" s="2" t="s">
        <v>1715</v>
      </c>
      <c r="N1074" s="2" t="s">
        <v>1701</v>
      </c>
      <c r="O1074" s="5">
        <v>44968.328772199071</v>
      </c>
      <c r="P1074" t="str">
        <f>IF($Q1074="DELETE",IF($S1074="CONFIRMED: NO MODS &gt; 1YR","CONFIRMED: NO MODS &gt; 1YR","DO NOT DELETE — not defensibly confirmed"),IF($Q1074="HOLD","DO NOT DELETE — HOLD (Charlie review)",IF($Q1074="KEEP","DO NOT DELETE — KEEP",IF(ISNUMBER(SEARCH("REVIEW",$Q1074)),"DO NOT DELETE — REVIEW pending",$S1074))))</f>
        <v>DO NOT DELETE — HOLD (Charlie review)</v>
      </c>
      <c r="Q1074" t="str" cm="1">
        <f t="array" ref="Q1074">_xlfn.IFS(AND($A1074="thg-beauty",ISNUMBER(SEARCH("liveramp",$C1074))),"DELETE",$A1074="agile-bonbon-662",_xlfn.IFS(LEFT($G1074,9)="Tranche 1","DELETE",$C1074="Sessions_Level_1_All_Sites","KEEP",ISNUMBER(--$C1074),"REVIEW — UA raw logs",$C1074="Emag_Reporting","KEEP",$C1074="Nutrition_Data_Archived_Tables","KEEP",$C1074="EU_Data","KEEP",TRUE,"REVIEW"),OR($A1074="thg-influencer",$A1074="thg-ingenuity",$A1074="thg-central-marketing",$A1074="thg-seoclarity"),"HOLD",TRUE,"")</f>
        <v>HOLD</v>
      </c>
      <c r="R1074" t="str" cm="1">
        <f t="array" ref="R1074">_xlfn.IFS(AND($A1074="thg-beauty",ISNUMBER(SEARCH("liveramp",$C1074))),"thg-beauty Liveramp dataset — confirmed safe to delete",$A1074="agile-bonbon-662",_xlfn.IFS(LEFT($G1074,9)="Tranche 1","Tranche 1: cleared",$C1074="Sessions_Level_1_All_Sites","Downstream aggregation of UA raw logs — keep if raw tables go",ISNUMBER(--$C1074),"UA raw site logs (account ID) — keep pending audit-retention check",$C1074="Emag_Reporting","Legacy but likely needed",$C1074="Nutrition_Data_Archived_Tables","Worth keeping",$C1074="EU_Data","Static lookup tables — scripts still reference (smoke-test risk)",TRUE,"Review"),OR($A1074="thg-influencer",$A1074="thg-ingenuity",$A1074="thg-central-marketing",$A1074="thg-seoclarity"),"HOLD — Charlie Stringer to review before deletion",TRUE,"")</f>
        <v>HOLD — Charlie Stringer to review before deletion</v>
      </c>
      <c r="S1074" t="s">
        <v>1624</v>
      </c>
    </row>
    <row r="1075" spans="1:19" hidden="1">
      <c r="A1075" t="s">
        <v>38</v>
      </c>
      <c r="B1075" t="s">
        <v>1619</v>
      </c>
      <c r="C1075" t="s">
        <v>3530</v>
      </c>
      <c r="D1075" s="2" t="s">
        <v>1621</v>
      </c>
      <c r="E1075">
        <v>0.42</v>
      </c>
      <c r="F1075">
        <v>0.01</v>
      </c>
      <c r="G1075" t="s">
        <v>3456</v>
      </c>
      <c r="H1075" t="s">
        <v>3457</v>
      </c>
      <c r="I1075">
        <v>1229</v>
      </c>
      <c r="J1075">
        <v>1229</v>
      </c>
      <c r="M1075" s="2" t="s">
        <v>1715</v>
      </c>
      <c r="N1075" s="2" t="s">
        <v>1701</v>
      </c>
      <c r="O1075" s="5">
        <v>44968.328875208332</v>
      </c>
      <c r="P1075" t="str">
        <f>IF($Q1075="DELETE",IF($S1075="CONFIRMED: NO MODS &gt; 1YR","CONFIRMED: NO MODS &gt; 1YR","DO NOT DELETE — not defensibly confirmed"),IF($Q1075="HOLD","DO NOT DELETE — HOLD (Charlie review)",IF($Q1075="KEEP","DO NOT DELETE — KEEP",IF(ISNUMBER(SEARCH("REVIEW",$Q1075)),"DO NOT DELETE — REVIEW pending",$S1075))))</f>
        <v>DO NOT DELETE — HOLD (Charlie review)</v>
      </c>
      <c r="Q1075" t="str" cm="1">
        <f t="array" ref="Q1075">_xlfn.IFS(AND($A1075="thg-beauty",ISNUMBER(SEARCH("liveramp",$C1075))),"DELETE",$A1075="agile-bonbon-662",_xlfn.IFS(LEFT($G1075,9)="Tranche 1","DELETE",$C1075="Sessions_Level_1_All_Sites","KEEP",ISNUMBER(--$C1075),"REVIEW — UA raw logs",$C1075="Emag_Reporting","KEEP",$C1075="Nutrition_Data_Archived_Tables","KEEP",$C1075="EU_Data","KEEP",TRUE,"REVIEW"),OR($A1075="thg-influencer",$A1075="thg-ingenuity",$A1075="thg-central-marketing",$A1075="thg-seoclarity"),"HOLD",TRUE,"")</f>
        <v>HOLD</v>
      </c>
      <c r="R1075" t="str" cm="1">
        <f t="array" ref="R1075">_xlfn.IFS(AND($A1075="thg-beauty",ISNUMBER(SEARCH("liveramp",$C1075))),"thg-beauty Liveramp dataset — confirmed safe to delete",$A1075="agile-bonbon-662",_xlfn.IFS(LEFT($G1075,9)="Tranche 1","Tranche 1: cleared",$C1075="Sessions_Level_1_All_Sites","Downstream aggregation of UA raw logs — keep if raw tables go",ISNUMBER(--$C1075),"UA raw site logs (account ID) — keep pending audit-retention check",$C1075="Emag_Reporting","Legacy but likely needed",$C1075="Nutrition_Data_Archived_Tables","Worth keeping",$C1075="EU_Data","Static lookup tables — scripts still reference (smoke-test risk)",TRUE,"Review"),OR($A1075="thg-influencer",$A1075="thg-ingenuity",$A1075="thg-central-marketing",$A1075="thg-seoclarity"),"HOLD — Charlie Stringer to review before deletion",TRUE,"")</f>
        <v>HOLD — Charlie Stringer to review before deletion</v>
      </c>
      <c r="S1075" t="s">
        <v>1624</v>
      </c>
    </row>
    <row r="1076" spans="1:19" hidden="1">
      <c r="A1076" t="s">
        <v>38</v>
      </c>
      <c r="B1076" t="s">
        <v>1619</v>
      </c>
      <c r="C1076" t="s">
        <v>3531</v>
      </c>
      <c r="D1076" s="2" t="s">
        <v>1621</v>
      </c>
      <c r="E1076">
        <v>0.44</v>
      </c>
      <c r="F1076">
        <v>0.01</v>
      </c>
      <c r="G1076" t="s">
        <v>3456</v>
      </c>
      <c r="H1076" t="s">
        <v>3457</v>
      </c>
      <c r="I1076">
        <v>1215</v>
      </c>
      <c r="J1076">
        <v>1215</v>
      </c>
      <c r="M1076" s="2" t="s">
        <v>1715</v>
      </c>
      <c r="N1076" s="2" t="s">
        <v>1701</v>
      </c>
      <c r="O1076" s="5">
        <v>44982.174891932867</v>
      </c>
      <c r="P1076" t="str">
        <f>IF($Q1076="DELETE",IF($S1076="CONFIRMED: NO MODS &gt; 1YR","CONFIRMED: NO MODS &gt; 1YR","DO NOT DELETE — not defensibly confirmed"),IF($Q1076="HOLD","DO NOT DELETE — HOLD (Charlie review)",IF($Q1076="KEEP","DO NOT DELETE — KEEP",IF(ISNUMBER(SEARCH("REVIEW",$Q1076)),"DO NOT DELETE — REVIEW pending",$S1076))))</f>
        <v>DO NOT DELETE — HOLD (Charlie review)</v>
      </c>
      <c r="Q1076" t="str" cm="1">
        <f t="array" ref="Q1076">_xlfn.IFS(AND($A1076="thg-beauty",ISNUMBER(SEARCH("liveramp",$C1076))),"DELETE",$A1076="agile-bonbon-662",_xlfn.IFS(LEFT($G1076,9)="Tranche 1","DELETE",$C1076="Sessions_Level_1_All_Sites","KEEP",ISNUMBER(--$C1076),"REVIEW — UA raw logs",$C1076="Emag_Reporting","KEEP",$C1076="Nutrition_Data_Archived_Tables","KEEP",$C1076="EU_Data","KEEP",TRUE,"REVIEW"),OR($A1076="thg-influencer",$A1076="thg-ingenuity",$A1076="thg-central-marketing",$A1076="thg-seoclarity"),"HOLD",TRUE,"")</f>
        <v>HOLD</v>
      </c>
      <c r="R1076" t="str" cm="1">
        <f t="array" ref="R1076">_xlfn.IFS(AND($A1076="thg-beauty",ISNUMBER(SEARCH("liveramp",$C1076))),"thg-beauty Liveramp dataset — confirmed safe to delete",$A1076="agile-bonbon-662",_xlfn.IFS(LEFT($G1076,9)="Tranche 1","Tranche 1: cleared",$C1076="Sessions_Level_1_All_Sites","Downstream aggregation of UA raw logs — keep if raw tables go",ISNUMBER(--$C1076),"UA raw site logs (account ID) — keep pending audit-retention check",$C1076="Emag_Reporting","Legacy but likely needed",$C1076="Nutrition_Data_Archived_Tables","Worth keeping",$C1076="EU_Data","Static lookup tables — scripts still reference (smoke-test risk)",TRUE,"Review"),OR($A1076="thg-influencer",$A1076="thg-ingenuity",$A1076="thg-central-marketing",$A1076="thg-seoclarity"),"HOLD — Charlie Stringer to review before deletion",TRUE,"")</f>
        <v>HOLD — Charlie Stringer to review before deletion</v>
      </c>
      <c r="S1076" t="s">
        <v>1624</v>
      </c>
    </row>
    <row r="1077" spans="1:19" hidden="1">
      <c r="A1077" t="s">
        <v>38</v>
      </c>
      <c r="B1077" t="s">
        <v>1619</v>
      </c>
      <c r="C1077" t="s">
        <v>3532</v>
      </c>
      <c r="D1077" s="2" t="s">
        <v>1621</v>
      </c>
      <c r="E1077">
        <v>0.06</v>
      </c>
      <c r="F1077">
        <v>0</v>
      </c>
      <c r="G1077" t="s">
        <v>3456</v>
      </c>
      <c r="H1077" t="s">
        <v>3457</v>
      </c>
      <c r="I1077">
        <v>1201</v>
      </c>
      <c r="J1077">
        <v>1201</v>
      </c>
      <c r="M1077" s="2" t="s">
        <v>1715</v>
      </c>
      <c r="N1077" s="2" t="s">
        <v>1701</v>
      </c>
      <c r="O1077" s="5">
        <v>44996.10264863426</v>
      </c>
      <c r="P1077" t="str">
        <f>IF($Q1077="DELETE",IF($S1077="CONFIRMED: NO MODS &gt; 1YR","CONFIRMED: NO MODS &gt; 1YR","DO NOT DELETE — not defensibly confirmed"),IF($Q1077="HOLD","DO NOT DELETE — HOLD (Charlie review)",IF($Q1077="KEEP","DO NOT DELETE — KEEP",IF(ISNUMBER(SEARCH("REVIEW",$Q1077)),"DO NOT DELETE — REVIEW pending",$S1077))))</f>
        <v>DO NOT DELETE — HOLD (Charlie review)</v>
      </c>
      <c r="Q1077" t="str" cm="1">
        <f t="array" ref="Q1077">_xlfn.IFS(AND($A1077="thg-beauty",ISNUMBER(SEARCH("liveramp",$C1077))),"DELETE",$A1077="agile-bonbon-662",_xlfn.IFS(LEFT($G1077,9)="Tranche 1","DELETE",$C1077="Sessions_Level_1_All_Sites","KEEP",ISNUMBER(--$C1077),"REVIEW — UA raw logs",$C1077="Emag_Reporting","KEEP",$C1077="Nutrition_Data_Archived_Tables","KEEP",$C1077="EU_Data","KEEP",TRUE,"REVIEW"),OR($A1077="thg-influencer",$A1077="thg-ingenuity",$A1077="thg-central-marketing",$A1077="thg-seoclarity"),"HOLD",TRUE,"")</f>
        <v>HOLD</v>
      </c>
      <c r="R1077" t="str" cm="1">
        <f t="array" ref="R1077">_xlfn.IFS(AND($A1077="thg-beauty",ISNUMBER(SEARCH("liveramp",$C1077))),"thg-beauty Liveramp dataset — confirmed safe to delete",$A1077="agile-bonbon-662",_xlfn.IFS(LEFT($G1077,9)="Tranche 1","Tranche 1: cleared",$C1077="Sessions_Level_1_All_Sites","Downstream aggregation of UA raw logs — keep if raw tables go",ISNUMBER(--$C1077),"UA raw site logs (account ID) — keep pending audit-retention check",$C1077="Emag_Reporting","Legacy but likely needed",$C1077="Nutrition_Data_Archived_Tables","Worth keeping",$C1077="EU_Data","Static lookup tables — scripts still reference (smoke-test risk)",TRUE,"Review"),OR($A1077="thg-influencer",$A1077="thg-ingenuity",$A1077="thg-central-marketing",$A1077="thg-seoclarity"),"HOLD — Charlie Stringer to review before deletion",TRUE,"")</f>
        <v>HOLD — Charlie Stringer to review before deletion</v>
      </c>
      <c r="S1077" t="s">
        <v>1624</v>
      </c>
    </row>
    <row r="1078" spans="1:19" hidden="1">
      <c r="A1078" t="s">
        <v>38</v>
      </c>
      <c r="B1078" t="s">
        <v>1619</v>
      </c>
      <c r="C1078" t="s">
        <v>3533</v>
      </c>
      <c r="D1078" s="2" t="s">
        <v>1621</v>
      </c>
      <c r="E1078">
        <v>5.98</v>
      </c>
      <c r="F1078">
        <v>0.12</v>
      </c>
      <c r="G1078" t="s">
        <v>3456</v>
      </c>
      <c r="H1078" t="s">
        <v>3457</v>
      </c>
      <c r="I1078">
        <v>1198</v>
      </c>
      <c r="J1078">
        <v>1198</v>
      </c>
      <c r="M1078" s="2" t="s">
        <v>1715</v>
      </c>
      <c r="N1078" s="2" t="s">
        <v>1701</v>
      </c>
      <c r="O1078" s="5">
        <v>44999.384558495367</v>
      </c>
      <c r="P1078" t="str">
        <f>IF($Q1078="DELETE",IF($S1078="CONFIRMED: NO MODS &gt; 1YR","CONFIRMED: NO MODS &gt; 1YR","DO NOT DELETE — not defensibly confirmed"),IF($Q1078="HOLD","DO NOT DELETE — HOLD (Charlie review)",IF($Q1078="KEEP","DO NOT DELETE — KEEP",IF(ISNUMBER(SEARCH("REVIEW",$Q1078)),"DO NOT DELETE — REVIEW pending",$S1078))))</f>
        <v>DO NOT DELETE — HOLD (Charlie review)</v>
      </c>
      <c r="Q1078" t="str" cm="1">
        <f t="array" ref="Q1078">_xlfn.IFS(AND($A1078="thg-beauty",ISNUMBER(SEARCH("liveramp",$C1078))),"DELETE",$A1078="agile-bonbon-662",_xlfn.IFS(LEFT($G1078,9)="Tranche 1","DELETE",$C1078="Sessions_Level_1_All_Sites","KEEP",ISNUMBER(--$C1078),"REVIEW — UA raw logs",$C1078="Emag_Reporting","KEEP",$C1078="Nutrition_Data_Archived_Tables","KEEP",$C1078="EU_Data","KEEP",TRUE,"REVIEW"),OR($A1078="thg-influencer",$A1078="thg-ingenuity",$A1078="thg-central-marketing",$A1078="thg-seoclarity"),"HOLD",TRUE,"")</f>
        <v>HOLD</v>
      </c>
      <c r="R1078" t="str" cm="1">
        <f t="array" ref="R1078">_xlfn.IFS(AND($A1078="thg-beauty",ISNUMBER(SEARCH("liveramp",$C1078))),"thg-beauty Liveramp dataset — confirmed safe to delete",$A1078="agile-bonbon-662",_xlfn.IFS(LEFT($G1078,9)="Tranche 1","Tranche 1: cleared",$C1078="Sessions_Level_1_All_Sites","Downstream aggregation of UA raw logs — keep if raw tables go",ISNUMBER(--$C1078),"UA raw site logs (account ID) — keep pending audit-retention check",$C1078="Emag_Reporting","Legacy but likely needed",$C1078="Nutrition_Data_Archived_Tables","Worth keeping",$C1078="EU_Data","Static lookup tables — scripts still reference (smoke-test risk)",TRUE,"Review"),OR($A1078="thg-influencer",$A1078="thg-ingenuity",$A1078="thg-central-marketing",$A1078="thg-seoclarity"),"HOLD — Charlie Stringer to review before deletion",TRUE,"")</f>
        <v>HOLD — Charlie Stringer to review before deletion</v>
      </c>
      <c r="S1078" t="s">
        <v>1624</v>
      </c>
    </row>
    <row r="1079" spans="1:19" hidden="1">
      <c r="A1079" t="s">
        <v>38</v>
      </c>
      <c r="B1079" t="s">
        <v>1619</v>
      </c>
      <c r="C1079" t="s">
        <v>3534</v>
      </c>
      <c r="D1079" s="2" t="s">
        <v>1621</v>
      </c>
      <c r="E1079">
        <v>4.5199999999999996</v>
      </c>
      <c r="F1079">
        <v>0.09</v>
      </c>
      <c r="G1079" t="s">
        <v>3456</v>
      </c>
      <c r="H1079" t="s">
        <v>3457</v>
      </c>
      <c r="I1079">
        <v>1197</v>
      </c>
      <c r="J1079">
        <v>1197</v>
      </c>
      <c r="M1079" s="2" t="s">
        <v>1715</v>
      </c>
      <c r="N1079" s="2" t="s">
        <v>1701</v>
      </c>
      <c r="O1079" s="5">
        <v>45000.322406157407</v>
      </c>
      <c r="P1079" t="str">
        <f>IF($Q1079="DELETE",IF($S1079="CONFIRMED: NO MODS &gt; 1YR","CONFIRMED: NO MODS &gt; 1YR","DO NOT DELETE — not defensibly confirmed"),IF($Q1079="HOLD","DO NOT DELETE — HOLD (Charlie review)",IF($Q1079="KEEP","DO NOT DELETE — KEEP",IF(ISNUMBER(SEARCH("REVIEW",$Q1079)),"DO NOT DELETE — REVIEW pending",$S1079))))</f>
        <v>DO NOT DELETE — HOLD (Charlie review)</v>
      </c>
      <c r="Q1079" t="str" cm="1">
        <f t="array" ref="Q1079">_xlfn.IFS(AND($A1079="thg-beauty",ISNUMBER(SEARCH("liveramp",$C1079))),"DELETE",$A1079="agile-bonbon-662",_xlfn.IFS(LEFT($G1079,9)="Tranche 1","DELETE",$C1079="Sessions_Level_1_All_Sites","KEEP",ISNUMBER(--$C1079),"REVIEW — UA raw logs",$C1079="Emag_Reporting","KEEP",$C1079="Nutrition_Data_Archived_Tables","KEEP",$C1079="EU_Data","KEEP",TRUE,"REVIEW"),OR($A1079="thg-influencer",$A1079="thg-ingenuity",$A1079="thg-central-marketing",$A1079="thg-seoclarity"),"HOLD",TRUE,"")</f>
        <v>HOLD</v>
      </c>
      <c r="R1079" t="str" cm="1">
        <f t="array" ref="R1079">_xlfn.IFS(AND($A1079="thg-beauty",ISNUMBER(SEARCH("liveramp",$C1079))),"thg-beauty Liveramp dataset — confirmed safe to delete",$A1079="agile-bonbon-662",_xlfn.IFS(LEFT($G1079,9)="Tranche 1","Tranche 1: cleared",$C1079="Sessions_Level_1_All_Sites","Downstream aggregation of UA raw logs — keep if raw tables go",ISNUMBER(--$C1079),"UA raw site logs (account ID) — keep pending audit-retention check",$C1079="Emag_Reporting","Legacy but likely needed",$C1079="Nutrition_Data_Archived_Tables","Worth keeping",$C1079="EU_Data","Static lookup tables — scripts still reference (smoke-test risk)",TRUE,"Review"),OR($A1079="thg-influencer",$A1079="thg-ingenuity",$A1079="thg-central-marketing",$A1079="thg-seoclarity"),"HOLD — Charlie Stringer to review before deletion",TRUE,"")</f>
        <v>HOLD — Charlie Stringer to review before deletion</v>
      </c>
      <c r="S1079" t="s">
        <v>1624</v>
      </c>
    </row>
    <row r="1080" spans="1:19" hidden="1">
      <c r="A1080" t="s">
        <v>38</v>
      </c>
      <c r="B1080" t="s">
        <v>1619</v>
      </c>
      <c r="C1080" t="s">
        <v>3535</v>
      </c>
      <c r="D1080" s="2" t="s">
        <v>1621</v>
      </c>
      <c r="E1080">
        <v>0.54</v>
      </c>
      <c r="F1080">
        <v>0.01</v>
      </c>
      <c r="G1080" t="s">
        <v>3456</v>
      </c>
      <c r="H1080" t="s">
        <v>3457</v>
      </c>
      <c r="I1080">
        <v>1196</v>
      </c>
      <c r="J1080">
        <v>1196</v>
      </c>
      <c r="M1080" s="2" t="s">
        <v>1715</v>
      </c>
      <c r="N1080" s="2" t="s">
        <v>1701</v>
      </c>
      <c r="O1080" s="5">
        <v>45000.487219259259</v>
      </c>
      <c r="P1080" t="str">
        <f>IF($Q1080="DELETE",IF($S1080="CONFIRMED: NO MODS &gt; 1YR","CONFIRMED: NO MODS &gt; 1YR","DO NOT DELETE — not defensibly confirmed"),IF($Q1080="HOLD","DO NOT DELETE — HOLD (Charlie review)",IF($Q1080="KEEP","DO NOT DELETE — KEEP",IF(ISNUMBER(SEARCH("REVIEW",$Q1080)),"DO NOT DELETE — REVIEW pending",$S1080))))</f>
        <v>DO NOT DELETE — HOLD (Charlie review)</v>
      </c>
      <c r="Q1080" t="str" cm="1">
        <f t="array" ref="Q1080">_xlfn.IFS(AND($A1080="thg-beauty",ISNUMBER(SEARCH("liveramp",$C1080))),"DELETE",$A1080="agile-bonbon-662",_xlfn.IFS(LEFT($G1080,9)="Tranche 1","DELETE",$C1080="Sessions_Level_1_All_Sites","KEEP",ISNUMBER(--$C1080),"REVIEW — UA raw logs",$C1080="Emag_Reporting","KEEP",$C1080="Nutrition_Data_Archived_Tables","KEEP",$C1080="EU_Data","KEEP",TRUE,"REVIEW"),OR($A1080="thg-influencer",$A1080="thg-ingenuity",$A1080="thg-central-marketing",$A1080="thg-seoclarity"),"HOLD",TRUE,"")</f>
        <v>HOLD</v>
      </c>
      <c r="R1080" t="str" cm="1">
        <f t="array" ref="R1080">_xlfn.IFS(AND($A1080="thg-beauty",ISNUMBER(SEARCH("liveramp",$C1080))),"thg-beauty Liveramp dataset — confirmed safe to delete",$A1080="agile-bonbon-662",_xlfn.IFS(LEFT($G1080,9)="Tranche 1","Tranche 1: cleared",$C1080="Sessions_Level_1_All_Sites","Downstream aggregation of UA raw logs — keep if raw tables go",ISNUMBER(--$C1080),"UA raw site logs (account ID) — keep pending audit-retention check",$C1080="Emag_Reporting","Legacy but likely needed",$C1080="Nutrition_Data_Archived_Tables","Worth keeping",$C1080="EU_Data","Static lookup tables — scripts still reference (smoke-test risk)",TRUE,"Review"),OR($A1080="thg-influencer",$A1080="thg-ingenuity",$A1080="thg-central-marketing",$A1080="thg-seoclarity"),"HOLD — Charlie Stringer to review before deletion",TRUE,"")</f>
        <v>HOLD — Charlie Stringer to review before deletion</v>
      </c>
      <c r="S1080" t="s">
        <v>1624</v>
      </c>
    </row>
    <row r="1081" spans="1:19" hidden="1">
      <c r="A1081" t="s">
        <v>38</v>
      </c>
      <c r="B1081" t="s">
        <v>1619</v>
      </c>
      <c r="C1081" t="s">
        <v>3536</v>
      </c>
      <c r="D1081" s="2" t="s">
        <v>1621</v>
      </c>
      <c r="E1081">
        <v>0.23</v>
      </c>
      <c r="F1081">
        <v>0</v>
      </c>
      <c r="G1081" t="s">
        <v>3456</v>
      </c>
      <c r="H1081" t="s">
        <v>3457</v>
      </c>
      <c r="I1081">
        <v>1196</v>
      </c>
      <c r="J1081">
        <v>1196</v>
      </c>
      <c r="M1081" s="2" t="s">
        <v>1715</v>
      </c>
      <c r="N1081" s="2" t="s">
        <v>1701</v>
      </c>
      <c r="O1081" s="5">
        <v>45000.488912673609</v>
      </c>
      <c r="P1081" t="str">
        <f>IF($Q1081="DELETE",IF($S1081="CONFIRMED: NO MODS &gt; 1YR","CONFIRMED: NO MODS &gt; 1YR","DO NOT DELETE — not defensibly confirmed"),IF($Q1081="HOLD","DO NOT DELETE — HOLD (Charlie review)",IF($Q1081="KEEP","DO NOT DELETE — KEEP",IF(ISNUMBER(SEARCH("REVIEW",$Q1081)),"DO NOT DELETE — REVIEW pending",$S1081))))</f>
        <v>DO NOT DELETE — HOLD (Charlie review)</v>
      </c>
      <c r="Q1081" t="str" cm="1">
        <f t="array" ref="Q1081">_xlfn.IFS(AND($A1081="thg-beauty",ISNUMBER(SEARCH("liveramp",$C1081))),"DELETE",$A1081="agile-bonbon-662",_xlfn.IFS(LEFT($G1081,9)="Tranche 1","DELETE",$C1081="Sessions_Level_1_All_Sites","KEEP",ISNUMBER(--$C1081),"REVIEW — UA raw logs",$C1081="Emag_Reporting","KEEP",$C1081="Nutrition_Data_Archived_Tables","KEEP",$C1081="EU_Data","KEEP",TRUE,"REVIEW"),OR($A1081="thg-influencer",$A1081="thg-ingenuity",$A1081="thg-central-marketing",$A1081="thg-seoclarity"),"HOLD",TRUE,"")</f>
        <v>HOLD</v>
      </c>
      <c r="R1081" t="str" cm="1">
        <f t="array" ref="R1081">_xlfn.IFS(AND($A1081="thg-beauty",ISNUMBER(SEARCH("liveramp",$C1081))),"thg-beauty Liveramp dataset — confirmed safe to delete",$A1081="agile-bonbon-662",_xlfn.IFS(LEFT($G1081,9)="Tranche 1","Tranche 1: cleared",$C1081="Sessions_Level_1_All_Sites","Downstream aggregation of UA raw logs — keep if raw tables go",ISNUMBER(--$C1081),"UA raw site logs (account ID) — keep pending audit-retention check",$C1081="Emag_Reporting","Legacy but likely needed",$C1081="Nutrition_Data_Archived_Tables","Worth keeping",$C1081="EU_Data","Static lookup tables — scripts still reference (smoke-test risk)",TRUE,"Review"),OR($A1081="thg-influencer",$A1081="thg-ingenuity",$A1081="thg-central-marketing",$A1081="thg-seoclarity"),"HOLD — Charlie Stringer to review before deletion",TRUE,"")</f>
        <v>HOLD — Charlie Stringer to review before deletion</v>
      </c>
      <c r="S1081" t="s">
        <v>1624</v>
      </c>
    </row>
    <row r="1082" spans="1:19" hidden="1">
      <c r="A1082" t="s">
        <v>38</v>
      </c>
      <c r="B1082" t="s">
        <v>1619</v>
      </c>
      <c r="C1082" t="s">
        <v>3537</v>
      </c>
      <c r="D1082" s="2" t="s">
        <v>1621</v>
      </c>
      <c r="E1082">
        <v>0.01</v>
      </c>
      <c r="F1082">
        <v>0</v>
      </c>
      <c r="G1082" t="s">
        <v>3456</v>
      </c>
      <c r="H1082" t="s">
        <v>3457</v>
      </c>
      <c r="I1082">
        <v>1196</v>
      </c>
      <c r="J1082">
        <v>1196</v>
      </c>
      <c r="M1082" s="2" t="s">
        <v>1715</v>
      </c>
      <c r="N1082" s="2" t="s">
        <v>1701</v>
      </c>
      <c r="O1082" s="5">
        <v>45000.797721342591</v>
      </c>
      <c r="P1082" t="str">
        <f>IF($Q1082="DELETE",IF($S1082="CONFIRMED: NO MODS &gt; 1YR","CONFIRMED: NO MODS &gt; 1YR","DO NOT DELETE — not defensibly confirmed"),IF($Q1082="HOLD","DO NOT DELETE — HOLD (Charlie review)",IF($Q1082="KEEP","DO NOT DELETE — KEEP",IF(ISNUMBER(SEARCH("REVIEW",$Q1082)),"DO NOT DELETE — REVIEW pending",$S1082))))</f>
        <v>DO NOT DELETE — HOLD (Charlie review)</v>
      </c>
      <c r="Q1082" t="str" cm="1">
        <f t="array" ref="Q1082">_xlfn.IFS(AND($A1082="thg-beauty",ISNUMBER(SEARCH("liveramp",$C1082))),"DELETE",$A1082="agile-bonbon-662",_xlfn.IFS(LEFT($G1082,9)="Tranche 1","DELETE",$C1082="Sessions_Level_1_All_Sites","KEEP",ISNUMBER(--$C1082),"REVIEW — UA raw logs",$C1082="Emag_Reporting","KEEP",$C1082="Nutrition_Data_Archived_Tables","KEEP",$C1082="EU_Data","KEEP",TRUE,"REVIEW"),OR($A1082="thg-influencer",$A1082="thg-ingenuity",$A1082="thg-central-marketing",$A1082="thg-seoclarity"),"HOLD",TRUE,"")</f>
        <v>HOLD</v>
      </c>
      <c r="R1082" t="str" cm="1">
        <f t="array" ref="R1082">_xlfn.IFS(AND($A1082="thg-beauty",ISNUMBER(SEARCH("liveramp",$C1082))),"thg-beauty Liveramp dataset — confirmed safe to delete",$A1082="agile-bonbon-662",_xlfn.IFS(LEFT($G1082,9)="Tranche 1","Tranche 1: cleared",$C1082="Sessions_Level_1_All_Sites","Downstream aggregation of UA raw logs — keep if raw tables go",ISNUMBER(--$C1082),"UA raw site logs (account ID) — keep pending audit-retention check",$C1082="Emag_Reporting","Legacy but likely needed",$C1082="Nutrition_Data_Archived_Tables","Worth keeping",$C1082="EU_Data","Static lookup tables — scripts still reference (smoke-test risk)",TRUE,"Review"),OR($A1082="thg-influencer",$A1082="thg-ingenuity",$A1082="thg-central-marketing",$A1082="thg-seoclarity"),"HOLD — Charlie Stringer to review before deletion",TRUE,"")</f>
        <v>HOLD — Charlie Stringer to review before deletion</v>
      </c>
      <c r="S1082" t="s">
        <v>1624</v>
      </c>
    </row>
    <row r="1083" spans="1:19" hidden="1">
      <c r="A1083" t="s">
        <v>38</v>
      </c>
      <c r="B1083" t="s">
        <v>1619</v>
      </c>
      <c r="C1083" t="s">
        <v>3538</v>
      </c>
      <c r="D1083" s="2" t="s">
        <v>1621</v>
      </c>
      <c r="E1083">
        <v>0.11</v>
      </c>
      <c r="F1083">
        <v>0</v>
      </c>
      <c r="G1083" t="s">
        <v>3456</v>
      </c>
      <c r="H1083" t="s">
        <v>3457</v>
      </c>
      <c r="I1083">
        <v>1185</v>
      </c>
      <c r="J1083">
        <v>1185</v>
      </c>
      <c r="M1083" s="2" t="s">
        <v>1715</v>
      </c>
      <c r="N1083" s="2" t="s">
        <v>1701</v>
      </c>
      <c r="O1083" s="5">
        <v>45012.308306076389</v>
      </c>
      <c r="P1083" t="str">
        <f>IF($Q1083="DELETE",IF($S1083="CONFIRMED: NO MODS &gt; 1YR","CONFIRMED: NO MODS &gt; 1YR","DO NOT DELETE — not defensibly confirmed"),IF($Q1083="HOLD","DO NOT DELETE — HOLD (Charlie review)",IF($Q1083="KEEP","DO NOT DELETE — KEEP",IF(ISNUMBER(SEARCH("REVIEW",$Q1083)),"DO NOT DELETE — REVIEW pending",$S1083))))</f>
        <v>DO NOT DELETE — HOLD (Charlie review)</v>
      </c>
      <c r="Q1083" t="str" cm="1">
        <f t="array" ref="Q1083">_xlfn.IFS(AND($A1083="thg-beauty",ISNUMBER(SEARCH("liveramp",$C1083))),"DELETE",$A1083="agile-bonbon-662",_xlfn.IFS(LEFT($G1083,9)="Tranche 1","DELETE",$C1083="Sessions_Level_1_All_Sites","KEEP",ISNUMBER(--$C1083),"REVIEW — UA raw logs",$C1083="Emag_Reporting","KEEP",$C1083="Nutrition_Data_Archived_Tables","KEEP",$C1083="EU_Data","KEEP",TRUE,"REVIEW"),OR($A1083="thg-influencer",$A1083="thg-ingenuity",$A1083="thg-central-marketing",$A1083="thg-seoclarity"),"HOLD",TRUE,"")</f>
        <v>HOLD</v>
      </c>
      <c r="R1083" t="str" cm="1">
        <f t="array" ref="R1083">_xlfn.IFS(AND($A1083="thg-beauty",ISNUMBER(SEARCH("liveramp",$C1083))),"thg-beauty Liveramp dataset — confirmed safe to delete",$A1083="agile-bonbon-662",_xlfn.IFS(LEFT($G1083,9)="Tranche 1","Tranche 1: cleared",$C1083="Sessions_Level_1_All_Sites","Downstream aggregation of UA raw logs — keep if raw tables go",ISNUMBER(--$C1083),"UA raw site logs (account ID) — keep pending audit-retention check",$C1083="Emag_Reporting","Legacy but likely needed",$C1083="Nutrition_Data_Archived_Tables","Worth keeping",$C1083="EU_Data","Static lookup tables — scripts still reference (smoke-test risk)",TRUE,"Review"),OR($A1083="thg-influencer",$A1083="thg-ingenuity",$A1083="thg-central-marketing",$A1083="thg-seoclarity"),"HOLD — Charlie Stringer to review before deletion",TRUE,"")</f>
        <v>HOLD — Charlie Stringer to review before deletion</v>
      </c>
      <c r="S1083" t="s">
        <v>1624</v>
      </c>
    </row>
    <row r="1084" spans="1:19" hidden="1">
      <c r="A1084" t="s">
        <v>38</v>
      </c>
      <c r="B1084" t="s">
        <v>1619</v>
      </c>
      <c r="C1084" t="s">
        <v>3539</v>
      </c>
      <c r="D1084" s="2" t="s">
        <v>1621</v>
      </c>
      <c r="E1084">
        <v>0.71</v>
      </c>
      <c r="F1084">
        <v>0.01</v>
      </c>
      <c r="G1084" t="s">
        <v>3456</v>
      </c>
      <c r="H1084" t="s">
        <v>3457</v>
      </c>
      <c r="I1084">
        <v>1182</v>
      </c>
      <c r="J1084">
        <v>1182</v>
      </c>
      <c r="M1084" s="2" t="s">
        <v>1715</v>
      </c>
      <c r="N1084" s="2" t="s">
        <v>1701</v>
      </c>
      <c r="O1084" s="5">
        <v>45015.383555486107</v>
      </c>
      <c r="P1084" t="str">
        <f>IF($Q1084="DELETE",IF($S1084="CONFIRMED: NO MODS &gt; 1YR","CONFIRMED: NO MODS &gt; 1YR","DO NOT DELETE — not defensibly confirmed"),IF($Q1084="HOLD","DO NOT DELETE — HOLD (Charlie review)",IF($Q1084="KEEP","DO NOT DELETE — KEEP",IF(ISNUMBER(SEARCH("REVIEW",$Q1084)),"DO NOT DELETE — REVIEW pending",$S1084))))</f>
        <v>DO NOT DELETE — HOLD (Charlie review)</v>
      </c>
      <c r="Q1084" t="str" cm="1">
        <f t="array" ref="Q1084">_xlfn.IFS(AND($A1084="thg-beauty",ISNUMBER(SEARCH("liveramp",$C1084))),"DELETE",$A1084="agile-bonbon-662",_xlfn.IFS(LEFT($G1084,9)="Tranche 1","DELETE",$C1084="Sessions_Level_1_All_Sites","KEEP",ISNUMBER(--$C1084),"REVIEW — UA raw logs",$C1084="Emag_Reporting","KEEP",$C1084="Nutrition_Data_Archived_Tables","KEEP",$C1084="EU_Data","KEEP",TRUE,"REVIEW"),OR($A1084="thg-influencer",$A1084="thg-ingenuity",$A1084="thg-central-marketing",$A1084="thg-seoclarity"),"HOLD",TRUE,"")</f>
        <v>HOLD</v>
      </c>
      <c r="R1084" t="str" cm="1">
        <f t="array" ref="R1084">_xlfn.IFS(AND($A1084="thg-beauty",ISNUMBER(SEARCH("liveramp",$C1084))),"thg-beauty Liveramp dataset — confirmed safe to delete",$A1084="agile-bonbon-662",_xlfn.IFS(LEFT($G1084,9)="Tranche 1","Tranche 1: cleared",$C1084="Sessions_Level_1_All_Sites","Downstream aggregation of UA raw logs — keep if raw tables go",ISNUMBER(--$C1084),"UA raw site logs (account ID) — keep pending audit-retention check",$C1084="Emag_Reporting","Legacy but likely needed",$C1084="Nutrition_Data_Archived_Tables","Worth keeping",$C1084="EU_Data","Static lookup tables — scripts still reference (smoke-test risk)",TRUE,"Review"),OR($A1084="thg-influencer",$A1084="thg-ingenuity",$A1084="thg-central-marketing",$A1084="thg-seoclarity"),"HOLD — Charlie Stringer to review before deletion",TRUE,"")</f>
        <v>HOLD — Charlie Stringer to review before deletion</v>
      </c>
      <c r="S1084" t="s">
        <v>1624</v>
      </c>
    </row>
    <row r="1085" spans="1:19" hidden="1">
      <c r="A1085" t="s">
        <v>38</v>
      </c>
      <c r="B1085" t="s">
        <v>1619</v>
      </c>
      <c r="C1085" t="s">
        <v>3540</v>
      </c>
      <c r="D1085" s="2" t="s">
        <v>1621</v>
      </c>
      <c r="E1085">
        <v>1.74</v>
      </c>
      <c r="F1085">
        <v>0.03</v>
      </c>
      <c r="G1085" t="s">
        <v>3456</v>
      </c>
      <c r="H1085" t="s">
        <v>3457</v>
      </c>
      <c r="I1085">
        <v>1181</v>
      </c>
      <c r="J1085">
        <v>1181</v>
      </c>
      <c r="M1085" s="2" t="s">
        <v>1715</v>
      </c>
      <c r="N1085" s="2" t="s">
        <v>1701</v>
      </c>
      <c r="O1085" s="5">
        <v>45016.408131631943</v>
      </c>
      <c r="P1085" t="str">
        <f>IF($Q1085="DELETE",IF($S1085="CONFIRMED: NO MODS &gt; 1YR","CONFIRMED: NO MODS &gt; 1YR","DO NOT DELETE — not defensibly confirmed"),IF($Q1085="HOLD","DO NOT DELETE — HOLD (Charlie review)",IF($Q1085="KEEP","DO NOT DELETE — KEEP",IF(ISNUMBER(SEARCH("REVIEW",$Q1085)),"DO NOT DELETE — REVIEW pending",$S1085))))</f>
        <v>DO NOT DELETE — HOLD (Charlie review)</v>
      </c>
      <c r="Q1085" t="str" cm="1">
        <f t="array" ref="Q1085">_xlfn.IFS(AND($A1085="thg-beauty",ISNUMBER(SEARCH("liveramp",$C1085))),"DELETE",$A1085="agile-bonbon-662",_xlfn.IFS(LEFT($G1085,9)="Tranche 1","DELETE",$C1085="Sessions_Level_1_All_Sites","KEEP",ISNUMBER(--$C1085),"REVIEW — UA raw logs",$C1085="Emag_Reporting","KEEP",$C1085="Nutrition_Data_Archived_Tables","KEEP",$C1085="EU_Data","KEEP",TRUE,"REVIEW"),OR($A1085="thg-influencer",$A1085="thg-ingenuity",$A1085="thg-central-marketing",$A1085="thg-seoclarity"),"HOLD",TRUE,"")</f>
        <v>HOLD</v>
      </c>
      <c r="R1085" t="str" cm="1">
        <f t="array" ref="R1085">_xlfn.IFS(AND($A1085="thg-beauty",ISNUMBER(SEARCH("liveramp",$C1085))),"thg-beauty Liveramp dataset — confirmed safe to delete",$A1085="agile-bonbon-662",_xlfn.IFS(LEFT($G1085,9)="Tranche 1","Tranche 1: cleared",$C1085="Sessions_Level_1_All_Sites","Downstream aggregation of UA raw logs — keep if raw tables go",ISNUMBER(--$C1085),"UA raw site logs (account ID) — keep pending audit-retention check",$C1085="Emag_Reporting","Legacy but likely needed",$C1085="Nutrition_Data_Archived_Tables","Worth keeping",$C1085="EU_Data","Static lookup tables — scripts still reference (smoke-test risk)",TRUE,"Review"),OR($A1085="thg-influencer",$A1085="thg-ingenuity",$A1085="thg-central-marketing",$A1085="thg-seoclarity"),"HOLD — Charlie Stringer to review before deletion",TRUE,"")</f>
        <v>HOLD — Charlie Stringer to review before deletion</v>
      </c>
      <c r="S1085" t="s">
        <v>1624</v>
      </c>
    </row>
    <row r="1086" spans="1:19" hidden="1">
      <c r="A1086" t="s">
        <v>38</v>
      </c>
      <c r="B1086" t="s">
        <v>1619</v>
      </c>
      <c r="C1086" t="s">
        <v>3541</v>
      </c>
      <c r="D1086" s="2" t="s">
        <v>1621</v>
      </c>
      <c r="E1086">
        <v>0.48</v>
      </c>
      <c r="F1086">
        <v>0.01</v>
      </c>
      <c r="G1086" t="s">
        <v>3456</v>
      </c>
      <c r="H1086" t="s">
        <v>3457</v>
      </c>
      <c r="I1086">
        <v>1181</v>
      </c>
      <c r="J1086">
        <v>1181</v>
      </c>
      <c r="M1086" s="2" t="s">
        <v>1715</v>
      </c>
      <c r="N1086" s="2" t="s">
        <v>1701</v>
      </c>
      <c r="O1086" s="5">
        <v>45016.408129293981</v>
      </c>
      <c r="P1086" t="str">
        <f>IF($Q1086="DELETE",IF($S1086="CONFIRMED: NO MODS &gt; 1YR","CONFIRMED: NO MODS &gt; 1YR","DO NOT DELETE — not defensibly confirmed"),IF($Q1086="HOLD","DO NOT DELETE — HOLD (Charlie review)",IF($Q1086="KEEP","DO NOT DELETE — KEEP",IF(ISNUMBER(SEARCH("REVIEW",$Q1086)),"DO NOT DELETE — REVIEW pending",$S1086))))</f>
        <v>DO NOT DELETE — HOLD (Charlie review)</v>
      </c>
      <c r="Q1086" t="str" cm="1">
        <f t="array" ref="Q1086">_xlfn.IFS(AND($A1086="thg-beauty",ISNUMBER(SEARCH("liveramp",$C1086))),"DELETE",$A1086="agile-bonbon-662",_xlfn.IFS(LEFT($G1086,9)="Tranche 1","DELETE",$C1086="Sessions_Level_1_All_Sites","KEEP",ISNUMBER(--$C1086),"REVIEW — UA raw logs",$C1086="Emag_Reporting","KEEP",$C1086="Nutrition_Data_Archived_Tables","KEEP",$C1086="EU_Data","KEEP",TRUE,"REVIEW"),OR($A1086="thg-influencer",$A1086="thg-ingenuity",$A1086="thg-central-marketing",$A1086="thg-seoclarity"),"HOLD",TRUE,"")</f>
        <v>HOLD</v>
      </c>
      <c r="R1086" t="str" cm="1">
        <f t="array" ref="R1086">_xlfn.IFS(AND($A1086="thg-beauty",ISNUMBER(SEARCH("liveramp",$C1086))),"thg-beauty Liveramp dataset — confirmed safe to delete",$A1086="agile-bonbon-662",_xlfn.IFS(LEFT($G1086,9)="Tranche 1","Tranche 1: cleared",$C1086="Sessions_Level_1_All_Sites","Downstream aggregation of UA raw logs — keep if raw tables go",ISNUMBER(--$C1086),"UA raw site logs (account ID) — keep pending audit-retention check",$C1086="Emag_Reporting","Legacy but likely needed",$C1086="Nutrition_Data_Archived_Tables","Worth keeping",$C1086="EU_Data","Static lookup tables — scripts still reference (smoke-test risk)",TRUE,"Review"),OR($A1086="thg-influencer",$A1086="thg-ingenuity",$A1086="thg-central-marketing",$A1086="thg-seoclarity"),"HOLD — Charlie Stringer to review before deletion",TRUE,"")</f>
        <v>HOLD — Charlie Stringer to review before deletion</v>
      </c>
      <c r="S1086" t="s">
        <v>1624</v>
      </c>
    </row>
    <row r="1087" spans="1:19" hidden="1">
      <c r="A1087" t="s">
        <v>38</v>
      </c>
      <c r="B1087" t="s">
        <v>1619</v>
      </c>
      <c r="C1087" t="s">
        <v>3542</v>
      </c>
      <c r="D1087" s="2" t="s">
        <v>1621</v>
      </c>
      <c r="E1087">
        <v>0.86</v>
      </c>
      <c r="F1087">
        <v>0.02</v>
      </c>
      <c r="G1087" t="s">
        <v>3456</v>
      </c>
      <c r="H1087" t="s">
        <v>3457</v>
      </c>
      <c r="I1087">
        <v>1174</v>
      </c>
      <c r="J1087">
        <v>1174</v>
      </c>
      <c r="M1087" s="2" t="s">
        <v>1715</v>
      </c>
      <c r="N1087" s="2" t="s">
        <v>1701</v>
      </c>
      <c r="O1087" s="5">
        <v>45023.3255909375</v>
      </c>
      <c r="P1087" t="str">
        <f>IF($Q1087="DELETE",IF($S1087="CONFIRMED: NO MODS &gt; 1YR","CONFIRMED: NO MODS &gt; 1YR","DO NOT DELETE — not defensibly confirmed"),IF($Q1087="HOLD","DO NOT DELETE — HOLD (Charlie review)",IF($Q1087="KEEP","DO NOT DELETE — KEEP",IF(ISNUMBER(SEARCH("REVIEW",$Q1087)),"DO NOT DELETE — REVIEW pending",$S1087))))</f>
        <v>DO NOT DELETE — HOLD (Charlie review)</v>
      </c>
      <c r="Q1087" t="str" cm="1">
        <f t="array" ref="Q1087">_xlfn.IFS(AND($A1087="thg-beauty",ISNUMBER(SEARCH("liveramp",$C1087))),"DELETE",$A1087="agile-bonbon-662",_xlfn.IFS(LEFT($G1087,9)="Tranche 1","DELETE",$C1087="Sessions_Level_1_All_Sites","KEEP",ISNUMBER(--$C1087),"REVIEW — UA raw logs",$C1087="Emag_Reporting","KEEP",$C1087="Nutrition_Data_Archived_Tables","KEEP",$C1087="EU_Data","KEEP",TRUE,"REVIEW"),OR($A1087="thg-influencer",$A1087="thg-ingenuity",$A1087="thg-central-marketing",$A1087="thg-seoclarity"),"HOLD",TRUE,"")</f>
        <v>HOLD</v>
      </c>
      <c r="R1087" t="str" cm="1">
        <f t="array" ref="R1087">_xlfn.IFS(AND($A1087="thg-beauty",ISNUMBER(SEARCH("liveramp",$C1087))),"thg-beauty Liveramp dataset — confirmed safe to delete",$A1087="agile-bonbon-662",_xlfn.IFS(LEFT($G1087,9)="Tranche 1","Tranche 1: cleared",$C1087="Sessions_Level_1_All_Sites","Downstream aggregation of UA raw logs — keep if raw tables go",ISNUMBER(--$C1087),"UA raw site logs (account ID) — keep pending audit-retention check",$C1087="Emag_Reporting","Legacy but likely needed",$C1087="Nutrition_Data_Archived_Tables","Worth keeping",$C1087="EU_Data","Static lookup tables — scripts still reference (smoke-test risk)",TRUE,"Review"),OR($A1087="thg-influencer",$A1087="thg-ingenuity",$A1087="thg-central-marketing",$A1087="thg-seoclarity"),"HOLD — Charlie Stringer to review before deletion",TRUE,"")</f>
        <v>HOLD — Charlie Stringer to review before deletion</v>
      </c>
      <c r="S1087" t="s">
        <v>1624</v>
      </c>
    </row>
    <row r="1088" spans="1:19" hidden="1">
      <c r="A1088" t="s">
        <v>38</v>
      </c>
      <c r="B1088" t="s">
        <v>1619</v>
      </c>
      <c r="C1088" t="s">
        <v>3543</v>
      </c>
      <c r="D1088" s="2" t="s">
        <v>1621</v>
      </c>
      <c r="E1088">
        <v>1.64</v>
      </c>
      <c r="F1088">
        <v>0.03</v>
      </c>
      <c r="G1088" t="s">
        <v>3456</v>
      </c>
      <c r="H1088" t="s">
        <v>3457</v>
      </c>
      <c r="I1088">
        <v>1168</v>
      </c>
      <c r="J1088">
        <v>1168</v>
      </c>
      <c r="M1088" s="2" t="s">
        <v>1715</v>
      </c>
      <c r="N1088" s="2" t="s">
        <v>1701</v>
      </c>
      <c r="O1088" s="5">
        <v>45028.957623703704</v>
      </c>
      <c r="P1088" t="str">
        <f>IF($Q1088="DELETE",IF($S1088="CONFIRMED: NO MODS &gt; 1YR","CONFIRMED: NO MODS &gt; 1YR","DO NOT DELETE — not defensibly confirmed"),IF($Q1088="HOLD","DO NOT DELETE — HOLD (Charlie review)",IF($Q1088="KEEP","DO NOT DELETE — KEEP",IF(ISNUMBER(SEARCH("REVIEW",$Q1088)),"DO NOT DELETE — REVIEW pending",$S1088))))</f>
        <v>DO NOT DELETE — HOLD (Charlie review)</v>
      </c>
      <c r="Q1088" t="str" cm="1">
        <f t="array" ref="Q1088">_xlfn.IFS(AND($A1088="thg-beauty",ISNUMBER(SEARCH("liveramp",$C1088))),"DELETE",$A1088="agile-bonbon-662",_xlfn.IFS(LEFT($G1088,9)="Tranche 1","DELETE",$C1088="Sessions_Level_1_All_Sites","KEEP",ISNUMBER(--$C1088),"REVIEW — UA raw logs",$C1088="Emag_Reporting","KEEP",$C1088="Nutrition_Data_Archived_Tables","KEEP",$C1088="EU_Data","KEEP",TRUE,"REVIEW"),OR($A1088="thg-influencer",$A1088="thg-ingenuity",$A1088="thg-central-marketing",$A1088="thg-seoclarity"),"HOLD",TRUE,"")</f>
        <v>HOLD</v>
      </c>
      <c r="R1088" t="str" cm="1">
        <f t="array" ref="R1088">_xlfn.IFS(AND($A1088="thg-beauty",ISNUMBER(SEARCH("liveramp",$C1088))),"thg-beauty Liveramp dataset — confirmed safe to delete",$A1088="agile-bonbon-662",_xlfn.IFS(LEFT($G1088,9)="Tranche 1","Tranche 1: cleared",$C1088="Sessions_Level_1_All_Sites","Downstream aggregation of UA raw logs — keep if raw tables go",ISNUMBER(--$C1088),"UA raw site logs (account ID) — keep pending audit-retention check",$C1088="Emag_Reporting","Legacy but likely needed",$C1088="Nutrition_Data_Archived_Tables","Worth keeping",$C1088="EU_Data","Static lookup tables — scripts still reference (smoke-test risk)",TRUE,"Review"),OR($A1088="thg-influencer",$A1088="thg-ingenuity",$A1088="thg-central-marketing",$A1088="thg-seoclarity"),"HOLD — Charlie Stringer to review before deletion",TRUE,"")</f>
        <v>HOLD — Charlie Stringer to review before deletion</v>
      </c>
      <c r="S1088" t="s">
        <v>1624</v>
      </c>
    </row>
    <row r="1089" spans="1:19" hidden="1">
      <c r="A1089" t="s">
        <v>38</v>
      </c>
      <c r="B1089" t="s">
        <v>1619</v>
      </c>
      <c r="C1089" t="s">
        <v>3544</v>
      </c>
      <c r="D1089" s="2" t="s">
        <v>1621</v>
      </c>
      <c r="E1089">
        <v>0.01</v>
      </c>
      <c r="F1089">
        <v>0</v>
      </c>
      <c r="G1089" t="s">
        <v>3456</v>
      </c>
      <c r="H1089" t="s">
        <v>3457</v>
      </c>
      <c r="I1089">
        <v>1166</v>
      </c>
      <c r="J1089">
        <v>1166</v>
      </c>
      <c r="M1089" s="2" t="s">
        <v>1715</v>
      </c>
      <c r="N1089" s="2" t="s">
        <v>1701</v>
      </c>
      <c r="O1089" s="5">
        <v>45031.173967303243</v>
      </c>
      <c r="P1089" t="str">
        <f>IF($Q1089="DELETE",IF($S1089="CONFIRMED: NO MODS &gt; 1YR","CONFIRMED: NO MODS &gt; 1YR","DO NOT DELETE — not defensibly confirmed"),IF($Q1089="HOLD","DO NOT DELETE — HOLD (Charlie review)",IF($Q1089="KEEP","DO NOT DELETE — KEEP",IF(ISNUMBER(SEARCH("REVIEW",$Q1089)),"DO NOT DELETE — REVIEW pending",$S1089))))</f>
        <v>DO NOT DELETE — HOLD (Charlie review)</v>
      </c>
      <c r="Q1089" t="str" cm="1">
        <f t="array" ref="Q1089">_xlfn.IFS(AND($A1089="thg-beauty",ISNUMBER(SEARCH("liveramp",$C1089))),"DELETE",$A1089="agile-bonbon-662",_xlfn.IFS(LEFT($G1089,9)="Tranche 1","DELETE",$C1089="Sessions_Level_1_All_Sites","KEEP",ISNUMBER(--$C1089),"REVIEW — UA raw logs",$C1089="Emag_Reporting","KEEP",$C1089="Nutrition_Data_Archived_Tables","KEEP",$C1089="EU_Data","KEEP",TRUE,"REVIEW"),OR($A1089="thg-influencer",$A1089="thg-ingenuity",$A1089="thg-central-marketing",$A1089="thg-seoclarity"),"HOLD",TRUE,"")</f>
        <v>HOLD</v>
      </c>
      <c r="R1089" t="str" cm="1">
        <f t="array" ref="R1089">_xlfn.IFS(AND($A1089="thg-beauty",ISNUMBER(SEARCH("liveramp",$C1089))),"thg-beauty Liveramp dataset — confirmed safe to delete",$A1089="agile-bonbon-662",_xlfn.IFS(LEFT($G1089,9)="Tranche 1","Tranche 1: cleared",$C1089="Sessions_Level_1_All_Sites","Downstream aggregation of UA raw logs — keep if raw tables go",ISNUMBER(--$C1089),"UA raw site logs (account ID) — keep pending audit-retention check",$C1089="Emag_Reporting","Legacy but likely needed",$C1089="Nutrition_Data_Archived_Tables","Worth keeping",$C1089="EU_Data","Static lookup tables — scripts still reference (smoke-test risk)",TRUE,"Review"),OR($A1089="thg-influencer",$A1089="thg-ingenuity",$A1089="thg-central-marketing",$A1089="thg-seoclarity"),"HOLD — Charlie Stringer to review before deletion",TRUE,"")</f>
        <v>HOLD — Charlie Stringer to review before deletion</v>
      </c>
      <c r="S1089" t="s">
        <v>1624</v>
      </c>
    </row>
    <row r="1090" spans="1:19" hidden="1">
      <c r="A1090" t="s">
        <v>38</v>
      </c>
      <c r="B1090" t="s">
        <v>1619</v>
      </c>
      <c r="C1090" t="s">
        <v>3545</v>
      </c>
      <c r="D1090" s="2" t="s">
        <v>1621</v>
      </c>
      <c r="E1090">
        <v>0.43</v>
      </c>
      <c r="F1090">
        <v>0.01</v>
      </c>
      <c r="G1090" t="s">
        <v>3456</v>
      </c>
      <c r="H1090" t="s">
        <v>3457</v>
      </c>
      <c r="I1090">
        <v>1162</v>
      </c>
      <c r="J1090">
        <v>1162</v>
      </c>
      <c r="M1090" s="2" t="s">
        <v>1715</v>
      </c>
      <c r="N1090" s="2" t="s">
        <v>1701</v>
      </c>
      <c r="O1090" s="5">
        <v>45035.350477881948</v>
      </c>
      <c r="P1090" t="str">
        <f>IF($Q1090="DELETE",IF($S1090="CONFIRMED: NO MODS &gt; 1YR","CONFIRMED: NO MODS &gt; 1YR","DO NOT DELETE — not defensibly confirmed"),IF($Q1090="HOLD","DO NOT DELETE — HOLD (Charlie review)",IF($Q1090="KEEP","DO NOT DELETE — KEEP",IF(ISNUMBER(SEARCH("REVIEW",$Q1090)),"DO NOT DELETE — REVIEW pending",$S1090))))</f>
        <v>DO NOT DELETE — HOLD (Charlie review)</v>
      </c>
      <c r="Q1090" t="str" cm="1">
        <f t="array" ref="Q1090">_xlfn.IFS(AND($A1090="thg-beauty",ISNUMBER(SEARCH("liveramp",$C1090))),"DELETE",$A1090="agile-bonbon-662",_xlfn.IFS(LEFT($G1090,9)="Tranche 1","DELETE",$C1090="Sessions_Level_1_All_Sites","KEEP",ISNUMBER(--$C1090),"REVIEW — UA raw logs",$C1090="Emag_Reporting","KEEP",$C1090="Nutrition_Data_Archived_Tables","KEEP",$C1090="EU_Data","KEEP",TRUE,"REVIEW"),OR($A1090="thg-influencer",$A1090="thg-ingenuity",$A1090="thg-central-marketing",$A1090="thg-seoclarity"),"HOLD",TRUE,"")</f>
        <v>HOLD</v>
      </c>
      <c r="R1090" t="str" cm="1">
        <f t="array" ref="R1090">_xlfn.IFS(AND($A1090="thg-beauty",ISNUMBER(SEARCH("liveramp",$C1090))),"thg-beauty Liveramp dataset — confirmed safe to delete",$A1090="agile-bonbon-662",_xlfn.IFS(LEFT($G1090,9)="Tranche 1","Tranche 1: cleared",$C1090="Sessions_Level_1_All_Sites","Downstream aggregation of UA raw logs — keep if raw tables go",ISNUMBER(--$C1090),"UA raw site logs (account ID) — keep pending audit-retention check",$C1090="Emag_Reporting","Legacy but likely needed",$C1090="Nutrition_Data_Archived_Tables","Worth keeping",$C1090="EU_Data","Static lookup tables — scripts still reference (smoke-test risk)",TRUE,"Review"),OR($A1090="thg-influencer",$A1090="thg-ingenuity",$A1090="thg-central-marketing",$A1090="thg-seoclarity"),"HOLD — Charlie Stringer to review before deletion",TRUE,"")</f>
        <v>HOLD — Charlie Stringer to review before deletion</v>
      </c>
      <c r="S1090" t="s">
        <v>1624</v>
      </c>
    </row>
    <row r="1091" spans="1:19" hidden="1">
      <c r="A1091" t="s">
        <v>38</v>
      </c>
      <c r="B1091" t="s">
        <v>1619</v>
      </c>
      <c r="C1091" t="s">
        <v>3546</v>
      </c>
      <c r="D1091" s="2" t="s">
        <v>1621</v>
      </c>
      <c r="E1091">
        <v>0.03</v>
      </c>
      <c r="F1091">
        <v>0</v>
      </c>
      <c r="G1091" t="s">
        <v>3456</v>
      </c>
      <c r="H1091" t="s">
        <v>3457</v>
      </c>
      <c r="I1091">
        <v>1161</v>
      </c>
      <c r="J1091">
        <v>1161</v>
      </c>
      <c r="M1091" s="2" t="s">
        <v>1715</v>
      </c>
      <c r="N1091" s="2" t="s">
        <v>1701</v>
      </c>
      <c r="O1091" s="5">
        <v>45036.338240115743</v>
      </c>
      <c r="P1091" t="str">
        <f>IF($Q1091="DELETE",IF($S1091="CONFIRMED: NO MODS &gt; 1YR","CONFIRMED: NO MODS &gt; 1YR","DO NOT DELETE — not defensibly confirmed"),IF($Q1091="HOLD","DO NOT DELETE — HOLD (Charlie review)",IF($Q1091="KEEP","DO NOT DELETE — KEEP",IF(ISNUMBER(SEARCH("REVIEW",$Q1091)),"DO NOT DELETE — REVIEW pending",$S1091))))</f>
        <v>DO NOT DELETE — HOLD (Charlie review)</v>
      </c>
      <c r="Q1091" t="str" cm="1">
        <f t="array" ref="Q1091">_xlfn.IFS(AND($A1091="thg-beauty",ISNUMBER(SEARCH("liveramp",$C1091))),"DELETE",$A1091="agile-bonbon-662",_xlfn.IFS(LEFT($G1091,9)="Tranche 1","DELETE",$C1091="Sessions_Level_1_All_Sites","KEEP",ISNUMBER(--$C1091),"REVIEW — UA raw logs",$C1091="Emag_Reporting","KEEP",$C1091="Nutrition_Data_Archived_Tables","KEEP",$C1091="EU_Data","KEEP",TRUE,"REVIEW"),OR($A1091="thg-influencer",$A1091="thg-ingenuity",$A1091="thg-central-marketing",$A1091="thg-seoclarity"),"HOLD",TRUE,"")</f>
        <v>HOLD</v>
      </c>
      <c r="R1091" t="str" cm="1">
        <f t="array" ref="R1091">_xlfn.IFS(AND($A1091="thg-beauty",ISNUMBER(SEARCH("liveramp",$C1091))),"thg-beauty Liveramp dataset — confirmed safe to delete",$A1091="agile-bonbon-662",_xlfn.IFS(LEFT($G1091,9)="Tranche 1","Tranche 1: cleared",$C1091="Sessions_Level_1_All_Sites","Downstream aggregation of UA raw logs — keep if raw tables go",ISNUMBER(--$C1091),"UA raw site logs (account ID) — keep pending audit-retention check",$C1091="Emag_Reporting","Legacy but likely needed",$C1091="Nutrition_Data_Archived_Tables","Worth keeping",$C1091="EU_Data","Static lookup tables — scripts still reference (smoke-test risk)",TRUE,"Review"),OR($A1091="thg-influencer",$A1091="thg-ingenuity",$A1091="thg-central-marketing",$A1091="thg-seoclarity"),"HOLD — Charlie Stringer to review before deletion",TRUE,"")</f>
        <v>HOLD — Charlie Stringer to review before deletion</v>
      </c>
      <c r="S1091" t="s">
        <v>1624</v>
      </c>
    </row>
    <row r="1092" spans="1:19" hidden="1">
      <c r="A1092" t="s">
        <v>38</v>
      </c>
      <c r="B1092" t="s">
        <v>1619</v>
      </c>
      <c r="C1092" t="s">
        <v>3547</v>
      </c>
      <c r="D1092" s="2" t="s">
        <v>1621</v>
      </c>
      <c r="E1092">
        <v>2.11</v>
      </c>
      <c r="F1092">
        <v>0.04</v>
      </c>
      <c r="G1092" t="s">
        <v>3456</v>
      </c>
      <c r="H1092" t="s">
        <v>3457</v>
      </c>
      <c r="I1092">
        <v>1141</v>
      </c>
      <c r="J1092">
        <v>1141</v>
      </c>
      <c r="M1092" s="2" t="s">
        <v>1715</v>
      </c>
      <c r="N1092" s="2" t="s">
        <v>1701</v>
      </c>
      <c r="O1092" s="5">
        <v>45056.351600381953</v>
      </c>
      <c r="P1092" t="str">
        <f>IF($Q1092="DELETE",IF($S1092="CONFIRMED: NO MODS &gt; 1YR","CONFIRMED: NO MODS &gt; 1YR","DO NOT DELETE — not defensibly confirmed"),IF($Q1092="HOLD","DO NOT DELETE — HOLD (Charlie review)",IF($Q1092="KEEP","DO NOT DELETE — KEEP",IF(ISNUMBER(SEARCH("REVIEW",$Q1092)),"DO NOT DELETE — REVIEW pending",$S1092))))</f>
        <v>DO NOT DELETE — HOLD (Charlie review)</v>
      </c>
      <c r="Q1092" t="str" cm="1">
        <f t="array" ref="Q1092">_xlfn.IFS(AND($A1092="thg-beauty",ISNUMBER(SEARCH("liveramp",$C1092))),"DELETE",$A1092="agile-bonbon-662",_xlfn.IFS(LEFT($G1092,9)="Tranche 1","DELETE",$C1092="Sessions_Level_1_All_Sites","KEEP",ISNUMBER(--$C1092),"REVIEW — UA raw logs",$C1092="Emag_Reporting","KEEP",$C1092="Nutrition_Data_Archived_Tables","KEEP",$C1092="EU_Data","KEEP",TRUE,"REVIEW"),OR($A1092="thg-influencer",$A1092="thg-ingenuity",$A1092="thg-central-marketing",$A1092="thg-seoclarity"),"HOLD",TRUE,"")</f>
        <v>HOLD</v>
      </c>
      <c r="R1092" t="str" cm="1">
        <f t="array" ref="R1092">_xlfn.IFS(AND($A1092="thg-beauty",ISNUMBER(SEARCH("liveramp",$C1092))),"thg-beauty Liveramp dataset — confirmed safe to delete",$A1092="agile-bonbon-662",_xlfn.IFS(LEFT($G1092,9)="Tranche 1","Tranche 1: cleared",$C1092="Sessions_Level_1_All_Sites","Downstream aggregation of UA raw logs — keep if raw tables go",ISNUMBER(--$C1092),"UA raw site logs (account ID) — keep pending audit-retention check",$C1092="Emag_Reporting","Legacy but likely needed",$C1092="Nutrition_Data_Archived_Tables","Worth keeping",$C1092="EU_Data","Static lookup tables — scripts still reference (smoke-test risk)",TRUE,"Review"),OR($A1092="thg-influencer",$A1092="thg-ingenuity",$A1092="thg-central-marketing",$A1092="thg-seoclarity"),"HOLD — Charlie Stringer to review before deletion",TRUE,"")</f>
        <v>HOLD — Charlie Stringer to review before deletion</v>
      </c>
      <c r="S1092" t="s">
        <v>1624</v>
      </c>
    </row>
    <row r="1093" spans="1:19" hidden="1">
      <c r="A1093" t="s">
        <v>38</v>
      </c>
      <c r="B1093" t="s">
        <v>1619</v>
      </c>
      <c r="C1093" t="s">
        <v>3548</v>
      </c>
      <c r="D1093" s="2" t="s">
        <v>1621</v>
      </c>
      <c r="E1093">
        <v>0</v>
      </c>
      <c r="F1093">
        <v>0</v>
      </c>
      <c r="G1093" t="s">
        <v>3456</v>
      </c>
      <c r="H1093" t="s">
        <v>3457</v>
      </c>
      <c r="I1093">
        <v>1132</v>
      </c>
      <c r="J1093">
        <v>1132</v>
      </c>
      <c r="M1093" s="2" t="s">
        <v>1715</v>
      </c>
      <c r="N1093" s="2" t="s">
        <v>1701</v>
      </c>
      <c r="O1093" s="5">
        <v>45064.480960115739</v>
      </c>
      <c r="P1093" t="str">
        <f>IF($Q1093="DELETE",IF($S1093="CONFIRMED: NO MODS &gt; 1YR","CONFIRMED: NO MODS &gt; 1YR","DO NOT DELETE — not defensibly confirmed"),IF($Q1093="HOLD","DO NOT DELETE — HOLD (Charlie review)",IF($Q1093="KEEP","DO NOT DELETE — KEEP",IF(ISNUMBER(SEARCH("REVIEW",$Q1093)),"DO NOT DELETE — REVIEW pending",$S1093))))</f>
        <v>DO NOT DELETE — HOLD (Charlie review)</v>
      </c>
      <c r="Q1093" t="str" cm="1">
        <f t="array" ref="Q1093">_xlfn.IFS(AND($A1093="thg-beauty",ISNUMBER(SEARCH("liveramp",$C1093))),"DELETE",$A1093="agile-bonbon-662",_xlfn.IFS(LEFT($G1093,9)="Tranche 1","DELETE",$C1093="Sessions_Level_1_All_Sites","KEEP",ISNUMBER(--$C1093),"REVIEW — UA raw logs",$C1093="Emag_Reporting","KEEP",$C1093="Nutrition_Data_Archived_Tables","KEEP",$C1093="EU_Data","KEEP",TRUE,"REVIEW"),OR($A1093="thg-influencer",$A1093="thg-ingenuity",$A1093="thg-central-marketing",$A1093="thg-seoclarity"),"HOLD",TRUE,"")</f>
        <v>HOLD</v>
      </c>
      <c r="R1093" t="str" cm="1">
        <f t="array" ref="R1093">_xlfn.IFS(AND($A1093="thg-beauty",ISNUMBER(SEARCH("liveramp",$C1093))),"thg-beauty Liveramp dataset — confirmed safe to delete",$A1093="agile-bonbon-662",_xlfn.IFS(LEFT($G1093,9)="Tranche 1","Tranche 1: cleared",$C1093="Sessions_Level_1_All_Sites","Downstream aggregation of UA raw logs — keep if raw tables go",ISNUMBER(--$C1093),"UA raw site logs (account ID) — keep pending audit-retention check",$C1093="Emag_Reporting","Legacy but likely needed",$C1093="Nutrition_Data_Archived_Tables","Worth keeping",$C1093="EU_Data","Static lookup tables — scripts still reference (smoke-test risk)",TRUE,"Review"),OR($A1093="thg-influencer",$A1093="thg-ingenuity",$A1093="thg-central-marketing",$A1093="thg-seoclarity"),"HOLD — Charlie Stringer to review before deletion",TRUE,"")</f>
        <v>HOLD — Charlie Stringer to review before deletion</v>
      </c>
      <c r="S1093" t="s">
        <v>1624</v>
      </c>
    </row>
    <row r="1094" spans="1:19" hidden="1">
      <c r="A1094" t="s">
        <v>38</v>
      </c>
      <c r="B1094" t="s">
        <v>1619</v>
      </c>
      <c r="C1094" t="s">
        <v>3549</v>
      </c>
      <c r="D1094" s="2" t="s">
        <v>1621</v>
      </c>
      <c r="E1094">
        <v>0.61</v>
      </c>
      <c r="F1094">
        <v>0.01</v>
      </c>
      <c r="G1094" t="s">
        <v>3456</v>
      </c>
      <c r="H1094" t="s">
        <v>3457</v>
      </c>
      <c r="I1094">
        <v>1128</v>
      </c>
      <c r="J1094">
        <v>1128</v>
      </c>
      <c r="M1094" s="2" t="s">
        <v>1715</v>
      </c>
      <c r="N1094" s="2" t="s">
        <v>1701</v>
      </c>
      <c r="O1094" s="5">
        <v>45068.475718877307</v>
      </c>
      <c r="P1094" t="str">
        <f>IF($Q1094="DELETE",IF($S1094="CONFIRMED: NO MODS &gt; 1YR","CONFIRMED: NO MODS &gt; 1YR","DO NOT DELETE — not defensibly confirmed"),IF($Q1094="HOLD","DO NOT DELETE — HOLD (Charlie review)",IF($Q1094="KEEP","DO NOT DELETE — KEEP",IF(ISNUMBER(SEARCH("REVIEW",$Q1094)),"DO NOT DELETE — REVIEW pending",$S1094))))</f>
        <v>DO NOT DELETE — HOLD (Charlie review)</v>
      </c>
      <c r="Q1094" t="str" cm="1">
        <f t="array" ref="Q1094">_xlfn.IFS(AND($A1094="thg-beauty",ISNUMBER(SEARCH("liveramp",$C1094))),"DELETE",$A1094="agile-bonbon-662",_xlfn.IFS(LEFT($G1094,9)="Tranche 1","DELETE",$C1094="Sessions_Level_1_All_Sites","KEEP",ISNUMBER(--$C1094),"REVIEW — UA raw logs",$C1094="Emag_Reporting","KEEP",$C1094="Nutrition_Data_Archived_Tables","KEEP",$C1094="EU_Data","KEEP",TRUE,"REVIEW"),OR($A1094="thg-influencer",$A1094="thg-ingenuity",$A1094="thg-central-marketing",$A1094="thg-seoclarity"),"HOLD",TRUE,"")</f>
        <v>HOLD</v>
      </c>
      <c r="R1094" t="str" cm="1">
        <f t="array" ref="R1094">_xlfn.IFS(AND($A1094="thg-beauty",ISNUMBER(SEARCH("liveramp",$C1094))),"thg-beauty Liveramp dataset — confirmed safe to delete",$A1094="agile-bonbon-662",_xlfn.IFS(LEFT($G1094,9)="Tranche 1","Tranche 1: cleared",$C1094="Sessions_Level_1_All_Sites","Downstream aggregation of UA raw logs — keep if raw tables go",ISNUMBER(--$C1094),"UA raw site logs (account ID) — keep pending audit-retention check",$C1094="Emag_Reporting","Legacy but likely needed",$C1094="Nutrition_Data_Archived_Tables","Worth keeping",$C1094="EU_Data","Static lookup tables — scripts still reference (smoke-test risk)",TRUE,"Review"),OR($A1094="thg-influencer",$A1094="thg-ingenuity",$A1094="thg-central-marketing",$A1094="thg-seoclarity"),"HOLD — Charlie Stringer to review before deletion",TRUE,"")</f>
        <v>HOLD — Charlie Stringer to review before deletion</v>
      </c>
      <c r="S1094" t="s">
        <v>1624</v>
      </c>
    </row>
    <row r="1095" spans="1:19" hidden="1">
      <c r="A1095" t="s">
        <v>38</v>
      </c>
      <c r="B1095" t="s">
        <v>1619</v>
      </c>
      <c r="C1095" t="s">
        <v>3550</v>
      </c>
      <c r="D1095" s="2" t="s">
        <v>1621</v>
      </c>
      <c r="E1095">
        <v>0.3</v>
      </c>
      <c r="F1095">
        <v>0.01</v>
      </c>
      <c r="G1095" t="s">
        <v>3456</v>
      </c>
      <c r="H1095" t="s">
        <v>3457</v>
      </c>
      <c r="I1095">
        <v>1109</v>
      </c>
      <c r="J1095">
        <v>1109</v>
      </c>
      <c r="M1095" s="2" t="s">
        <v>1715</v>
      </c>
      <c r="N1095" s="2" t="s">
        <v>1701</v>
      </c>
      <c r="O1095" s="5">
        <v>45088.262809629632</v>
      </c>
      <c r="P1095" t="str">
        <f>IF($Q1095="DELETE",IF($S1095="CONFIRMED: NO MODS &gt; 1YR","CONFIRMED: NO MODS &gt; 1YR","DO NOT DELETE — not defensibly confirmed"),IF($Q1095="HOLD","DO NOT DELETE — HOLD (Charlie review)",IF($Q1095="KEEP","DO NOT DELETE — KEEP",IF(ISNUMBER(SEARCH("REVIEW",$Q1095)),"DO NOT DELETE — REVIEW pending",$S1095))))</f>
        <v>DO NOT DELETE — HOLD (Charlie review)</v>
      </c>
      <c r="Q1095" t="str" cm="1">
        <f t="array" ref="Q1095">_xlfn.IFS(AND($A1095="thg-beauty",ISNUMBER(SEARCH("liveramp",$C1095))),"DELETE",$A1095="agile-bonbon-662",_xlfn.IFS(LEFT($G1095,9)="Tranche 1","DELETE",$C1095="Sessions_Level_1_All_Sites","KEEP",ISNUMBER(--$C1095),"REVIEW — UA raw logs",$C1095="Emag_Reporting","KEEP",$C1095="Nutrition_Data_Archived_Tables","KEEP",$C1095="EU_Data","KEEP",TRUE,"REVIEW"),OR($A1095="thg-influencer",$A1095="thg-ingenuity",$A1095="thg-central-marketing",$A1095="thg-seoclarity"),"HOLD",TRUE,"")</f>
        <v>HOLD</v>
      </c>
      <c r="R1095" t="str" cm="1">
        <f t="array" ref="R1095">_xlfn.IFS(AND($A1095="thg-beauty",ISNUMBER(SEARCH("liveramp",$C1095))),"thg-beauty Liveramp dataset — confirmed safe to delete",$A1095="agile-bonbon-662",_xlfn.IFS(LEFT($G1095,9)="Tranche 1","Tranche 1: cleared",$C1095="Sessions_Level_1_All_Sites","Downstream aggregation of UA raw logs — keep if raw tables go",ISNUMBER(--$C1095),"UA raw site logs (account ID) — keep pending audit-retention check",$C1095="Emag_Reporting","Legacy but likely needed",$C1095="Nutrition_Data_Archived_Tables","Worth keeping",$C1095="EU_Data","Static lookup tables — scripts still reference (smoke-test risk)",TRUE,"Review"),OR($A1095="thg-influencer",$A1095="thg-ingenuity",$A1095="thg-central-marketing",$A1095="thg-seoclarity"),"HOLD — Charlie Stringer to review before deletion",TRUE,"")</f>
        <v>HOLD — Charlie Stringer to review before deletion</v>
      </c>
      <c r="S1095" t="s">
        <v>1624</v>
      </c>
    </row>
    <row r="1096" spans="1:19" hidden="1">
      <c r="A1096" t="s">
        <v>38</v>
      </c>
      <c r="B1096" t="s">
        <v>1619</v>
      </c>
      <c r="C1096" t="s">
        <v>3551</v>
      </c>
      <c r="D1096" s="2" t="s">
        <v>1621</v>
      </c>
      <c r="E1096">
        <v>20.75</v>
      </c>
      <c r="F1096">
        <v>0.41</v>
      </c>
      <c r="G1096" t="s">
        <v>3456</v>
      </c>
      <c r="H1096" t="s">
        <v>3457</v>
      </c>
      <c r="I1096">
        <v>1105</v>
      </c>
      <c r="J1096">
        <v>1105</v>
      </c>
      <c r="M1096" s="2" t="s">
        <v>1715</v>
      </c>
      <c r="N1096" s="2" t="s">
        <v>1701</v>
      </c>
      <c r="O1096" s="5">
        <v>45092.321746134257</v>
      </c>
      <c r="P1096" t="str">
        <f>IF($Q1096="DELETE",IF($S1096="CONFIRMED: NO MODS &gt; 1YR","CONFIRMED: NO MODS &gt; 1YR","DO NOT DELETE — not defensibly confirmed"),IF($Q1096="HOLD","DO NOT DELETE — HOLD (Charlie review)",IF($Q1096="KEEP","DO NOT DELETE — KEEP",IF(ISNUMBER(SEARCH("REVIEW",$Q1096)),"DO NOT DELETE — REVIEW pending",$S1096))))</f>
        <v>DO NOT DELETE — HOLD (Charlie review)</v>
      </c>
      <c r="Q1096" t="str" cm="1">
        <f t="array" ref="Q1096">_xlfn.IFS(AND($A1096="thg-beauty",ISNUMBER(SEARCH("liveramp",$C1096))),"DELETE",$A1096="agile-bonbon-662",_xlfn.IFS(LEFT($G1096,9)="Tranche 1","DELETE",$C1096="Sessions_Level_1_All_Sites","KEEP",ISNUMBER(--$C1096),"REVIEW — UA raw logs",$C1096="Emag_Reporting","KEEP",$C1096="Nutrition_Data_Archived_Tables","KEEP",$C1096="EU_Data","KEEP",TRUE,"REVIEW"),OR($A1096="thg-influencer",$A1096="thg-ingenuity",$A1096="thg-central-marketing",$A1096="thg-seoclarity"),"HOLD",TRUE,"")</f>
        <v>HOLD</v>
      </c>
      <c r="R1096" t="str" cm="1">
        <f t="array" ref="R1096">_xlfn.IFS(AND($A1096="thg-beauty",ISNUMBER(SEARCH("liveramp",$C1096))),"thg-beauty Liveramp dataset — confirmed safe to delete",$A1096="agile-bonbon-662",_xlfn.IFS(LEFT($G1096,9)="Tranche 1","Tranche 1: cleared",$C1096="Sessions_Level_1_All_Sites","Downstream aggregation of UA raw logs — keep if raw tables go",ISNUMBER(--$C1096),"UA raw site logs (account ID) — keep pending audit-retention check",$C1096="Emag_Reporting","Legacy but likely needed",$C1096="Nutrition_Data_Archived_Tables","Worth keeping",$C1096="EU_Data","Static lookup tables — scripts still reference (smoke-test risk)",TRUE,"Review"),OR($A1096="thg-influencer",$A1096="thg-ingenuity",$A1096="thg-central-marketing",$A1096="thg-seoclarity"),"HOLD — Charlie Stringer to review before deletion",TRUE,"")</f>
        <v>HOLD — Charlie Stringer to review before deletion</v>
      </c>
      <c r="S1096" t="s">
        <v>1624</v>
      </c>
    </row>
    <row r="1097" spans="1:19" hidden="1">
      <c r="A1097" t="s">
        <v>38</v>
      </c>
      <c r="B1097" t="s">
        <v>1619</v>
      </c>
      <c r="C1097" t="s">
        <v>3552</v>
      </c>
      <c r="D1097" s="2" t="s">
        <v>1621</v>
      </c>
      <c r="E1097">
        <v>8.3800000000000008</v>
      </c>
      <c r="F1097">
        <v>0.17</v>
      </c>
      <c r="G1097" t="s">
        <v>3456</v>
      </c>
      <c r="H1097" t="s">
        <v>3457</v>
      </c>
      <c r="I1097">
        <v>1105</v>
      </c>
      <c r="J1097">
        <v>1105</v>
      </c>
      <c r="M1097" s="2" t="s">
        <v>1715</v>
      </c>
      <c r="N1097" s="2" t="s">
        <v>1701</v>
      </c>
      <c r="O1097" s="5">
        <v>45092.321566770843</v>
      </c>
      <c r="P1097" t="str">
        <f>IF($Q1097="DELETE",IF($S1097="CONFIRMED: NO MODS &gt; 1YR","CONFIRMED: NO MODS &gt; 1YR","DO NOT DELETE — not defensibly confirmed"),IF($Q1097="HOLD","DO NOT DELETE — HOLD (Charlie review)",IF($Q1097="KEEP","DO NOT DELETE — KEEP",IF(ISNUMBER(SEARCH("REVIEW",$Q1097)),"DO NOT DELETE — REVIEW pending",$S1097))))</f>
        <v>DO NOT DELETE — HOLD (Charlie review)</v>
      </c>
      <c r="Q1097" t="str" cm="1">
        <f t="array" ref="Q1097">_xlfn.IFS(AND($A1097="thg-beauty",ISNUMBER(SEARCH("liveramp",$C1097))),"DELETE",$A1097="agile-bonbon-662",_xlfn.IFS(LEFT($G1097,9)="Tranche 1","DELETE",$C1097="Sessions_Level_1_All_Sites","KEEP",ISNUMBER(--$C1097),"REVIEW — UA raw logs",$C1097="Emag_Reporting","KEEP",$C1097="Nutrition_Data_Archived_Tables","KEEP",$C1097="EU_Data","KEEP",TRUE,"REVIEW"),OR($A1097="thg-influencer",$A1097="thg-ingenuity",$A1097="thg-central-marketing",$A1097="thg-seoclarity"),"HOLD",TRUE,"")</f>
        <v>HOLD</v>
      </c>
      <c r="R1097" t="str" cm="1">
        <f t="array" ref="R1097">_xlfn.IFS(AND($A1097="thg-beauty",ISNUMBER(SEARCH("liveramp",$C1097))),"thg-beauty Liveramp dataset — confirmed safe to delete",$A1097="agile-bonbon-662",_xlfn.IFS(LEFT($G1097,9)="Tranche 1","Tranche 1: cleared",$C1097="Sessions_Level_1_All_Sites","Downstream aggregation of UA raw logs — keep if raw tables go",ISNUMBER(--$C1097),"UA raw site logs (account ID) — keep pending audit-retention check",$C1097="Emag_Reporting","Legacy but likely needed",$C1097="Nutrition_Data_Archived_Tables","Worth keeping",$C1097="EU_Data","Static lookup tables — scripts still reference (smoke-test risk)",TRUE,"Review"),OR($A1097="thg-influencer",$A1097="thg-ingenuity",$A1097="thg-central-marketing",$A1097="thg-seoclarity"),"HOLD — Charlie Stringer to review before deletion",TRUE,"")</f>
        <v>HOLD — Charlie Stringer to review before deletion</v>
      </c>
      <c r="S1097" t="s">
        <v>1624</v>
      </c>
    </row>
    <row r="1098" spans="1:19" hidden="1">
      <c r="A1098" t="s">
        <v>38</v>
      </c>
      <c r="B1098" t="s">
        <v>1619</v>
      </c>
      <c r="C1098" t="s">
        <v>3553</v>
      </c>
      <c r="D1098" s="2" t="s">
        <v>1621</v>
      </c>
      <c r="E1098">
        <v>0.02</v>
      </c>
      <c r="F1098">
        <v>0</v>
      </c>
      <c r="G1098" t="s">
        <v>3456</v>
      </c>
      <c r="H1098" t="s">
        <v>3457</v>
      </c>
      <c r="I1098">
        <v>1096</v>
      </c>
      <c r="J1098">
        <v>1096</v>
      </c>
      <c r="M1098" s="2" t="s">
        <v>1715</v>
      </c>
      <c r="N1098" s="2" t="s">
        <v>1701</v>
      </c>
      <c r="O1098" s="5">
        <v>45101.252108194443</v>
      </c>
      <c r="P1098" t="str">
        <f>IF($Q1098="DELETE",IF($S1098="CONFIRMED: NO MODS &gt; 1YR","CONFIRMED: NO MODS &gt; 1YR","DO NOT DELETE — not defensibly confirmed"),IF($Q1098="HOLD","DO NOT DELETE — HOLD (Charlie review)",IF($Q1098="KEEP","DO NOT DELETE — KEEP",IF(ISNUMBER(SEARCH("REVIEW",$Q1098)),"DO NOT DELETE — REVIEW pending",$S1098))))</f>
        <v>DO NOT DELETE — HOLD (Charlie review)</v>
      </c>
      <c r="Q1098" t="str" cm="1">
        <f t="array" ref="Q1098">_xlfn.IFS(AND($A1098="thg-beauty",ISNUMBER(SEARCH("liveramp",$C1098))),"DELETE",$A1098="agile-bonbon-662",_xlfn.IFS(LEFT($G1098,9)="Tranche 1","DELETE",$C1098="Sessions_Level_1_All_Sites","KEEP",ISNUMBER(--$C1098),"REVIEW — UA raw logs",$C1098="Emag_Reporting","KEEP",$C1098="Nutrition_Data_Archived_Tables","KEEP",$C1098="EU_Data","KEEP",TRUE,"REVIEW"),OR($A1098="thg-influencer",$A1098="thg-ingenuity",$A1098="thg-central-marketing",$A1098="thg-seoclarity"),"HOLD",TRUE,"")</f>
        <v>HOLD</v>
      </c>
      <c r="R1098" t="str" cm="1">
        <f t="array" ref="R1098">_xlfn.IFS(AND($A1098="thg-beauty",ISNUMBER(SEARCH("liveramp",$C1098))),"thg-beauty Liveramp dataset — confirmed safe to delete",$A1098="agile-bonbon-662",_xlfn.IFS(LEFT($G1098,9)="Tranche 1","Tranche 1: cleared",$C1098="Sessions_Level_1_All_Sites","Downstream aggregation of UA raw logs — keep if raw tables go",ISNUMBER(--$C1098),"UA raw site logs (account ID) — keep pending audit-retention check",$C1098="Emag_Reporting","Legacy but likely needed",$C1098="Nutrition_Data_Archived_Tables","Worth keeping",$C1098="EU_Data","Static lookup tables — scripts still reference (smoke-test risk)",TRUE,"Review"),OR($A1098="thg-influencer",$A1098="thg-ingenuity",$A1098="thg-central-marketing",$A1098="thg-seoclarity"),"HOLD — Charlie Stringer to review before deletion",TRUE,"")</f>
        <v>HOLD — Charlie Stringer to review before deletion</v>
      </c>
      <c r="S1098" t="s">
        <v>1624</v>
      </c>
    </row>
    <row r="1099" spans="1:19" hidden="1">
      <c r="A1099" t="s">
        <v>38</v>
      </c>
      <c r="B1099" t="s">
        <v>1619</v>
      </c>
      <c r="C1099" t="s">
        <v>3554</v>
      </c>
      <c r="D1099" s="2" t="s">
        <v>1621</v>
      </c>
      <c r="E1099">
        <v>0.17</v>
      </c>
      <c r="F1099">
        <v>0</v>
      </c>
      <c r="G1099" t="s">
        <v>3456</v>
      </c>
      <c r="H1099" t="s">
        <v>3457</v>
      </c>
      <c r="I1099">
        <v>1091</v>
      </c>
      <c r="J1099">
        <v>1091</v>
      </c>
      <c r="M1099" s="2" t="s">
        <v>1715</v>
      </c>
      <c r="N1099" s="2" t="s">
        <v>1701</v>
      </c>
      <c r="O1099" s="5">
        <v>45106.334713275457</v>
      </c>
      <c r="P1099" t="str">
        <f>IF($Q1099="DELETE",IF($S1099="CONFIRMED: NO MODS &gt; 1YR","CONFIRMED: NO MODS &gt; 1YR","DO NOT DELETE — not defensibly confirmed"),IF($Q1099="HOLD","DO NOT DELETE — HOLD (Charlie review)",IF($Q1099="KEEP","DO NOT DELETE — KEEP",IF(ISNUMBER(SEARCH("REVIEW",$Q1099)),"DO NOT DELETE — REVIEW pending",$S1099))))</f>
        <v>DO NOT DELETE — HOLD (Charlie review)</v>
      </c>
      <c r="Q1099" t="str" cm="1">
        <f t="array" ref="Q1099">_xlfn.IFS(AND($A1099="thg-beauty",ISNUMBER(SEARCH("liveramp",$C1099))),"DELETE",$A1099="agile-bonbon-662",_xlfn.IFS(LEFT($G1099,9)="Tranche 1","DELETE",$C1099="Sessions_Level_1_All_Sites","KEEP",ISNUMBER(--$C1099),"REVIEW — UA raw logs",$C1099="Emag_Reporting","KEEP",$C1099="Nutrition_Data_Archived_Tables","KEEP",$C1099="EU_Data","KEEP",TRUE,"REVIEW"),OR($A1099="thg-influencer",$A1099="thg-ingenuity",$A1099="thg-central-marketing",$A1099="thg-seoclarity"),"HOLD",TRUE,"")</f>
        <v>HOLD</v>
      </c>
      <c r="R1099" t="str" cm="1">
        <f t="array" ref="R1099">_xlfn.IFS(AND($A1099="thg-beauty",ISNUMBER(SEARCH("liveramp",$C1099))),"thg-beauty Liveramp dataset — confirmed safe to delete",$A1099="agile-bonbon-662",_xlfn.IFS(LEFT($G1099,9)="Tranche 1","Tranche 1: cleared",$C1099="Sessions_Level_1_All_Sites","Downstream aggregation of UA raw logs — keep if raw tables go",ISNUMBER(--$C1099),"UA raw site logs (account ID) — keep pending audit-retention check",$C1099="Emag_Reporting","Legacy but likely needed",$C1099="Nutrition_Data_Archived_Tables","Worth keeping",$C1099="EU_Data","Static lookup tables — scripts still reference (smoke-test risk)",TRUE,"Review"),OR($A1099="thg-influencer",$A1099="thg-ingenuity",$A1099="thg-central-marketing",$A1099="thg-seoclarity"),"HOLD — Charlie Stringer to review before deletion",TRUE,"")</f>
        <v>HOLD — Charlie Stringer to review before deletion</v>
      </c>
      <c r="S1099" t="s">
        <v>1624</v>
      </c>
    </row>
    <row r="1100" spans="1:19" hidden="1">
      <c r="A1100" t="s">
        <v>38</v>
      </c>
      <c r="B1100" t="s">
        <v>1619</v>
      </c>
      <c r="C1100" t="s">
        <v>3555</v>
      </c>
      <c r="D1100" s="2" t="s">
        <v>1621</v>
      </c>
      <c r="E1100">
        <v>0</v>
      </c>
      <c r="F1100">
        <v>0</v>
      </c>
      <c r="G1100" t="s">
        <v>3456</v>
      </c>
      <c r="H1100" t="s">
        <v>3457</v>
      </c>
      <c r="I1100">
        <v>1089</v>
      </c>
      <c r="J1100">
        <v>1089</v>
      </c>
      <c r="M1100" s="2" t="s">
        <v>1715</v>
      </c>
      <c r="N1100" s="2" t="s">
        <v>1701</v>
      </c>
      <c r="O1100" s="5">
        <v>45107.66728332176</v>
      </c>
      <c r="P1100" t="str">
        <f>IF($Q1100="DELETE",IF($S1100="CONFIRMED: NO MODS &gt; 1YR","CONFIRMED: NO MODS &gt; 1YR","DO NOT DELETE — not defensibly confirmed"),IF($Q1100="HOLD","DO NOT DELETE — HOLD (Charlie review)",IF($Q1100="KEEP","DO NOT DELETE — KEEP",IF(ISNUMBER(SEARCH("REVIEW",$Q1100)),"DO NOT DELETE — REVIEW pending",$S1100))))</f>
        <v>DO NOT DELETE — HOLD (Charlie review)</v>
      </c>
      <c r="Q1100" t="str" cm="1">
        <f t="array" ref="Q1100">_xlfn.IFS(AND($A1100="thg-beauty",ISNUMBER(SEARCH("liveramp",$C1100))),"DELETE",$A1100="agile-bonbon-662",_xlfn.IFS(LEFT($G1100,9)="Tranche 1","DELETE",$C1100="Sessions_Level_1_All_Sites","KEEP",ISNUMBER(--$C1100),"REVIEW — UA raw logs",$C1100="Emag_Reporting","KEEP",$C1100="Nutrition_Data_Archived_Tables","KEEP",$C1100="EU_Data","KEEP",TRUE,"REVIEW"),OR($A1100="thg-influencer",$A1100="thg-ingenuity",$A1100="thg-central-marketing",$A1100="thg-seoclarity"),"HOLD",TRUE,"")</f>
        <v>HOLD</v>
      </c>
      <c r="R1100" t="str" cm="1">
        <f t="array" ref="R1100">_xlfn.IFS(AND($A1100="thg-beauty",ISNUMBER(SEARCH("liveramp",$C1100))),"thg-beauty Liveramp dataset — confirmed safe to delete",$A1100="agile-bonbon-662",_xlfn.IFS(LEFT($G1100,9)="Tranche 1","Tranche 1: cleared",$C1100="Sessions_Level_1_All_Sites","Downstream aggregation of UA raw logs — keep if raw tables go",ISNUMBER(--$C1100),"UA raw site logs (account ID) — keep pending audit-retention check",$C1100="Emag_Reporting","Legacy but likely needed",$C1100="Nutrition_Data_Archived_Tables","Worth keeping",$C1100="EU_Data","Static lookup tables — scripts still reference (smoke-test risk)",TRUE,"Review"),OR($A1100="thg-influencer",$A1100="thg-ingenuity",$A1100="thg-central-marketing",$A1100="thg-seoclarity"),"HOLD — Charlie Stringer to review before deletion",TRUE,"")</f>
        <v>HOLD — Charlie Stringer to review before deletion</v>
      </c>
      <c r="S1100" t="s">
        <v>1624</v>
      </c>
    </row>
    <row r="1101" spans="1:19" hidden="1">
      <c r="A1101" t="s">
        <v>38</v>
      </c>
      <c r="B1101" t="s">
        <v>1619</v>
      </c>
      <c r="C1101" t="s">
        <v>3556</v>
      </c>
      <c r="D1101" s="2" t="s">
        <v>1621</v>
      </c>
      <c r="E1101">
        <v>0.65</v>
      </c>
      <c r="F1101">
        <v>0.01</v>
      </c>
      <c r="G1101" t="s">
        <v>3456</v>
      </c>
      <c r="H1101" t="s">
        <v>3457</v>
      </c>
      <c r="I1101">
        <v>1088</v>
      </c>
      <c r="J1101">
        <v>1088</v>
      </c>
      <c r="M1101" s="2" t="s">
        <v>1715</v>
      </c>
      <c r="N1101" s="2" t="s">
        <v>1701</v>
      </c>
      <c r="O1101" s="5">
        <v>45109.214265416667</v>
      </c>
      <c r="P1101" t="str">
        <f>IF($Q1101="DELETE",IF($S1101="CONFIRMED: NO MODS &gt; 1YR","CONFIRMED: NO MODS &gt; 1YR","DO NOT DELETE — not defensibly confirmed"),IF($Q1101="HOLD","DO NOT DELETE — HOLD (Charlie review)",IF($Q1101="KEEP","DO NOT DELETE — KEEP",IF(ISNUMBER(SEARCH("REVIEW",$Q1101)),"DO NOT DELETE — REVIEW pending",$S1101))))</f>
        <v>DO NOT DELETE — HOLD (Charlie review)</v>
      </c>
      <c r="Q1101" t="str" cm="1">
        <f t="array" ref="Q1101">_xlfn.IFS(AND($A1101="thg-beauty",ISNUMBER(SEARCH("liveramp",$C1101))),"DELETE",$A1101="agile-bonbon-662",_xlfn.IFS(LEFT($G1101,9)="Tranche 1","DELETE",$C1101="Sessions_Level_1_All_Sites","KEEP",ISNUMBER(--$C1101),"REVIEW — UA raw logs",$C1101="Emag_Reporting","KEEP",$C1101="Nutrition_Data_Archived_Tables","KEEP",$C1101="EU_Data","KEEP",TRUE,"REVIEW"),OR($A1101="thg-influencer",$A1101="thg-ingenuity",$A1101="thg-central-marketing",$A1101="thg-seoclarity"),"HOLD",TRUE,"")</f>
        <v>HOLD</v>
      </c>
      <c r="R1101" t="str" cm="1">
        <f t="array" ref="R1101">_xlfn.IFS(AND($A1101="thg-beauty",ISNUMBER(SEARCH("liveramp",$C1101))),"thg-beauty Liveramp dataset — confirmed safe to delete",$A1101="agile-bonbon-662",_xlfn.IFS(LEFT($G1101,9)="Tranche 1","Tranche 1: cleared",$C1101="Sessions_Level_1_All_Sites","Downstream aggregation of UA raw logs — keep if raw tables go",ISNUMBER(--$C1101),"UA raw site logs (account ID) — keep pending audit-retention check",$C1101="Emag_Reporting","Legacy but likely needed",$C1101="Nutrition_Data_Archived_Tables","Worth keeping",$C1101="EU_Data","Static lookup tables — scripts still reference (smoke-test risk)",TRUE,"Review"),OR($A1101="thg-influencer",$A1101="thg-ingenuity",$A1101="thg-central-marketing",$A1101="thg-seoclarity"),"HOLD — Charlie Stringer to review before deletion",TRUE,"")</f>
        <v>HOLD — Charlie Stringer to review before deletion</v>
      </c>
      <c r="S1101" t="s">
        <v>1624</v>
      </c>
    </row>
    <row r="1102" spans="1:19" hidden="1">
      <c r="A1102" t="s">
        <v>38</v>
      </c>
      <c r="B1102" t="s">
        <v>1619</v>
      </c>
      <c r="C1102" t="s">
        <v>3557</v>
      </c>
      <c r="D1102" s="2" t="s">
        <v>1621</v>
      </c>
      <c r="E1102">
        <v>6.94</v>
      </c>
      <c r="F1102">
        <v>0.14000000000000001</v>
      </c>
      <c r="G1102" t="s">
        <v>3456</v>
      </c>
      <c r="H1102" t="s">
        <v>3457</v>
      </c>
      <c r="I1102">
        <v>1087</v>
      </c>
      <c r="J1102">
        <v>1087</v>
      </c>
      <c r="M1102" s="2" t="s">
        <v>1715</v>
      </c>
      <c r="N1102" s="2" t="s">
        <v>1701</v>
      </c>
      <c r="O1102" s="5">
        <v>45110.333059375</v>
      </c>
      <c r="P1102" t="str">
        <f>IF($Q1102="DELETE",IF($S1102="CONFIRMED: NO MODS &gt; 1YR","CONFIRMED: NO MODS &gt; 1YR","DO NOT DELETE — not defensibly confirmed"),IF($Q1102="HOLD","DO NOT DELETE — HOLD (Charlie review)",IF($Q1102="KEEP","DO NOT DELETE — KEEP",IF(ISNUMBER(SEARCH("REVIEW",$Q1102)),"DO NOT DELETE — REVIEW pending",$S1102))))</f>
        <v>DO NOT DELETE — HOLD (Charlie review)</v>
      </c>
      <c r="Q1102" t="str" cm="1">
        <f t="array" ref="Q1102">_xlfn.IFS(AND($A1102="thg-beauty",ISNUMBER(SEARCH("liveramp",$C1102))),"DELETE",$A1102="agile-bonbon-662",_xlfn.IFS(LEFT($G1102,9)="Tranche 1","DELETE",$C1102="Sessions_Level_1_All_Sites","KEEP",ISNUMBER(--$C1102),"REVIEW — UA raw logs",$C1102="Emag_Reporting","KEEP",$C1102="Nutrition_Data_Archived_Tables","KEEP",$C1102="EU_Data","KEEP",TRUE,"REVIEW"),OR($A1102="thg-influencer",$A1102="thg-ingenuity",$A1102="thg-central-marketing",$A1102="thg-seoclarity"),"HOLD",TRUE,"")</f>
        <v>HOLD</v>
      </c>
      <c r="R1102" t="str" cm="1">
        <f t="array" ref="R1102">_xlfn.IFS(AND($A1102="thg-beauty",ISNUMBER(SEARCH("liveramp",$C1102))),"thg-beauty Liveramp dataset — confirmed safe to delete",$A1102="agile-bonbon-662",_xlfn.IFS(LEFT($G1102,9)="Tranche 1","Tranche 1: cleared",$C1102="Sessions_Level_1_All_Sites","Downstream aggregation of UA raw logs — keep if raw tables go",ISNUMBER(--$C1102),"UA raw site logs (account ID) — keep pending audit-retention check",$C1102="Emag_Reporting","Legacy but likely needed",$C1102="Nutrition_Data_Archived_Tables","Worth keeping",$C1102="EU_Data","Static lookup tables — scripts still reference (smoke-test risk)",TRUE,"Review"),OR($A1102="thg-influencer",$A1102="thg-ingenuity",$A1102="thg-central-marketing",$A1102="thg-seoclarity"),"HOLD — Charlie Stringer to review before deletion",TRUE,"")</f>
        <v>HOLD — Charlie Stringer to review before deletion</v>
      </c>
      <c r="S1102" t="s">
        <v>1624</v>
      </c>
    </row>
    <row r="1103" spans="1:19" hidden="1">
      <c r="A1103" t="s">
        <v>38</v>
      </c>
      <c r="B1103" t="s">
        <v>1619</v>
      </c>
      <c r="C1103" t="s">
        <v>3558</v>
      </c>
      <c r="D1103" s="2" t="s">
        <v>1621</v>
      </c>
      <c r="E1103">
        <v>0.42</v>
      </c>
      <c r="F1103">
        <v>0.01</v>
      </c>
      <c r="G1103" t="s">
        <v>3456</v>
      </c>
      <c r="H1103" t="s">
        <v>3457</v>
      </c>
      <c r="I1103">
        <v>1087</v>
      </c>
      <c r="J1103">
        <v>1087</v>
      </c>
      <c r="M1103" s="2" t="s">
        <v>1715</v>
      </c>
      <c r="N1103" s="2" t="s">
        <v>1701</v>
      </c>
      <c r="O1103" s="5">
        <v>45109.648942141197</v>
      </c>
      <c r="P1103" t="str">
        <f>IF($Q1103="DELETE",IF($S1103="CONFIRMED: NO MODS &gt; 1YR","CONFIRMED: NO MODS &gt; 1YR","DO NOT DELETE — not defensibly confirmed"),IF($Q1103="HOLD","DO NOT DELETE — HOLD (Charlie review)",IF($Q1103="KEEP","DO NOT DELETE — KEEP",IF(ISNUMBER(SEARCH("REVIEW",$Q1103)),"DO NOT DELETE — REVIEW pending",$S1103))))</f>
        <v>DO NOT DELETE — HOLD (Charlie review)</v>
      </c>
      <c r="Q1103" t="str" cm="1">
        <f t="array" ref="Q1103">_xlfn.IFS(AND($A1103="thg-beauty",ISNUMBER(SEARCH("liveramp",$C1103))),"DELETE",$A1103="agile-bonbon-662",_xlfn.IFS(LEFT($G1103,9)="Tranche 1","DELETE",$C1103="Sessions_Level_1_All_Sites","KEEP",ISNUMBER(--$C1103),"REVIEW — UA raw logs",$C1103="Emag_Reporting","KEEP",$C1103="Nutrition_Data_Archived_Tables","KEEP",$C1103="EU_Data","KEEP",TRUE,"REVIEW"),OR($A1103="thg-influencer",$A1103="thg-ingenuity",$A1103="thg-central-marketing",$A1103="thg-seoclarity"),"HOLD",TRUE,"")</f>
        <v>HOLD</v>
      </c>
      <c r="R1103" t="str" cm="1">
        <f t="array" ref="R1103">_xlfn.IFS(AND($A1103="thg-beauty",ISNUMBER(SEARCH("liveramp",$C1103))),"thg-beauty Liveramp dataset — confirmed safe to delete",$A1103="agile-bonbon-662",_xlfn.IFS(LEFT($G1103,9)="Tranche 1","Tranche 1: cleared",$C1103="Sessions_Level_1_All_Sites","Downstream aggregation of UA raw logs — keep if raw tables go",ISNUMBER(--$C1103),"UA raw site logs (account ID) — keep pending audit-retention check",$C1103="Emag_Reporting","Legacy but likely needed",$C1103="Nutrition_Data_Archived_Tables","Worth keeping",$C1103="EU_Data","Static lookup tables — scripts still reference (smoke-test risk)",TRUE,"Review"),OR($A1103="thg-influencer",$A1103="thg-ingenuity",$A1103="thg-central-marketing",$A1103="thg-seoclarity"),"HOLD — Charlie Stringer to review before deletion",TRUE,"")</f>
        <v>HOLD — Charlie Stringer to review before deletion</v>
      </c>
      <c r="S1103" t="s">
        <v>1624</v>
      </c>
    </row>
    <row r="1104" spans="1:19" hidden="1">
      <c r="A1104" t="s">
        <v>38</v>
      </c>
      <c r="B1104" t="s">
        <v>1619</v>
      </c>
      <c r="C1104" t="s">
        <v>3559</v>
      </c>
      <c r="D1104" s="2" t="s">
        <v>1621</v>
      </c>
      <c r="E1104">
        <v>0</v>
      </c>
      <c r="F1104">
        <v>0</v>
      </c>
      <c r="G1104" t="s">
        <v>3456</v>
      </c>
      <c r="H1104" t="s">
        <v>3457</v>
      </c>
      <c r="I1104">
        <v>1069</v>
      </c>
      <c r="J1104">
        <v>1069</v>
      </c>
      <c r="M1104" s="2" t="s">
        <v>1715</v>
      </c>
      <c r="N1104" s="2" t="s">
        <v>1701</v>
      </c>
      <c r="O1104" s="5">
        <v>45127.566869074071</v>
      </c>
      <c r="P1104" t="str">
        <f>IF($Q1104="DELETE",IF($S1104="CONFIRMED: NO MODS &gt; 1YR","CONFIRMED: NO MODS &gt; 1YR","DO NOT DELETE — not defensibly confirmed"),IF($Q1104="HOLD","DO NOT DELETE — HOLD (Charlie review)",IF($Q1104="KEEP","DO NOT DELETE — KEEP",IF(ISNUMBER(SEARCH("REVIEW",$Q1104)),"DO NOT DELETE — REVIEW pending",$S1104))))</f>
        <v>DO NOT DELETE — HOLD (Charlie review)</v>
      </c>
      <c r="Q1104" t="str" cm="1">
        <f t="array" ref="Q1104">_xlfn.IFS(AND($A1104="thg-beauty",ISNUMBER(SEARCH("liveramp",$C1104))),"DELETE",$A1104="agile-bonbon-662",_xlfn.IFS(LEFT($G1104,9)="Tranche 1","DELETE",$C1104="Sessions_Level_1_All_Sites","KEEP",ISNUMBER(--$C1104),"REVIEW — UA raw logs",$C1104="Emag_Reporting","KEEP",$C1104="Nutrition_Data_Archived_Tables","KEEP",$C1104="EU_Data","KEEP",TRUE,"REVIEW"),OR($A1104="thg-influencer",$A1104="thg-ingenuity",$A1104="thg-central-marketing",$A1104="thg-seoclarity"),"HOLD",TRUE,"")</f>
        <v>HOLD</v>
      </c>
      <c r="R1104" t="str" cm="1">
        <f t="array" ref="R1104">_xlfn.IFS(AND($A1104="thg-beauty",ISNUMBER(SEARCH("liveramp",$C1104))),"thg-beauty Liveramp dataset — confirmed safe to delete",$A1104="agile-bonbon-662",_xlfn.IFS(LEFT($G1104,9)="Tranche 1","Tranche 1: cleared",$C1104="Sessions_Level_1_All_Sites","Downstream aggregation of UA raw logs — keep if raw tables go",ISNUMBER(--$C1104),"UA raw site logs (account ID) — keep pending audit-retention check",$C1104="Emag_Reporting","Legacy but likely needed",$C1104="Nutrition_Data_Archived_Tables","Worth keeping",$C1104="EU_Data","Static lookup tables — scripts still reference (smoke-test risk)",TRUE,"Review"),OR($A1104="thg-influencer",$A1104="thg-ingenuity",$A1104="thg-central-marketing",$A1104="thg-seoclarity"),"HOLD — Charlie Stringer to review before deletion",TRUE,"")</f>
        <v>HOLD — Charlie Stringer to review before deletion</v>
      </c>
      <c r="S1104" t="s">
        <v>1624</v>
      </c>
    </row>
    <row r="1105" spans="1:19" hidden="1">
      <c r="A1105" t="s">
        <v>38</v>
      </c>
      <c r="B1105" t="s">
        <v>1619</v>
      </c>
      <c r="C1105" t="s">
        <v>3560</v>
      </c>
      <c r="D1105" s="2" t="s">
        <v>1621</v>
      </c>
      <c r="E1105">
        <v>0.44</v>
      </c>
      <c r="F1105">
        <v>0.01</v>
      </c>
      <c r="G1105" t="s">
        <v>3456</v>
      </c>
      <c r="H1105" t="s">
        <v>3457</v>
      </c>
      <c r="I1105">
        <v>1059</v>
      </c>
      <c r="J1105">
        <v>1059</v>
      </c>
      <c r="M1105" s="2" t="s">
        <v>1715</v>
      </c>
      <c r="N1105" s="2" t="s">
        <v>1701</v>
      </c>
      <c r="O1105" s="5">
        <v>45138.371721388889</v>
      </c>
      <c r="P1105" t="str">
        <f>IF($Q1105="DELETE",IF($S1105="CONFIRMED: NO MODS &gt; 1YR","CONFIRMED: NO MODS &gt; 1YR","DO NOT DELETE — not defensibly confirmed"),IF($Q1105="HOLD","DO NOT DELETE — HOLD (Charlie review)",IF($Q1105="KEEP","DO NOT DELETE — KEEP",IF(ISNUMBER(SEARCH("REVIEW",$Q1105)),"DO NOT DELETE — REVIEW pending",$S1105))))</f>
        <v>DO NOT DELETE — HOLD (Charlie review)</v>
      </c>
      <c r="Q1105" t="str" cm="1">
        <f t="array" ref="Q1105">_xlfn.IFS(AND($A1105="thg-beauty",ISNUMBER(SEARCH("liveramp",$C1105))),"DELETE",$A1105="agile-bonbon-662",_xlfn.IFS(LEFT($G1105,9)="Tranche 1","DELETE",$C1105="Sessions_Level_1_All_Sites","KEEP",ISNUMBER(--$C1105),"REVIEW — UA raw logs",$C1105="Emag_Reporting","KEEP",$C1105="Nutrition_Data_Archived_Tables","KEEP",$C1105="EU_Data","KEEP",TRUE,"REVIEW"),OR($A1105="thg-influencer",$A1105="thg-ingenuity",$A1105="thg-central-marketing",$A1105="thg-seoclarity"),"HOLD",TRUE,"")</f>
        <v>HOLD</v>
      </c>
      <c r="R1105" t="str" cm="1">
        <f t="array" ref="R1105">_xlfn.IFS(AND($A1105="thg-beauty",ISNUMBER(SEARCH("liveramp",$C1105))),"thg-beauty Liveramp dataset — confirmed safe to delete",$A1105="agile-bonbon-662",_xlfn.IFS(LEFT($G1105,9)="Tranche 1","Tranche 1: cleared",$C1105="Sessions_Level_1_All_Sites","Downstream aggregation of UA raw logs — keep if raw tables go",ISNUMBER(--$C1105),"UA raw site logs (account ID) — keep pending audit-retention check",$C1105="Emag_Reporting","Legacy but likely needed",$C1105="Nutrition_Data_Archived_Tables","Worth keeping",$C1105="EU_Data","Static lookup tables — scripts still reference (smoke-test risk)",TRUE,"Review"),OR($A1105="thg-influencer",$A1105="thg-ingenuity",$A1105="thg-central-marketing",$A1105="thg-seoclarity"),"HOLD — Charlie Stringer to review before deletion",TRUE,"")</f>
        <v>HOLD — Charlie Stringer to review before deletion</v>
      </c>
      <c r="S1105" t="s">
        <v>1624</v>
      </c>
    </row>
    <row r="1106" spans="1:19" hidden="1">
      <c r="A1106" t="s">
        <v>38</v>
      </c>
      <c r="B1106" t="s">
        <v>1619</v>
      </c>
      <c r="C1106" t="s">
        <v>3561</v>
      </c>
      <c r="D1106" s="2" t="s">
        <v>1621</v>
      </c>
      <c r="E1106">
        <v>0.19</v>
      </c>
      <c r="F1106">
        <v>0</v>
      </c>
      <c r="G1106" t="s">
        <v>3456</v>
      </c>
      <c r="H1106" t="s">
        <v>3457</v>
      </c>
      <c r="I1106">
        <v>1057</v>
      </c>
      <c r="J1106">
        <v>1057</v>
      </c>
      <c r="M1106" s="2" t="s">
        <v>1715</v>
      </c>
      <c r="N1106" s="2" t="s">
        <v>1701</v>
      </c>
      <c r="O1106" s="5">
        <v>45140.232025277779</v>
      </c>
      <c r="P1106" t="str">
        <f>IF($Q1106="DELETE",IF($S1106="CONFIRMED: NO MODS &gt; 1YR","CONFIRMED: NO MODS &gt; 1YR","DO NOT DELETE — not defensibly confirmed"),IF($Q1106="HOLD","DO NOT DELETE — HOLD (Charlie review)",IF($Q1106="KEEP","DO NOT DELETE — KEEP",IF(ISNUMBER(SEARCH("REVIEW",$Q1106)),"DO NOT DELETE — REVIEW pending",$S1106))))</f>
        <v>DO NOT DELETE — HOLD (Charlie review)</v>
      </c>
      <c r="Q1106" t="str" cm="1">
        <f t="array" ref="Q1106">_xlfn.IFS(AND($A1106="thg-beauty",ISNUMBER(SEARCH("liveramp",$C1106))),"DELETE",$A1106="agile-bonbon-662",_xlfn.IFS(LEFT($G1106,9)="Tranche 1","DELETE",$C1106="Sessions_Level_1_All_Sites","KEEP",ISNUMBER(--$C1106),"REVIEW — UA raw logs",$C1106="Emag_Reporting","KEEP",$C1106="Nutrition_Data_Archived_Tables","KEEP",$C1106="EU_Data","KEEP",TRUE,"REVIEW"),OR($A1106="thg-influencer",$A1106="thg-ingenuity",$A1106="thg-central-marketing",$A1106="thg-seoclarity"),"HOLD",TRUE,"")</f>
        <v>HOLD</v>
      </c>
      <c r="R1106" t="str" cm="1">
        <f t="array" ref="R1106">_xlfn.IFS(AND($A1106="thg-beauty",ISNUMBER(SEARCH("liveramp",$C1106))),"thg-beauty Liveramp dataset — confirmed safe to delete",$A1106="agile-bonbon-662",_xlfn.IFS(LEFT($G1106,9)="Tranche 1","Tranche 1: cleared",$C1106="Sessions_Level_1_All_Sites","Downstream aggregation of UA raw logs — keep if raw tables go",ISNUMBER(--$C1106),"UA raw site logs (account ID) — keep pending audit-retention check",$C1106="Emag_Reporting","Legacy but likely needed",$C1106="Nutrition_Data_Archived_Tables","Worth keeping",$C1106="EU_Data","Static lookup tables — scripts still reference (smoke-test risk)",TRUE,"Review"),OR($A1106="thg-influencer",$A1106="thg-ingenuity",$A1106="thg-central-marketing",$A1106="thg-seoclarity"),"HOLD — Charlie Stringer to review before deletion",TRUE,"")</f>
        <v>HOLD — Charlie Stringer to review before deletion</v>
      </c>
      <c r="S1106" t="s">
        <v>1624</v>
      </c>
    </row>
    <row r="1107" spans="1:19" hidden="1">
      <c r="A1107" t="s">
        <v>38</v>
      </c>
      <c r="B1107" t="s">
        <v>1619</v>
      </c>
      <c r="C1107" t="s">
        <v>3562</v>
      </c>
      <c r="D1107" s="2" t="s">
        <v>1621</v>
      </c>
      <c r="E1107">
        <v>0.11</v>
      </c>
      <c r="F1107">
        <v>0</v>
      </c>
      <c r="G1107" t="s">
        <v>3456</v>
      </c>
      <c r="H1107" t="s">
        <v>3457</v>
      </c>
      <c r="I1107">
        <v>1050</v>
      </c>
      <c r="J1107">
        <v>1050</v>
      </c>
      <c r="M1107" s="2" t="s">
        <v>1715</v>
      </c>
      <c r="N1107" s="2" t="s">
        <v>1701</v>
      </c>
      <c r="O1107" s="5">
        <v>45147.28785734954</v>
      </c>
      <c r="P1107" t="str">
        <f>IF($Q1107="DELETE",IF($S1107="CONFIRMED: NO MODS &gt; 1YR","CONFIRMED: NO MODS &gt; 1YR","DO NOT DELETE — not defensibly confirmed"),IF($Q1107="HOLD","DO NOT DELETE — HOLD (Charlie review)",IF($Q1107="KEEP","DO NOT DELETE — KEEP",IF(ISNUMBER(SEARCH("REVIEW",$Q1107)),"DO NOT DELETE — REVIEW pending",$S1107))))</f>
        <v>DO NOT DELETE — HOLD (Charlie review)</v>
      </c>
      <c r="Q1107" t="str" cm="1">
        <f t="array" ref="Q1107">_xlfn.IFS(AND($A1107="thg-beauty",ISNUMBER(SEARCH("liveramp",$C1107))),"DELETE",$A1107="agile-bonbon-662",_xlfn.IFS(LEFT($G1107,9)="Tranche 1","DELETE",$C1107="Sessions_Level_1_All_Sites","KEEP",ISNUMBER(--$C1107),"REVIEW — UA raw logs",$C1107="Emag_Reporting","KEEP",$C1107="Nutrition_Data_Archived_Tables","KEEP",$C1107="EU_Data","KEEP",TRUE,"REVIEW"),OR($A1107="thg-influencer",$A1107="thg-ingenuity",$A1107="thg-central-marketing",$A1107="thg-seoclarity"),"HOLD",TRUE,"")</f>
        <v>HOLD</v>
      </c>
      <c r="R1107" t="str" cm="1">
        <f t="array" ref="R1107">_xlfn.IFS(AND($A1107="thg-beauty",ISNUMBER(SEARCH("liveramp",$C1107))),"thg-beauty Liveramp dataset — confirmed safe to delete",$A1107="agile-bonbon-662",_xlfn.IFS(LEFT($G1107,9)="Tranche 1","Tranche 1: cleared",$C1107="Sessions_Level_1_All_Sites","Downstream aggregation of UA raw logs — keep if raw tables go",ISNUMBER(--$C1107),"UA raw site logs (account ID) — keep pending audit-retention check",$C1107="Emag_Reporting","Legacy but likely needed",$C1107="Nutrition_Data_Archived_Tables","Worth keeping",$C1107="EU_Data","Static lookup tables — scripts still reference (smoke-test risk)",TRUE,"Review"),OR($A1107="thg-influencer",$A1107="thg-ingenuity",$A1107="thg-central-marketing",$A1107="thg-seoclarity"),"HOLD — Charlie Stringer to review before deletion",TRUE,"")</f>
        <v>HOLD — Charlie Stringer to review before deletion</v>
      </c>
      <c r="S1107" t="s">
        <v>1624</v>
      </c>
    </row>
    <row r="1108" spans="1:19" hidden="1">
      <c r="A1108" t="s">
        <v>38</v>
      </c>
      <c r="B1108" t="s">
        <v>1619</v>
      </c>
      <c r="C1108" t="s">
        <v>3563</v>
      </c>
      <c r="D1108" s="2" t="s">
        <v>1621</v>
      </c>
      <c r="E1108">
        <v>3.24</v>
      </c>
      <c r="F1108">
        <v>0.06</v>
      </c>
      <c r="G1108" t="s">
        <v>3456</v>
      </c>
      <c r="H1108" t="s">
        <v>3457</v>
      </c>
      <c r="I1108">
        <v>1048</v>
      </c>
      <c r="J1108">
        <v>1048</v>
      </c>
      <c r="M1108" s="2" t="s">
        <v>1715</v>
      </c>
      <c r="N1108" s="2" t="s">
        <v>1701</v>
      </c>
      <c r="O1108" s="5">
        <v>45149.27566835648</v>
      </c>
      <c r="P1108" t="str">
        <f>IF($Q1108="DELETE",IF($S1108="CONFIRMED: NO MODS &gt; 1YR","CONFIRMED: NO MODS &gt; 1YR","DO NOT DELETE — not defensibly confirmed"),IF($Q1108="HOLD","DO NOT DELETE — HOLD (Charlie review)",IF($Q1108="KEEP","DO NOT DELETE — KEEP",IF(ISNUMBER(SEARCH("REVIEW",$Q1108)),"DO NOT DELETE — REVIEW pending",$S1108))))</f>
        <v>DO NOT DELETE — HOLD (Charlie review)</v>
      </c>
      <c r="Q1108" t="str" cm="1">
        <f t="array" ref="Q1108">_xlfn.IFS(AND($A1108="thg-beauty",ISNUMBER(SEARCH("liveramp",$C1108))),"DELETE",$A1108="agile-bonbon-662",_xlfn.IFS(LEFT($G1108,9)="Tranche 1","DELETE",$C1108="Sessions_Level_1_All_Sites","KEEP",ISNUMBER(--$C1108),"REVIEW — UA raw logs",$C1108="Emag_Reporting","KEEP",$C1108="Nutrition_Data_Archived_Tables","KEEP",$C1108="EU_Data","KEEP",TRUE,"REVIEW"),OR($A1108="thg-influencer",$A1108="thg-ingenuity",$A1108="thg-central-marketing",$A1108="thg-seoclarity"),"HOLD",TRUE,"")</f>
        <v>HOLD</v>
      </c>
      <c r="R1108" t="str" cm="1">
        <f t="array" ref="R1108">_xlfn.IFS(AND($A1108="thg-beauty",ISNUMBER(SEARCH("liveramp",$C1108))),"thg-beauty Liveramp dataset — confirmed safe to delete",$A1108="agile-bonbon-662",_xlfn.IFS(LEFT($G1108,9)="Tranche 1","Tranche 1: cleared",$C1108="Sessions_Level_1_All_Sites","Downstream aggregation of UA raw logs — keep if raw tables go",ISNUMBER(--$C1108),"UA raw site logs (account ID) — keep pending audit-retention check",$C1108="Emag_Reporting","Legacy but likely needed",$C1108="Nutrition_Data_Archived_Tables","Worth keeping",$C1108="EU_Data","Static lookup tables — scripts still reference (smoke-test risk)",TRUE,"Review"),OR($A1108="thg-influencer",$A1108="thg-ingenuity",$A1108="thg-central-marketing",$A1108="thg-seoclarity"),"HOLD — Charlie Stringer to review before deletion",TRUE,"")</f>
        <v>HOLD — Charlie Stringer to review before deletion</v>
      </c>
      <c r="S1108" t="s">
        <v>1624</v>
      </c>
    </row>
    <row r="1109" spans="1:19" hidden="1">
      <c r="A1109" t="s">
        <v>38</v>
      </c>
      <c r="B1109" t="s">
        <v>1619</v>
      </c>
      <c r="C1109" t="s">
        <v>3564</v>
      </c>
      <c r="D1109" s="2" t="s">
        <v>1621</v>
      </c>
      <c r="E1109">
        <v>0.31</v>
      </c>
      <c r="F1109">
        <v>0.01</v>
      </c>
      <c r="G1109" t="s">
        <v>3456</v>
      </c>
      <c r="H1109" t="s">
        <v>3457</v>
      </c>
      <c r="I1109">
        <v>1048</v>
      </c>
      <c r="J1109">
        <v>1048</v>
      </c>
      <c r="M1109" s="2" t="s">
        <v>1715</v>
      </c>
      <c r="N1109" s="2" t="s">
        <v>1701</v>
      </c>
      <c r="O1109" s="5">
        <v>45149.371205648153</v>
      </c>
      <c r="P1109" t="str">
        <f>IF($Q1109="DELETE",IF($S1109="CONFIRMED: NO MODS &gt; 1YR","CONFIRMED: NO MODS &gt; 1YR","DO NOT DELETE — not defensibly confirmed"),IF($Q1109="HOLD","DO NOT DELETE — HOLD (Charlie review)",IF($Q1109="KEEP","DO NOT DELETE — KEEP",IF(ISNUMBER(SEARCH("REVIEW",$Q1109)),"DO NOT DELETE — REVIEW pending",$S1109))))</f>
        <v>DO NOT DELETE — HOLD (Charlie review)</v>
      </c>
      <c r="Q1109" t="str" cm="1">
        <f t="array" ref="Q1109">_xlfn.IFS(AND($A1109="thg-beauty",ISNUMBER(SEARCH("liveramp",$C1109))),"DELETE",$A1109="agile-bonbon-662",_xlfn.IFS(LEFT($G1109,9)="Tranche 1","DELETE",$C1109="Sessions_Level_1_All_Sites","KEEP",ISNUMBER(--$C1109),"REVIEW — UA raw logs",$C1109="Emag_Reporting","KEEP",$C1109="Nutrition_Data_Archived_Tables","KEEP",$C1109="EU_Data","KEEP",TRUE,"REVIEW"),OR($A1109="thg-influencer",$A1109="thg-ingenuity",$A1109="thg-central-marketing",$A1109="thg-seoclarity"),"HOLD",TRUE,"")</f>
        <v>HOLD</v>
      </c>
      <c r="R1109" t="str" cm="1">
        <f t="array" ref="R1109">_xlfn.IFS(AND($A1109="thg-beauty",ISNUMBER(SEARCH("liveramp",$C1109))),"thg-beauty Liveramp dataset — confirmed safe to delete",$A1109="agile-bonbon-662",_xlfn.IFS(LEFT($G1109,9)="Tranche 1","Tranche 1: cleared",$C1109="Sessions_Level_1_All_Sites","Downstream aggregation of UA raw logs — keep if raw tables go",ISNUMBER(--$C1109),"UA raw site logs (account ID) — keep pending audit-retention check",$C1109="Emag_Reporting","Legacy but likely needed",$C1109="Nutrition_Data_Archived_Tables","Worth keeping",$C1109="EU_Data","Static lookup tables — scripts still reference (smoke-test risk)",TRUE,"Review"),OR($A1109="thg-influencer",$A1109="thg-ingenuity",$A1109="thg-central-marketing",$A1109="thg-seoclarity"),"HOLD — Charlie Stringer to review before deletion",TRUE,"")</f>
        <v>HOLD — Charlie Stringer to review before deletion</v>
      </c>
      <c r="S1109" t="s">
        <v>1624</v>
      </c>
    </row>
    <row r="1110" spans="1:19" hidden="1">
      <c r="A1110" t="s">
        <v>38</v>
      </c>
      <c r="B1110" t="s">
        <v>1619</v>
      </c>
      <c r="C1110" t="s">
        <v>3565</v>
      </c>
      <c r="D1110" s="2" t="s">
        <v>1621</v>
      </c>
      <c r="E1110">
        <v>0</v>
      </c>
      <c r="F1110">
        <v>0</v>
      </c>
      <c r="G1110" t="s">
        <v>3456</v>
      </c>
      <c r="H1110" t="s">
        <v>3457</v>
      </c>
      <c r="I1110">
        <v>1047</v>
      </c>
      <c r="J1110">
        <v>1047</v>
      </c>
      <c r="M1110" s="2" t="s">
        <v>1715</v>
      </c>
      <c r="N1110" s="2" t="s">
        <v>1701</v>
      </c>
      <c r="O1110" s="5">
        <v>45149.522464004629</v>
      </c>
      <c r="P1110" t="str">
        <f>IF($Q1110="DELETE",IF($S1110="CONFIRMED: NO MODS &gt; 1YR","CONFIRMED: NO MODS &gt; 1YR","DO NOT DELETE — not defensibly confirmed"),IF($Q1110="HOLD","DO NOT DELETE — HOLD (Charlie review)",IF($Q1110="KEEP","DO NOT DELETE — KEEP",IF(ISNUMBER(SEARCH("REVIEW",$Q1110)),"DO NOT DELETE — REVIEW pending",$S1110))))</f>
        <v>DO NOT DELETE — HOLD (Charlie review)</v>
      </c>
      <c r="Q1110" t="str" cm="1">
        <f t="array" ref="Q1110">_xlfn.IFS(AND($A1110="thg-beauty",ISNUMBER(SEARCH("liveramp",$C1110))),"DELETE",$A1110="agile-bonbon-662",_xlfn.IFS(LEFT($G1110,9)="Tranche 1","DELETE",$C1110="Sessions_Level_1_All_Sites","KEEP",ISNUMBER(--$C1110),"REVIEW — UA raw logs",$C1110="Emag_Reporting","KEEP",$C1110="Nutrition_Data_Archived_Tables","KEEP",$C1110="EU_Data","KEEP",TRUE,"REVIEW"),OR($A1110="thg-influencer",$A1110="thg-ingenuity",$A1110="thg-central-marketing",$A1110="thg-seoclarity"),"HOLD",TRUE,"")</f>
        <v>HOLD</v>
      </c>
      <c r="R1110" t="str" cm="1">
        <f t="array" ref="R1110">_xlfn.IFS(AND($A1110="thg-beauty",ISNUMBER(SEARCH("liveramp",$C1110))),"thg-beauty Liveramp dataset — confirmed safe to delete",$A1110="agile-bonbon-662",_xlfn.IFS(LEFT($G1110,9)="Tranche 1","Tranche 1: cleared",$C1110="Sessions_Level_1_All_Sites","Downstream aggregation of UA raw logs — keep if raw tables go",ISNUMBER(--$C1110),"UA raw site logs (account ID) — keep pending audit-retention check",$C1110="Emag_Reporting","Legacy but likely needed",$C1110="Nutrition_Data_Archived_Tables","Worth keeping",$C1110="EU_Data","Static lookup tables — scripts still reference (smoke-test risk)",TRUE,"Review"),OR($A1110="thg-influencer",$A1110="thg-ingenuity",$A1110="thg-central-marketing",$A1110="thg-seoclarity"),"HOLD — Charlie Stringer to review before deletion",TRUE,"")</f>
        <v>HOLD — Charlie Stringer to review before deletion</v>
      </c>
      <c r="S1110" t="s">
        <v>1624</v>
      </c>
    </row>
    <row r="1111" spans="1:19" hidden="1">
      <c r="A1111" t="s">
        <v>38</v>
      </c>
      <c r="B1111" t="s">
        <v>1619</v>
      </c>
      <c r="C1111" t="s">
        <v>3566</v>
      </c>
      <c r="D1111" s="2" t="s">
        <v>1621</v>
      </c>
      <c r="E1111">
        <v>28.7</v>
      </c>
      <c r="F1111">
        <v>0.56999999999999995</v>
      </c>
      <c r="G1111" t="s">
        <v>3456</v>
      </c>
      <c r="H1111" t="s">
        <v>3457</v>
      </c>
      <c r="I1111">
        <v>1039</v>
      </c>
      <c r="J1111">
        <v>1039</v>
      </c>
      <c r="M1111" s="2" t="s">
        <v>1715</v>
      </c>
      <c r="N1111" s="2" t="s">
        <v>1701</v>
      </c>
      <c r="O1111" s="5">
        <v>45158.084770370369</v>
      </c>
      <c r="P1111" t="str">
        <f>IF($Q1111="DELETE",IF($S1111="CONFIRMED: NO MODS &gt; 1YR","CONFIRMED: NO MODS &gt; 1YR","DO NOT DELETE — not defensibly confirmed"),IF($Q1111="HOLD","DO NOT DELETE — HOLD (Charlie review)",IF($Q1111="KEEP","DO NOT DELETE — KEEP",IF(ISNUMBER(SEARCH("REVIEW",$Q1111)),"DO NOT DELETE — REVIEW pending",$S1111))))</f>
        <v>DO NOT DELETE — HOLD (Charlie review)</v>
      </c>
      <c r="Q1111" t="str" cm="1">
        <f t="array" ref="Q1111">_xlfn.IFS(AND($A1111="thg-beauty",ISNUMBER(SEARCH("liveramp",$C1111))),"DELETE",$A1111="agile-bonbon-662",_xlfn.IFS(LEFT($G1111,9)="Tranche 1","DELETE",$C1111="Sessions_Level_1_All_Sites","KEEP",ISNUMBER(--$C1111),"REVIEW — UA raw logs",$C1111="Emag_Reporting","KEEP",$C1111="Nutrition_Data_Archived_Tables","KEEP",$C1111="EU_Data","KEEP",TRUE,"REVIEW"),OR($A1111="thg-influencer",$A1111="thg-ingenuity",$A1111="thg-central-marketing",$A1111="thg-seoclarity"),"HOLD",TRUE,"")</f>
        <v>HOLD</v>
      </c>
      <c r="R1111" t="str" cm="1">
        <f t="array" ref="R1111">_xlfn.IFS(AND($A1111="thg-beauty",ISNUMBER(SEARCH("liveramp",$C1111))),"thg-beauty Liveramp dataset — confirmed safe to delete",$A1111="agile-bonbon-662",_xlfn.IFS(LEFT($G1111,9)="Tranche 1","Tranche 1: cleared",$C1111="Sessions_Level_1_All_Sites","Downstream aggregation of UA raw logs — keep if raw tables go",ISNUMBER(--$C1111),"UA raw site logs (account ID) — keep pending audit-retention check",$C1111="Emag_Reporting","Legacy but likely needed",$C1111="Nutrition_Data_Archived_Tables","Worth keeping",$C1111="EU_Data","Static lookup tables — scripts still reference (smoke-test risk)",TRUE,"Review"),OR($A1111="thg-influencer",$A1111="thg-ingenuity",$A1111="thg-central-marketing",$A1111="thg-seoclarity"),"HOLD — Charlie Stringer to review before deletion",TRUE,"")</f>
        <v>HOLD — Charlie Stringer to review before deletion</v>
      </c>
      <c r="S1111" t="s">
        <v>1624</v>
      </c>
    </row>
    <row r="1112" spans="1:19" hidden="1">
      <c r="A1112" t="s">
        <v>38</v>
      </c>
      <c r="B1112" t="s">
        <v>1619</v>
      </c>
      <c r="C1112" t="s">
        <v>3567</v>
      </c>
      <c r="D1112" s="2" t="s">
        <v>1621</v>
      </c>
      <c r="E1112">
        <v>0</v>
      </c>
      <c r="F1112">
        <v>0</v>
      </c>
      <c r="G1112" t="s">
        <v>3456</v>
      </c>
      <c r="H1112" t="s">
        <v>3457</v>
      </c>
      <c r="I1112">
        <v>1028</v>
      </c>
      <c r="J1112">
        <v>1028</v>
      </c>
      <c r="M1112" s="2" t="s">
        <v>1715</v>
      </c>
      <c r="N1112" s="2" t="s">
        <v>1701</v>
      </c>
      <c r="O1112" s="5">
        <v>45168.885243217592</v>
      </c>
      <c r="P1112" t="str">
        <f>IF($Q1112="DELETE",IF($S1112="CONFIRMED: NO MODS &gt; 1YR","CONFIRMED: NO MODS &gt; 1YR","DO NOT DELETE — not defensibly confirmed"),IF($Q1112="HOLD","DO NOT DELETE — HOLD (Charlie review)",IF($Q1112="KEEP","DO NOT DELETE — KEEP",IF(ISNUMBER(SEARCH("REVIEW",$Q1112)),"DO NOT DELETE — REVIEW pending",$S1112))))</f>
        <v>DO NOT DELETE — HOLD (Charlie review)</v>
      </c>
      <c r="Q1112" t="str" cm="1">
        <f t="array" ref="Q1112">_xlfn.IFS(AND($A1112="thg-beauty",ISNUMBER(SEARCH("liveramp",$C1112))),"DELETE",$A1112="agile-bonbon-662",_xlfn.IFS(LEFT($G1112,9)="Tranche 1","DELETE",$C1112="Sessions_Level_1_All_Sites","KEEP",ISNUMBER(--$C1112),"REVIEW — UA raw logs",$C1112="Emag_Reporting","KEEP",$C1112="Nutrition_Data_Archived_Tables","KEEP",$C1112="EU_Data","KEEP",TRUE,"REVIEW"),OR($A1112="thg-influencer",$A1112="thg-ingenuity",$A1112="thg-central-marketing",$A1112="thg-seoclarity"),"HOLD",TRUE,"")</f>
        <v>HOLD</v>
      </c>
      <c r="R1112" t="str" cm="1">
        <f t="array" ref="R1112">_xlfn.IFS(AND($A1112="thg-beauty",ISNUMBER(SEARCH("liveramp",$C1112))),"thg-beauty Liveramp dataset — confirmed safe to delete",$A1112="agile-bonbon-662",_xlfn.IFS(LEFT($G1112,9)="Tranche 1","Tranche 1: cleared",$C1112="Sessions_Level_1_All_Sites","Downstream aggregation of UA raw logs — keep if raw tables go",ISNUMBER(--$C1112),"UA raw site logs (account ID) — keep pending audit-retention check",$C1112="Emag_Reporting","Legacy but likely needed",$C1112="Nutrition_Data_Archived_Tables","Worth keeping",$C1112="EU_Data","Static lookup tables — scripts still reference (smoke-test risk)",TRUE,"Review"),OR($A1112="thg-influencer",$A1112="thg-ingenuity",$A1112="thg-central-marketing",$A1112="thg-seoclarity"),"HOLD — Charlie Stringer to review before deletion",TRUE,"")</f>
        <v>HOLD — Charlie Stringer to review before deletion</v>
      </c>
      <c r="S1112" t="s">
        <v>1624</v>
      </c>
    </row>
    <row r="1113" spans="1:19" hidden="1">
      <c r="A1113" t="s">
        <v>38</v>
      </c>
      <c r="B1113" t="s">
        <v>1619</v>
      </c>
      <c r="C1113" t="s">
        <v>3568</v>
      </c>
      <c r="D1113" s="2" t="s">
        <v>1621</v>
      </c>
      <c r="E1113">
        <v>0.02</v>
      </c>
      <c r="F1113">
        <v>0</v>
      </c>
      <c r="G1113" t="s">
        <v>3456</v>
      </c>
      <c r="H1113" t="s">
        <v>3457</v>
      </c>
      <c r="I1113">
        <v>1025</v>
      </c>
      <c r="J1113">
        <v>1025</v>
      </c>
      <c r="M1113" s="2" t="s">
        <v>1715</v>
      </c>
      <c r="N1113" s="2" t="s">
        <v>1701</v>
      </c>
      <c r="O1113" s="5">
        <v>45171.885817523151</v>
      </c>
      <c r="P1113" t="str">
        <f>IF($Q1113="DELETE",IF($S1113="CONFIRMED: NO MODS &gt; 1YR","CONFIRMED: NO MODS &gt; 1YR","DO NOT DELETE — not defensibly confirmed"),IF($Q1113="HOLD","DO NOT DELETE — HOLD (Charlie review)",IF($Q1113="KEEP","DO NOT DELETE — KEEP",IF(ISNUMBER(SEARCH("REVIEW",$Q1113)),"DO NOT DELETE — REVIEW pending",$S1113))))</f>
        <v>DO NOT DELETE — HOLD (Charlie review)</v>
      </c>
      <c r="Q1113" t="str" cm="1">
        <f t="array" ref="Q1113">_xlfn.IFS(AND($A1113="thg-beauty",ISNUMBER(SEARCH("liveramp",$C1113))),"DELETE",$A1113="agile-bonbon-662",_xlfn.IFS(LEFT($G1113,9)="Tranche 1","DELETE",$C1113="Sessions_Level_1_All_Sites","KEEP",ISNUMBER(--$C1113),"REVIEW — UA raw logs",$C1113="Emag_Reporting","KEEP",$C1113="Nutrition_Data_Archived_Tables","KEEP",$C1113="EU_Data","KEEP",TRUE,"REVIEW"),OR($A1113="thg-influencer",$A1113="thg-ingenuity",$A1113="thg-central-marketing",$A1113="thg-seoclarity"),"HOLD",TRUE,"")</f>
        <v>HOLD</v>
      </c>
      <c r="R1113" t="str" cm="1">
        <f t="array" ref="R1113">_xlfn.IFS(AND($A1113="thg-beauty",ISNUMBER(SEARCH("liveramp",$C1113))),"thg-beauty Liveramp dataset — confirmed safe to delete",$A1113="agile-bonbon-662",_xlfn.IFS(LEFT($G1113,9)="Tranche 1","Tranche 1: cleared",$C1113="Sessions_Level_1_All_Sites","Downstream aggregation of UA raw logs — keep if raw tables go",ISNUMBER(--$C1113),"UA raw site logs (account ID) — keep pending audit-retention check",$C1113="Emag_Reporting","Legacy but likely needed",$C1113="Nutrition_Data_Archived_Tables","Worth keeping",$C1113="EU_Data","Static lookup tables — scripts still reference (smoke-test risk)",TRUE,"Review"),OR($A1113="thg-influencer",$A1113="thg-ingenuity",$A1113="thg-central-marketing",$A1113="thg-seoclarity"),"HOLD — Charlie Stringer to review before deletion",TRUE,"")</f>
        <v>HOLD — Charlie Stringer to review before deletion</v>
      </c>
      <c r="S1113" t="s">
        <v>1624</v>
      </c>
    </row>
    <row r="1114" spans="1:19" hidden="1">
      <c r="A1114" t="s">
        <v>38</v>
      </c>
      <c r="B1114" t="s">
        <v>1619</v>
      </c>
      <c r="C1114" t="s">
        <v>3569</v>
      </c>
      <c r="D1114" s="2" t="s">
        <v>1621</v>
      </c>
      <c r="E1114">
        <v>0.02</v>
      </c>
      <c r="F1114">
        <v>0</v>
      </c>
      <c r="G1114" t="s">
        <v>3456</v>
      </c>
      <c r="H1114" t="s">
        <v>3457</v>
      </c>
      <c r="I1114">
        <v>1022</v>
      </c>
      <c r="J1114">
        <v>1022</v>
      </c>
      <c r="M1114" s="2" t="s">
        <v>1715</v>
      </c>
      <c r="N1114" s="2" t="s">
        <v>1701</v>
      </c>
      <c r="O1114" s="5">
        <v>45175.308988472221</v>
      </c>
      <c r="P1114" t="str">
        <f>IF($Q1114="DELETE",IF($S1114="CONFIRMED: NO MODS &gt; 1YR","CONFIRMED: NO MODS &gt; 1YR","DO NOT DELETE — not defensibly confirmed"),IF($Q1114="HOLD","DO NOT DELETE — HOLD (Charlie review)",IF($Q1114="KEEP","DO NOT DELETE — KEEP",IF(ISNUMBER(SEARCH("REVIEW",$Q1114)),"DO NOT DELETE — REVIEW pending",$S1114))))</f>
        <v>DO NOT DELETE — HOLD (Charlie review)</v>
      </c>
      <c r="Q1114" t="str" cm="1">
        <f t="array" ref="Q1114">_xlfn.IFS(AND($A1114="thg-beauty",ISNUMBER(SEARCH("liveramp",$C1114))),"DELETE",$A1114="agile-bonbon-662",_xlfn.IFS(LEFT($G1114,9)="Tranche 1","DELETE",$C1114="Sessions_Level_1_All_Sites","KEEP",ISNUMBER(--$C1114),"REVIEW — UA raw logs",$C1114="Emag_Reporting","KEEP",$C1114="Nutrition_Data_Archived_Tables","KEEP",$C1114="EU_Data","KEEP",TRUE,"REVIEW"),OR($A1114="thg-influencer",$A1114="thg-ingenuity",$A1114="thg-central-marketing",$A1114="thg-seoclarity"),"HOLD",TRUE,"")</f>
        <v>HOLD</v>
      </c>
      <c r="R1114" t="str" cm="1">
        <f t="array" ref="R1114">_xlfn.IFS(AND($A1114="thg-beauty",ISNUMBER(SEARCH("liveramp",$C1114))),"thg-beauty Liveramp dataset — confirmed safe to delete",$A1114="agile-bonbon-662",_xlfn.IFS(LEFT($G1114,9)="Tranche 1","Tranche 1: cleared",$C1114="Sessions_Level_1_All_Sites","Downstream aggregation of UA raw logs — keep if raw tables go",ISNUMBER(--$C1114),"UA raw site logs (account ID) — keep pending audit-retention check",$C1114="Emag_Reporting","Legacy but likely needed",$C1114="Nutrition_Data_Archived_Tables","Worth keeping",$C1114="EU_Data","Static lookup tables — scripts still reference (smoke-test risk)",TRUE,"Review"),OR($A1114="thg-influencer",$A1114="thg-ingenuity",$A1114="thg-central-marketing",$A1114="thg-seoclarity"),"HOLD — Charlie Stringer to review before deletion",TRUE,"")</f>
        <v>HOLD — Charlie Stringer to review before deletion</v>
      </c>
      <c r="S1114" t="s">
        <v>1624</v>
      </c>
    </row>
    <row r="1115" spans="1:19" hidden="1">
      <c r="A1115" t="s">
        <v>38</v>
      </c>
      <c r="B1115" t="s">
        <v>1619</v>
      </c>
      <c r="C1115" t="s">
        <v>3570</v>
      </c>
      <c r="D1115" s="2" t="s">
        <v>1621</v>
      </c>
      <c r="E1115">
        <v>1.47</v>
      </c>
      <c r="F1115">
        <v>0.03</v>
      </c>
      <c r="G1115" t="s">
        <v>3456</v>
      </c>
      <c r="H1115" t="s">
        <v>3457</v>
      </c>
      <c r="I1115">
        <v>1020</v>
      </c>
      <c r="J1115">
        <v>1020</v>
      </c>
      <c r="M1115" s="2" t="s">
        <v>1715</v>
      </c>
      <c r="N1115" s="2" t="s">
        <v>1701</v>
      </c>
      <c r="O1115" s="5">
        <v>45177.209311238417</v>
      </c>
      <c r="P1115" t="str">
        <f>IF($Q1115="DELETE",IF($S1115="CONFIRMED: NO MODS &gt; 1YR","CONFIRMED: NO MODS &gt; 1YR","DO NOT DELETE — not defensibly confirmed"),IF($Q1115="HOLD","DO NOT DELETE — HOLD (Charlie review)",IF($Q1115="KEEP","DO NOT DELETE — KEEP",IF(ISNUMBER(SEARCH("REVIEW",$Q1115)),"DO NOT DELETE — REVIEW pending",$S1115))))</f>
        <v>DO NOT DELETE — HOLD (Charlie review)</v>
      </c>
      <c r="Q1115" t="str" cm="1">
        <f t="array" ref="Q1115">_xlfn.IFS(AND($A1115="thg-beauty",ISNUMBER(SEARCH("liveramp",$C1115))),"DELETE",$A1115="agile-bonbon-662",_xlfn.IFS(LEFT($G1115,9)="Tranche 1","DELETE",$C1115="Sessions_Level_1_All_Sites","KEEP",ISNUMBER(--$C1115),"REVIEW — UA raw logs",$C1115="Emag_Reporting","KEEP",$C1115="Nutrition_Data_Archived_Tables","KEEP",$C1115="EU_Data","KEEP",TRUE,"REVIEW"),OR($A1115="thg-influencer",$A1115="thg-ingenuity",$A1115="thg-central-marketing",$A1115="thg-seoclarity"),"HOLD",TRUE,"")</f>
        <v>HOLD</v>
      </c>
      <c r="R1115" t="str" cm="1">
        <f t="array" ref="R1115">_xlfn.IFS(AND($A1115="thg-beauty",ISNUMBER(SEARCH("liveramp",$C1115))),"thg-beauty Liveramp dataset — confirmed safe to delete",$A1115="agile-bonbon-662",_xlfn.IFS(LEFT($G1115,9)="Tranche 1","Tranche 1: cleared",$C1115="Sessions_Level_1_All_Sites","Downstream aggregation of UA raw logs — keep if raw tables go",ISNUMBER(--$C1115),"UA raw site logs (account ID) — keep pending audit-retention check",$C1115="Emag_Reporting","Legacy but likely needed",$C1115="Nutrition_Data_Archived_Tables","Worth keeping",$C1115="EU_Data","Static lookup tables — scripts still reference (smoke-test risk)",TRUE,"Review"),OR($A1115="thg-influencer",$A1115="thg-ingenuity",$A1115="thg-central-marketing",$A1115="thg-seoclarity"),"HOLD — Charlie Stringer to review before deletion",TRUE,"")</f>
        <v>HOLD — Charlie Stringer to review before deletion</v>
      </c>
      <c r="S1115" t="s">
        <v>1624</v>
      </c>
    </row>
    <row r="1116" spans="1:19" hidden="1">
      <c r="A1116" t="s">
        <v>38</v>
      </c>
      <c r="B1116" t="s">
        <v>1619</v>
      </c>
      <c r="C1116" t="s">
        <v>3571</v>
      </c>
      <c r="D1116" s="2" t="s">
        <v>1621</v>
      </c>
      <c r="E1116">
        <v>0.01</v>
      </c>
      <c r="F1116">
        <v>0</v>
      </c>
      <c r="G1116" t="s">
        <v>3456</v>
      </c>
      <c r="H1116" t="s">
        <v>3457</v>
      </c>
      <c r="I1116">
        <v>1019</v>
      </c>
      <c r="J1116">
        <v>1019</v>
      </c>
      <c r="M1116" s="2" t="s">
        <v>1715</v>
      </c>
      <c r="N1116" s="2" t="s">
        <v>1701</v>
      </c>
      <c r="O1116" s="5">
        <v>45177.874031736108</v>
      </c>
      <c r="P1116" t="str">
        <f>IF($Q1116="DELETE",IF($S1116="CONFIRMED: NO MODS &gt; 1YR","CONFIRMED: NO MODS &gt; 1YR","DO NOT DELETE — not defensibly confirmed"),IF($Q1116="HOLD","DO NOT DELETE — HOLD (Charlie review)",IF($Q1116="KEEP","DO NOT DELETE — KEEP",IF(ISNUMBER(SEARCH("REVIEW",$Q1116)),"DO NOT DELETE — REVIEW pending",$S1116))))</f>
        <v>DO NOT DELETE — HOLD (Charlie review)</v>
      </c>
      <c r="Q1116" t="str" cm="1">
        <f t="array" ref="Q1116">_xlfn.IFS(AND($A1116="thg-beauty",ISNUMBER(SEARCH("liveramp",$C1116))),"DELETE",$A1116="agile-bonbon-662",_xlfn.IFS(LEFT($G1116,9)="Tranche 1","DELETE",$C1116="Sessions_Level_1_All_Sites","KEEP",ISNUMBER(--$C1116),"REVIEW — UA raw logs",$C1116="Emag_Reporting","KEEP",$C1116="Nutrition_Data_Archived_Tables","KEEP",$C1116="EU_Data","KEEP",TRUE,"REVIEW"),OR($A1116="thg-influencer",$A1116="thg-ingenuity",$A1116="thg-central-marketing",$A1116="thg-seoclarity"),"HOLD",TRUE,"")</f>
        <v>HOLD</v>
      </c>
      <c r="R1116" t="str" cm="1">
        <f t="array" ref="R1116">_xlfn.IFS(AND($A1116="thg-beauty",ISNUMBER(SEARCH("liveramp",$C1116))),"thg-beauty Liveramp dataset — confirmed safe to delete",$A1116="agile-bonbon-662",_xlfn.IFS(LEFT($G1116,9)="Tranche 1","Tranche 1: cleared",$C1116="Sessions_Level_1_All_Sites","Downstream aggregation of UA raw logs — keep if raw tables go",ISNUMBER(--$C1116),"UA raw site logs (account ID) — keep pending audit-retention check",$C1116="Emag_Reporting","Legacy but likely needed",$C1116="Nutrition_Data_Archived_Tables","Worth keeping",$C1116="EU_Data","Static lookup tables — scripts still reference (smoke-test risk)",TRUE,"Review"),OR($A1116="thg-influencer",$A1116="thg-ingenuity",$A1116="thg-central-marketing",$A1116="thg-seoclarity"),"HOLD — Charlie Stringer to review before deletion",TRUE,"")</f>
        <v>HOLD — Charlie Stringer to review before deletion</v>
      </c>
      <c r="S1116" t="s">
        <v>1624</v>
      </c>
    </row>
    <row r="1117" spans="1:19" hidden="1">
      <c r="A1117" t="s">
        <v>38</v>
      </c>
      <c r="B1117" t="s">
        <v>1619</v>
      </c>
      <c r="C1117" t="s">
        <v>3572</v>
      </c>
      <c r="D1117" s="2" t="s">
        <v>1621</v>
      </c>
      <c r="E1117">
        <v>7.65</v>
      </c>
      <c r="F1117">
        <v>0.15</v>
      </c>
      <c r="G1117" t="s">
        <v>3456</v>
      </c>
      <c r="H1117" t="s">
        <v>3457</v>
      </c>
      <c r="I1117">
        <v>1015</v>
      </c>
      <c r="J1117">
        <v>1015</v>
      </c>
      <c r="M1117" s="2" t="s">
        <v>1715</v>
      </c>
      <c r="N1117" s="2" t="s">
        <v>1701</v>
      </c>
      <c r="O1117" s="5">
        <v>45181.566226192132</v>
      </c>
      <c r="P1117" t="str">
        <f>IF($Q1117="DELETE",IF($S1117="CONFIRMED: NO MODS &gt; 1YR","CONFIRMED: NO MODS &gt; 1YR","DO NOT DELETE — not defensibly confirmed"),IF($Q1117="HOLD","DO NOT DELETE — HOLD (Charlie review)",IF($Q1117="KEEP","DO NOT DELETE — KEEP",IF(ISNUMBER(SEARCH("REVIEW",$Q1117)),"DO NOT DELETE — REVIEW pending",$S1117))))</f>
        <v>DO NOT DELETE — HOLD (Charlie review)</v>
      </c>
      <c r="Q1117" t="str" cm="1">
        <f t="array" ref="Q1117">_xlfn.IFS(AND($A1117="thg-beauty",ISNUMBER(SEARCH("liveramp",$C1117))),"DELETE",$A1117="agile-bonbon-662",_xlfn.IFS(LEFT($G1117,9)="Tranche 1","DELETE",$C1117="Sessions_Level_1_All_Sites","KEEP",ISNUMBER(--$C1117),"REVIEW — UA raw logs",$C1117="Emag_Reporting","KEEP",$C1117="Nutrition_Data_Archived_Tables","KEEP",$C1117="EU_Data","KEEP",TRUE,"REVIEW"),OR($A1117="thg-influencer",$A1117="thg-ingenuity",$A1117="thg-central-marketing",$A1117="thg-seoclarity"),"HOLD",TRUE,"")</f>
        <v>HOLD</v>
      </c>
      <c r="R1117" t="str" cm="1">
        <f t="array" ref="R1117">_xlfn.IFS(AND($A1117="thg-beauty",ISNUMBER(SEARCH("liveramp",$C1117))),"thg-beauty Liveramp dataset — confirmed safe to delete",$A1117="agile-bonbon-662",_xlfn.IFS(LEFT($G1117,9)="Tranche 1","Tranche 1: cleared",$C1117="Sessions_Level_1_All_Sites","Downstream aggregation of UA raw logs — keep if raw tables go",ISNUMBER(--$C1117),"UA raw site logs (account ID) — keep pending audit-retention check",$C1117="Emag_Reporting","Legacy but likely needed",$C1117="Nutrition_Data_Archived_Tables","Worth keeping",$C1117="EU_Data","Static lookup tables — scripts still reference (smoke-test risk)",TRUE,"Review"),OR($A1117="thg-influencer",$A1117="thg-ingenuity",$A1117="thg-central-marketing",$A1117="thg-seoclarity"),"HOLD — Charlie Stringer to review before deletion",TRUE,"")</f>
        <v>HOLD — Charlie Stringer to review before deletion</v>
      </c>
      <c r="S1117" t="s">
        <v>1624</v>
      </c>
    </row>
    <row r="1118" spans="1:19" hidden="1">
      <c r="A1118" t="s">
        <v>38</v>
      </c>
      <c r="B1118" t="s">
        <v>1619</v>
      </c>
      <c r="C1118" t="s">
        <v>3573</v>
      </c>
      <c r="D1118" s="2" t="s">
        <v>1621</v>
      </c>
      <c r="E1118">
        <v>6.14</v>
      </c>
      <c r="F1118">
        <v>0.12</v>
      </c>
      <c r="G1118" t="s">
        <v>3456</v>
      </c>
      <c r="H1118" t="s">
        <v>3457</v>
      </c>
      <c r="I1118">
        <v>1015</v>
      </c>
      <c r="J1118">
        <v>1015</v>
      </c>
      <c r="M1118" s="2" t="s">
        <v>1715</v>
      </c>
      <c r="N1118" s="2" t="s">
        <v>1701</v>
      </c>
      <c r="O1118" s="5">
        <v>45181.555318981482</v>
      </c>
      <c r="P1118" t="str">
        <f>IF($Q1118="DELETE",IF($S1118="CONFIRMED: NO MODS &gt; 1YR","CONFIRMED: NO MODS &gt; 1YR","DO NOT DELETE — not defensibly confirmed"),IF($Q1118="HOLD","DO NOT DELETE — HOLD (Charlie review)",IF($Q1118="KEEP","DO NOT DELETE — KEEP",IF(ISNUMBER(SEARCH("REVIEW",$Q1118)),"DO NOT DELETE — REVIEW pending",$S1118))))</f>
        <v>DO NOT DELETE — HOLD (Charlie review)</v>
      </c>
      <c r="Q1118" t="str" cm="1">
        <f t="array" ref="Q1118">_xlfn.IFS(AND($A1118="thg-beauty",ISNUMBER(SEARCH("liveramp",$C1118))),"DELETE",$A1118="agile-bonbon-662",_xlfn.IFS(LEFT($G1118,9)="Tranche 1","DELETE",$C1118="Sessions_Level_1_All_Sites","KEEP",ISNUMBER(--$C1118),"REVIEW — UA raw logs",$C1118="Emag_Reporting","KEEP",$C1118="Nutrition_Data_Archived_Tables","KEEP",$C1118="EU_Data","KEEP",TRUE,"REVIEW"),OR($A1118="thg-influencer",$A1118="thg-ingenuity",$A1118="thg-central-marketing",$A1118="thg-seoclarity"),"HOLD",TRUE,"")</f>
        <v>HOLD</v>
      </c>
      <c r="R1118" t="str" cm="1">
        <f t="array" ref="R1118">_xlfn.IFS(AND($A1118="thg-beauty",ISNUMBER(SEARCH("liveramp",$C1118))),"thg-beauty Liveramp dataset — confirmed safe to delete",$A1118="agile-bonbon-662",_xlfn.IFS(LEFT($G1118,9)="Tranche 1","Tranche 1: cleared",$C1118="Sessions_Level_1_All_Sites","Downstream aggregation of UA raw logs — keep if raw tables go",ISNUMBER(--$C1118),"UA raw site logs (account ID) — keep pending audit-retention check",$C1118="Emag_Reporting","Legacy but likely needed",$C1118="Nutrition_Data_Archived_Tables","Worth keeping",$C1118="EU_Data","Static lookup tables — scripts still reference (smoke-test risk)",TRUE,"Review"),OR($A1118="thg-influencer",$A1118="thg-ingenuity",$A1118="thg-central-marketing",$A1118="thg-seoclarity"),"HOLD — Charlie Stringer to review before deletion",TRUE,"")</f>
        <v>HOLD — Charlie Stringer to review before deletion</v>
      </c>
      <c r="S1118" t="s">
        <v>1624</v>
      </c>
    </row>
    <row r="1119" spans="1:19" hidden="1">
      <c r="A1119" t="s">
        <v>38</v>
      </c>
      <c r="B1119" t="s">
        <v>1619</v>
      </c>
      <c r="C1119" t="s">
        <v>3574</v>
      </c>
      <c r="D1119" s="2" t="s">
        <v>1621</v>
      </c>
      <c r="E1119">
        <v>2.71</v>
      </c>
      <c r="F1119">
        <v>0.05</v>
      </c>
      <c r="G1119" t="s">
        <v>3456</v>
      </c>
      <c r="H1119" t="s">
        <v>3457</v>
      </c>
      <c r="I1119">
        <v>1015</v>
      </c>
      <c r="J1119">
        <v>1015</v>
      </c>
      <c r="M1119" s="2" t="s">
        <v>1715</v>
      </c>
      <c r="N1119" s="2" t="s">
        <v>1701</v>
      </c>
      <c r="O1119" s="5">
        <v>45181.645881793978</v>
      </c>
      <c r="P1119" t="str">
        <f>IF($Q1119="DELETE",IF($S1119="CONFIRMED: NO MODS &gt; 1YR","CONFIRMED: NO MODS &gt; 1YR","DO NOT DELETE — not defensibly confirmed"),IF($Q1119="HOLD","DO NOT DELETE — HOLD (Charlie review)",IF($Q1119="KEEP","DO NOT DELETE — KEEP",IF(ISNUMBER(SEARCH("REVIEW",$Q1119)),"DO NOT DELETE — REVIEW pending",$S1119))))</f>
        <v>DO NOT DELETE — HOLD (Charlie review)</v>
      </c>
      <c r="Q1119" t="str" cm="1">
        <f t="array" ref="Q1119">_xlfn.IFS(AND($A1119="thg-beauty",ISNUMBER(SEARCH("liveramp",$C1119))),"DELETE",$A1119="agile-bonbon-662",_xlfn.IFS(LEFT($G1119,9)="Tranche 1","DELETE",$C1119="Sessions_Level_1_All_Sites","KEEP",ISNUMBER(--$C1119),"REVIEW — UA raw logs",$C1119="Emag_Reporting","KEEP",$C1119="Nutrition_Data_Archived_Tables","KEEP",$C1119="EU_Data","KEEP",TRUE,"REVIEW"),OR($A1119="thg-influencer",$A1119="thg-ingenuity",$A1119="thg-central-marketing",$A1119="thg-seoclarity"),"HOLD",TRUE,"")</f>
        <v>HOLD</v>
      </c>
      <c r="R1119" t="str" cm="1">
        <f t="array" ref="R1119">_xlfn.IFS(AND($A1119="thg-beauty",ISNUMBER(SEARCH("liveramp",$C1119))),"thg-beauty Liveramp dataset — confirmed safe to delete",$A1119="agile-bonbon-662",_xlfn.IFS(LEFT($G1119,9)="Tranche 1","Tranche 1: cleared",$C1119="Sessions_Level_1_All_Sites","Downstream aggregation of UA raw logs — keep if raw tables go",ISNUMBER(--$C1119),"UA raw site logs (account ID) — keep pending audit-retention check",$C1119="Emag_Reporting","Legacy but likely needed",$C1119="Nutrition_Data_Archived_Tables","Worth keeping",$C1119="EU_Data","Static lookup tables — scripts still reference (smoke-test risk)",TRUE,"Review"),OR($A1119="thg-influencer",$A1119="thg-ingenuity",$A1119="thg-central-marketing",$A1119="thg-seoclarity"),"HOLD — Charlie Stringer to review before deletion",TRUE,"")</f>
        <v>HOLD — Charlie Stringer to review before deletion</v>
      </c>
      <c r="S1119" t="s">
        <v>1624</v>
      </c>
    </row>
    <row r="1120" spans="1:19" hidden="1">
      <c r="A1120" t="s">
        <v>38</v>
      </c>
      <c r="B1120" t="s">
        <v>1619</v>
      </c>
      <c r="C1120" t="s">
        <v>3575</v>
      </c>
      <c r="D1120" s="2" t="s">
        <v>1621</v>
      </c>
      <c r="E1120">
        <v>0.09</v>
      </c>
      <c r="F1120">
        <v>0</v>
      </c>
      <c r="G1120" t="s">
        <v>3456</v>
      </c>
      <c r="H1120" t="s">
        <v>3457</v>
      </c>
      <c r="I1120">
        <v>1015</v>
      </c>
      <c r="J1120">
        <v>1015</v>
      </c>
      <c r="M1120" s="2" t="s">
        <v>1715</v>
      </c>
      <c r="N1120" s="2" t="s">
        <v>1701</v>
      </c>
      <c r="O1120" s="5">
        <v>45181.580486041668</v>
      </c>
      <c r="P1120" t="str">
        <f>IF($Q1120="DELETE",IF($S1120="CONFIRMED: NO MODS &gt; 1YR","CONFIRMED: NO MODS &gt; 1YR","DO NOT DELETE — not defensibly confirmed"),IF($Q1120="HOLD","DO NOT DELETE — HOLD (Charlie review)",IF($Q1120="KEEP","DO NOT DELETE — KEEP",IF(ISNUMBER(SEARCH("REVIEW",$Q1120)),"DO NOT DELETE — REVIEW pending",$S1120))))</f>
        <v>DO NOT DELETE — HOLD (Charlie review)</v>
      </c>
      <c r="Q1120" t="str" cm="1">
        <f t="array" ref="Q1120">_xlfn.IFS(AND($A1120="thg-beauty",ISNUMBER(SEARCH("liveramp",$C1120))),"DELETE",$A1120="agile-bonbon-662",_xlfn.IFS(LEFT($G1120,9)="Tranche 1","DELETE",$C1120="Sessions_Level_1_All_Sites","KEEP",ISNUMBER(--$C1120),"REVIEW — UA raw logs",$C1120="Emag_Reporting","KEEP",$C1120="Nutrition_Data_Archived_Tables","KEEP",$C1120="EU_Data","KEEP",TRUE,"REVIEW"),OR($A1120="thg-influencer",$A1120="thg-ingenuity",$A1120="thg-central-marketing",$A1120="thg-seoclarity"),"HOLD",TRUE,"")</f>
        <v>HOLD</v>
      </c>
      <c r="R1120" t="str" cm="1">
        <f t="array" ref="R1120">_xlfn.IFS(AND($A1120="thg-beauty",ISNUMBER(SEARCH("liveramp",$C1120))),"thg-beauty Liveramp dataset — confirmed safe to delete",$A1120="agile-bonbon-662",_xlfn.IFS(LEFT($G1120,9)="Tranche 1","Tranche 1: cleared",$C1120="Sessions_Level_1_All_Sites","Downstream aggregation of UA raw logs — keep if raw tables go",ISNUMBER(--$C1120),"UA raw site logs (account ID) — keep pending audit-retention check",$C1120="Emag_Reporting","Legacy but likely needed",$C1120="Nutrition_Data_Archived_Tables","Worth keeping",$C1120="EU_Data","Static lookup tables — scripts still reference (smoke-test risk)",TRUE,"Review"),OR($A1120="thg-influencer",$A1120="thg-ingenuity",$A1120="thg-central-marketing",$A1120="thg-seoclarity"),"HOLD — Charlie Stringer to review before deletion",TRUE,"")</f>
        <v>HOLD — Charlie Stringer to review before deletion</v>
      </c>
      <c r="S1120" t="s">
        <v>1624</v>
      </c>
    </row>
    <row r="1121" spans="1:19" hidden="1">
      <c r="A1121" t="s">
        <v>38</v>
      </c>
      <c r="B1121" t="s">
        <v>1619</v>
      </c>
      <c r="C1121" t="s">
        <v>3576</v>
      </c>
      <c r="D1121" s="2" t="s">
        <v>1621</v>
      </c>
      <c r="E1121">
        <v>0.19</v>
      </c>
      <c r="F1121">
        <v>0</v>
      </c>
      <c r="G1121" t="s">
        <v>3456</v>
      </c>
      <c r="H1121" t="s">
        <v>3457</v>
      </c>
      <c r="I1121">
        <v>1009</v>
      </c>
      <c r="J1121">
        <v>1009</v>
      </c>
      <c r="M1121" s="2" t="s">
        <v>1715</v>
      </c>
      <c r="N1121" s="2" t="s">
        <v>1701</v>
      </c>
      <c r="O1121" s="5">
        <v>45188.448782557869</v>
      </c>
      <c r="P1121" t="str">
        <f>IF($Q1121="DELETE",IF($S1121="CONFIRMED: NO MODS &gt; 1YR","CONFIRMED: NO MODS &gt; 1YR","DO NOT DELETE — not defensibly confirmed"),IF($Q1121="HOLD","DO NOT DELETE — HOLD (Charlie review)",IF($Q1121="KEEP","DO NOT DELETE — KEEP",IF(ISNUMBER(SEARCH("REVIEW",$Q1121)),"DO NOT DELETE — REVIEW pending",$S1121))))</f>
        <v>DO NOT DELETE — HOLD (Charlie review)</v>
      </c>
      <c r="Q1121" t="str" cm="1">
        <f t="array" ref="Q1121">_xlfn.IFS(AND($A1121="thg-beauty",ISNUMBER(SEARCH("liveramp",$C1121))),"DELETE",$A1121="agile-bonbon-662",_xlfn.IFS(LEFT($G1121,9)="Tranche 1","DELETE",$C1121="Sessions_Level_1_All_Sites","KEEP",ISNUMBER(--$C1121),"REVIEW — UA raw logs",$C1121="Emag_Reporting","KEEP",$C1121="Nutrition_Data_Archived_Tables","KEEP",$C1121="EU_Data","KEEP",TRUE,"REVIEW"),OR($A1121="thg-influencer",$A1121="thg-ingenuity",$A1121="thg-central-marketing",$A1121="thg-seoclarity"),"HOLD",TRUE,"")</f>
        <v>HOLD</v>
      </c>
      <c r="R1121" t="str" cm="1">
        <f t="array" ref="R1121">_xlfn.IFS(AND($A1121="thg-beauty",ISNUMBER(SEARCH("liveramp",$C1121))),"thg-beauty Liveramp dataset — confirmed safe to delete",$A1121="agile-bonbon-662",_xlfn.IFS(LEFT($G1121,9)="Tranche 1","Tranche 1: cleared",$C1121="Sessions_Level_1_All_Sites","Downstream aggregation of UA raw logs — keep if raw tables go",ISNUMBER(--$C1121),"UA raw site logs (account ID) — keep pending audit-retention check",$C1121="Emag_Reporting","Legacy but likely needed",$C1121="Nutrition_Data_Archived_Tables","Worth keeping",$C1121="EU_Data","Static lookup tables — scripts still reference (smoke-test risk)",TRUE,"Review"),OR($A1121="thg-influencer",$A1121="thg-ingenuity",$A1121="thg-central-marketing",$A1121="thg-seoclarity"),"HOLD — Charlie Stringer to review before deletion",TRUE,"")</f>
        <v>HOLD — Charlie Stringer to review before deletion</v>
      </c>
      <c r="S1121" t="s">
        <v>1624</v>
      </c>
    </row>
    <row r="1122" spans="1:19" hidden="1">
      <c r="A1122" t="s">
        <v>38</v>
      </c>
      <c r="B1122" t="s">
        <v>1619</v>
      </c>
      <c r="C1122" t="s">
        <v>3577</v>
      </c>
      <c r="D1122" s="2" t="s">
        <v>1621</v>
      </c>
      <c r="E1122">
        <v>0.74</v>
      </c>
      <c r="F1122">
        <v>0.01</v>
      </c>
      <c r="G1122" t="s">
        <v>3456</v>
      </c>
      <c r="H1122" t="s">
        <v>3457</v>
      </c>
      <c r="I1122">
        <v>1001</v>
      </c>
      <c r="J1122">
        <v>1001</v>
      </c>
      <c r="M1122" s="2" t="s">
        <v>1715</v>
      </c>
      <c r="N1122" s="2" t="s">
        <v>1701</v>
      </c>
      <c r="O1122" s="5">
        <v>45196.300752523151</v>
      </c>
      <c r="P1122" t="str">
        <f>IF($Q1122="DELETE",IF($S1122="CONFIRMED: NO MODS &gt; 1YR","CONFIRMED: NO MODS &gt; 1YR","DO NOT DELETE — not defensibly confirmed"),IF($Q1122="HOLD","DO NOT DELETE — HOLD (Charlie review)",IF($Q1122="KEEP","DO NOT DELETE — KEEP",IF(ISNUMBER(SEARCH("REVIEW",$Q1122)),"DO NOT DELETE — REVIEW pending",$S1122))))</f>
        <v>DO NOT DELETE — HOLD (Charlie review)</v>
      </c>
      <c r="Q1122" t="str" cm="1">
        <f t="array" ref="Q1122">_xlfn.IFS(AND($A1122="thg-beauty",ISNUMBER(SEARCH("liveramp",$C1122))),"DELETE",$A1122="agile-bonbon-662",_xlfn.IFS(LEFT($G1122,9)="Tranche 1","DELETE",$C1122="Sessions_Level_1_All_Sites","KEEP",ISNUMBER(--$C1122),"REVIEW — UA raw logs",$C1122="Emag_Reporting","KEEP",$C1122="Nutrition_Data_Archived_Tables","KEEP",$C1122="EU_Data","KEEP",TRUE,"REVIEW"),OR($A1122="thg-influencer",$A1122="thg-ingenuity",$A1122="thg-central-marketing",$A1122="thg-seoclarity"),"HOLD",TRUE,"")</f>
        <v>HOLD</v>
      </c>
      <c r="R1122" t="str" cm="1">
        <f t="array" ref="R1122">_xlfn.IFS(AND($A1122="thg-beauty",ISNUMBER(SEARCH("liveramp",$C1122))),"thg-beauty Liveramp dataset — confirmed safe to delete",$A1122="agile-bonbon-662",_xlfn.IFS(LEFT($G1122,9)="Tranche 1","Tranche 1: cleared",$C1122="Sessions_Level_1_All_Sites","Downstream aggregation of UA raw logs — keep if raw tables go",ISNUMBER(--$C1122),"UA raw site logs (account ID) — keep pending audit-retention check",$C1122="Emag_Reporting","Legacy but likely needed",$C1122="Nutrition_Data_Archived_Tables","Worth keeping",$C1122="EU_Data","Static lookup tables — scripts still reference (smoke-test risk)",TRUE,"Review"),OR($A1122="thg-influencer",$A1122="thg-ingenuity",$A1122="thg-central-marketing",$A1122="thg-seoclarity"),"HOLD — Charlie Stringer to review before deletion",TRUE,"")</f>
        <v>HOLD — Charlie Stringer to review before deletion</v>
      </c>
      <c r="S1122" t="s">
        <v>1624</v>
      </c>
    </row>
    <row r="1123" spans="1:19" hidden="1">
      <c r="A1123" t="s">
        <v>38</v>
      </c>
      <c r="B1123" t="s">
        <v>1619</v>
      </c>
      <c r="C1123" t="s">
        <v>3578</v>
      </c>
      <c r="D1123" s="2" t="s">
        <v>1621</v>
      </c>
      <c r="E1123">
        <v>0.15</v>
      </c>
      <c r="F1123">
        <v>0</v>
      </c>
      <c r="G1123" t="s">
        <v>3456</v>
      </c>
      <c r="H1123" t="s">
        <v>3457</v>
      </c>
      <c r="I1123">
        <v>1001</v>
      </c>
      <c r="J1123">
        <v>1001</v>
      </c>
      <c r="M1123" s="2" t="s">
        <v>1715</v>
      </c>
      <c r="N1123" s="2" t="s">
        <v>1701</v>
      </c>
      <c r="O1123" s="5">
        <v>45196.395050312502</v>
      </c>
      <c r="P1123" t="str">
        <f>IF($Q1123="DELETE",IF($S1123="CONFIRMED: NO MODS &gt; 1YR","CONFIRMED: NO MODS &gt; 1YR","DO NOT DELETE — not defensibly confirmed"),IF($Q1123="HOLD","DO NOT DELETE — HOLD (Charlie review)",IF($Q1123="KEEP","DO NOT DELETE — KEEP",IF(ISNUMBER(SEARCH("REVIEW",$Q1123)),"DO NOT DELETE — REVIEW pending",$S1123))))</f>
        <v>DO NOT DELETE — HOLD (Charlie review)</v>
      </c>
      <c r="Q1123" t="str" cm="1">
        <f t="array" ref="Q1123">_xlfn.IFS(AND($A1123="thg-beauty",ISNUMBER(SEARCH("liveramp",$C1123))),"DELETE",$A1123="agile-bonbon-662",_xlfn.IFS(LEFT($G1123,9)="Tranche 1","DELETE",$C1123="Sessions_Level_1_All_Sites","KEEP",ISNUMBER(--$C1123),"REVIEW — UA raw logs",$C1123="Emag_Reporting","KEEP",$C1123="Nutrition_Data_Archived_Tables","KEEP",$C1123="EU_Data","KEEP",TRUE,"REVIEW"),OR($A1123="thg-influencer",$A1123="thg-ingenuity",$A1123="thg-central-marketing",$A1123="thg-seoclarity"),"HOLD",TRUE,"")</f>
        <v>HOLD</v>
      </c>
      <c r="R1123" t="str" cm="1">
        <f t="array" ref="R1123">_xlfn.IFS(AND($A1123="thg-beauty",ISNUMBER(SEARCH("liveramp",$C1123))),"thg-beauty Liveramp dataset — confirmed safe to delete",$A1123="agile-bonbon-662",_xlfn.IFS(LEFT($G1123,9)="Tranche 1","Tranche 1: cleared",$C1123="Sessions_Level_1_All_Sites","Downstream aggregation of UA raw logs — keep if raw tables go",ISNUMBER(--$C1123),"UA raw site logs (account ID) — keep pending audit-retention check",$C1123="Emag_Reporting","Legacy but likely needed",$C1123="Nutrition_Data_Archived_Tables","Worth keeping",$C1123="EU_Data","Static lookup tables — scripts still reference (smoke-test risk)",TRUE,"Review"),OR($A1123="thg-influencer",$A1123="thg-ingenuity",$A1123="thg-central-marketing",$A1123="thg-seoclarity"),"HOLD — Charlie Stringer to review before deletion",TRUE,"")</f>
        <v>HOLD — Charlie Stringer to review before deletion</v>
      </c>
      <c r="S1123" t="s">
        <v>1624</v>
      </c>
    </row>
    <row r="1124" spans="1:19" hidden="1">
      <c r="A1124" t="s">
        <v>38</v>
      </c>
      <c r="B1124" t="s">
        <v>1619</v>
      </c>
      <c r="C1124" t="s">
        <v>3579</v>
      </c>
      <c r="D1124" s="2" t="s">
        <v>1621</v>
      </c>
      <c r="E1124">
        <v>0.01</v>
      </c>
      <c r="F1124">
        <v>0</v>
      </c>
      <c r="G1124" t="s">
        <v>3456</v>
      </c>
      <c r="H1124" t="s">
        <v>3457</v>
      </c>
      <c r="I1124">
        <v>1001</v>
      </c>
      <c r="J1124">
        <v>1001</v>
      </c>
      <c r="M1124" s="2" t="s">
        <v>1715</v>
      </c>
      <c r="N1124" s="2" t="s">
        <v>1701</v>
      </c>
      <c r="O1124" s="5">
        <v>45196.214822592592</v>
      </c>
      <c r="P1124" t="str">
        <f>IF($Q1124="DELETE",IF($S1124="CONFIRMED: NO MODS &gt; 1YR","CONFIRMED: NO MODS &gt; 1YR","DO NOT DELETE — not defensibly confirmed"),IF($Q1124="HOLD","DO NOT DELETE — HOLD (Charlie review)",IF($Q1124="KEEP","DO NOT DELETE — KEEP",IF(ISNUMBER(SEARCH("REVIEW",$Q1124)),"DO NOT DELETE — REVIEW pending",$S1124))))</f>
        <v>DO NOT DELETE — HOLD (Charlie review)</v>
      </c>
      <c r="Q1124" t="str" cm="1">
        <f t="array" ref="Q1124">_xlfn.IFS(AND($A1124="thg-beauty",ISNUMBER(SEARCH("liveramp",$C1124))),"DELETE",$A1124="agile-bonbon-662",_xlfn.IFS(LEFT($G1124,9)="Tranche 1","DELETE",$C1124="Sessions_Level_1_All_Sites","KEEP",ISNUMBER(--$C1124),"REVIEW — UA raw logs",$C1124="Emag_Reporting","KEEP",$C1124="Nutrition_Data_Archived_Tables","KEEP",$C1124="EU_Data","KEEP",TRUE,"REVIEW"),OR($A1124="thg-influencer",$A1124="thg-ingenuity",$A1124="thg-central-marketing",$A1124="thg-seoclarity"),"HOLD",TRUE,"")</f>
        <v>HOLD</v>
      </c>
      <c r="R1124" t="str" cm="1">
        <f t="array" ref="R1124">_xlfn.IFS(AND($A1124="thg-beauty",ISNUMBER(SEARCH("liveramp",$C1124))),"thg-beauty Liveramp dataset — confirmed safe to delete",$A1124="agile-bonbon-662",_xlfn.IFS(LEFT($G1124,9)="Tranche 1","Tranche 1: cleared",$C1124="Sessions_Level_1_All_Sites","Downstream aggregation of UA raw logs — keep if raw tables go",ISNUMBER(--$C1124),"UA raw site logs (account ID) — keep pending audit-retention check",$C1124="Emag_Reporting","Legacy but likely needed",$C1124="Nutrition_Data_Archived_Tables","Worth keeping",$C1124="EU_Data","Static lookup tables — scripts still reference (smoke-test risk)",TRUE,"Review"),OR($A1124="thg-influencer",$A1124="thg-ingenuity",$A1124="thg-central-marketing",$A1124="thg-seoclarity"),"HOLD — Charlie Stringer to review before deletion",TRUE,"")</f>
        <v>HOLD — Charlie Stringer to review before deletion</v>
      </c>
      <c r="S1124" t="s">
        <v>1624</v>
      </c>
    </row>
    <row r="1125" spans="1:19" hidden="1">
      <c r="A1125" t="s">
        <v>38</v>
      </c>
      <c r="B1125" t="s">
        <v>1619</v>
      </c>
      <c r="C1125" t="s">
        <v>3580</v>
      </c>
      <c r="D1125" s="2" t="s">
        <v>1621</v>
      </c>
      <c r="E1125">
        <v>1.91</v>
      </c>
      <c r="F1125">
        <v>0.04</v>
      </c>
      <c r="G1125" t="s">
        <v>3456</v>
      </c>
      <c r="H1125" t="s">
        <v>3457</v>
      </c>
      <c r="I1125">
        <v>995</v>
      </c>
      <c r="J1125">
        <v>995</v>
      </c>
      <c r="M1125" s="2" t="s">
        <v>1715</v>
      </c>
      <c r="N1125" s="2" t="s">
        <v>1701</v>
      </c>
      <c r="O1125" s="5">
        <v>45202.439364502323</v>
      </c>
      <c r="P1125" t="str">
        <f>IF($Q1125="DELETE",IF($S1125="CONFIRMED: NO MODS &gt; 1YR","CONFIRMED: NO MODS &gt; 1YR","DO NOT DELETE — not defensibly confirmed"),IF($Q1125="HOLD","DO NOT DELETE — HOLD (Charlie review)",IF($Q1125="KEEP","DO NOT DELETE — KEEP",IF(ISNUMBER(SEARCH("REVIEW",$Q1125)),"DO NOT DELETE — REVIEW pending",$S1125))))</f>
        <v>DO NOT DELETE — HOLD (Charlie review)</v>
      </c>
      <c r="Q1125" t="str" cm="1">
        <f t="array" ref="Q1125">_xlfn.IFS(AND($A1125="thg-beauty",ISNUMBER(SEARCH("liveramp",$C1125))),"DELETE",$A1125="agile-bonbon-662",_xlfn.IFS(LEFT($G1125,9)="Tranche 1","DELETE",$C1125="Sessions_Level_1_All_Sites","KEEP",ISNUMBER(--$C1125),"REVIEW — UA raw logs",$C1125="Emag_Reporting","KEEP",$C1125="Nutrition_Data_Archived_Tables","KEEP",$C1125="EU_Data","KEEP",TRUE,"REVIEW"),OR($A1125="thg-influencer",$A1125="thg-ingenuity",$A1125="thg-central-marketing",$A1125="thg-seoclarity"),"HOLD",TRUE,"")</f>
        <v>HOLD</v>
      </c>
      <c r="R1125" t="str" cm="1">
        <f t="array" ref="R1125">_xlfn.IFS(AND($A1125="thg-beauty",ISNUMBER(SEARCH("liveramp",$C1125))),"thg-beauty Liveramp dataset — confirmed safe to delete",$A1125="agile-bonbon-662",_xlfn.IFS(LEFT($G1125,9)="Tranche 1","Tranche 1: cleared",$C1125="Sessions_Level_1_All_Sites","Downstream aggregation of UA raw logs — keep if raw tables go",ISNUMBER(--$C1125),"UA raw site logs (account ID) — keep pending audit-retention check",$C1125="Emag_Reporting","Legacy but likely needed",$C1125="Nutrition_Data_Archived_Tables","Worth keeping",$C1125="EU_Data","Static lookup tables — scripts still reference (smoke-test risk)",TRUE,"Review"),OR($A1125="thg-influencer",$A1125="thg-ingenuity",$A1125="thg-central-marketing",$A1125="thg-seoclarity"),"HOLD — Charlie Stringer to review before deletion",TRUE,"")</f>
        <v>HOLD — Charlie Stringer to review before deletion</v>
      </c>
      <c r="S1125" t="s">
        <v>1624</v>
      </c>
    </row>
    <row r="1126" spans="1:19" hidden="1">
      <c r="A1126" t="s">
        <v>38</v>
      </c>
      <c r="B1126" t="s">
        <v>1619</v>
      </c>
      <c r="C1126" t="s">
        <v>3581</v>
      </c>
      <c r="D1126" s="2" t="s">
        <v>1621</v>
      </c>
      <c r="E1126">
        <v>0.02</v>
      </c>
      <c r="F1126">
        <v>0</v>
      </c>
      <c r="G1126" t="s">
        <v>3456</v>
      </c>
      <c r="H1126" t="s">
        <v>3457</v>
      </c>
      <c r="I1126">
        <v>978</v>
      </c>
      <c r="J1126">
        <v>978</v>
      </c>
      <c r="M1126" s="2" t="s">
        <v>1715</v>
      </c>
      <c r="N1126" s="2" t="s">
        <v>1701</v>
      </c>
      <c r="O1126" s="5">
        <v>45219.342362407413</v>
      </c>
      <c r="P1126" t="str">
        <f>IF($Q1126="DELETE",IF($S1126="CONFIRMED: NO MODS &gt; 1YR","CONFIRMED: NO MODS &gt; 1YR","DO NOT DELETE — not defensibly confirmed"),IF($Q1126="HOLD","DO NOT DELETE — HOLD (Charlie review)",IF($Q1126="KEEP","DO NOT DELETE — KEEP",IF(ISNUMBER(SEARCH("REVIEW",$Q1126)),"DO NOT DELETE — REVIEW pending",$S1126))))</f>
        <v>DO NOT DELETE — HOLD (Charlie review)</v>
      </c>
      <c r="Q1126" t="str" cm="1">
        <f t="array" ref="Q1126">_xlfn.IFS(AND($A1126="thg-beauty",ISNUMBER(SEARCH("liveramp",$C1126))),"DELETE",$A1126="agile-bonbon-662",_xlfn.IFS(LEFT($G1126,9)="Tranche 1","DELETE",$C1126="Sessions_Level_1_All_Sites","KEEP",ISNUMBER(--$C1126),"REVIEW — UA raw logs",$C1126="Emag_Reporting","KEEP",$C1126="Nutrition_Data_Archived_Tables","KEEP",$C1126="EU_Data","KEEP",TRUE,"REVIEW"),OR($A1126="thg-influencer",$A1126="thg-ingenuity",$A1126="thg-central-marketing",$A1126="thg-seoclarity"),"HOLD",TRUE,"")</f>
        <v>HOLD</v>
      </c>
      <c r="R1126" t="str" cm="1">
        <f t="array" ref="R1126">_xlfn.IFS(AND($A1126="thg-beauty",ISNUMBER(SEARCH("liveramp",$C1126))),"thg-beauty Liveramp dataset — confirmed safe to delete",$A1126="agile-bonbon-662",_xlfn.IFS(LEFT($G1126,9)="Tranche 1","Tranche 1: cleared",$C1126="Sessions_Level_1_All_Sites","Downstream aggregation of UA raw logs — keep if raw tables go",ISNUMBER(--$C1126),"UA raw site logs (account ID) — keep pending audit-retention check",$C1126="Emag_Reporting","Legacy but likely needed",$C1126="Nutrition_Data_Archived_Tables","Worth keeping",$C1126="EU_Data","Static lookup tables — scripts still reference (smoke-test risk)",TRUE,"Review"),OR($A1126="thg-influencer",$A1126="thg-ingenuity",$A1126="thg-central-marketing",$A1126="thg-seoclarity"),"HOLD — Charlie Stringer to review before deletion",TRUE,"")</f>
        <v>HOLD — Charlie Stringer to review before deletion</v>
      </c>
      <c r="S1126" t="s">
        <v>1624</v>
      </c>
    </row>
    <row r="1127" spans="1:19" hidden="1">
      <c r="A1127" t="s">
        <v>38</v>
      </c>
      <c r="B1127" t="s">
        <v>1619</v>
      </c>
      <c r="C1127" t="s">
        <v>3582</v>
      </c>
      <c r="D1127" s="2" t="s">
        <v>1621</v>
      </c>
      <c r="E1127">
        <v>0.25</v>
      </c>
      <c r="F1127">
        <v>0.01</v>
      </c>
      <c r="G1127" t="s">
        <v>3456</v>
      </c>
      <c r="H1127" t="s">
        <v>3457</v>
      </c>
      <c r="I1127">
        <v>977</v>
      </c>
      <c r="J1127">
        <v>977</v>
      </c>
      <c r="M1127" s="2" t="s">
        <v>1715</v>
      </c>
      <c r="N1127" s="2" t="s">
        <v>1701</v>
      </c>
      <c r="O1127" s="5">
        <v>45220.245918206019</v>
      </c>
      <c r="P1127" t="str">
        <f>IF($Q1127="DELETE",IF($S1127="CONFIRMED: NO MODS &gt; 1YR","CONFIRMED: NO MODS &gt; 1YR","DO NOT DELETE — not defensibly confirmed"),IF($Q1127="HOLD","DO NOT DELETE — HOLD (Charlie review)",IF($Q1127="KEEP","DO NOT DELETE — KEEP",IF(ISNUMBER(SEARCH("REVIEW",$Q1127)),"DO NOT DELETE — REVIEW pending",$S1127))))</f>
        <v>DO NOT DELETE — HOLD (Charlie review)</v>
      </c>
      <c r="Q1127" t="str" cm="1">
        <f t="array" ref="Q1127">_xlfn.IFS(AND($A1127="thg-beauty",ISNUMBER(SEARCH("liveramp",$C1127))),"DELETE",$A1127="agile-bonbon-662",_xlfn.IFS(LEFT($G1127,9)="Tranche 1","DELETE",$C1127="Sessions_Level_1_All_Sites","KEEP",ISNUMBER(--$C1127),"REVIEW — UA raw logs",$C1127="Emag_Reporting","KEEP",$C1127="Nutrition_Data_Archived_Tables","KEEP",$C1127="EU_Data","KEEP",TRUE,"REVIEW"),OR($A1127="thg-influencer",$A1127="thg-ingenuity",$A1127="thg-central-marketing",$A1127="thg-seoclarity"),"HOLD",TRUE,"")</f>
        <v>HOLD</v>
      </c>
      <c r="R1127" t="str" cm="1">
        <f t="array" ref="R1127">_xlfn.IFS(AND($A1127="thg-beauty",ISNUMBER(SEARCH("liveramp",$C1127))),"thg-beauty Liveramp dataset — confirmed safe to delete",$A1127="agile-bonbon-662",_xlfn.IFS(LEFT($G1127,9)="Tranche 1","Tranche 1: cleared",$C1127="Sessions_Level_1_All_Sites","Downstream aggregation of UA raw logs — keep if raw tables go",ISNUMBER(--$C1127),"UA raw site logs (account ID) — keep pending audit-retention check",$C1127="Emag_Reporting","Legacy but likely needed",$C1127="Nutrition_Data_Archived_Tables","Worth keeping",$C1127="EU_Data","Static lookup tables — scripts still reference (smoke-test risk)",TRUE,"Review"),OR($A1127="thg-influencer",$A1127="thg-ingenuity",$A1127="thg-central-marketing",$A1127="thg-seoclarity"),"HOLD — Charlie Stringer to review before deletion",TRUE,"")</f>
        <v>HOLD — Charlie Stringer to review before deletion</v>
      </c>
      <c r="S1127" t="s">
        <v>1624</v>
      </c>
    </row>
    <row r="1128" spans="1:19" hidden="1">
      <c r="A1128" t="s">
        <v>38</v>
      </c>
      <c r="B1128" t="s">
        <v>1619</v>
      </c>
      <c r="C1128" t="s">
        <v>3583</v>
      </c>
      <c r="D1128" s="2" t="s">
        <v>1621</v>
      </c>
      <c r="E1128">
        <v>0.06</v>
      </c>
      <c r="F1128">
        <v>0</v>
      </c>
      <c r="G1128" t="s">
        <v>3456</v>
      </c>
      <c r="H1128" t="s">
        <v>3457</v>
      </c>
      <c r="I1128">
        <v>977</v>
      </c>
      <c r="J1128">
        <v>977</v>
      </c>
      <c r="M1128" s="2" t="s">
        <v>1715</v>
      </c>
      <c r="N1128" s="2" t="s">
        <v>1701</v>
      </c>
      <c r="O1128" s="5">
        <v>45220.198056388886</v>
      </c>
      <c r="P1128" t="str">
        <f>IF($Q1128="DELETE",IF($S1128="CONFIRMED: NO MODS &gt; 1YR","CONFIRMED: NO MODS &gt; 1YR","DO NOT DELETE — not defensibly confirmed"),IF($Q1128="HOLD","DO NOT DELETE — HOLD (Charlie review)",IF($Q1128="KEEP","DO NOT DELETE — KEEP",IF(ISNUMBER(SEARCH("REVIEW",$Q1128)),"DO NOT DELETE — REVIEW pending",$S1128))))</f>
        <v>DO NOT DELETE — HOLD (Charlie review)</v>
      </c>
      <c r="Q1128" t="str" cm="1">
        <f t="array" ref="Q1128">_xlfn.IFS(AND($A1128="thg-beauty",ISNUMBER(SEARCH("liveramp",$C1128))),"DELETE",$A1128="agile-bonbon-662",_xlfn.IFS(LEFT($G1128,9)="Tranche 1","DELETE",$C1128="Sessions_Level_1_All_Sites","KEEP",ISNUMBER(--$C1128),"REVIEW — UA raw logs",$C1128="Emag_Reporting","KEEP",$C1128="Nutrition_Data_Archived_Tables","KEEP",$C1128="EU_Data","KEEP",TRUE,"REVIEW"),OR($A1128="thg-influencer",$A1128="thg-ingenuity",$A1128="thg-central-marketing",$A1128="thg-seoclarity"),"HOLD",TRUE,"")</f>
        <v>HOLD</v>
      </c>
      <c r="R1128" t="str" cm="1">
        <f t="array" ref="R1128">_xlfn.IFS(AND($A1128="thg-beauty",ISNUMBER(SEARCH("liveramp",$C1128))),"thg-beauty Liveramp dataset — confirmed safe to delete",$A1128="agile-bonbon-662",_xlfn.IFS(LEFT($G1128,9)="Tranche 1","Tranche 1: cleared",$C1128="Sessions_Level_1_All_Sites","Downstream aggregation of UA raw logs — keep if raw tables go",ISNUMBER(--$C1128),"UA raw site logs (account ID) — keep pending audit-retention check",$C1128="Emag_Reporting","Legacy but likely needed",$C1128="Nutrition_Data_Archived_Tables","Worth keeping",$C1128="EU_Data","Static lookup tables — scripts still reference (smoke-test risk)",TRUE,"Review"),OR($A1128="thg-influencer",$A1128="thg-ingenuity",$A1128="thg-central-marketing",$A1128="thg-seoclarity"),"HOLD — Charlie Stringer to review before deletion",TRUE,"")</f>
        <v>HOLD — Charlie Stringer to review before deletion</v>
      </c>
      <c r="S1128" t="s">
        <v>1624</v>
      </c>
    </row>
    <row r="1129" spans="1:19" hidden="1">
      <c r="A1129" t="s">
        <v>35</v>
      </c>
      <c r="B1129" t="s">
        <v>1619</v>
      </c>
      <c r="C1129" t="s">
        <v>3584</v>
      </c>
      <c r="D1129" s="2" t="s">
        <v>1621</v>
      </c>
      <c r="E1129">
        <v>76.95</v>
      </c>
      <c r="F1129">
        <v>1.54</v>
      </c>
      <c r="G1129" t="s">
        <v>3456</v>
      </c>
      <c r="H1129" t="s">
        <v>3457</v>
      </c>
      <c r="I1129">
        <v>966</v>
      </c>
      <c r="J1129">
        <v>966</v>
      </c>
      <c r="M1129" s="2" t="s">
        <v>1715</v>
      </c>
      <c r="N1129" s="2" t="s">
        <v>1701</v>
      </c>
      <c r="O1129" s="5">
        <v>45231.382133761566</v>
      </c>
      <c r="P1129" t="str">
        <f>IF($Q1129="DELETE",IF($S1129="CONFIRMED: NO MODS &gt; 1YR","CONFIRMED: NO MODS &gt; 1YR","DO NOT DELETE — not defensibly confirmed"),IF($Q1129="HOLD","DO NOT DELETE — HOLD (Charlie review)",IF($Q1129="KEEP","DO NOT DELETE — KEEP",IF(ISNUMBER(SEARCH("REVIEW",$Q1129)),"DO NOT DELETE — REVIEW pending",$S1129))))</f>
        <v>DO NOT DELETE — HOLD (Charlie review)</v>
      </c>
      <c r="Q1129" t="str" cm="1">
        <f t="array" ref="Q1129">_xlfn.IFS(AND($A1129="thg-beauty",ISNUMBER(SEARCH("liveramp",$C1129))),"DELETE",$A1129="agile-bonbon-662",_xlfn.IFS(LEFT($G1129,9)="Tranche 1","DELETE",$C1129="Sessions_Level_1_All_Sites","KEEP",ISNUMBER(--$C1129),"REVIEW — UA raw logs",$C1129="Emag_Reporting","KEEP",$C1129="Nutrition_Data_Archived_Tables","KEEP",$C1129="EU_Data","KEEP",TRUE,"REVIEW"),OR($A1129="thg-influencer",$A1129="thg-ingenuity",$A1129="thg-central-marketing",$A1129="thg-seoclarity"),"HOLD",TRUE,"")</f>
        <v>HOLD</v>
      </c>
      <c r="R1129" t="str" cm="1">
        <f t="array" ref="R1129">_xlfn.IFS(AND($A1129="thg-beauty",ISNUMBER(SEARCH("liveramp",$C1129))),"thg-beauty Liveramp dataset — confirmed safe to delete",$A1129="agile-bonbon-662",_xlfn.IFS(LEFT($G1129,9)="Tranche 1","Tranche 1: cleared",$C1129="Sessions_Level_1_All_Sites","Downstream aggregation of UA raw logs — keep if raw tables go",ISNUMBER(--$C1129),"UA raw site logs (account ID) — keep pending audit-retention check",$C1129="Emag_Reporting","Legacy but likely needed",$C1129="Nutrition_Data_Archived_Tables","Worth keeping",$C1129="EU_Data","Static lookup tables — scripts still reference (smoke-test risk)",TRUE,"Review"),OR($A1129="thg-influencer",$A1129="thg-ingenuity",$A1129="thg-central-marketing",$A1129="thg-seoclarity"),"HOLD — Charlie Stringer to review before deletion",TRUE,"")</f>
        <v>HOLD — Charlie Stringer to review before deletion</v>
      </c>
      <c r="S1129" t="s">
        <v>1624</v>
      </c>
    </row>
    <row r="1130" spans="1:19" hidden="1">
      <c r="A1130" t="s">
        <v>38</v>
      </c>
      <c r="B1130" t="s">
        <v>1619</v>
      </c>
      <c r="C1130" t="s">
        <v>3585</v>
      </c>
      <c r="D1130" s="2" t="s">
        <v>1621</v>
      </c>
      <c r="E1130">
        <v>3.84</v>
      </c>
      <c r="F1130">
        <v>0.08</v>
      </c>
      <c r="G1130" t="s">
        <v>3456</v>
      </c>
      <c r="H1130" t="s">
        <v>3457</v>
      </c>
      <c r="I1130">
        <v>952</v>
      </c>
      <c r="J1130">
        <v>952</v>
      </c>
      <c r="M1130" s="2" t="s">
        <v>1715</v>
      </c>
      <c r="N1130" s="2" t="s">
        <v>1701</v>
      </c>
      <c r="O1130" s="5">
        <v>45245.285388900462</v>
      </c>
      <c r="P1130" t="str">
        <f>IF($Q1130="DELETE",IF($S1130="CONFIRMED: NO MODS &gt; 1YR","CONFIRMED: NO MODS &gt; 1YR","DO NOT DELETE — not defensibly confirmed"),IF($Q1130="HOLD","DO NOT DELETE — HOLD (Charlie review)",IF($Q1130="KEEP","DO NOT DELETE — KEEP",IF(ISNUMBER(SEARCH("REVIEW",$Q1130)),"DO NOT DELETE — REVIEW pending",$S1130))))</f>
        <v>DO NOT DELETE — HOLD (Charlie review)</v>
      </c>
      <c r="Q1130" t="str" cm="1">
        <f t="array" ref="Q1130">_xlfn.IFS(AND($A1130="thg-beauty",ISNUMBER(SEARCH("liveramp",$C1130))),"DELETE",$A1130="agile-bonbon-662",_xlfn.IFS(LEFT($G1130,9)="Tranche 1","DELETE",$C1130="Sessions_Level_1_All_Sites","KEEP",ISNUMBER(--$C1130),"REVIEW — UA raw logs",$C1130="Emag_Reporting","KEEP",$C1130="Nutrition_Data_Archived_Tables","KEEP",$C1130="EU_Data","KEEP",TRUE,"REVIEW"),OR($A1130="thg-influencer",$A1130="thg-ingenuity",$A1130="thg-central-marketing",$A1130="thg-seoclarity"),"HOLD",TRUE,"")</f>
        <v>HOLD</v>
      </c>
      <c r="R1130" t="str" cm="1">
        <f t="array" ref="R1130">_xlfn.IFS(AND($A1130="thg-beauty",ISNUMBER(SEARCH("liveramp",$C1130))),"thg-beauty Liveramp dataset — confirmed safe to delete",$A1130="agile-bonbon-662",_xlfn.IFS(LEFT($G1130,9)="Tranche 1","Tranche 1: cleared",$C1130="Sessions_Level_1_All_Sites","Downstream aggregation of UA raw logs — keep if raw tables go",ISNUMBER(--$C1130),"UA raw site logs (account ID) — keep pending audit-retention check",$C1130="Emag_Reporting","Legacy but likely needed",$C1130="Nutrition_Data_Archived_Tables","Worth keeping",$C1130="EU_Data","Static lookup tables — scripts still reference (smoke-test risk)",TRUE,"Review"),OR($A1130="thg-influencer",$A1130="thg-ingenuity",$A1130="thg-central-marketing",$A1130="thg-seoclarity"),"HOLD — Charlie Stringer to review before deletion",TRUE,"")</f>
        <v>HOLD — Charlie Stringer to review before deletion</v>
      </c>
      <c r="S1130" t="s">
        <v>1624</v>
      </c>
    </row>
    <row r="1131" spans="1:19" hidden="1">
      <c r="A1131" t="s">
        <v>38</v>
      </c>
      <c r="B1131" t="s">
        <v>1619</v>
      </c>
      <c r="C1131" t="s">
        <v>3586</v>
      </c>
      <c r="D1131" s="2" t="s">
        <v>1621</v>
      </c>
      <c r="E1131">
        <v>0.8</v>
      </c>
      <c r="F1131">
        <v>0.02</v>
      </c>
      <c r="G1131" t="s">
        <v>3456</v>
      </c>
      <c r="H1131" t="s">
        <v>3457</v>
      </c>
      <c r="I1131">
        <v>933</v>
      </c>
      <c r="J1131">
        <v>933</v>
      </c>
      <c r="M1131" s="2" t="s">
        <v>1715</v>
      </c>
      <c r="N1131" s="2" t="s">
        <v>1701</v>
      </c>
      <c r="O1131" s="5">
        <v>45264.329801157408</v>
      </c>
      <c r="P1131" t="str">
        <f>IF($Q1131="DELETE",IF($S1131="CONFIRMED: NO MODS &gt; 1YR","CONFIRMED: NO MODS &gt; 1YR","DO NOT DELETE — not defensibly confirmed"),IF($Q1131="HOLD","DO NOT DELETE — HOLD (Charlie review)",IF($Q1131="KEEP","DO NOT DELETE — KEEP",IF(ISNUMBER(SEARCH("REVIEW",$Q1131)),"DO NOT DELETE — REVIEW pending",$S1131))))</f>
        <v>DO NOT DELETE — HOLD (Charlie review)</v>
      </c>
      <c r="Q1131" t="str" cm="1">
        <f t="array" ref="Q1131">_xlfn.IFS(AND($A1131="thg-beauty",ISNUMBER(SEARCH("liveramp",$C1131))),"DELETE",$A1131="agile-bonbon-662",_xlfn.IFS(LEFT($G1131,9)="Tranche 1","DELETE",$C1131="Sessions_Level_1_All_Sites","KEEP",ISNUMBER(--$C1131),"REVIEW — UA raw logs",$C1131="Emag_Reporting","KEEP",$C1131="Nutrition_Data_Archived_Tables","KEEP",$C1131="EU_Data","KEEP",TRUE,"REVIEW"),OR($A1131="thg-influencer",$A1131="thg-ingenuity",$A1131="thg-central-marketing",$A1131="thg-seoclarity"),"HOLD",TRUE,"")</f>
        <v>HOLD</v>
      </c>
      <c r="R1131" t="str" cm="1">
        <f t="array" ref="R1131">_xlfn.IFS(AND($A1131="thg-beauty",ISNUMBER(SEARCH("liveramp",$C1131))),"thg-beauty Liveramp dataset — confirmed safe to delete",$A1131="agile-bonbon-662",_xlfn.IFS(LEFT($G1131,9)="Tranche 1","Tranche 1: cleared",$C1131="Sessions_Level_1_All_Sites","Downstream aggregation of UA raw logs — keep if raw tables go",ISNUMBER(--$C1131),"UA raw site logs (account ID) — keep pending audit-retention check",$C1131="Emag_Reporting","Legacy but likely needed",$C1131="Nutrition_Data_Archived_Tables","Worth keeping",$C1131="EU_Data","Static lookup tables — scripts still reference (smoke-test risk)",TRUE,"Review"),OR($A1131="thg-influencer",$A1131="thg-ingenuity",$A1131="thg-central-marketing",$A1131="thg-seoclarity"),"HOLD — Charlie Stringer to review before deletion",TRUE,"")</f>
        <v>HOLD — Charlie Stringer to review before deletion</v>
      </c>
      <c r="S1131" t="s">
        <v>1624</v>
      </c>
    </row>
    <row r="1132" spans="1:19" hidden="1">
      <c r="A1132" t="s">
        <v>38</v>
      </c>
      <c r="B1132" t="s">
        <v>1619</v>
      </c>
      <c r="C1132" t="s">
        <v>3587</v>
      </c>
      <c r="D1132" s="2" t="s">
        <v>1621</v>
      </c>
      <c r="E1132">
        <v>0.39</v>
      </c>
      <c r="F1132">
        <v>0.01</v>
      </c>
      <c r="G1132" t="s">
        <v>3456</v>
      </c>
      <c r="H1132" t="s">
        <v>3457</v>
      </c>
      <c r="I1132">
        <v>932</v>
      </c>
      <c r="J1132">
        <v>932</v>
      </c>
      <c r="M1132" s="2" t="s">
        <v>1715</v>
      </c>
      <c r="N1132" s="2" t="s">
        <v>1701</v>
      </c>
      <c r="O1132" s="5">
        <v>45264.736450706019</v>
      </c>
      <c r="P1132" t="str">
        <f>IF($Q1132="DELETE",IF($S1132="CONFIRMED: NO MODS &gt; 1YR","CONFIRMED: NO MODS &gt; 1YR","DO NOT DELETE — not defensibly confirmed"),IF($Q1132="HOLD","DO NOT DELETE — HOLD (Charlie review)",IF($Q1132="KEEP","DO NOT DELETE — KEEP",IF(ISNUMBER(SEARCH("REVIEW",$Q1132)),"DO NOT DELETE — REVIEW pending",$S1132))))</f>
        <v>DO NOT DELETE — HOLD (Charlie review)</v>
      </c>
      <c r="Q1132" t="str" cm="1">
        <f t="array" ref="Q1132">_xlfn.IFS(AND($A1132="thg-beauty",ISNUMBER(SEARCH("liveramp",$C1132))),"DELETE",$A1132="agile-bonbon-662",_xlfn.IFS(LEFT($G1132,9)="Tranche 1","DELETE",$C1132="Sessions_Level_1_All_Sites","KEEP",ISNUMBER(--$C1132),"REVIEW — UA raw logs",$C1132="Emag_Reporting","KEEP",$C1132="Nutrition_Data_Archived_Tables","KEEP",$C1132="EU_Data","KEEP",TRUE,"REVIEW"),OR($A1132="thg-influencer",$A1132="thg-ingenuity",$A1132="thg-central-marketing",$A1132="thg-seoclarity"),"HOLD",TRUE,"")</f>
        <v>HOLD</v>
      </c>
      <c r="R1132" t="str" cm="1">
        <f t="array" ref="R1132">_xlfn.IFS(AND($A1132="thg-beauty",ISNUMBER(SEARCH("liveramp",$C1132))),"thg-beauty Liveramp dataset — confirmed safe to delete",$A1132="agile-bonbon-662",_xlfn.IFS(LEFT($G1132,9)="Tranche 1","Tranche 1: cleared",$C1132="Sessions_Level_1_All_Sites","Downstream aggregation of UA raw logs — keep if raw tables go",ISNUMBER(--$C1132),"UA raw site logs (account ID) — keep pending audit-retention check",$C1132="Emag_Reporting","Legacy but likely needed",$C1132="Nutrition_Data_Archived_Tables","Worth keeping",$C1132="EU_Data","Static lookup tables — scripts still reference (smoke-test risk)",TRUE,"Review"),OR($A1132="thg-influencer",$A1132="thg-ingenuity",$A1132="thg-central-marketing",$A1132="thg-seoclarity"),"HOLD — Charlie Stringer to review before deletion",TRUE,"")</f>
        <v>HOLD — Charlie Stringer to review before deletion</v>
      </c>
      <c r="S1132" t="s">
        <v>1624</v>
      </c>
    </row>
    <row r="1133" spans="1:19" hidden="1">
      <c r="A1133" t="s">
        <v>38</v>
      </c>
      <c r="B1133" t="s">
        <v>1619</v>
      </c>
      <c r="C1133" t="s">
        <v>3588</v>
      </c>
      <c r="D1133" s="2" t="s">
        <v>1621</v>
      </c>
      <c r="E1133">
        <v>0.21</v>
      </c>
      <c r="F1133">
        <v>0</v>
      </c>
      <c r="G1133" t="s">
        <v>3456</v>
      </c>
      <c r="H1133" t="s">
        <v>3457</v>
      </c>
      <c r="I1133">
        <v>922</v>
      </c>
      <c r="J1133">
        <v>922</v>
      </c>
      <c r="M1133" s="2" t="s">
        <v>1715</v>
      </c>
      <c r="N1133" s="2" t="s">
        <v>1701</v>
      </c>
      <c r="O1133" s="5">
        <v>45275.343331666663</v>
      </c>
      <c r="P1133" t="str">
        <f>IF($Q1133="DELETE",IF($S1133="CONFIRMED: NO MODS &gt; 1YR","CONFIRMED: NO MODS &gt; 1YR","DO NOT DELETE — not defensibly confirmed"),IF($Q1133="HOLD","DO NOT DELETE — HOLD (Charlie review)",IF($Q1133="KEEP","DO NOT DELETE — KEEP",IF(ISNUMBER(SEARCH("REVIEW",$Q1133)),"DO NOT DELETE — REVIEW pending",$S1133))))</f>
        <v>DO NOT DELETE — HOLD (Charlie review)</v>
      </c>
      <c r="Q1133" t="str" cm="1">
        <f t="array" ref="Q1133">_xlfn.IFS(AND($A1133="thg-beauty",ISNUMBER(SEARCH("liveramp",$C1133))),"DELETE",$A1133="agile-bonbon-662",_xlfn.IFS(LEFT($G1133,9)="Tranche 1","DELETE",$C1133="Sessions_Level_1_All_Sites","KEEP",ISNUMBER(--$C1133),"REVIEW — UA raw logs",$C1133="Emag_Reporting","KEEP",$C1133="Nutrition_Data_Archived_Tables","KEEP",$C1133="EU_Data","KEEP",TRUE,"REVIEW"),OR($A1133="thg-influencer",$A1133="thg-ingenuity",$A1133="thg-central-marketing",$A1133="thg-seoclarity"),"HOLD",TRUE,"")</f>
        <v>HOLD</v>
      </c>
      <c r="R1133" t="str" cm="1">
        <f t="array" ref="R1133">_xlfn.IFS(AND($A1133="thg-beauty",ISNUMBER(SEARCH("liveramp",$C1133))),"thg-beauty Liveramp dataset — confirmed safe to delete",$A1133="agile-bonbon-662",_xlfn.IFS(LEFT($G1133,9)="Tranche 1","Tranche 1: cleared",$C1133="Sessions_Level_1_All_Sites","Downstream aggregation of UA raw logs — keep if raw tables go",ISNUMBER(--$C1133),"UA raw site logs (account ID) — keep pending audit-retention check",$C1133="Emag_Reporting","Legacy but likely needed",$C1133="Nutrition_Data_Archived_Tables","Worth keeping",$C1133="EU_Data","Static lookup tables — scripts still reference (smoke-test risk)",TRUE,"Review"),OR($A1133="thg-influencer",$A1133="thg-ingenuity",$A1133="thg-central-marketing",$A1133="thg-seoclarity"),"HOLD — Charlie Stringer to review before deletion",TRUE,"")</f>
        <v>HOLD — Charlie Stringer to review before deletion</v>
      </c>
      <c r="S1133" t="s">
        <v>1624</v>
      </c>
    </row>
    <row r="1134" spans="1:19" hidden="1">
      <c r="A1134" t="s">
        <v>38</v>
      </c>
      <c r="B1134" t="s">
        <v>1619</v>
      </c>
      <c r="C1134" t="s">
        <v>3589</v>
      </c>
      <c r="D1134" s="2" t="s">
        <v>1621</v>
      </c>
      <c r="E1134">
        <v>1.86</v>
      </c>
      <c r="F1134">
        <v>0.04</v>
      </c>
      <c r="G1134" t="s">
        <v>3456</v>
      </c>
      <c r="H1134" t="s">
        <v>3457</v>
      </c>
      <c r="I1134">
        <v>902</v>
      </c>
      <c r="J1134">
        <v>902</v>
      </c>
      <c r="M1134" s="2" t="s">
        <v>1715</v>
      </c>
      <c r="N1134" s="2" t="s">
        <v>1701</v>
      </c>
      <c r="O1134" s="5">
        <v>45295.342377476853</v>
      </c>
      <c r="P1134" t="str">
        <f>IF($Q1134="DELETE",IF($S1134="CONFIRMED: NO MODS &gt; 1YR","CONFIRMED: NO MODS &gt; 1YR","DO NOT DELETE — not defensibly confirmed"),IF($Q1134="HOLD","DO NOT DELETE — HOLD (Charlie review)",IF($Q1134="KEEP","DO NOT DELETE — KEEP",IF(ISNUMBER(SEARCH("REVIEW",$Q1134)),"DO NOT DELETE — REVIEW pending",$S1134))))</f>
        <v>DO NOT DELETE — HOLD (Charlie review)</v>
      </c>
      <c r="Q1134" t="str" cm="1">
        <f t="array" ref="Q1134">_xlfn.IFS(AND($A1134="thg-beauty",ISNUMBER(SEARCH("liveramp",$C1134))),"DELETE",$A1134="agile-bonbon-662",_xlfn.IFS(LEFT($G1134,9)="Tranche 1","DELETE",$C1134="Sessions_Level_1_All_Sites","KEEP",ISNUMBER(--$C1134),"REVIEW — UA raw logs",$C1134="Emag_Reporting","KEEP",$C1134="Nutrition_Data_Archived_Tables","KEEP",$C1134="EU_Data","KEEP",TRUE,"REVIEW"),OR($A1134="thg-influencer",$A1134="thg-ingenuity",$A1134="thg-central-marketing",$A1134="thg-seoclarity"),"HOLD",TRUE,"")</f>
        <v>HOLD</v>
      </c>
      <c r="R1134" t="str" cm="1">
        <f t="array" ref="R1134">_xlfn.IFS(AND($A1134="thg-beauty",ISNUMBER(SEARCH("liveramp",$C1134))),"thg-beauty Liveramp dataset — confirmed safe to delete",$A1134="agile-bonbon-662",_xlfn.IFS(LEFT($G1134,9)="Tranche 1","Tranche 1: cleared",$C1134="Sessions_Level_1_All_Sites","Downstream aggregation of UA raw logs — keep if raw tables go",ISNUMBER(--$C1134),"UA raw site logs (account ID) — keep pending audit-retention check",$C1134="Emag_Reporting","Legacy but likely needed",$C1134="Nutrition_Data_Archived_Tables","Worth keeping",$C1134="EU_Data","Static lookup tables — scripts still reference (smoke-test risk)",TRUE,"Review"),OR($A1134="thg-influencer",$A1134="thg-ingenuity",$A1134="thg-central-marketing",$A1134="thg-seoclarity"),"HOLD — Charlie Stringer to review before deletion",TRUE,"")</f>
        <v>HOLD — Charlie Stringer to review before deletion</v>
      </c>
      <c r="S1134" t="s">
        <v>1624</v>
      </c>
    </row>
    <row r="1135" spans="1:19" hidden="1">
      <c r="A1135" t="s">
        <v>38</v>
      </c>
      <c r="B1135" t="s">
        <v>1619</v>
      </c>
      <c r="C1135" t="s">
        <v>3590</v>
      </c>
      <c r="D1135" s="2" t="s">
        <v>1621</v>
      </c>
      <c r="E1135">
        <v>1.64</v>
      </c>
      <c r="F1135">
        <v>0.03</v>
      </c>
      <c r="G1135" t="s">
        <v>3456</v>
      </c>
      <c r="H1135" t="s">
        <v>3457</v>
      </c>
      <c r="I1135">
        <v>899</v>
      </c>
      <c r="J1135">
        <v>899</v>
      </c>
      <c r="M1135" s="2" t="s">
        <v>1715</v>
      </c>
      <c r="N1135" s="2" t="s">
        <v>1701</v>
      </c>
      <c r="O1135" s="5">
        <v>45298.249994166668</v>
      </c>
      <c r="P1135" t="str">
        <f>IF($Q1135="DELETE",IF($S1135="CONFIRMED: NO MODS &gt; 1YR","CONFIRMED: NO MODS &gt; 1YR","DO NOT DELETE — not defensibly confirmed"),IF($Q1135="HOLD","DO NOT DELETE — HOLD (Charlie review)",IF($Q1135="KEEP","DO NOT DELETE — KEEP",IF(ISNUMBER(SEARCH("REVIEW",$Q1135)),"DO NOT DELETE — REVIEW pending",$S1135))))</f>
        <v>DO NOT DELETE — HOLD (Charlie review)</v>
      </c>
      <c r="Q1135" t="str" cm="1">
        <f t="array" ref="Q1135">_xlfn.IFS(AND($A1135="thg-beauty",ISNUMBER(SEARCH("liveramp",$C1135))),"DELETE",$A1135="agile-bonbon-662",_xlfn.IFS(LEFT($G1135,9)="Tranche 1","DELETE",$C1135="Sessions_Level_1_All_Sites","KEEP",ISNUMBER(--$C1135),"REVIEW — UA raw logs",$C1135="Emag_Reporting","KEEP",$C1135="Nutrition_Data_Archived_Tables","KEEP",$C1135="EU_Data","KEEP",TRUE,"REVIEW"),OR($A1135="thg-influencer",$A1135="thg-ingenuity",$A1135="thg-central-marketing",$A1135="thg-seoclarity"),"HOLD",TRUE,"")</f>
        <v>HOLD</v>
      </c>
      <c r="R1135" t="str" cm="1">
        <f t="array" ref="R1135">_xlfn.IFS(AND($A1135="thg-beauty",ISNUMBER(SEARCH("liveramp",$C1135))),"thg-beauty Liveramp dataset — confirmed safe to delete",$A1135="agile-bonbon-662",_xlfn.IFS(LEFT($G1135,9)="Tranche 1","Tranche 1: cleared",$C1135="Sessions_Level_1_All_Sites","Downstream aggregation of UA raw logs — keep if raw tables go",ISNUMBER(--$C1135),"UA raw site logs (account ID) — keep pending audit-retention check",$C1135="Emag_Reporting","Legacy but likely needed",$C1135="Nutrition_Data_Archived_Tables","Worth keeping",$C1135="EU_Data","Static lookup tables — scripts still reference (smoke-test risk)",TRUE,"Review"),OR($A1135="thg-influencer",$A1135="thg-ingenuity",$A1135="thg-central-marketing",$A1135="thg-seoclarity"),"HOLD — Charlie Stringer to review before deletion",TRUE,"")</f>
        <v>HOLD — Charlie Stringer to review before deletion</v>
      </c>
      <c r="S1135" t="s">
        <v>1624</v>
      </c>
    </row>
    <row r="1136" spans="1:19" hidden="1">
      <c r="A1136" t="s">
        <v>38</v>
      </c>
      <c r="B1136" t="s">
        <v>1619</v>
      </c>
      <c r="C1136" t="s">
        <v>3591</v>
      </c>
      <c r="D1136" s="2" t="s">
        <v>1621</v>
      </c>
      <c r="E1136">
        <v>0.73</v>
      </c>
      <c r="F1136">
        <v>0.01</v>
      </c>
      <c r="G1136" t="s">
        <v>3456</v>
      </c>
      <c r="H1136" t="s">
        <v>3457</v>
      </c>
      <c r="I1136">
        <v>899</v>
      </c>
      <c r="J1136">
        <v>899</v>
      </c>
      <c r="M1136" s="2" t="s">
        <v>1715</v>
      </c>
      <c r="N1136" s="2" t="s">
        <v>1701</v>
      </c>
      <c r="O1136" s="5">
        <v>45298.335256458333</v>
      </c>
      <c r="P1136" t="str">
        <f>IF($Q1136="DELETE",IF($S1136="CONFIRMED: NO MODS &gt; 1YR","CONFIRMED: NO MODS &gt; 1YR","DO NOT DELETE — not defensibly confirmed"),IF($Q1136="HOLD","DO NOT DELETE — HOLD (Charlie review)",IF($Q1136="KEEP","DO NOT DELETE — KEEP",IF(ISNUMBER(SEARCH("REVIEW",$Q1136)),"DO NOT DELETE — REVIEW pending",$S1136))))</f>
        <v>DO NOT DELETE — HOLD (Charlie review)</v>
      </c>
      <c r="Q1136" t="str" cm="1">
        <f t="array" ref="Q1136">_xlfn.IFS(AND($A1136="thg-beauty",ISNUMBER(SEARCH("liveramp",$C1136))),"DELETE",$A1136="agile-bonbon-662",_xlfn.IFS(LEFT($G1136,9)="Tranche 1","DELETE",$C1136="Sessions_Level_1_All_Sites","KEEP",ISNUMBER(--$C1136),"REVIEW — UA raw logs",$C1136="Emag_Reporting","KEEP",$C1136="Nutrition_Data_Archived_Tables","KEEP",$C1136="EU_Data","KEEP",TRUE,"REVIEW"),OR($A1136="thg-influencer",$A1136="thg-ingenuity",$A1136="thg-central-marketing",$A1136="thg-seoclarity"),"HOLD",TRUE,"")</f>
        <v>HOLD</v>
      </c>
      <c r="R1136" t="str" cm="1">
        <f t="array" ref="R1136">_xlfn.IFS(AND($A1136="thg-beauty",ISNUMBER(SEARCH("liveramp",$C1136))),"thg-beauty Liveramp dataset — confirmed safe to delete",$A1136="agile-bonbon-662",_xlfn.IFS(LEFT($G1136,9)="Tranche 1","Tranche 1: cleared",$C1136="Sessions_Level_1_All_Sites","Downstream aggregation of UA raw logs — keep if raw tables go",ISNUMBER(--$C1136),"UA raw site logs (account ID) — keep pending audit-retention check",$C1136="Emag_Reporting","Legacy but likely needed",$C1136="Nutrition_Data_Archived_Tables","Worth keeping",$C1136="EU_Data","Static lookup tables — scripts still reference (smoke-test risk)",TRUE,"Review"),OR($A1136="thg-influencer",$A1136="thg-ingenuity",$A1136="thg-central-marketing",$A1136="thg-seoclarity"),"HOLD — Charlie Stringer to review before deletion",TRUE,"")</f>
        <v>HOLD — Charlie Stringer to review before deletion</v>
      </c>
      <c r="S1136" t="s">
        <v>1624</v>
      </c>
    </row>
    <row r="1137" spans="1:19" hidden="1">
      <c r="A1137" t="s">
        <v>38</v>
      </c>
      <c r="B1137" t="s">
        <v>1619</v>
      </c>
      <c r="C1137" t="s">
        <v>3592</v>
      </c>
      <c r="D1137" s="2" t="s">
        <v>1621</v>
      </c>
      <c r="E1137">
        <v>0.22</v>
      </c>
      <c r="F1137">
        <v>0</v>
      </c>
      <c r="G1137" t="s">
        <v>3456</v>
      </c>
      <c r="H1137" t="s">
        <v>3457</v>
      </c>
      <c r="I1137">
        <v>891</v>
      </c>
      <c r="J1137">
        <v>891</v>
      </c>
      <c r="M1137" s="2" t="s">
        <v>1715</v>
      </c>
      <c r="N1137" s="2" t="s">
        <v>1701</v>
      </c>
      <c r="O1137" s="5">
        <v>45306.347878749999</v>
      </c>
      <c r="P1137" t="str">
        <f>IF($Q1137="DELETE",IF($S1137="CONFIRMED: NO MODS &gt; 1YR","CONFIRMED: NO MODS &gt; 1YR","DO NOT DELETE — not defensibly confirmed"),IF($Q1137="HOLD","DO NOT DELETE — HOLD (Charlie review)",IF($Q1137="KEEP","DO NOT DELETE — KEEP",IF(ISNUMBER(SEARCH("REVIEW",$Q1137)),"DO NOT DELETE — REVIEW pending",$S1137))))</f>
        <v>DO NOT DELETE — HOLD (Charlie review)</v>
      </c>
      <c r="Q1137" t="str" cm="1">
        <f t="array" ref="Q1137">_xlfn.IFS(AND($A1137="thg-beauty",ISNUMBER(SEARCH("liveramp",$C1137))),"DELETE",$A1137="agile-bonbon-662",_xlfn.IFS(LEFT($G1137,9)="Tranche 1","DELETE",$C1137="Sessions_Level_1_All_Sites","KEEP",ISNUMBER(--$C1137),"REVIEW — UA raw logs",$C1137="Emag_Reporting","KEEP",$C1137="Nutrition_Data_Archived_Tables","KEEP",$C1137="EU_Data","KEEP",TRUE,"REVIEW"),OR($A1137="thg-influencer",$A1137="thg-ingenuity",$A1137="thg-central-marketing",$A1137="thg-seoclarity"),"HOLD",TRUE,"")</f>
        <v>HOLD</v>
      </c>
      <c r="R1137" t="str" cm="1">
        <f t="array" ref="R1137">_xlfn.IFS(AND($A1137="thg-beauty",ISNUMBER(SEARCH("liveramp",$C1137))),"thg-beauty Liveramp dataset — confirmed safe to delete",$A1137="agile-bonbon-662",_xlfn.IFS(LEFT($G1137,9)="Tranche 1","Tranche 1: cleared",$C1137="Sessions_Level_1_All_Sites","Downstream aggregation of UA raw logs — keep if raw tables go",ISNUMBER(--$C1137),"UA raw site logs (account ID) — keep pending audit-retention check",$C1137="Emag_Reporting","Legacy but likely needed",$C1137="Nutrition_Data_Archived_Tables","Worth keeping",$C1137="EU_Data","Static lookup tables — scripts still reference (smoke-test risk)",TRUE,"Review"),OR($A1137="thg-influencer",$A1137="thg-ingenuity",$A1137="thg-central-marketing",$A1137="thg-seoclarity"),"HOLD — Charlie Stringer to review before deletion",TRUE,"")</f>
        <v>HOLD — Charlie Stringer to review before deletion</v>
      </c>
      <c r="S1137" t="s">
        <v>1624</v>
      </c>
    </row>
    <row r="1138" spans="1:19" hidden="1">
      <c r="A1138" t="s">
        <v>38</v>
      </c>
      <c r="B1138" t="s">
        <v>1619</v>
      </c>
      <c r="C1138" t="s">
        <v>3593</v>
      </c>
      <c r="D1138" s="2" t="s">
        <v>1621</v>
      </c>
      <c r="E1138">
        <v>0.12</v>
      </c>
      <c r="F1138">
        <v>0</v>
      </c>
      <c r="G1138" t="s">
        <v>3456</v>
      </c>
      <c r="H1138" t="s">
        <v>3457</v>
      </c>
      <c r="I1138">
        <v>891</v>
      </c>
      <c r="J1138">
        <v>891</v>
      </c>
      <c r="M1138" s="2" t="s">
        <v>1715</v>
      </c>
      <c r="N1138" s="2" t="s">
        <v>1701</v>
      </c>
      <c r="O1138" s="5">
        <v>45306.243506273153</v>
      </c>
      <c r="P1138" t="str">
        <f>IF($Q1138="DELETE",IF($S1138="CONFIRMED: NO MODS &gt; 1YR","CONFIRMED: NO MODS &gt; 1YR","DO NOT DELETE — not defensibly confirmed"),IF($Q1138="HOLD","DO NOT DELETE — HOLD (Charlie review)",IF($Q1138="KEEP","DO NOT DELETE — KEEP",IF(ISNUMBER(SEARCH("REVIEW",$Q1138)),"DO NOT DELETE — REVIEW pending",$S1138))))</f>
        <v>DO NOT DELETE — HOLD (Charlie review)</v>
      </c>
      <c r="Q1138" t="str" cm="1">
        <f t="array" ref="Q1138">_xlfn.IFS(AND($A1138="thg-beauty",ISNUMBER(SEARCH("liveramp",$C1138))),"DELETE",$A1138="agile-bonbon-662",_xlfn.IFS(LEFT($G1138,9)="Tranche 1","DELETE",$C1138="Sessions_Level_1_All_Sites","KEEP",ISNUMBER(--$C1138),"REVIEW — UA raw logs",$C1138="Emag_Reporting","KEEP",$C1138="Nutrition_Data_Archived_Tables","KEEP",$C1138="EU_Data","KEEP",TRUE,"REVIEW"),OR($A1138="thg-influencer",$A1138="thg-ingenuity",$A1138="thg-central-marketing",$A1138="thg-seoclarity"),"HOLD",TRUE,"")</f>
        <v>HOLD</v>
      </c>
      <c r="R1138" t="str" cm="1">
        <f t="array" ref="R1138">_xlfn.IFS(AND($A1138="thg-beauty",ISNUMBER(SEARCH("liveramp",$C1138))),"thg-beauty Liveramp dataset — confirmed safe to delete",$A1138="agile-bonbon-662",_xlfn.IFS(LEFT($G1138,9)="Tranche 1","Tranche 1: cleared",$C1138="Sessions_Level_1_All_Sites","Downstream aggregation of UA raw logs — keep if raw tables go",ISNUMBER(--$C1138),"UA raw site logs (account ID) — keep pending audit-retention check",$C1138="Emag_Reporting","Legacy but likely needed",$C1138="Nutrition_Data_Archived_Tables","Worth keeping",$C1138="EU_Data","Static lookup tables — scripts still reference (smoke-test risk)",TRUE,"Review"),OR($A1138="thg-influencer",$A1138="thg-ingenuity",$A1138="thg-central-marketing",$A1138="thg-seoclarity"),"HOLD — Charlie Stringer to review before deletion",TRUE,"")</f>
        <v>HOLD — Charlie Stringer to review before deletion</v>
      </c>
      <c r="S1138" t="s">
        <v>1624</v>
      </c>
    </row>
    <row r="1139" spans="1:19" hidden="1">
      <c r="A1139" t="s">
        <v>38</v>
      </c>
      <c r="B1139" t="s">
        <v>1619</v>
      </c>
      <c r="C1139" t="s">
        <v>3594</v>
      </c>
      <c r="D1139" s="2" t="s">
        <v>1621</v>
      </c>
      <c r="E1139">
        <v>0.19</v>
      </c>
      <c r="F1139">
        <v>0</v>
      </c>
      <c r="G1139" t="s">
        <v>3456</v>
      </c>
      <c r="H1139" t="s">
        <v>3457</v>
      </c>
      <c r="I1139">
        <v>889</v>
      </c>
      <c r="J1139">
        <v>889</v>
      </c>
      <c r="M1139" s="2" t="s">
        <v>1715</v>
      </c>
      <c r="N1139" s="2" t="s">
        <v>1701</v>
      </c>
      <c r="O1139" s="5">
        <v>45307.680088009263</v>
      </c>
      <c r="P1139" t="str">
        <f>IF($Q1139="DELETE",IF($S1139="CONFIRMED: NO MODS &gt; 1YR","CONFIRMED: NO MODS &gt; 1YR","DO NOT DELETE — not defensibly confirmed"),IF($Q1139="HOLD","DO NOT DELETE — HOLD (Charlie review)",IF($Q1139="KEEP","DO NOT DELETE — KEEP",IF(ISNUMBER(SEARCH("REVIEW",$Q1139)),"DO NOT DELETE — REVIEW pending",$S1139))))</f>
        <v>DO NOT DELETE — HOLD (Charlie review)</v>
      </c>
      <c r="Q1139" t="str" cm="1">
        <f t="array" ref="Q1139">_xlfn.IFS(AND($A1139="thg-beauty",ISNUMBER(SEARCH("liveramp",$C1139))),"DELETE",$A1139="agile-bonbon-662",_xlfn.IFS(LEFT($G1139,9)="Tranche 1","DELETE",$C1139="Sessions_Level_1_All_Sites","KEEP",ISNUMBER(--$C1139),"REVIEW — UA raw logs",$C1139="Emag_Reporting","KEEP",$C1139="Nutrition_Data_Archived_Tables","KEEP",$C1139="EU_Data","KEEP",TRUE,"REVIEW"),OR($A1139="thg-influencer",$A1139="thg-ingenuity",$A1139="thg-central-marketing",$A1139="thg-seoclarity"),"HOLD",TRUE,"")</f>
        <v>HOLD</v>
      </c>
      <c r="R1139" t="str" cm="1">
        <f t="array" ref="R1139">_xlfn.IFS(AND($A1139="thg-beauty",ISNUMBER(SEARCH("liveramp",$C1139))),"thg-beauty Liveramp dataset — confirmed safe to delete",$A1139="agile-bonbon-662",_xlfn.IFS(LEFT($G1139,9)="Tranche 1","Tranche 1: cleared",$C1139="Sessions_Level_1_All_Sites","Downstream aggregation of UA raw logs — keep if raw tables go",ISNUMBER(--$C1139),"UA raw site logs (account ID) — keep pending audit-retention check",$C1139="Emag_Reporting","Legacy but likely needed",$C1139="Nutrition_Data_Archived_Tables","Worth keeping",$C1139="EU_Data","Static lookup tables — scripts still reference (smoke-test risk)",TRUE,"Review"),OR($A1139="thg-influencer",$A1139="thg-ingenuity",$A1139="thg-central-marketing",$A1139="thg-seoclarity"),"HOLD — Charlie Stringer to review before deletion",TRUE,"")</f>
        <v>HOLD — Charlie Stringer to review before deletion</v>
      </c>
      <c r="S1139" t="s">
        <v>1624</v>
      </c>
    </row>
    <row r="1140" spans="1:19" hidden="1">
      <c r="A1140" t="s">
        <v>38</v>
      </c>
      <c r="B1140" t="s">
        <v>1619</v>
      </c>
      <c r="C1140" t="s">
        <v>3595</v>
      </c>
      <c r="D1140" s="2" t="s">
        <v>1621</v>
      </c>
      <c r="E1140">
        <v>0.04</v>
      </c>
      <c r="F1140">
        <v>0</v>
      </c>
      <c r="G1140" t="s">
        <v>3456</v>
      </c>
      <c r="H1140" t="s">
        <v>3457</v>
      </c>
      <c r="I1140">
        <v>886</v>
      </c>
      <c r="J1140">
        <v>886</v>
      </c>
      <c r="M1140" s="2" t="s">
        <v>1715</v>
      </c>
      <c r="N1140" s="2" t="s">
        <v>1701</v>
      </c>
      <c r="O1140" s="5">
        <v>45311.345770057873</v>
      </c>
      <c r="P1140" t="str">
        <f>IF($Q1140="DELETE",IF($S1140="CONFIRMED: NO MODS &gt; 1YR","CONFIRMED: NO MODS &gt; 1YR","DO NOT DELETE — not defensibly confirmed"),IF($Q1140="HOLD","DO NOT DELETE — HOLD (Charlie review)",IF($Q1140="KEEP","DO NOT DELETE — KEEP",IF(ISNUMBER(SEARCH("REVIEW",$Q1140)),"DO NOT DELETE — REVIEW pending",$S1140))))</f>
        <v>DO NOT DELETE — HOLD (Charlie review)</v>
      </c>
      <c r="Q1140" t="str" cm="1">
        <f t="array" ref="Q1140">_xlfn.IFS(AND($A1140="thg-beauty",ISNUMBER(SEARCH("liveramp",$C1140))),"DELETE",$A1140="agile-bonbon-662",_xlfn.IFS(LEFT($G1140,9)="Tranche 1","DELETE",$C1140="Sessions_Level_1_All_Sites","KEEP",ISNUMBER(--$C1140),"REVIEW — UA raw logs",$C1140="Emag_Reporting","KEEP",$C1140="Nutrition_Data_Archived_Tables","KEEP",$C1140="EU_Data","KEEP",TRUE,"REVIEW"),OR($A1140="thg-influencer",$A1140="thg-ingenuity",$A1140="thg-central-marketing",$A1140="thg-seoclarity"),"HOLD",TRUE,"")</f>
        <v>HOLD</v>
      </c>
      <c r="R1140" t="str" cm="1">
        <f t="array" ref="R1140">_xlfn.IFS(AND($A1140="thg-beauty",ISNUMBER(SEARCH("liveramp",$C1140))),"thg-beauty Liveramp dataset — confirmed safe to delete",$A1140="agile-bonbon-662",_xlfn.IFS(LEFT($G1140,9)="Tranche 1","Tranche 1: cleared",$C1140="Sessions_Level_1_All_Sites","Downstream aggregation of UA raw logs — keep if raw tables go",ISNUMBER(--$C1140),"UA raw site logs (account ID) — keep pending audit-retention check",$C1140="Emag_Reporting","Legacy but likely needed",$C1140="Nutrition_Data_Archived_Tables","Worth keeping",$C1140="EU_Data","Static lookup tables — scripts still reference (smoke-test risk)",TRUE,"Review"),OR($A1140="thg-influencer",$A1140="thg-ingenuity",$A1140="thg-central-marketing",$A1140="thg-seoclarity"),"HOLD — Charlie Stringer to review before deletion",TRUE,"")</f>
        <v>HOLD — Charlie Stringer to review before deletion</v>
      </c>
      <c r="S1140" t="s">
        <v>1624</v>
      </c>
    </row>
    <row r="1141" spans="1:19" hidden="1">
      <c r="A1141" t="s">
        <v>38</v>
      </c>
      <c r="B1141" t="s">
        <v>1619</v>
      </c>
      <c r="C1141" t="s">
        <v>3596</v>
      </c>
      <c r="D1141" s="2" t="s">
        <v>1621</v>
      </c>
      <c r="E1141">
        <v>0.48</v>
      </c>
      <c r="F1141">
        <v>0.01</v>
      </c>
      <c r="G1141" t="s">
        <v>3456</v>
      </c>
      <c r="H1141" t="s">
        <v>3457</v>
      </c>
      <c r="I1141">
        <v>881</v>
      </c>
      <c r="J1141">
        <v>881</v>
      </c>
      <c r="M1141" s="2" t="s">
        <v>1715</v>
      </c>
      <c r="N1141" s="2" t="s">
        <v>1701</v>
      </c>
      <c r="O1141" s="5">
        <v>45316.28763673611</v>
      </c>
      <c r="P1141" t="str">
        <f>IF($Q1141="DELETE",IF($S1141="CONFIRMED: NO MODS &gt; 1YR","CONFIRMED: NO MODS &gt; 1YR","DO NOT DELETE — not defensibly confirmed"),IF($Q1141="HOLD","DO NOT DELETE — HOLD (Charlie review)",IF($Q1141="KEEP","DO NOT DELETE — KEEP",IF(ISNUMBER(SEARCH("REVIEW",$Q1141)),"DO NOT DELETE — REVIEW pending",$S1141))))</f>
        <v>DO NOT DELETE — HOLD (Charlie review)</v>
      </c>
      <c r="Q1141" t="str" cm="1">
        <f t="array" ref="Q1141">_xlfn.IFS(AND($A1141="thg-beauty",ISNUMBER(SEARCH("liveramp",$C1141))),"DELETE",$A1141="agile-bonbon-662",_xlfn.IFS(LEFT($G1141,9)="Tranche 1","DELETE",$C1141="Sessions_Level_1_All_Sites","KEEP",ISNUMBER(--$C1141),"REVIEW — UA raw logs",$C1141="Emag_Reporting","KEEP",$C1141="Nutrition_Data_Archived_Tables","KEEP",$C1141="EU_Data","KEEP",TRUE,"REVIEW"),OR($A1141="thg-influencer",$A1141="thg-ingenuity",$A1141="thg-central-marketing",$A1141="thg-seoclarity"),"HOLD",TRUE,"")</f>
        <v>HOLD</v>
      </c>
      <c r="R1141" t="str" cm="1">
        <f t="array" ref="R1141">_xlfn.IFS(AND($A1141="thg-beauty",ISNUMBER(SEARCH("liveramp",$C1141))),"thg-beauty Liveramp dataset — confirmed safe to delete",$A1141="agile-bonbon-662",_xlfn.IFS(LEFT($G1141,9)="Tranche 1","Tranche 1: cleared",$C1141="Sessions_Level_1_All_Sites","Downstream aggregation of UA raw logs — keep if raw tables go",ISNUMBER(--$C1141),"UA raw site logs (account ID) — keep pending audit-retention check",$C1141="Emag_Reporting","Legacy but likely needed",$C1141="Nutrition_Data_Archived_Tables","Worth keeping",$C1141="EU_Data","Static lookup tables — scripts still reference (smoke-test risk)",TRUE,"Review"),OR($A1141="thg-influencer",$A1141="thg-ingenuity",$A1141="thg-central-marketing",$A1141="thg-seoclarity"),"HOLD — Charlie Stringer to review before deletion",TRUE,"")</f>
        <v>HOLD — Charlie Stringer to review before deletion</v>
      </c>
      <c r="S1141" t="s">
        <v>1624</v>
      </c>
    </row>
    <row r="1142" spans="1:19" hidden="1">
      <c r="A1142" t="s">
        <v>38</v>
      </c>
      <c r="B1142" t="s">
        <v>1619</v>
      </c>
      <c r="C1142" t="s">
        <v>3597</v>
      </c>
      <c r="D1142" s="2" t="s">
        <v>1621</v>
      </c>
      <c r="E1142">
        <v>1.83</v>
      </c>
      <c r="F1142">
        <v>0.04</v>
      </c>
      <c r="G1142" t="s">
        <v>3456</v>
      </c>
      <c r="H1142" t="s">
        <v>3457</v>
      </c>
      <c r="I1142">
        <v>874</v>
      </c>
      <c r="J1142">
        <v>874</v>
      </c>
      <c r="M1142" s="2" t="s">
        <v>1715</v>
      </c>
      <c r="N1142" s="2" t="s">
        <v>1701</v>
      </c>
      <c r="O1142" s="5">
        <v>45323.197405104169</v>
      </c>
      <c r="P1142" t="str">
        <f>IF($Q1142="DELETE",IF($S1142="CONFIRMED: NO MODS &gt; 1YR","CONFIRMED: NO MODS &gt; 1YR","DO NOT DELETE — not defensibly confirmed"),IF($Q1142="HOLD","DO NOT DELETE — HOLD (Charlie review)",IF($Q1142="KEEP","DO NOT DELETE — KEEP",IF(ISNUMBER(SEARCH("REVIEW",$Q1142)),"DO NOT DELETE — REVIEW pending",$S1142))))</f>
        <v>DO NOT DELETE — HOLD (Charlie review)</v>
      </c>
      <c r="Q1142" t="str" cm="1">
        <f t="array" ref="Q1142">_xlfn.IFS(AND($A1142="thg-beauty",ISNUMBER(SEARCH("liveramp",$C1142))),"DELETE",$A1142="agile-bonbon-662",_xlfn.IFS(LEFT($G1142,9)="Tranche 1","DELETE",$C1142="Sessions_Level_1_All_Sites","KEEP",ISNUMBER(--$C1142),"REVIEW — UA raw logs",$C1142="Emag_Reporting","KEEP",$C1142="Nutrition_Data_Archived_Tables","KEEP",$C1142="EU_Data","KEEP",TRUE,"REVIEW"),OR($A1142="thg-influencer",$A1142="thg-ingenuity",$A1142="thg-central-marketing",$A1142="thg-seoclarity"),"HOLD",TRUE,"")</f>
        <v>HOLD</v>
      </c>
      <c r="R1142" t="str" cm="1">
        <f t="array" ref="R1142">_xlfn.IFS(AND($A1142="thg-beauty",ISNUMBER(SEARCH("liveramp",$C1142))),"thg-beauty Liveramp dataset — confirmed safe to delete",$A1142="agile-bonbon-662",_xlfn.IFS(LEFT($G1142,9)="Tranche 1","Tranche 1: cleared",$C1142="Sessions_Level_1_All_Sites","Downstream aggregation of UA raw logs — keep if raw tables go",ISNUMBER(--$C1142),"UA raw site logs (account ID) — keep pending audit-retention check",$C1142="Emag_Reporting","Legacy but likely needed",$C1142="Nutrition_Data_Archived_Tables","Worth keeping",$C1142="EU_Data","Static lookup tables — scripts still reference (smoke-test risk)",TRUE,"Review"),OR($A1142="thg-influencer",$A1142="thg-ingenuity",$A1142="thg-central-marketing",$A1142="thg-seoclarity"),"HOLD — Charlie Stringer to review before deletion",TRUE,"")</f>
        <v>HOLD — Charlie Stringer to review before deletion</v>
      </c>
      <c r="S1142" t="s">
        <v>1624</v>
      </c>
    </row>
    <row r="1143" spans="1:19" hidden="1">
      <c r="A1143" t="s">
        <v>38</v>
      </c>
      <c r="B1143" t="s">
        <v>1619</v>
      </c>
      <c r="C1143" t="s">
        <v>1869</v>
      </c>
      <c r="D1143" s="2" t="s">
        <v>1621</v>
      </c>
      <c r="E1143">
        <v>0.22</v>
      </c>
      <c r="F1143">
        <v>0</v>
      </c>
      <c r="G1143" t="s">
        <v>3456</v>
      </c>
      <c r="H1143" t="s">
        <v>3457</v>
      </c>
      <c r="I1143">
        <v>874</v>
      </c>
      <c r="J1143">
        <v>874</v>
      </c>
      <c r="M1143" s="2" t="s">
        <v>1715</v>
      </c>
      <c r="N1143" s="2" t="s">
        <v>1701</v>
      </c>
      <c r="O1143" s="5">
        <v>45323.320776655091</v>
      </c>
      <c r="P1143" t="str">
        <f>IF($Q1143="DELETE",IF($S1143="CONFIRMED: NO MODS &gt; 1YR","CONFIRMED: NO MODS &gt; 1YR","DO NOT DELETE — not defensibly confirmed"),IF($Q1143="HOLD","DO NOT DELETE — HOLD (Charlie review)",IF($Q1143="KEEP","DO NOT DELETE — KEEP",IF(ISNUMBER(SEARCH("REVIEW",$Q1143)),"DO NOT DELETE — REVIEW pending",$S1143))))</f>
        <v>DO NOT DELETE — HOLD (Charlie review)</v>
      </c>
      <c r="Q1143" t="str" cm="1">
        <f t="array" ref="Q1143">_xlfn.IFS(AND($A1143="thg-beauty",ISNUMBER(SEARCH("liveramp",$C1143))),"DELETE",$A1143="agile-bonbon-662",_xlfn.IFS(LEFT($G1143,9)="Tranche 1","DELETE",$C1143="Sessions_Level_1_All_Sites","KEEP",ISNUMBER(--$C1143),"REVIEW — UA raw logs",$C1143="Emag_Reporting","KEEP",$C1143="Nutrition_Data_Archived_Tables","KEEP",$C1143="EU_Data","KEEP",TRUE,"REVIEW"),OR($A1143="thg-influencer",$A1143="thg-ingenuity",$A1143="thg-central-marketing",$A1143="thg-seoclarity"),"HOLD",TRUE,"")</f>
        <v>HOLD</v>
      </c>
      <c r="R1143" t="str" cm="1">
        <f t="array" ref="R1143">_xlfn.IFS(AND($A1143="thg-beauty",ISNUMBER(SEARCH("liveramp",$C1143))),"thg-beauty Liveramp dataset — confirmed safe to delete",$A1143="agile-bonbon-662",_xlfn.IFS(LEFT($G1143,9)="Tranche 1","Tranche 1: cleared",$C1143="Sessions_Level_1_All_Sites","Downstream aggregation of UA raw logs — keep if raw tables go",ISNUMBER(--$C1143),"UA raw site logs (account ID) — keep pending audit-retention check",$C1143="Emag_Reporting","Legacy but likely needed",$C1143="Nutrition_Data_Archived_Tables","Worth keeping",$C1143="EU_Data","Static lookup tables — scripts still reference (smoke-test risk)",TRUE,"Review"),OR($A1143="thg-influencer",$A1143="thg-ingenuity",$A1143="thg-central-marketing",$A1143="thg-seoclarity"),"HOLD — Charlie Stringer to review before deletion",TRUE,"")</f>
        <v>HOLD — Charlie Stringer to review before deletion</v>
      </c>
      <c r="S1143" t="s">
        <v>1624</v>
      </c>
    </row>
    <row r="1144" spans="1:19" hidden="1">
      <c r="A1144" t="s">
        <v>38</v>
      </c>
      <c r="B1144" t="s">
        <v>1619</v>
      </c>
      <c r="C1144" t="s">
        <v>3598</v>
      </c>
      <c r="D1144" s="2" t="s">
        <v>1621</v>
      </c>
      <c r="E1144">
        <v>1.91</v>
      </c>
      <c r="F1144">
        <v>0.04</v>
      </c>
      <c r="G1144" t="s">
        <v>3456</v>
      </c>
      <c r="H1144" t="s">
        <v>3457</v>
      </c>
      <c r="I1144">
        <v>873</v>
      </c>
      <c r="J1144">
        <v>873</v>
      </c>
      <c r="M1144" s="2" t="s">
        <v>1715</v>
      </c>
      <c r="N1144" s="2" t="s">
        <v>1701</v>
      </c>
      <c r="O1144" s="5">
        <v>45323.611658680558</v>
      </c>
      <c r="P1144" t="str">
        <f>IF($Q1144="DELETE",IF($S1144="CONFIRMED: NO MODS &gt; 1YR","CONFIRMED: NO MODS &gt; 1YR","DO NOT DELETE — not defensibly confirmed"),IF($Q1144="HOLD","DO NOT DELETE — HOLD (Charlie review)",IF($Q1144="KEEP","DO NOT DELETE — KEEP",IF(ISNUMBER(SEARCH("REVIEW",$Q1144)),"DO NOT DELETE — REVIEW pending",$S1144))))</f>
        <v>DO NOT DELETE — HOLD (Charlie review)</v>
      </c>
      <c r="Q1144" t="str" cm="1">
        <f t="array" ref="Q1144">_xlfn.IFS(AND($A1144="thg-beauty",ISNUMBER(SEARCH("liveramp",$C1144))),"DELETE",$A1144="agile-bonbon-662",_xlfn.IFS(LEFT($G1144,9)="Tranche 1","DELETE",$C1144="Sessions_Level_1_All_Sites","KEEP",ISNUMBER(--$C1144),"REVIEW — UA raw logs",$C1144="Emag_Reporting","KEEP",$C1144="Nutrition_Data_Archived_Tables","KEEP",$C1144="EU_Data","KEEP",TRUE,"REVIEW"),OR($A1144="thg-influencer",$A1144="thg-ingenuity",$A1144="thg-central-marketing",$A1144="thg-seoclarity"),"HOLD",TRUE,"")</f>
        <v>HOLD</v>
      </c>
      <c r="R1144" t="str" cm="1">
        <f t="array" ref="R1144">_xlfn.IFS(AND($A1144="thg-beauty",ISNUMBER(SEARCH("liveramp",$C1144))),"thg-beauty Liveramp dataset — confirmed safe to delete",$A1144="agile-bonbon-662",_xlfn.IFS(LEFT($G1144,9)="Tranche 1","Tranche 1: cleared",$C1144="Sessions_Level_1_All_Sites","Downstream aggregation of UA raw logs — keep if raw tables go",ISNUMBER(--$C1144),"UA raw site logs (account ID) — keep pending audit-retention check",$C1144="Emag_Reporting","Legacy but likely needed",$C1144="Nutrition_Data_Archived_Tables","Worth keeping",$C1144="EU_Data","Static lookup tables — scripts still reference (smoke-test risk)",TRUE,"Review"),OR($A1144="thg-influencer",$A1144="thg-ingenuity",$A1144="thg-central-marketing",$A1144="thg-seoclarity"),"HOLD — Charlie Stringer to review before deletion",TRUE,"")</f>
        <v>HOLD — Charlie Stringer to review before deletion</v>
      </c>
      <c r="S1144" t="s">
        <v>1624</v>
      </c>
    </row>
    <row r="1145" spans="1:19" hidden="1">
      <c r="A1145" t="s">
        <v>38</v>
      </c>
      <c r="B1145" t="s">
        <v>1619</v>
      </c>
      <c r="C1145" t="s">
        <v>3599</v>
      </c>
      <c r="D1145" s="2" t="s">
        <v>1621</v>
      </c>
      <c r="E1145">
        <v>0.24</v>
      </c>
      <c r="F1145">
        <v>0</v>
      </c>
      <c r="G1145" t="s">
        <v>3456</v>
      </c>
      <c r="H1145" t="s">
        <v>3457</v>
      </c>
      <c r="I1145">
        <v>873</v>
      </c>
      <c r="J1145">
        <v>873</v>
      </c>
      <c r="M1145" s="2" t="s">
        <v>1715</v>
      </c>
      <c r="N1145" s="2" t="s">
        <v>1701</v>
      </c>
      <c r="O1145" s="5">
        <v>45324.361008946762</v>
      </c>
      <c r="P1145" t="str">
        <f>IF($Q1145="DELETE",IF($S1145="CONFIRMED: NO MODS &gt; 1YR","CONFIRMED: NO MODS &gt; 1YR","DO NOT DELETE — not defensibly confirmed"),IF($Q1145="HOLD","DO NOT DELETE — HOLD (Charlie review)",IF($Q1145="KEEP","DO NOT DELETE — KEEP",IF(ISNUMBER(SEARCH("REVIEW",$Q1145)),"DO NOT DELETE — REVIEW pending",$S1145))))</f>
        <v>DO NOT DELETE — HOLD (Charlie review)</v>
      </c>
      <c r="Q1145" t="str" cm="1">
        <f t="array" ref="Q1145">_xlfn.IFS(AND($A1145="thg-beauty",ISNUMBER(SEARCH("liveramp",$C1145))),"DELETE",$A1145="agile-bonbon-662",_xlfn.IFS(LEFT($G1145,9)="Tranche 1","DELETE",$C1145="Sessions_Level_1_All_Sites","KEEP",ISNUMBER(--$C1145),"REVIEW — UA raw logs",$C1145="Emag_Reporting","KEEP",$C1145="Nutrition_Data_Archived_Tables","KEEP",$C1145="EU_Data","KEEP",TRUE,"REVIEW"),OR($A1145="thg-influencer",$A1145="thg-ingenuity",$A1145="thg-central-marketing",$A1145="thg-seoclarity"),"HOLD",TRUE,"")</f>
        <v>HOLD</v>
      </c>
      <c r="R1145" t="str" cm="1">
        <f t="array" ref="R1145">_xlfn.IFS(AND($A1145="thg-beauty",ISNUMBER(SEARCH("liveramp",$C1145))),"thg-beauty Liveramp dataset — confirmed safe to delete",$A1145="agile-bonbon-662",_xlfn.IFS(LEFT($G1145,9)="Tranche 1","Tranche 1: cleared",$C1145="Sessions_Level_1_All_Sites","Downstream aggregation of UA raw logs — keep if raw tables go",ISNUMBER(--$C1145),"UA raw site logs (account ID) — keep pending audit-retention check",$C1145="Emag_Reporting","Legacy but likely needed",$C1145="Nutrition_Data_Archived_Tables","Worth keeping",$C1145="EU_Data","Static lookup tables — scripts still reference (smoke-test risk)",TRUE,"Review"),OR($A1145="thg-influencer",$A1145="thg-ingenuity",$A1145="thg-central-marketing",$A1145="thg-seoclarity"),"HOLD — Charlie Stringer to review before deletion",TRUE,"")</f>
        <v>HOLD — Charlie Stringer to review before deletion</v>
      </c>
      <c r="S1145" t="s">
        <v>1624</v>
      </c>
    </row>
    <row r="1146" spans="1:19" hidden="1">
      <c r="A1146" t="s">
        <v>38</v>
      </c>
      <c r="B1146" t="s">
        <v>1619</v>
      </c>
      <c r="C1146" t="s">
        <v>3600</v>
      </c>
      <c r="D1146" s="2" t="s">
        <v>1621</v>
      </c>
      <c r="E1146">
        <v>0</v>
      </c>
      <c r="F1146">
        <v>0</v>
      </c>
      <c r="G1146" t="s">
        <v>3456</v>
      </c>
      <c r="H1146" t="s">
        <v>3457</v>
      </c>
      <c r="I1146">
        <v>867</v>
      </c>
      <c r="J1146">
        <v>867</v>
      </c>
      <c r="M1146" s="2" t="s">
        <v>1715</v>
      </c>
      <c r="N1146" s="2" t="s">
        <v>1701</v>
      </c>
      <c r="O1146" s="5">
        <v>45330.259399050927</v>
      </c>
      <c r="P1146" t="str">
        <f>IF($Q1146="DELETE",IF($S1146="CONFIRMED: NO MODS &gt; 1YR","CONFIRMED: NO MODS &gt; 1YR","DO NOT DELETE — not defensibly confirmed"),IF($Q1146="HOLD","DO NOT DELETE — HOLD (Charlie review)",IF($Q1146="KEEP","DO NOT DELETE — KEEP",IF(ISNUMBER(SEARCH("REVIEW",$Q1146)),"DO NOT DELETE — REVIEW pending",$S1146))))</f>
        <v>DO NOT DELETE — HOLD (Charlie review)</v>
      </c>
      <c r="Q1146" t="str" cm="1">
        <f t="array" ref="Q1146">_xlfn.IFS(AND($A1146="thg-beauty",ISNUMBER(SEARCH("liveramp",$C1146))),"DELETE",$A1146="agile-bonbon-662",_xlfn.IFS(LEFT($G1146,9)="Tranche 1","DELETE",$C1146="Sessions_Level_1_All_Sites","KEEP",ISNUMBER(--$C1146),"REVIEW — UA raw logs",$C1146="Emag_Reporting","KEEP",$C1146="Nutrition_Data_Archived_Tables","KEEP",$C1146="EU_Data","KEEP",TRUE,"REVIEW"),OR($A1146="thg-influencer",$A1146="thg-ingenuity",$A1146="thg-central-marketing",$A1146="thg-seoclarity"),"HOLD",TRUE,"")</f>
        <v>HOLD</v>
      </c>
      <c r="R1146" t="str" cm="1">
        <f t="array" ref="R1146">_xlfn.IFS(AND($A1146="thg-beauty",ISNUMBER(SEARCH("liveramp",$C1146))),"thg-beauty Liveramp dataset — confirmed safe to delete",$A1146="agile-bonbon-662",_xlfn.IFS(LEFT($G1146,9)="Tranche 1","Tranche 1: cleared",$C1146="Sessions_Level_1_All_Sites","Downstream aggregation of UA raw logs — keep if raw tables go",ISNUMBER(--$C1146),"UA raw site logs (account ID) — keep pending audit-retention check",$C1146="Emag_Reporting","Legacy but likely needed",$C1146="Nutrition_Data_Archived_Tables","Worth keeping",$C1146="EU_Data","Static lookup tables — scripts still reference (smoke-test risk)",TRUE,"Review"),OR($A1146="thg-influencer",$A1146="thg-ingenuity",$A1146="thg-central-marketing",$A1146="thg-seoclarity"),"HOLD — Charlie Stringer to review before deletion",TRUE,"")</f>
        <v>HOLD — Charlie Stringer to review before deletion</v>
      </c>
      <c r="S1146" t="s">
        <v>1624</v>
      </c>
    </row>
    <row r="1147" spans="1:19" hidden="1">
      <c r="A1147" t="s">
        <v>35</v>
      </c>
      <c r="B1147" t="s">
        <v>1619</v>
      </c>
      <c r="C1147" t="s">
        <v>3601</v>
      </c>
      <c r="D1147" s="2" t="s">
        <v>1621</v>
      </c>
      <c r="E1147">
        <v>0.12</v>
      </c>
      <c r="F1147">
        <v>0</v>
      </c>
      <c r="G1147" t="s">
        <v>3456</v>
      </c>
      <c r="H1147" t="s">
        <v>3457</v>
      </c>
      <c r="I1147">
        <v>864</v>
      </c>
      <c r="J1147">
        <v>864</v>
      </c>
      <c r="M1147" s="2" t="s">
        <v>1715</v>
      </c>
      <c r="N1147" s="2" t="s">
        <v>1701</v>
      </c>
      <c r="O1147" s="5">
        <v>45333.327171759258</v>
      </c>
      <c r="P1147" t="str">
        <f>IF($Q1147="DELETE",IF($S1147="CONFIRMED: NO MODS &gt; 1YR","CONFIRMED: NO MODS &gt; 1YR","DO NOT DELETE — not defensibly confirmed"),IF($Q1147="HOLD","DO NOT DELETE — HOLD (Charlie review)",IF($Q1147="KEEP","DO NOT DELETE — KEEP",IF(ISNUMBER(SEARCH("REVIEW",$Q1147)),"DO NOT DELETE — REVIEW pending",$S1147))))</f>
        <v>DO NOT DELETE — HOLD (Charlie review)</v>
      </c>
      <c r="Q1147" t="str" cm="1">
        <f t="array" ref="Q1147">_xlfn.IFS(AND($A1147="thg-beauty",ISNUMBER(SEARCH("liveramp",$C1147))),"DELETE",$A1147="agile-bonbon-662",_xlfn.IFS(LEFT($G1147,9)="Tranche 1","DELETE",$C1147="Sessions_Level_1_All_Sites","KEEP",ISNUMBER(--$C1147),"REVIEW — UA raw logs",$C1147="Emag_Reporting","KEEP",$C1147="Nutrition_Data_Archived_Tables","KEEP",$C1147="EU_Data","KEEP",TRUE,"REVIEW"),OR($A1147="thg-influencer",$A1147="thg-ingenuity",$A1147="thg-central-marketing",$A1147="thg-seoclarity"),"HOLD",TRUE,"")</f>
        <v>HOLD</v>
      </c>
      <c r="R1147" t="str" cm="1">
        <f t="array" ref="R1147">_xlfn.IFS(AND($A1147="thg-beauty",ISNUMBER(SEARCH("liveramp",$C1147))),"thg-beauty Liveramp dataset — confirmed safe to delete",$A1147="agile-bonbon-662",_xlfn.IFS(LEFT($G1147,9)="Tranche 1","Tranche 1: cleared",$C1147="Sessions_Level_1_All_Sites","Downstream aggregation of UA raw logs — keep if raw tables go",ISNUMBER(--$C1147),"UA raw site logs (account ID) — keep pending audit-retention check",$C1147="Emag_Reporting","Legacy but likely needed",$C1147="Nutrition_Data_Archived_Tables","Worth keeping",$C1147="EU_Data","Static lookup tables — scripts still reference (smoke-test risk)",TRUE,"Review"),OR($A1147="thg-influencer",$A1147="thg-ingenuity",$A1147="thg-central-marketing",$A1147="thg-seoclarity"),"HOLD — Charlie Stringer to review before deletion",TRUE,"")</f>
        <v>HOLD — Charlie Stringer to review before deletion</v>
      </c>
      <c r="S1147" t="s">
        <v>1624</v>
      </c>
    </row>
    <row r="1148" spans="1:19" hidden="1">
      <c r="A1148" t="s">
        <v>38</v>
      </c>
      <c r="B1148" t="s">
        <v>1619</v>
      </c>
      <c r="C1148" t="s">
        <v>3602</v>
      </c>
      <c r="D1148" s="2" t="s">
        <v>1621</v>
      </c>
      <c r="E1148">
        <v>16.399999999999999</v>
      </c>
      <c r="F1148">
        <v>0.33</v>
      </c>
      <c r="G1148" t="s">
        <v>3456</v>
      </c>
      <c r="H1148" t="s">
        <v>3457</v>
      </c>
      <c r="I1148">
        <v>858</v>
      </c>
      <c r="J1148">
        <v>858</v>
      </c>
      <c r="M1148" s="2" t="s">
        <v>1715</v>
      </c>
      <c r="N1148" s="2" t="s">
        <v>1701</v>
      </c>
      <c r="O1148" s="5">
        <v>45339.317548553241</v>
      </c>
      <c r="P1148" t="str">
        <f>IF($Q1148="DELETE",IF($S1148="CONFIRMED: NO MODS &gt; 1YR","CONFIRMED: NO MODS &gt; 1YR","DO NOT DELETE — not defensibly confirmed"),IF($Q1148="HOLD","DO NOT DELETE — HOLD (Charlie review)",IF($Q1148="KEEP","DO NOT DELETE — KEEP",IF(ISNUMBER(SEARCH("REVIEW",$Q1148)),"DO NOT DELETE — REVIEW pending",$S1148))))</f>
        <v>DO NOT DELETE — HOLD (Charlie review)</v>
      </c>
      <c r="Q1148" t="str" cm="1">
        <f t="array" ref="Q1148">_xlfn.IFS(AND($A1148="thg-beauty",ISNUMBER(SEARCH("liveramp",$C1148))),"DELETE",$A1148="agile-bonbon-662",_xlfn.IFS(LEFT($G1148,9)="Tranche 1","DELETE",$C1148="Sessions_Level_1_All_Sites","KEEP",ISNUMBER(--$C1148),"REVIEW — UA raw logs",$C1148="Emag_Reporting","KEEP",$C1148="Nutrition_Data_Archived_Tables","KEEP",$C1148="EU_Data","KEEP",TRUE,"REVIEW"),OR($A1148="thg-influencer",$A1148="thg-ingenuity",$A1148="thg-central-marketing",$A1148="thg-seoclarity"),"HOLD",TRUE,"")</f>
        <v>HOLD</v>
      </c>
      <c r="R1148" t="str" cm="1">
        <f t="array" ref="R1148">_xlfn.IFS(AND($A1148="thg-beauty",ISNUMBER(SEARCH("liveramp",$C1148))),"thg-beauty Liveramp dataset — confirmed safe to delete",$A1148="agile-bonbon-662",_xlfn.IFS(LEFT($G1148,9)="Tranche 1","Tranche 1: cleared",$C1148="Sessions_Level_1_All_Sites","Downstream aggregation of UA raw logs — keep if raw tables go",ISNUMBER(--$C1148),"UA raw site logs (account ID) — keep pending audit-retention check",$C1148="Emag_Reporting","Legacy but likely needed",$C1148="Nutrition_Data_Archived_Tables","Worth keeping",$C1148="EU_Data","Static lookup tables — scripts still reference (smoke-test risk)",TRUE,"Review"),OR($A1148="thg-influencer",$A1148="thg-ingenuity",$A1148="thg-central-marketing",$A1148="thg-seoclarity"),"HOLD — Charlie Stringer to review before deletion",TRUE,"")</f>
        <v>HOLD — Charlie Stringer to review before deletion</v>
      </c>
      <c r="S1148" t="s">
        <v>1624</v>
      </c>
    </row>
    <row r="1149" spans="1:19" hidden="1">
      <c r="A1149" t="s">
        <v>39</v>
      </c>
      <c r="B1149" t="s">
        <v>1724</v>
      </c>
      <c r="C1149" t="s">
        <v>3138</v>
      </c>
      <c r="D1149" s="2" t="s">
        <v>1621</v>
      </c>
      <c r="E1149">
        <v>0.05</v>
      </c>
      <c r="F1149">
        <v>0</v>
      </c>
      <c r="G1149" t="s">
        <v>3456</v>
      </c>
      <c r="H1149" t="s">
        <v>3457</v>
      </c>
      <c r="I1149">
        <v>855</v>
      </c>
      <c r="J1149">
        <v>855</v>
      </c>
      <c r="M1149" s="2" t="s">
        <v>1715</v>
      </c>
      <c r="N1149" s="2" t="s">
        <v>1701</v>
      </c>
      <c r="O1149" s="5">
        <v>45341.468753981477</v>
      </c>
      <c r="P1149" t="str">
        <f>IF($Q1149="DELETE",IF($S1149="CONFIRMED: NO MODS &gt; 1YR","CONFIRMED: NO MODS &gt; 1YR","DO NOT DELETE — not defensibly confirmed"),IF($Q1149="HOLD","DO NOT DELETE — HOLD (Charlie review)",IF($Q1149="KEEP","DO NOT DELETE — KEEP",IF(ISNUMBER(SEARCH("REVIEW",$Q1149)),"DO NOT DELETE — REVIEW pending",$S1149))))</f>
        <v>DO NOT DELETE — HOLD (Charlie review)</v>
      </c>
      <c r="Q1149" t="str" cm="1">
        <f t="array" ref="Q1149">_xlfn.IFS(AND($A1149="thg-beauty",ISNUMBER(SEARCH("liveramp",$C1149))),"DELETE",$A1149="agile-bonbon-662",_xlfn.IFS(LEFT($G1149,9)="Tranche 1","DELETE",$C1149="Sessions_Level_1_All_Sites","KEEP",ISNUMBER(--$C1149),"REVIEW — UA raw logs",$C1149="Emag_Reporting","KEEP",$C1149="Nutrition_Data_Archived_Tables","KEEP",$C1149="EU_Data","KEEP",TRUE,"REVIEW"),OR($A1149="thg-influencer",$A1149="thg-ingenuity",$A1149="thg-central-marketing",$A1149="thg-seoclarity"),"HOLD",TRUE,"")</f>
        <v>HOLD</v>
      </c>
      <c r="R1149" t="str" cm="1">
        <f t="array" ref="R1149">_xlfn.IFS(AND($A1149="thg-beauty",ISNUMBER(SEARCH("liveramp",$C1149))),"thg-beauty Liveramp dataset — confirmed safe to delete",$A1149="agile-bonbon-662",_xlfn.IFS(LEFT($G1149,9)="Tranche 1","Tranche 1: cleared",$C1149="Sessions_Level_1_All_Sites","Downstream aggregation of UA raw logs — keep if raw tables go",ISNUMBER(--$C1149),"UA raw site logs (account ID) — keep pending audit-retention check",$C1149="Emag_Reporting","Legacy but likely needed",$C1149="Nutrition_Data_Archived_Tables","Worth keeping",$C1149="EU_Data","Static lookup tables — scripts still reference (smoke-test risk)",TRUE,"Review"),OR($A1149="thg-influencer",$A1149="thg-ingenuity",$A1149="thg-central-marketing",$A1149="thg-seoclarity"),"HOLD — Charlie Stringer to review before deletion",TRUE,"")</f>
        <v>HOLD — Charlie Stringer to review before deletion</v>
      </c>
      <c r="S1149" t="s">
        <v>1624</v>
      </c>
    </row>
    <row r="1150" spans="1:19" hidden="1">
      <c r="A1150" t="s">
        <v>38</v>
      </c>
      <c r="B1150" t="s">
        <v>1619</v>
      </c>
      <c r="C1150" t="s">
        <v>3603</v>
      </c>
      <c r="D1150" s="2" t="s">
        <v>1621</v>
      </c>
      <c r="E1150">
        <v>3.06</v>
      </c>
      <c r="F1150">
        <v>0.06</v>
      </c>
      <c r="G1150" t="s">
        <v>3456</v>
      </c>
      <c r="H1150" t="s">
        <v>3457</v>
      </c>
      <c r="I1150">
        <v>839</v>
      </c>
      <c r="J1150">
        <v>839</v>
      </c>
      <c r="M1150" s="2" t="s">
        <v>1715</v>
      </c>
      <c r="N1150" s="2" t="s">
        <v>1701</v>
      </c>
      <c r="O1150" s="5">
        <v>45358.217950381943</v>
      </c>
      <c r="P1150" t="str">
        <f>IF($Q1150="DELETE",IF($S1150="CONFIRMED: NO MODS &gt; 1YR","CONFIRMED: NO MODS &gt; 1YR","DO NOT DELETE — not defensibly confirmed"),IF($Q1150="HOLD","DO NOT DELETE — HOLD (Charlie review)",IF($Q1150="KEEP","DO NOT DELETE — KEEP",IF(ISNUMBER(SEARCH("REVIEW",$Q1150)),"DO NOT DELETE — REVIEW pending",$S1150))))</f>
        <v>DO NOT DELETE — HOLD (Charlie review)</v>
      </c>
      <c r="Q1150" t="str" cm="1">
        <f t="array" ref="Q1150">_xlfn.IFS(AND($A1150="thg-beauty",ISNUMBER(SEARCH("liveramp",$C1150))),"DELETE",$A1150="agile-bonbon-662",_xlfn.IFS(LEFT($G1150,9)="Tranche 1","DELETE",$C1150="Sessions_Level_1_All_Sites","KEEP",ISNUMBER(--$C1150),"REVIEW — UA raw logs",$C1150="Emag_Reporting","KEEP",$C1150="Nutrition_Data_Archived_Tables","KEEP",$C1150="EU_Data","KEEP",TRUE,"REVIEW"),OR($A1150="thg-influencer",$A1150="thg-ingenuity",$A1150="thg-central-marketing",$A1150="thg-seoclarity"),"HOLD",TRUE,"")</f>
        <v>HOLD</v>
      </c>
      <c r="R1150" t="str" cm="1">
        <f t="array" ref="R1150">_xlfn.IFS(AND($A1150="thg-beauty",ISNUMBER(SEARCH("liveramp",$C1150))),"thg-beauty Liveramp dataset — confirmed safe to delete",$A1150="agile-bonbon-662",_xlfn.IFS(LEFT($G1150,9)="Tranche 1","Tranche 1: cleared",$C1150="Sessions_Level_1_All_Sites","Downstream aggregation of UA raw logs — keep if raw tables go",ISNUMBER(--$C1150),"UA raw site logs (account ID) — keep pending audit-retention check",$C1150="Emag_Reporting","Legacy but likely needed",$C1150="Nutrition_Data_Archived_Tables","Worth keeping",$C1150="EU_Data","Static lookup tables — scripts still reference (smoke-test risk)",TRUE,"Review"),OR($A1150="thg-influencer",$A1150="thg-ingenuity",$A1150="thg-central-marketing",$A1150="thg-seoclarity"),"HOLD — Charlie Stringer to review before deletion",TRUE,"")</f>
        <v>HOLD — Charlie Stringer to review before deletion</v>
      </c>
      <c r="S1150" t="s">
        <v>1624</v>
      </c>
    </row>
    <row r="1151" spans="1:19" hidden="1">
      <c r="A1151" t="s">
        <v>38</v>
      </c>
      <c r="B1151" t="s">
        <v>1619</v>
      </c>
      <c r="C1151" t="s">
        <v>3604</v>
      </c>
      <c r="D1151" s="2" t="s">
        <v>1621</v>
      </c>
      <c r="E1151">
        <v>0.32</v>
      </c>
      <c r="F1151">
        <v>0.01</v>
      </c>
      <c r="G1151" t="s">
        <v>3456</v>
      </c>
      <c r="H1151" t="s">
        <v>3457</v>
      </c>
      <c r="I1151">
        <v>839</v>
      </c>
      <c r="J1151">
        <v>839</v>
      </c>
      <c r="M1151" s="2" t="s">
        <v>1715</v>
      </c>
      <c r="N1151" s="2" t="s">
        <v>1701</v>
      </c>
      <c r="O1151" s="5">
        <v>45358.24867064815</v>
      </c>
      <c r="P1151" t="str">
        <f>IF($Q1151="DELETE",IF($S1151="CONFIRMED: NO MODS &gt; 1YR","CONFIRMED: NO MODS &gt; 1YR","DO NOT DELETE — not defensibly confirmed"),IF($Q1151="HOLD","DO NOT DELETE — HOLD (Charlie review)",IF($Q1151="KEEP","DO NOT DELETE — KEEP",IF(ISNUMBER(SEARCH("REVIEW",$Q1151)),"DO NOT DELETE — REVIEW pending",$S1151))))</f>
        <v>DO NOT DELETE — HOLD (Charlie review)</v>
      </c>
      <c r="Q1151" t="str" cm="1">
        <f t="array" ref="Q1151">_xlfn.IFS(AND($A1151="thg-beauty",ISNUMBER(SEARCH("liveramp",$C1151))),"DELETE",$A1151="agile-bonbon-662",_xlfn.IFS(LEFT($G1151,9)="Tranche 1","DELETE",$C1151="Sessions_Level_1_All_Sites","KEEP",ISNUMBER(--$C1151),"REVIEW — UA raw logs",$C1151="Emag_Reporting","KEEP",$C1151="Nutrition_Data_Archived_Tables","KEEP",$C1151="EU_Data","KEEP",TRUE,"REVIEW"),OR($A1151="thg-influencer",$A1151="thg-ingenuity",$A1151="thg-central-marketing",$A1151="thg-seoclarity"),"HOLD",TRUE,"")</f>
        <v>HOLD</v>
      </c>
      <c r="R1151" t="str" cm="1">
        <f t="array" ref="R1151">_xlfn.IFS(AND($A1151="thg-beauty",ISNUMBER(SEARCH("liveramp",$C1151))),"thg-beauty Liveramp dataset — confirmed safe to delete",$A1151="agile-bonbon-662",_xlfn.IFS(LEFT($G1151,9)="Tranche 1","Tranche 1: cleared",$C1151="Sessions_Level_1_All_Sites","Downstream aggregation of UA raw logs — keep if raw tables go",ISNUMBER(--$C1151),"UA raw site logs (account ID) — keep pending audit-retention check",$C1151="Emag_Reporting","Legacy but likely needed",$C1151="Nutrition_Data_Archived_Tables","Worth keeping",$C1151="EU_Data","Static lookup tables — scripts still reference (smoke-test risk)",TRUE,"Review"),OR($A1151="thg-influencer",$A1151="thg-ingenuity",$A1151="thg-central-marketing",$A1151="thg-seoclarity"),"HOLD — Charlie Stringer to review before deletion",TRUE,"")</f>
        <v>HOLD — Charlie Stringer to review before deletion</v>
      </c>
      <c r="S1151" t="s">
        <v>1624</v>
      </c>
    </row>
    <row r="1152" spans="1:19" hidden="1">
      <c r="A1152" t="s">
        <v>38</v>
      </c>
      <c r="B1152" t="s">
        <v>1619</v>
      </c>
      <c r="C1152" t="s">
        <v>3605</v>
      </c>
      <c r="D1152" s="2" t="s">
        <v>1621</v>
      </c>
      <c r="E1152">
        <v>0.06</v>
      </c>
      <c r="F1152">
        <v>0</v>
      </c>
      <c r="G1152" t="s">
        <v>3456</v>
      </c>
      <c r="H1152" t="s">
        <v>3457</v>
      </c>
      <c r="I1152">
        <v>839</v>
      </c>
      <c r="J1152">
        <v>839</v>
      </c>
      <c r="M1152" s="2" t="s">
        <v>1715</v>
      </c>
      <c r="N1152" s="2" t="s">
        <v>1701</v>
      </c>
      <c r="O1152" s="5">
        <v>45358.356768611113</v>
      </c>
      <c r="P1152" t="str">
        <f>IF($Q1152="DELETE",IF($S1152="CONFIRMED: NO MODS &gt; 1YR","CONFIRMED: NO MODS &gt; 1YR","DO NOT DELETE — not defensibly confirmed"),IF($Q1152="HOLD","DO NOT DELETE — HOLD (Charlie review)",IF($Q1152="KEEP","DO NOT DELETE — KEEP",IF(ISNUMBER(SEARCH("REVIEW",$Q1152)),"DO NOT DELETE — REVIEW pending",$S1152))))</f>
        <v>DO NOT DELETE — HOLD (Charlie review)</v>
      </c>
      <c r="Q1152" t="str" cm="1">
        <f t="array" ref="Q1152">_xlfn.IFS(AND($A1152="thg-beauty",ISNUMBER(SEARCH("liveramp",$C1152))),"DELETE",$A1152="agile-bonbon-662",_xlfn.IFS(LEFT($G1152,9)="Tranche 1","DELETE",$C1152="Sessions_Level_1_All_Sites","KEEP",ISNUMBER(--$C1152),"REVIEW — UA raw logs",$C1152="Emag_Reporting","KEEP",$C1152="Nutrition_Data_Archived_Tables","KEEP",$C1152="EU_Data","KEEP",TRUE,"REVIEW"),OR($A1152="thg-influencer",$A1152="thg-ingenuity",$A1152="thg-central-marketing",$A1152="thg-seoclarity"),"HOLD",TRUE,"")</f>
        <v>HOLD</v>
      </c>
      <c r="R1152" t="str" cm="1">
        <f t="array" ref="R1152">_xlfn.IFS(AND($A1152="thg-beauty",ISNUMBER(SEARCH("liveramp",$C1152))),"thg-beauty Liveramp dataset — confirmed safe to delete",$A1152="agile-bonbon-662",_xlfn.IFS(LEFT($G1152,9)="Tranche 1","Tranche 1: cleared",$C1152="Sessions_Level_1_All_Sites","Downstream aggregation of UA raw logs — keep if raw tables go",ISNUMBER(--$C1152),"UA raw site logs (account ID) — keep pending audit-retention check",$C1152="Emag_Reporting","Legacy but likely needed",$C1152="Nutrition_Data_Archived_Tables","Worth keeping",$C1152="EU_Data","Static lookup tables — scripts still reference (smoke-test risk)",TRUE,"Review"),OR($A1152="thg-influencer",$A1152="thg-ingenuity",$A1152="thg-central-marketing",$A1152="thg-seoclarity"),"HOLD — Charlie Stringer to review before deletion",TRUE,"")</f>
        <v>HOLD — Charlie Stringer to review before deletion</v>
      </c>
      <c r="S1152" t="s">
        <v>1624</v>
      </c>
    </row>
    <row r="1153" spans="1:19" hidden="1">
      <c r="A1153" t="s">
        <v>38</v>
      </c>
      <c r="B1153" t="s">
        <v>1619</v>
      </c>
      <c r="C1153" t="s">
        <v>3606</v>
      </c>
      <c r="D1153" s="2" t="s">
        <v>1621</v>
      </c>
      <c r="E1153">
        <v>0.02</v>
      </c>
      <c r="F1153">
        <v>0</v>
      </c>
      <c r="G1153" t="s">
        <v>3456</v>
      </c>
      <c r="H1153" t="s">
        <v>3457</v>
      </c>
      <c r="I1153">
        <v>838</v>
      </c>
      <c r="J1153">
        <v>838</v>
      </c>
      <c r="M1153" s="2" t="s">
        <v>1715</v>
      </c>
      <c r="N1153" s="2" t="s">
        <v>1701</v>
      </c>
      <c r="O1153" s="5">
        <v>45359.283126782408</v>
      </c>
      <c r="P1153" t="str">
        <f>IF($Q1153="DELETE",IF($S1153="CONFIRMED: NO MODS &gt; 1YR","CONFIRMED: NO MODS &gt; 1YR","DO NOT DELETE — not defensibly confirmed"),IF($Q1153="HOLD","DO NOT DELETE — HOLD (Charlie review)",IF($Q1153="KEEP","DO NOT DELETE — KEEP",IF(ISNUMBER(SEARCH("REVIEW",$Q1153)),"DO NOT DELETE — REVIEW pending",$S1153))))</f>
        <v>DO NOT DELETE — HOLD (Charlie review)</v>
      </c>
      <c r="Q1153" t="str" cm="1">
        <f t="array" ref="Q1153">_xlfn.IFS(AND($A1153="thg-beauty",ISNUMBER(SEARCH("liveramp",$C1153))),"DELETE",$A1153="agile-bonbon-662",_xlfn.IFS(LEFT($G1153,9)="Tranche 1","DELETE",$C1153="Sessions_Level_1_All_Sites","KEEP",ISNUMBER(--$C1153),"REVIEW — UA raw logs",$C1153="Emag_Reporting","KEEP",$C1153="Nutrition_Data_Archived_Tables","KEEP",$C1153="EU_Data","KEEP",TRUE,"REVIEW"),OR($A1153="thg-influencer",$A1153="thg-ingenuity",$A1153="thg-central-marketing",$A1153="thg-seoclarity"),"HOLD",TRUE,"")</f>
        <v>HOLD</v>
      </c>
      <c r="R1153" t="str" cm="1">
        <f t="array" ref="R1153">_xlfn.IFS(AND($A1153="thg-beauty",ISNUMBER(SEARCH("liveramp",$C1153))),"thg-beauty Liveramp dataset — confirmed safe to delete",$A1153="agile-bonbon-662",_xlfn.IFS(LEFT($G1153,9)="Tranche 1","Tranche 1: cleared",$C1153="Sessions_Level_1_All_Sites","Downstream aggregation of UA raw logs — keep if raw tables go",ISNUMBER(--$C1153),"UA raw site logs (account ID) — keep pending audit-retention check",$C1153="Emag_Reporting","Legacy but likely needed",$C1153="Nutrition_Data_Archived_Tables","Worth keeping",$C1153="EU_Data","Static lookup tables — scripts still reference (smoke-test risk)",TRUE,"Review"),OR($A1153="thg-influencer",$A1153="thg-ingenuity",$A1153="thg-central-marketing",$A1153="thg-seoclarity"),"HOLD — Charlie Stringer to review before deletion",TRUE,"")</f>
        <v>HOLD — Charlie Stringer to review before deletion</v>
      </c>
      <c r="S1153" t="s">
        <v>1624</v>
      </c>
    </row>
    <row r="1154" spans="1:19" hidden="1">
      <c r="A1154" t="s">
        <v>38</v>
      </c>
      <c r="B1154" t="s">
        <v>1619</v>
      </c>
      <c r="C1154" t="s">
        <v>3607</v>
      </c>
      <c r="D1154" s="2" t="s">
        <v>1621</v>
      </c>
      <c r="E1154">
        <v>0</v>
      </c>
      <c r="F1154">
        <v>0</v>
      </c>
      <c r="G1154" t="s">
        <v>3456</v>
      </c>
      <c r="H1154" t="s">
        <v>3457</v>
      </c>
      <c r="I1154">
        <v>838</v>
      </c>
      <c r="J1154">
        <v>838</v>
      </c>
      <c r="M1154" s="2" t="s">
        <v>1715</v>
      </c>
      <c r="N1154" s="2" t="s">
        <v>1701</v>
      </c>
      <c r="O1154" s="5">
        <v>45359.294531562497</v>
      </c>
      <c r="P1154" t="str">
        <f>IF($Q1154="DELETE",IF($S1154="CONFIRMED: NO MODS &gt; 1YR","CONFIRMED: NO MODS &gt; 1YR","DO NOT DELETE — not defensibly confirmed"),IF($Q1154="HOLD","DO NOT DELETE — HOLD (Charlie review)",IF($Q1154="KEEP","DO NOT DELETE — KEEP",IF(ISNUMBER(SEARCH("REVIEW",$Q1154)),"DO NOT DELETE — REVIEW pending",$S1154))))</f>
        <v>DO NOT DELETE — HOLD (Charlie review)</v>
      </c>
      <c r="Q1154" t="str" cm="1">
        <f t="array" ref="Q1154">_xlfn.IFS(AND($A1154="thg-beauty",ISNUMBER(SEARCH("liveramp",$C1154))),"DELETE",$A1154="agile-bonbon-662",_xlfn.IFS(LEFT($G1154,9)="Tranche 1","DELETE",$C1154="Sessions_Level_1_All_Sites","KEEP",ISNUMBER(--$C1154),"REVIEW — UA raw logs",$C1154="Emag_Reporting","KEEP",$C1154="Nutrition_Data_Archived_Tables","KEEP",$C1154="EU_Data","KEEP",TRUE,"REVIEW"),OR($A1154="thg-influencer",$A1154="thg-ingenuity",$A1154="thg-central-marketing",$A1154="thg-seoclarity"),"HOLD",TRUE,"")</f>
        <v>HOLD</v>
      </c>
      <c r="R1154" t="str" cm="1">
        <f t="array" ref="R1154">_xlfn.IFS(AND($A1154="thg-beauty",ISNUMBER(SEARCH("liveramp",$C1154))),"thg-beauty Liveramp dataset — confirmed safe to delete",$A1154="agile-bonbon-662",_xlfn.IFS(LEFT($G1154,9)="Tranche 1","Tranche 1: cleared",$C1154="Sessions_Level_1_All_Sites","Downstream aggregation of UA raw logs — keep if raw tables go",ISNUMBER(--$C1154),"UA raw site logs (account ID) — keep pending audit-retention check",$C1154="Emag_Reporting","Legacy but likely needed",$C1154="Nutrition_Data_Archived_Tables","Worth keeping",$C1154="EU_Data","Static lookup tables — scripts still reference (smoke-test risk)",TRUE,"Review"),OR($A1154="thg-influencer",$A1154="thg-ingenuity",$A1154="thg-central-marketing",$A1154="thg-seoclarity"),"HOLD — Charlie Stringer to review before deletion",TRUE,"")</f>
        <v>HOLD — Charlie Stringer to review before deletion</v>
      </c>
      <c r="S1154" t="s">
        <v>1624</v>
      </c>
    </row>
    <row r="1155" spans="1:19" hidden="1">
      <c r="A1155" t="s">
        <v>38</v>
      </c>
      <c r="B1155" t="s">
        <v>1619</v>
      </c>
      <c r="C1155" t="s">
        <v>3608</v>
      </c>
      <c r="D1155" s="2" t="s">
        <v>1621</v>
      </c>
      <c r="E1155">
        <v>0.03</v>
      </c>
      <c r="F1155">
        <v>0</v>
      </c>
      <c r="G1155" t="s">
        <v>3456</v>
      </c>
      <c r="H1155" t="s">
        <v>3457</v>
      </c>
      <c r="I1155">
        <v>837</v>
      </c>
      <c r="J1155">
        <v>837</v>
      </c>
      <c r="M1155" s="2" t="s">
        <v>1715</v>
      </c>
      <c r="N1155" s="2" t="s">
        <v>1701</v>
      </c>
      <c r="O1155" s="5">
        <v>45360.286998761578</v>
      </c>
      <c r="P1155" t="str">
        <f>IF($Q1155="DELETE",IF($S1155="CONFIRMED: NO MODS &gt; 1YR","CONFIRMED: NO MODS &gt; 1YR","DO NOT DELETE — not defensibly confirmed"),IF($Q1155="HOLD","DO NOT DELETE — HOLD (Charlie review)",IF($Q1155="KEEP","DO NOT DELETE — KEEP",IF(ISNUMBER(SEARCH("REVIEW",$Q1155)),"DO NOT DELETE — REVIEW pending",$S1155))))</f>
        <v>DO NOT DELETE — HOLD (Charlie review)</v>
      </c>
      <c r="Q1155" t="str" cm="1">
        <f t="array" ref="Q1155">_xlfn.IFS(AND($A1155="thg-beauty",ISNUMBER(SEARCH("liveramp",$C1155))),"DELETE",$A1155="agile-bonbon-662",_xlfn.IFS(LEFT($G1155,9)="Tranche 1","DELETE",$C1155="Sessions_Level_1_All_Sites","KEEP",ISNUMBER(--$C1155),"REVIEW — UA raw logs",$C1155="Emag_Reporting","KEEP",$C1155="Nutrition_Data_Archived_Tables","KEEP",$C1155="EU_Data","KEEP",TRUE,"REVIEW"),OR($A1155="thg-influencer",$A1155="thg-ingenuity",$A1155="thg-central-marketing",$A1155="thg-seoclarity"),"HOLD",TRUE,"")</f>
        <v>HOLD</v>
      </c>
      <c r="R1155" t="str" cm="1">
        <f t="array" ref="R1155">_xlfn.IFS(AND($A1155="thg-beauty",ISNUMBER(SEARCH("liveramp",$C1155))),"thg-beauty Liveramp dataset — confirmed safe to delete",$A1155="agile-bonbon-662",_xlfn.IFS(LEFT($G1155,9)="Tranche 1","Tranche 1: cleared",$C1155="Sessions_Level_1_All_Sites","Downstream aggregation of UA raw logs — keep if raw tables go",ISNUMBER(--$C1155),"UA raw site logs (account ID) — keep pending audit-retention check",$C1155="Emag_Reporting","Legacy but likely needed",$C1155="Nutrition_Data_Archived_Tables","Worth keeping",$C1155="EU_Data","Static lookup tables — scripts still reference (smoke-test risk)",TRUE,"Review"),OR($A1155="thg-influencer",$A1155="thg-ingenuity",$A1155="thg-central-marketing",$A1155="thg-seoclarity"),"HOLD — Charlie Stringer to review before deletion",TRUE,"")</f>
        <v>HOLD — Charlie Stringer to review before deletion</v>
      </c>
      <c r="S1155" t="s">
        <v>1624</v>
      </c>
    </row>
    <row r="1156" spans="1:19" hidden="1">
      <c r="A1156" t="s">
        <v>38</v>
      </c>
      <c r="B1156" t="s">
        <v>1619</v>
      </c>
      <c r="C1156" t="s">
        <v>3609</v>
      </c>
      <c r="D1156" s="2" t="s">
        <v>1621</v>
      </c>
      <c r="E1156">
        <v>0.01</v>
      </c>
      <c r="F1156">
        <v>0</v>
      </c>
      <c r="G1156" t="s">
        <v>3456</v>
      </c>
      <c r="H1156" t="s">
        <v>3457</v>
      </c>
      <c r="I1156">
        <v>837</v>
      </c>
      <c r="J1156">
        <v>837</v>
      </c>
      <c r="M1156" s="2" t="s">
        <v>1715</v>
      </c>
      <c r="N1156" s="2" t="s">
        <v>1701</v>
      </c>
      <c r="O1156" s="5">
        <v>45360.244340810183</v>
      </c>
      <c r="P1156" t="str">
        <f>IF($Q1156="DELETE",IF($S1156="CONFIRMED: NO MODS &gt; 1YR","CONFIRMED: NO MODS &gt; 1YR","DO NOT DELETE — not defensibly confirmed"),IF($Q1156="HOLD","DO NOT DELETE — HOLD (Charlie review)",IF($Q1156="KEEP","DO NOT DELETE — KEEP",IF(ISNUMBER(SEARCH("REVIEW",$Q1156)),"DO NOT DELETE — REVIEW pending",$S1156))))</f>
        <v>DO NOT DELETE — HOLD (Charlie review)</v>
      </c>
      <c r="Q1156" t="str" cm="1">
        <f t="array" ref="Q1156">_xlfn.IFS(AND($A1156="thg-beauty",ISNUMBER(SEARCH("liveramp",$C1156))),"DELETE",$A1156="agile-bonbon-662",_xlfn.IFS(LEFT($G1156,9)="Tranche 1","DELETE",$C1156="Sessions_Level_1_All_Sites","KEEP",ISNUMBER(--$C1156),"REVIEW — UA raw logs",$C1156="Emag_Reporting","KEEP",$C1156="Nutrition_Data_Archived_Tables","KEEP",$C1156="EU_Data","KEEP",TRUE,"REVIEW"),OR($A1156="thg-influencer",$A1156="thg-ingenuity",$A1156="thg-central-marketing",$A1156="thg-seoclarity"),"HOLD",TRUE,"")</f>
        <v>HOLD</v>
      </c>
      <c r="R1156" t="str" cm="1">
        <f t="array" ref="R1156">_xlfn.IFS(AND($A1156="thg-beauty",ISNUMBER(SEARCH("liveramp",$C1156))),"thg-beauty Liveramp dataset — confirmed safe to delete",$A1156="agile-bonbon-662",_xlfn.IFS(LEFT($G1156,9)="Tranche 1","Tranche 1: cleared",$C1156="Sessions_Level_1_All_Sites","Downstream aggregation of UA raw logs — keep if raw tables go",ISNUMBER(--$C1156),"UA raw site logs (account ID) — keep pending audit-retention check",$C1156="Emag_Reporting","Legacy but likely needed",$C1156="Nutrition_Data_Archived_Tables","Worth keeping",$C1156="EU_Data","Static lookup tables — scripts still reference (smoke-test risk)",TRUE,"Review"),OR($A1156="thg-influencer",$A1156="thg-ingenuity",$A1156="thg-central-marketing",$A1156="thg-seoclarity"),"HOLD — Charlie Stringer to review before deletion",TRUE,"")</f>
        <v>HOLD — Charlie Stringer to review before deletion</v>
      </c>
      <c r="S1156" t="s">
        <v>1624</v>
      </c>
    </row>
    <row r="1157" spans="1:19" hidden="1">
      <c r="A1157" t="s">
        <v>38</v>
      </c>
      <c r="B1157" t="s">
        <v>1619</v>
      </c>
      <c r="C1157" t="s">
        <v>3610</v>
      </c>
      <c r="D1157" s="2" t="s">
        <v>1621</v>
      </c>
      <c r="E1157">
        <v>2.16</v>
      </c>
      <c r="F1157">
        <v>0.04</v>
      </c>
      <c r="G1157" t="s">
        <v>3456</v>
      </c>
      <c r="H1157" t="s">
        <v>3457</v>
      </c>
      <c r="I1157">
        <v>830</v>
      </c>
      <c r="J1157">
        <v>830</v>
      </c>
      <c r="M1157" s="2" t="s">
        <v>1715</v>
      </c>
      <c r="N1157" s="2" t="s">
        <v>1701</v>
      </c>
      <c r="O1157" s="5">
        <v>45367.276649212959</v>
      </c>
      <c r="P1157" t="str">
        <f>IF($Q1157="DELETE",IF($S1157="CONFIRMED: NO MODS &gt; 1YR","CONFIRMED: NO MODS &gt; 1YR","DO NOT DELETE — not defensibly confirmed"),IF($Q1157="HOLD","DO NOT DELETE — HOLD (Charlie review)",IF($Q1157="KEEP","DO NOT DELETE — KEEP",IF(ISNUMBER(SEARCH("REVIEW",$Q1157)),"DO NOT DELETE — REVIEW pending",$S1157))))</f>
        <v>DO NOT DELETE — HOLD (Charlie review)</v>
      </c>
      <c r="Q1157" t="str" cm="1">
        <f t="array" ref="Q1157">_xlfn.IFS(AND($A1157="thg-beauty",ISNUMBER(SEARCH("liveramp",$C1157))),"DELETE",$A1157="agile-bonbon-662",_xlfn.IFS(LEFT($G1157,9)="Tranche 1","DELETE",$C1157="Sessions_Level_1_All_Sites","KEEP",ISNUMBER(--$C1157),"REVIEW — UA raw logs",$C1157="Emag_Reporting","KEEP",$C1157="Nutrition_Data_Archived_Tables","KEEP",$C1157="EU_Data","KEEP",TRUE,"REVIEW"),OR($A1157="thg-influencer",$A1157="thg-ingenuity",$A1157="thg-central-marketing",$A1157="thg-seoclarity"),"HOLD",TRUE,"")</f>
        <v>HOLD</v>
      </c>
      <c r="R1157" t="str" cm="1">
        <f t="array" ref="R1157">_xlfn.IFS(AND($A1157="thg-beauty",ISNUMBER(SEARCH("liveramp",$C1157))),"thg-beauty Liveramp dataset — confirmed safe to delete",$A1157="agile-bonbon-662",_xlfn.IFS(LEFT($G1157,9)="Tranche 1","Tranche 1: cleared",$C1157="Sessions_Level_1_All_Sites","Downstream aggregation of UA raw logs — keep if raw tables go",ISNUMBER(--$C1157),"UA raw site logs (account ID) — keep pending audit-retention check",$C1157="Emag_Reporting","Legacy but likely needed",$C1157="Nutrition_Data_Archived_Tables","Worth keeping",$C1157="EU_Data","Static lookup tables — scripts still reference (smoke-test risk)",TRUE,"Review"),OR($A1157="thg-influencer",$A1157="thg-ingenuity",$A1157="thg-central-marketing",$A1157="thg-seoclarity"),"HOLD — Charlie Stringer to review before deletion",TRUE,"")</f>
        <v>HOLD — Charlie Stringer to review before deletion</v>
      </c>
      <c r="S1157" t="s">
        <v>1624</v>
      </c>
    </row>
    <row r="1158" spans="1:19" hidden="1">
      <c r="A1158" t="s">
        <v>38</v>
      </c>
      <c r="B1158" t="s">
        <v>1619</v>
      </c>
      <c r="C1158" t="s">
        <v>3611</v>
      </c>
      <c r="D1158" s="2" t="s">
        <v>1621</v>
      </c>
      <c r="E1158">
        <v>0.04</v>
      </c>
      <c r="F1158">
        <v>0</v>
      </c>
      <c r="G1158" t="s">
        <v>3456</v>
      </c>
      <c r="H1158" t="s">
        <v>3457</v>
      </c>
      <c r="I1158">
        <v>823</v>
      </c>
      <c r="J1158">
        <v>823</v>
      </c>
      <c r="M1158" s="2" t="s">
        <v>1715</v>
      </c>
      <c r="N1158" s="2" t="s">
        <v>1701</v>
      </c>
      <c r="O1158" s="5">
        <v>45374.306511921299</v>
      </c>
      <c r="P1158" t="str">
        <f>IF($Q1158="DELETE",IF($S1158="CONFIRMED: NO MODS &gt; 1YR","CONFIRMED: NO MODS &gt; 1YR","DO NOT DELETE — not defensibly confirmed"),IF($Q1158="HOLD","DO NOT DELETE — HOLD (Charlie review)",IF($Q1158="KEEP","DO NOT DELETE — KEEP",IF(ISNUMBER(SEARCH("REVIEW",$Q1158)),"DO NOT DELETE — REVIEW pending",$S1158))))</f>
        <v>DO NOT DELETE — HOLD (Charlie review)</v>
      </c>
      <c r="Q1158" t="str" cm="1">
        <f t="array" ref="Q1158">_xlfn.IFS(AND($A1158="thg-beauty",ISNUMBER(SEARCH("liveramp",$C1158))),"DELETE",$A1158="agile-bonbon-662",_xlfn.IFS(LEFT($G1158,9)="Tranche 1","DELETE",$C1158="Sessions_Level_1_All_Sites","KEEP",ISNUMBER(--$C1158),"REVIEW — UA raw logs",$C1158="Emag_Reporting","KEEP",$C1158="Nutrition_Data_Archived_Tables","KEEP",$C1158="EU_Data","KEEP",TRUE,"REVIEW"),OR($A1158="thg-influencer",$A1158="thg-ingenuity",$A1158="thg-central-marketing",$A1158="thg-seoclarity"),"HOLD",TRUE,"")</f>
        <v>HOLD</v>
      </c>
      <c r="R1158" t="str" cm="1">
        <f t="array" ref="R1158">_xlfn.IFS(AND($A1158="thg-beauty",ISNUMBER(SEARCH("liveramp",$C1158))),"thg-beauty Liveramp dataset — confirmed safe to delete",$A1158="agile-bonbon-662",_xlfn.IFS(LEFT($G1158,9)="Tranche 1","Tranche 1: cleared",$C1158="Sessions_Level_1_All_Sites","Downstream aggregation of UA raw logs — keep if raw tables go",ISNUMBER(--$C1158),"UA raw site logs (account ID) — keep pending audit-retention check",$C1158="Emag_Reporting","Legacy but likely needed",$C1158="Nutrition_Data_Archived_Tables","Worth keeping",$C1158="EU_Data","Static lookup tables — scripts still reference (smoke-test risk)",TRUE,"Review"),OR($A1158="thg-influencer",$A1158="thg-ingenuity",$A1158="thg-central-marketing",$A1158="thg-seoclarity"),"HOLD — Charlie Stringer to review before deletion",TRUE,"")</f>
        <v>HOLD — Charlie Stringer to review before deletion</v>
      </c>
      <c r="S1158" t="s">
        <v>1624</v>
      </c>
    </row>
    <row r="1159" spans="1:19" hidden="1">
      <c r="A1159" t="s">
        <v>38</v>
      </c>
      <c r="B1159" t="s">
        <v>1619</v>
      </c>
      <c r="C1159" t="s">
        <v>3612</v>
      </c>
      <c r="D1159" s="2" t="s">
        <v>1621</v>
      </c>
      <c r="E1159">
        <v>21.32</v>
      </c>
      <c r="F1159">
        <v>0.43</v>
      </c>
      <c r="G1159" t="s">
        <v>3456</v>
      </c>
      <c r="H1159" t="s">
        <v>3457</v>
      </c>
      <c r="I1159">
        <v>818</v>
      </c>
      <c r="J1159">
        <v>818</v>
      </c>
      <c r="M1159" s="2" t="s">
        <v>1715</v>
      </c>
      <c r="N1159" s="2" t="s">
        <v>1701</v>
      </c>
      <c r="O1159" s="5">
        <v>45379.193065046296</v>
      </c>
      <c r="P1159" t="str">
        <f>IF($Q1159="DELETE",IF($S1159="CONFIRMED: NO MODS &gt; 1YR","CONFIRMED: NO MODS &gt; 1YR","DO NOT DELETE — not defensibly confirmed"),IF($Q1159="HOLD","DO NOT DELETE — HOLD (Charlie review)",IF($Q1159="KEEP","DO NOT DELETE — KEEP",IF(ISNUMBER(SEARCH("REVIEW",$Q1159)),"DO NOT DELETE — REVIEW pending",$S1159))))</f>
        <v>DO NOT DELETE — HOLD (Charlie review)</v>
      </c>
      <c r="Q1159" t="str" cm="1">
        <f t="array" ref="Q1159">_xlfn.IFS(AND($A1159="thg-beauty",ISNUMBER(SEARCH("liveramp",$C1159))),"DELETE",$A1159="agile-bonbon-662",_xlfn.IFS(LEFT($G1159,9)="Tranche 1","DELETE",$C1159="Sessions_Level_1_All_Sites","KEEP",ISNUMBER(--$C1159),"REVIEW — UA raw logs",$C1159="Emag_Reporting","KEEP",$C1159="Nutrition_Data_Archived_Tables","KEEP",$C1159="EU_Data","KEEP",TRUE,"REVIEW"),OR($A1159="thg-influencer",$A1159="thg-ingenuity",$A1159="thg-central-marketing",$A1159="thg-seoclarity"),"HOLD",TRUE,"")</f>
        <v>HOLD</v>
      </c>
      <c r="R1159" t="str" cm="1">
        <f t="array" ref="R1159">_xlfn.IFS(AND($A1159="thg-beauty",ISNUMBER(SEARCH("liveramp",$C1159))),"thg-beauty Liveramp dataset — confirmed safe to delete",$A1159="agile-bonbon-662",_xlfn.IFS(LEFT($G1159,9)="Tranche 1","Tranche 1: cleared",$C1159="Sessions_Level_1_All_Sites","Downstream aggregation of UA raw logs — keep if raw tables go",ISNUMBER(--$C1159),"UA raw site logs (account ID) — keep pending audit-retention check",$C1159="Emag_Reporting","Legacy but likely needed",$C1159="Nutrition_Data_Archived_Tables","Worth keeping",$C1159="EU_Data","Static lookup tables — scripts still reference (smoke-test risk)",TRUE,"Review"),OR($A1159="thg-influencer",$A1159="thg-ingenuity",$A1159="thg-central-marketing",$A1159="thg-seoclarity"),"HOLD — Charlie Stringer to review before deletion",TRUE,"")</f>
        <v>HOLD — Charlie Stringer to review before deletion</v>
      </c>
      <c r="S1159" t="s">
        <v>1624</v>
      </c>
    </row>
    <row r="1160" spans="1:19" hidden="1">
      <c r="A1160" t="s">
        <v>38</v>
      </c>
      <c r="B1160" t="s">
        <v>1619</v>
      </c>
      <c r="C1160" t="s">
        <v>3613</v>
      </c>
      <c r="D1160" s="2" t="s">
        <v>1621</v>
      </c>
      <c r="E1160">
        <v>40.15</v>
      </c>
      <c r="F1160">
        <v>0.8</v>
      </c>
      <c r="G1160" t="s">
        <v>3456</v>
      </c>
      <c r="H1160" t="s">
        <v>3457</v>
      </c>
      <c r="I1160">
        <v>814</v>
      </c>
      <c r="J1160">
        <v>814</v>
      </c>
      <c r="M1160" s="2" t="s">
        <v>1715</v>
      </c>
      <c r="N1160" s="2" t="s">
        <v>1701</v>
      </c>
      <c r="O1160" s="5">
        <v>45383.238731527781</v>
      </c>
      <c r="P1160" t="str">
        <f>IF($Q1160="DELETE",IF($S1160="CONFIRMED: NO MODS &gt; 1YR","CONFIRMED: NO MODS &gt; 1YR","DO NOT DELETE — not defensibly confirmed"),IF($Q1160="HOLD","DO NOT DELETE — HOLD (Charlie review)",IF($Q1160="KEEP","DO NOT DELETE — KEEP",IF(ISNUMBER(SEARCH("REVIEW",$Q1160)),"DO NOT DELETE — REVIEW pending",$S1160))))</f>
        <v>DO NOT DELETE — HOLD (Charlie review)</v>
      </c>
      <c r="Q1160" t="str" cm="1">
        <f t="array" ref="Q1160">_xlfn.IFS(AND($A1160="thg-beauty",ISNUMBER(SEARCH("liveramp",$C1160))),"DELETE",$A1160="agile-bonbon-662",_xlfn.IFS(LEFT($G1160,9)="Tranche 1","DELETE",$C1160="Sessions_Level_1_All_Sites","KEEP",ISNUMBER(--$C1160),"REVIEW — UA raw logs",$C1160="Emag_Reporting","KEEP",$C1160="Nutrition_Data_Archived_Tables","KEEP",$C1160="EU_Data","KEEP",TRUE,"REVIEW"),OR($A1160="thg-influencer",$A1160="thg-ingenuity",$A1160="thg-central-marketing",$A1160="thg-seoclarity"),"HOLD",TRUE,"")</f>
        <v>HOLD</v>
      </c>
      <c r="R1160" t="str" cm="1">
        <f t="array" ref="R1160">_xlfn.IFS(AND($A1160="thg-beauty",ISNUMBER(SEARCH("liveramp",$C1160))),"thg-beauty Liveramp dataset — confirmed safe to delete",$A1160="agile-bonbon-662",_xlfn.IFS(LEFT($G1160,9)="Tranche 1","Tranche 1: cleared",$C1160="Sessions_Level_1_All_Sites","Downstream aggregation of UA raw logs — keep if raw tables go",ISNUMBER(--$C1160),"UA raw site logs (account ID) — keep pending audit-retention check",$C1160="Emag_Reporting","Legacy but likely needed",$C1160="Nutrition_Data_Archived_Tables","Worth keeping",$C1160="EU_Data","Static lookup tables — scripts still reference (smoke-test risk)",TRUE,"Review"),OR($A1160="thg-influencer",$A1160="thg-ingenuity",$A1160="thg-central-marketing",$A1160="thg-seoclarity"),"HOLD — Charlie Stringer to review before deletion",TRUE,"")</f>
        <v>HOLD — Charlie Stringer to review before deletion</v>
      </c>
      <c r="S1160" t="s">
        <v>1624</v>
      </c>
    </row>
    <row r="1161" spans="1:19" hidden="1">
      <c r="A1161" t="s">
        <v>38</v>
      </c>
      <c r="B1161" t="s">
        <v>1619</v>
      </c>
      <c r="C1161" t="s">
        <v>3614</v>
      </c>
      <c r="D1161" s="2" t="s">
        <v>1621</v>
      </c>
      <c r="E1161">
        <v>0.1</v>
      </c>
      <c r="F1161">
        <v>0</v>
      </c>
      <c r="G1161" t="s">
        <v>3456</v>
      </c>
      <c r="H1161" t="s">
        <v>3457</v>
      </c>
      <c r="I1161">
        <v>811</v>
      </c>
      <c r="J1161">
        <v>811</v>
      </c>
      <c r="M1161" s="2" t="s">
        <v>1715</v>
      </c>
      <c r="N1161" s="2" t="s">
        <v>1701</v>
      </c>
      <c r="O1161" s="5">
        <v>45386.301948113432</v>
      </c>
      <c r="P1161" t="str">
        <f>IF($Q1161="DELETE",IF($S1161="CONFIRMED: NO MODS &gt; 1YR","CONFIRMED: NO MODS &gt; 1YR","DO NOT DELETE — not defensibly confirmed"),IF($Q1161="HOLD","DO NOT DELETE — HOLD (Charlie review)",IF($Q1161="KEEP","DO NOT DELETE — KEEP",IF(ISNUMBER(SEARCH("REVIEW",$Q1161)),"DO NOT DELETE — REVIEW pending",$S1161))))</f>
        <v>DO NOT DELETE — HOLD (Charlie review)</v>
      </c>
      <c r="Q1161" t="str" cm="1">
        <f t="array" ref="Q1161">_xlfn.IFS(AND($A1161="thg-beauty",ISNUMBER(SEARCH("liveramp",$C1161))),"DELETE",$A1161="agile-bonbon-662",_xlfn.IFS(LEFT($G1161,9)="Tranche 1","DELETE",$C1161="Sessions_Level_1_All_Sites","KEEP",ISNUMBER(--$C1161),"REVIEW — UA raw logs",$C1161="Emag_Reporting","KEEP",$C1161="Nutrition_Data_Archived_Tables","KEEP",$C1161="EU_Data","KEEP",TRUE,"REVIEW"),OR($A1161="thg-influencer",$A1161="thg-ingenuity",$A1161="thg-central-marketing",$A1161="thg-seoclarity"),"HOLD",TRUE,"")</f>
        <v>HOLD</v>
      </c>
      <c r="R1161" t="str" cm="1">
        <f t="array" ref="R1161">_xlfn.IFS(AND($A1161="thg-beauty",ISNUMBER(SEARCH("liveramp",$C1161))),"thg-beauty Liveramp dataset — confirmed safe to delete",$A1161="agile-bonbon-662",_xlfn.IFS(LEFT($G1161,9)="Tranche 1","Tranche 1: cleared",$C1161="Sessions_Level_1_All_Sites","Downstream aggregation of UA raw logs — keep if raw tables go",ISNUMBER(--$C1161),"UA raw site logs (account ID) — keep pending audit-retention check",$C1161="Emag_Reporting","Legacy but likely needed",$C1161="Nutrition_Data_Archived_Tables","Worth keeping",$C1161="EU_Data","Static lookup tables — scripts still reference (smoke-test risk)",TRUE,"Review"),OR($A1161="thg-influencer",$A1161="thg-ingenuity",$A1161="thg-central-marketing",$A1161="thg-seoclarity"),"HOLD — Charlie Stringer to review before deletion",TRUE,"")</f>
        <v>HOLD — Charlie Stringer to review before deletion</v>
      </c>
      <c r="S1161" t="s">
        <v>1624</v>
      </c>
    </row>
    <row r="1162" spans="1:19" hidden="1">
      <c r="A1162" t="s">
        <v>38</v>
      </c>
      <c r="B1162" t="s">
        <v>1619</v>
      </c>
      <c r="C1162" t="s">
        <v>3615</v>
      </c>
      <c r="D1162" s="2" t="s">
        <v>1621</v>
      </c>
      <c r="E1162">
        <v>0</v>
      </c>
      <c r="F1162">
        <v>0</v>
      </c>
      <c r="G1162" t="s">
        <v>3456</v>
      </c>
      <c r="H1162" t="s">
        <v>3457</v>
      </c>
      <c r="I1162">
        <v>810</v>
      </c>
      <c r="J1162">
        <v>810</v>
      </c>
      <c r="M1162" s="2" t="s">
        <v>1715</v>
      </c>
      <c r="N1162" s="2" t="s">
        <v>1701</v>
      </c>
      <c r="O1162" s="5">
        <v>45387.274721724527</v>
      </c>
      <c r="P1162" t="str">
        <f>IF($Q1162="DELETE",IF($S1162="CONFIRMED: NO MODS &gt; 1YR","CONFIRMED: NO MODS &gt; 1YR","DO NOT DELETE — not defensibly confirmed"),IF($Q1162="HOLD","DO NOT DELETE — HOLD (Charlie review)",IF($Q1162="KEEP","DO NOT DELETE — KEEP",IF(ISNUMBER(SEARCH("REVIEW",$Q1162)),"DO NOT DELETE — REVIEW pending",$S1162))))</f>
        <v>DO NOT DELETE — HOLD (Charlie review)</v>
      </c>
      <c r="Q1162" t="str" cm="1">
        <f t="array" ref="Q1162">_xlfn.IFS(AND($A1162="thg-beauty",ISNUMBER(SEARCH("liveramp",$C1162))),"DELETE",$A1162="agile-bonbon-662",_xlfn.IFS(LEFT($G1162,9)="Tranche 1","DELETE",$C1162="Sessions_Level_1_All_Sites","KEEP",ISNUMBER(--$C1162),"REVIEW — UA raw logs",$C1162="Emag_Reporting","KEEP",$C1162="Nutrition_Data_Archived_Tables","KEEP",$C1162="EU_Data","KEEP",TRUE,"REVIEW"),OR($A1162="thg-influencer",$A1162="thg-ingenuity",$A1162="thg-central-marketing",$A1162="thg-seoclarity"),"HOLD",TRUE,"")</f>
        <v>HOLD</v>
      </c>
      <c r="R1162" t="str" cm="1">
        <f t="array" ref="R1162">_xlfn.IFS(AND($A1162="thg-beauty",ISNUMBER(SEARCH("liveramp",$C1162))),"thg-beauty Liveramp dataset — confirmed safe to delete",$A1162="agile-bonbon-662",_xlfn.IFS(LEFT($G1162,9)="Tranche 1","Tranche 1: cleared",$C1162="Sessions_Level_1_All_Sites","Downstream aggregation of UA raw logs — keep if raw tables go",ISNUMBER(--$C1162),"UA raw site logs (account ID) — keep pending audit-retention check",$C1162="Emag_Reporting","Legacy but likely needed",$C1162="Nutrition_Data_Archived_Tables","Worth keeping",$C1162="EU_Data","Static lookup tables — scripts still reference (smoke-test risk)",TRUE,"Review"),OR($A1162="thg-influencer",$A1162="thg-ingenuity",$A1162="thg-central-marketing",$A1162="thg-seoclarity"),"HOLD — Charlie Stringer to review before deletion",TRUE,"")</f>
        <v>HOLD — Charlie Stringer to review before deletion</v>
      </c>
      <c r="S1162" t="s">
        <v>1624</v>
      </c>
    </row>
    <row r="1163" spans="1:19" hidden="1">
      <c r="A1163" t="s">
        <v>38</v>
      </c>
      <c r="B1163" t="s">
        <v>1619</v>
      </c>
      <c r="C1163" t="s">
        <v>3616</v>
      </c>
      <c r="D1163" s="2" t="s">
        <v>1621</v>
      </c>
      <c r="E1163">
        <v>0.12</v>
      </c>
      <c r="F1163">
        <v>0</v>
      </c>
      <c r="G1163" t="s">
        <v>3456</v>
      </c>
      <c r="H1163" t="s">
        <v>3457</v>
      </c>
      <c r="I1163">
        <v>805</v>
      </c>
      <c r="J1163">
        <v>805</v>
      </c>
      <c r="M1163" s="2" t="s">
        <v>1715</v>
      </c>
      <c r="N1163" s="2" t="s">
        <v>1701</v>
      </c>
      <c r="O1163" s="5">
        <v>45392.312836307872</v>
      </c>
      <c r="P1163" t="str">
        <f>IF($Q1163="DELETE",IF($S1163="CONFIRMED: NO MODS &gt; 1YR","CONFIRMED: NO MODS &gt; 1YR","DO NOT DELETE — not defensibly confirmed"),IF($Q1163="HOLD","DO NOT DELETE — HOLD (Charlie review)",IF($Q1163="KEEP","DO NOT DELETE — KEEP",IF(ISNUMBER(SEARCH("REVIEW",$Q1163)),"DO NOT DELETE — REVIEW pending",$S1163))))</f>
        <v>DO NOT DELETE — HOLD (Charlie review)</v>
      </c>
      <c r="Q1163" t="str" cm="1">
        <f t="array" ref="Q1163">_xlfn.IFS(AND($A1163="thg-beauty",ISNUMBER(SEARCH("liveramp",$C1163))),"DELETE",$A1163="agile-bonbon-662",_xlfn.IFS(LEFT($G1163,9)="Tranche 1","DELETE",$C1163="Sessions_Level_1_All_Sites","KEEP",ISNUMBER(--$C1163),"REVIEW — UA raw logs",$C1163="Emag_Reporting","KEEP",$C1163="Nutrition_Data_Archived_Tables","KEEP",$C1163="EU_Data","KEEP",TRUE,"REVIEW"),OR($A1163="thg-influencer",$A1163="thg-ingenuity",$A1163="thg-central-marketing",$A1163="thg-seoclarity"),"HOLD",TRUE,"")</f>
        <v>HOLD</v>
      </c>
      <c r="R1163" t="str" cm="1">
        <f t="array" ref="R1163">_xlfn.IFS(AND($A1163="thg-beauty",ISNUMBER(SEARCH("liveramp",$C1163))),"thg-beauty Liveramp dataset — confirmed safe to delete",$A1163="agile-bonbon-662",_xlfn.IFS(LEFT($G1163,9)="Tranche 1","Tranche 1: cleared",$C1163="Sessions_Level_1_All_Sites","Downstream aggregation of UA raw logs — keep if raw tables go",ISNUMBER(--$C1163),"UA raw site logs (account ID) — keep pending audit-retention check",$C1163="Emag_Reporting","Legacy but likely needed",$C1163="Nutrition_Data_Archived_Tables","Worth keeping",$C1163="EU_Data","Static lookup tables — scripts still reference (smoke-test risk)",TRUE,"Review"),OR($A1163="thg-influencer",$A1163="thg-ingenuity",$A1163="thg-central-marketing",$A1163="thg-seoclarity"),"HOLD — Charlie Stringer to review before deletion",TRUE,"")</f>
        <v>HOLD — Charlie Stringer to review before deletion</v>
      </c>
      <c r="S1163" t="s">
        <v>1624</v>
      </c>
    </row>
    <row r="1164" spans="1:19" hidden="1">
      <c r="A1164" t="s">
        <v>38</v>
      </c>
      <c r="B1164" t="s">
        <v>1619</v>
      </c>
      <c r="C1164" t="s">
        <v>3617</v>
      </c>
      <c r="D1164" s="2" t="s">
        <v>1621</v>
      </c>
      <c r="E1164">
        <v>4.72</v>
      </c>
      <c r="F1164">
        <v>0.09</v>
      </c>
      <c r="G1164" t="s">
        <v>3456</v>
      </c>
      <c r="H1164" t="s">
        <v>3457</v>
      </c>
      <c r="I1164">
        <v>799</v>
      </c>
      <c r="J1164">
        <v>799</v>
      </c>
      <c r="M1164" s="2" t="s">
        <v>1715</v>
      </c>
      <c r="N1164" s="2" t="s">
        <v>1701</v>
      </c>
      <c r="O1164" s="5">
        <v>45398.248334467593</v>
      </c>
      <c r="P1164" t="str">
        <f>IF($Q1164="DELETE",IF($S1164="CONFIRMED: NO MODS &gt; 1YR","CONFIRMED: NO MODS &gt; 1YR","DO NOT DELETE — not defensibly confirmed"),IF($Q1164="HOLD","DO NOT DELETE — HOLD (Charlie review)",IF($Q1164="KEEP","DO NOT DELETE — KEEP",IF(ISNUMBER(SEARCH("REVIEW",$Q1164)),"DO NOT DELETE — REVIEW pending",$S1164))))</f>
        <v>DO NOT DELETE — HOLD (Charlie review)</v>
      </c>
      <c r="Q1164" t="str" cm="1">
        <f t="array" ref="Q1164">_xlfn.IFS(AND($A1164="thg-beauty",ISNUMBER(SEARCH("liveramp",$C1164))),"DELETE",$A1164="agile-bonbon-662",_xlfn.IFS(LEFT($G1164,9)="Tranche 1","DELETE",$C1164="Sessions_Level_1_All_Sites","KEEP",ISNUMBER(--$C1164),"REVIEW — UA raw logs",$C1164="Emag_Reporting","KEEP",$C1164="Nutrition_Data_Archived_Tables","KEEP",$C1164="EU_Data","KEEP",TRUE,"REVIEW"),OR($A1164="thg-influencer",$A1164="thg-ingenuity",$A1164="thg-central-marketing",$A1164="thg-seoclarity"),"HOLD",TRUE,"")</f>
        <v>HOLD</v>
      </c>
      <c r="R1164" t="str" cm="1">
        <f t="array" ref="R1164">_xlfn.IFS(AND($A1164="thg-beauty",ISNUMBER(SEARCH("liveramp",$C1164))),"thg-beauty Liveramp dataset — confirmed safe to delete",$A1164="agile-bonbon-662",_xlfn.IFS(LEFT($G1164,9)="Tranche 1","Tranche 1: cleared",$C1164="Sessions_Level_1_All_Sites","Downstream aggregation of UA raw logs — keep if raw tables go",ISNUMBER(--$C1164),"UA raw site logs (account ID) — keep pending audit-retention check",$C1164="Emag_Reporting","Legacy but likely needed",$C1164="Nutrition_Data_Archived_Tables","Worth keeping",$C1164="EU_Data","Static lookup tables — scripts still reference (smoke-test risk)",TRUE,"Review"),OR($A1164="thg-influencer",$A1164="thg-ingenuity",$A1164="thg-central-marketing",$A1164="thg-seoclarity"),"HOLD — Charlie Stringer to review before deletion",TRUE,"")</f>
        <v>HOLD — Charlie Stringer to review before deletion</v>
      </c>
      <c r="S1164" t="s">
        <v>1624</v>
      </c>
    </row>
    <row r="1165" spans="1:19" hidden="1">
      <c r="A1165" t="s">
        <v>38</v>
      </c>
      <c r="B1165" t="s">
        <v>1619</v>
      </c>
      <c r="C1165" t="s">
        <v>3618</v>
      </c>
      <c r="D1165" s="2" t="s">
        <v>1621</v>
      </c>
      <c r="E1165">
        <v>1.9</v>
      </c>
      <c r="F1165">
        <v>0.04</v>
      </c>
      <c r="G1165" t="s">
        <v>3456</v>
      </c>
      <c r="H1165" t="s">
        <v>3457</v>
      </c>
      <c r="I1165">
        <v>798</v>
      </c>
      <c r="J1165">
        <v>798</v>
      </c>
      <c r="M1165" s="2" t="s">
        <v>1715</v>
      </c>
      <c r="N1165" s="2" t="s">
        <v>1701</v>
      </c>
      <c r="O1165" s="5">
        <v>45399.235536018517</v>
      </c>
      <c r="P1165" t="str">
        <f>IF($Q1165="DELETE",IF($S1165="CONFIRMED: NO MODS &gt; 1YR","CONFIRMED: NO MODS &gt; 1YR","DO NOT DELETE — not defensibly confirmed"),IF($Q1165="HOLD","DO NOT DELETE — HOLD (Charlie review)",IF($Q1165="KEEP","DO NOT DELETE — KEEP",IF(ISNUMBER(SEARCH("REVIEW",$Q1165)),"DO NOT DELETE — REVIEW pending",$S1165))))</f>
        <v>DO NOT DELETE — HOLD (Charlie review)</v>
      </c>
      <c r="Q1165" t="str" cm="1">
        <f t="array" ref="Q1165">_xlfn.IFS(AND($A1165="thg-beauty",ISNUMBER(SEARCH("liveramp",$C1165))),"DELETE",$A1165="agile-bonbon-662",_xlfn.IFS(LEFT($G1165,9)="Tranche 1","DELETE",$C1165="Sessions_Level_1_All_Sites","KEEP",ISNUMBER(--$C1165),"REVIEW — UA raw logs",$C1165="Emag_Reporting","KEEP",$C1165="Nutrition_Data_Archived_Tables","KEEP",$C1165="EU_Data","KEEP",TRUE,"REVIEW"),OR($A1165="thg-influencer",$A1165="thg-ingenuity",$A1165="thg-central-marketing",$A1165="thg-seoclarity"),"HOLD",TRUE,"")</f>
        <v>HOLD</v>
      </c>
      <c r="R1165" t="str" cm="1">
        <f t="array" ref="R1165">_xlfn.IFS(AND($A1165="thg-beauty",ISNUMBER(SEARCH("liveramp",$C1165))),"thg-beauty Liveramp dataset — confirmed safe to delete",$A1165="agile-bonbon-662",_xlfn.IFS(LEFT($G1165,9)="Tranche 1","Tranche 1: cleared",$C1165="Sessions_Level_1_All_Sites","Downstream aggregation of UA raw logs — keep if raw tables go",ISNUMBER(--$C1165),"UA raw site logs (account ID) — keep pending audit-retention check",$C1165="Emag_Reporting","Legacy but likely needed",$C1165="Nutrition_Data_Archived_Tables","Worth keeping",$C1165="EU_Data","Static lookup tables — scripts still reference (smoke-test risk)",TRUE,"Review"),OR($A1165="thg-influencer",$A1165="thg-ingenuity",$A1165="thg-central-marketing",$A1165="thg-seoclarity"),"HOLD — Charlie Stringer to review before deletion",TRUE,"")</f>
        <v>HOLD — Charlie Stringer to review before deletion</v>
      </c>
      <c r="S1165" t="s">
        <v>1624</v>
      </c>
    </row>
    <row r="1166" spans="1:19" hidden="1">
      <c r="A1166" t="s">
        <v>38</v>
      </c>
      <c r="B1166" t="s">
        <v>1619</v>
      </c>
      <c r="C1166" t="s">
        <v>3619</v>
      </c>
      <c r="D1166" s="2" t="s">
        <v>1621</v>
      </c>
      <c r="E1166">
        <v>0.95</v>
      </c>
      <c r="F1166">
        <v>0.02</v>
      </c>
      <c r="G1166" t="s">
        <v>3456</v>
      </c>
      <c r="H1166" t="s">
        <v>3457</v>
      </c>
      <c r="I1166">
        <v>798</v>
      </c>
      <c r="J1166">
        <v>798</v>
      </c>
      <c r="M1166" s="2" t="s">
        <v>1715</v>
      </c>
      <c r="N1166" s="2" t="s">
        <v>1701</v>
      </c>
      <c r="O1166" s="5">
        <v>45399.27179017361</v>
      </c>
      <c r="P1166" t="str">
        <f>IF($Q1166="DELETE",IF($S1166="CONFIRMED: NO MODS &gt; 1YR","CONFIRMED: NO MODS &gt; 1YR","DO NOT DELETE — not defensibly confirmed"),IF($Q1166="HOLD","DO NOT DELETE — HOLD (Charlie review)",IF($Q1166="KEEP","DO NOT DELETE — KEEP",IF(ISNUMBER(SEARCH("REVIEW",$Q1166)),"DO NOT DELETE — REVIEW pending",$S1166))))</f>
        <v>DO NOT DELETE — HOLD (Charlie review)</v>
      </c>
      <c r="Q1166" t="str" cm="1">
        <f t="array" ref="Q1166">_xlfn.IFS(AND($A1166="thg-beauty",ISNUMBER(SEARCH("liveramp",$C1166))),"DELETE",$A1166="agile-bonbon-662",_xlfn.IFS(LEFT($G1166,9)="Tranche 1","DELETE",$C1166="Sessions_Level_1_All_Sites","KEEP",ISNUMBER(--$C1166),"REVIEW — UA raw logs",$C1166="Emag_Reporting","KEEP",$C1166="Nutrition_Data_Archived_Tables","KEEP",$C1166="EU_Data","KEEP",TRUE,"REVIEW"),OR($A1166="thg-influencer",$A1166="thg-ingenuity",$A1166="thg-central-marketing",$A1166="thg-seoclarity"),"HOLD",TRUE,"")</f>
        <v>HOLD</v>
      </c>
      <c r="R1166" t="str" cm="1">
        <f t="array" ref="R1166">_xlfn.IFS(AND($A1166="thg-beauty",ISNUMBER(SEARCH("liveramp",$C1166))),"thg-beauty Liveramp dataset — confirmed safe to delete",$A1166="agile-bonbon-662",_xlfn.IFS(LEFT($G1166,9)="Tranche 1","Tranche 1: cleared",$C1166="Sessions_Level_1_All_Sites","Downstream aggregation of UA raw logs — keep if raw tables go",ISNUMBER(--$C1166),"UA raw site logs (account ID) — keep pending audit-retention check",$C1166="Emag_Reporting","Legacy but likely needed",$C1166="Nutrition_Data_Archived_Tables","Worth keeping",$C1166="EU_Data","Static lookup tables — scripts still reference (smoke-test risk)",TRUE,"Review"),OR($A1166="thg-influencer",$A1166="thg-ingenuity",$A1166="thg-central-marketing",$A1166="thg-seoclarity"),"HOLD — Charlie Stringer to review before deletion",TRUE,"")</f>
        <v>HOLD — Charlie Stringer to review before deletion</v>
      </c>
      <c r="S1166" t="s">
        <v>1624</v>
      </c>
    </row>
    <row r="1167" spans="1:19" hidden="1">
      <c r="A1167" t="s">
        <v>38</v>
      </c>
      <c r="B1167" t="s">
        <v>1619</v>
      </c>
      <c r="C1167" t="s">
        <v>3620</v>
      </c>
      <c r="D1167" s="2" t="s">
        <v>1621</v>
      </c>
      <c r="E1167">
        <v>0.26</v>
      </c>
      <c r="F1167">
        <v>0.01</v>
      </c>
      <c r="G1167" t="s">
        <v>3456</v>
      </c>
      <c r="H1167" t="s">
        <v>3457</v>
      </c>
      <c r="I1167">
        <v>798</v>
      </c>
      <c r="J1167">
        <v>798</v>
      </c>
      <c r="M1167" s="2" t="s">
        <v>1715</v>
      </c>
      <c r="N1167" s="2" t="s">
        <v>1701</v>
      </c>
      <c r="O1167" s="5">
        <v>45399.304974236111</v>
      </c>
      <c r="P1167" t="str">
        <f>IF($Q1167="DELETE",IF($S1167="CONFIRMED: NO MODS &gt; 1YR","CONFIRMED: NO MODS &gt; 1YR","DO NOT DELETE — not defensibly confirmed"),IF($Q1167="HOLD","DO NOT DELETE — HOLD (Charlie review)",IF($Q1167="KEEP","DO NOT DELETE — KEEP",IF(ISNUMBER(SEARCH("REVIEW",$Q1167)),"DO NOT DELETE — REVIEW pending",$S1167))))</f>
        <v>DO NOT DELETE — HOLD (Charlie review)</v>
      </c>
      <c r="Q1167" t="str" cm="1">
        <f t="array" ref="Q1167">_xlfn.IFS(AND($A1167="thg-beauty",ISNUMBER(SEARCH("liveramp",$C1167))),"DELETE",$A1167="agile-bonbon-662",_xlfn.IFS(LEFT($G1167,9)="Tranche 1","DELETE",$C1167="Sessions_Level_1_All_Sites","KEEP",ISNUMBER(--$C1167),"REVIEW — UA raw logs",$C1167="Emag_Reporting","KEEP",$C1167="Nutrition_Data_Archived_Tables","KEEP",$C1167="EU_Data","KEEP",TRUE,"REVIEW"),OR($A1167="thg-influencer",$A1167="thg-ingenuity",$A1167="thg-central-marketing",$A1167="thg-seoclarity"),"HOLD",TRUE,"")</f>
        <v>HOLD</v>
      </c>
      <c r="R1167" t="str" cm="1">
        <f t="array" ref="R1167">_xlfn.IFS(AND($A1167="thg-beauty",ISNUMBER(SEARCH("liveramp",$C1167))),"thg-beauty Liveramp dataset — confirmed safe to delete",$A1167="agile-bonbon-662",_xlfn.IFS(LEFT($G1167,9)="Tranche 1","Tranche 1: cleared",$C1167="Sessions_Level_1_All_Sites","Downstream aggregation of UA raw logs — keep if raw tables go",ISNUMBER(--$C1167),"UA raw site logs (account ID) — keep pending audit-retention check",$C1167="Emag_Reporting","Legacy but likely needed",$C1167="Nutrition_Data_Archived_Tables","Worth keeping",$C1167="EU_Data","Static lookup tables — scripts still reference (smoke-test risk)",TRUE,"Review"),OR($A1167="thg-influencer",$A1167="thg-ingenuity",$A1167="thg-central-marketing",$A1167="thg-seoclarity"),"HOLD — Charlie Stringer to review before deletion",TRUE,"")</f>
        <v>HOLD — Charlie Stringer to review before deletion</v>
      </c>
      <c r="S1167" t="s">
        <v>1624</v>
      </c>
    </row>
    <row r="1168" spans="1:19" hidden="1">
      <c r="A1168" t="s">
        <v>38</v>
      </c>
      <c r="B1168" t="s">
        <v>1619</v>
      </c>
      <c r="C1168" t="s">
        <v>3621</v>
      </c>
      <c r="D1168" s="2" t="s">
        <v>1621</v>
      </c>
      <c r="E1168">
        <v>0.92</v>
      </c>
      <c r="F1168">
        <v>0.02</v>
      </c>
      <c r="G1168" t="s">
        <v>3456</v>
      </c>
      <c r="H1168" t="s">
        <v>3457</v>
      </c>
      <c r="I1168">
        <v>797</v>
      </c>
      <c r="J1168">
        <v>797</v>
      </c>
      <c r="M1168" s="2" t="s">
        <v>1715</v>
      </c>
      <c r="N1168" s="2" t="s">
        <v>1701</v>
      </c>
      <c r="O1168" s="5">
        <v>45400.311874189807</v>
      </c>
      <c r="P1168" t="str">
        <f>IF($Q1168="DELETE",IF($S1168="CONFIRMED: NO MODS &gt; 1YR","CONFIRMED: NO MODS &gt; 1YR","DO NOT DELETE — not defensibly confirmed"),IF($Q1168="HOLD","DO NOT DELETE — HOLD (Charlie review)",IF($Q1168="KEEP","DO NOT DELETE — KEEP",IF(ISNUMBER(SEARCH("REVIEW",$Q1168)),"DO NOT DELETE — REVIEW pending",$S1168))))</f>
        <v>DO NOT DELETE — HOLD (Charlie review)</v>
      </c>
      <c r="Q1168" t="str" cm="1">
        <f t="array" ref="Q1168">_xlfn.IFS(AND($A1168="thg-beauty",ISNUMBER(SEARCH("liveramp",$C1168))),"DELETE",$A1168="agile-bonbon-662",_xlfn.IFS(LEFT($G1168,9)="Tranche 1","DELETE",$C1168="Sessions_Level_1_All_Sites","KEEP",ISNUMBER(--$C1168),"REVIEW — UA raw logs",$C1168="Emag_Reporting","KEEP",$C1168="Nutrition_Data_Archived_Tables","KEEP",$C1168="EU_Data","KEEP",TRUE,"REVIEW"),OR($A1168="thg-influencer",$A1168="thg-ingenuity",$A1168="thg-central-marketing",$A1168="thg-seoclarity"),"HOLD",TRUE,"")</f>
        <v>HOLD</v>
      </c>
      <c r="R1168" t="str" cm="1">
        <f t="array" ref="R1168">_xlfn.IFS(AND($A1168="thg-beauty",ISNUMBER(SEARCH("liveramp",$C1168))),"thg-beauty Liveramp dataset — confirmed safe to delete",$A1168="agile-bonbon-662",_xlfn.IFS(LEFT($G1168,9)="Tranche 1","Tranche 1: cleared",$C1168="Sessions_Level_1_All_Sites","Downstream aggregation of UA raw logs — keep if raw tables go",ISNUMBER(--$C1168),"UA raw site logs (account ID) — keep pending audit-retention check",$C1168="Emag_Reporting","Legacy but likely needed",$C1168="Nutrition_Data_Archived_Tables","Worth keeping",$C1168="EU_Data","Static lookup tables — scripts still reference (smoke-test risk)",TRUE,"Review"),OR($A1168="thg-influencer",$A1168="thg-ingenuity",$A1168="thg-central-marketing",$A1168="thg-seoclarity"),"HOLD — Charlie Stringer to review before deletion",TRUE,"")</f>
        <v>HOLD — Charlie Stringer to review before deletion</v>
      </c>
      <c r="S1168" t="s">
        <v>1624</v>
      </c>
    </row>
    <row r="1169" spans="1:19" hidden="1">
      <c r="A1169" t="s">
        <v>38</v>
      </c>
      <c r="B1169" t="s">
        <v>1619</v>
      </c>
      <c r="C1169" t="s">
        <v>3622</v>
      </c>
      <c r="D1169" s="2" t="s">
        <v>1621</v>
      </c>
      <c r="E1169">
        <v>0.04</v>
      </c>
      <c r="F1169">
        <v>0</v>
      </c>
      <c r="G1169" t="s">
        <v>3456</v>
      </c>
      <c r="H1169" t="s">
        <v>3457</v>
      </c>
      <c r="I1169">
        <v>785</v>
      </c>
      <c r="J1169">
        <v>785</v>
      </c>
      <c r="M1169" s="2" t="s">
        <v>1715</v>
      </c>
      <c r="N1169" s="2" t="s">
        <v>1701</v>
      </c>
      <c r="O1169" s="5">
        <v>45412.262962916669</v>
      </c>
      <c r="P1169" t="str">
        <f>IF($Q1169="DELETE",IF($S1169="CONFIRMED: NO MODS &gt; 1YR","CONFIRMED: NO MODS &gt; 1YR","DO NOT DELETE — not defensibly confirmed"),IF($Q1169="HOLD","DO NOT DELETE — HOLD (Charlie review)",IF($Q1169="KEEP","DO NOT DELETE — KEEP",IF(ISNUMBER(SEARCH("REVIEW",$Q1169)),"DO NOT DELETE — REVIEW pending",$S1169))))</f>
        <v>DO NOT DELETE — HOLD (Charlie review)</v>
      </c>
      <c r="Q1169" t="str" cm="1">
        <f t="array" ref="Q1169">_xlfn.IFS(AND($A1169="thg-beauty",ISNUMBER(SEARCH("liveramp",$C1169))),"DELETE",$A1169="agile-bonbon-662",_xlfn.IFS(LEFT($G1169,9)="Tranche 1","DELETE",$C1169="Sessions_Level_1_All_Sites","KEEP",ISNUMBER(--$C1169),"REVIEW — UA raw logs",$C1169="Emag_Reporting","KEEP",$C1169="Nutrition_Data_Archived_Tables","KEEP",$C1169="EU_Data","KEEP",TRUE,"REVIEW"),OR($A1169="thg-influencer",$A1169="thg-ingenuity",$A1169="thg-central-marketing",$A1169="thg-seoclarity"),"HOLD",TRUE,"")</f>
        <v>HOLD</v>
      </c>
      <c r="R1169" t="str" cm="1">
        <f t="array" ref="R1169">_xlfn.IFS(AND($A1169="thg-beauty",ISNUMBER(SEARCH("liveramp",$C1169))),"thg-beauty Liveramp dataset — confirmed safe to delete",$A1169="agile-bonbon-662",_xlfn.IFS(LEFT($G1169,9)="Tranche 1","Tranche 1: cleared",$C1169="Sessions_Level_1_All_Sites","Downstream aggregation of UA raw logs — keep if raw tables go",ISNUMBER(--$C1169),"UA raw site logs (account ID) — keep pending audit-retention check",$C1169="Emag_Reporting","Legacy but likely needed",$C1169="Nutrition_Data_Archived_Tables","Worth keeping",$C1169="EU_Data","Static lookup tables — scripts still reference (smoke-test risk)",TRUE,"Review"),OR($A1169="thg-influencer",$A1169="thg-ingenuity",$A1169="thg-central-marketing",$A1169="thg-seoclarity"),"HOLD — Charlie Stringer to review before deletion",TRUE,"")</f>
        <v>HOLD — Charlie Stringer to review before deletion</v>
      </c>
      <c r="S1169" t="s">
        <v>1624</v>
      </c>
    </row>
    <row r="1170" spans="1:19" hidden="1">
      <c r="A1170" t="s">
        <v>38</v>
      </c>
      <c r="B1170" t="s">
        <v>1619</v>
      </c>
      <c r="C1170" t="s">
        <v>3623</v>
      </c>
      <c r="D1170" s="2" t="s">
        <v>1621</v>
      </c>
      <c r="E1170">
        <v>0.8</v>
      </c>
      <c r="F1170">
        <v>0.02</v>
      </c>
      <c r="G1170" t="s">
        <v>3456</v>
      </c>
      <c r="H1170" t="s">
        <v>3457</v>
      </c>
      <c r="I1170">
        <v>779</v>
      </c>
      <c r="J1170">
        <v>779</v>
      </c>
      <c r="M1170" s="2" t="s">
        <v>1715</v>
      </c>
      <c r="N1170" s="2" t="s">
        <v>1701</v>
      </c>
      <c r="O1170" s="5">
        <v>45418.206335659721</v>
      </c>
      <c r="P1170" t="str">
        <f>IF($Q1170="DELETE",IF($S1170="CONFIRMED: NO MODS &gt; 1YR","CONFIRMED: NO MODS &gt; 1YR","DO NOT DELETE — not defensibly confirmed"),IF($Q1170="HOLD","DO NOT DELETE — HOLD (Charlie review)",IF($Q1170="KEEP","DO NOT DELETE — KEEP",IF(ISNUMBER(SEARCH("REVIEW",$Q1170)),"DO NOT DELETE — REVIEW pending",$S1170))))</f>
        <v>DO NOT DELETE — HOLD (Charlie review)</v>
      </c>
      <c r="Q1170" t="str" cm="1">
        <f t="array" ref="Q1170">_xlfn.IFS(AND($A1170="thg-beauty",ISNUMBER(SEARCH("liveramp",$C1170))),"DELETE",$A1170="agile-bonbon-662",_xlfn.IFS(LEFT($G1170,9)="Tranche 1","DELETE",$C1170="Sessions_Level_1_All_Sites","KEEP",ISNUMBER(--$C1170),"REVIEW — UA raw logs",$C1170="Emag_Reporting","KEEP",$C1170="Nutrition_Data_Archived_Tables","KEEP",$C1170="EU_Data","KEEP",TRUE,"REVIEW"),OR($A1170="thg-influencer",$A1170="thg-ingenuity",$A1170="thg-central-marketing",$A1170="thg-seoclarity"),"HOLD",TRUE,"")</f>
        <v>HOLD</v>
      </c>
      <c r="R1170" t="str" cm="1">
        <f t="array" ref="R1170">_xlfn.IFS(AND($A1170="thg-beauty",ISNUMBER(SEARCH("liveramp",$C1170))),"thg-beauty Liveramp dataset — confirmed safe to delete",$A1170="agile-bonbon-662",_xlfn.IFS(LEFT($G1170,9)="Tranche 1","Tranche 1: cleared",$C1170="Sessions_Level_1_All_Sites","Downstream aggregation of UA raw logs — keep if raw tables go",ISNUMBER(--$C1170),"UA raw site logs (account ID) — keep pending audit-retention check",$C1170="Emag_Reporting","Legacy but likely needed",$C1170="Nutrition_Data_Archived_Tables","Worth keeping",$C1170="EU_Data","Static lookup tables — scripts still reference (smoke-test risk)",TRUE,"Review"),OR($A1170="thg-influencer",$A1170="thg-ingenuity",$A1170="thg-central-marketing",$A1170="thg-seoclarity"),"HOLD — Charlie Stringer to review before deletion",TRUE,"")</f>
        <v>HOLD — Charlie Stringer to review before deletion</v>
      </c>
      <c r="S1170" t="s">
        <v>1624</v>
      </c>
    </row>
    <row r="1171" spans="1:19" hidden="1">
      <c r="A1171" t="s">
        <v>38</v>
      </c>
      <c r="B1171" t="s">
        <v>1619</v>
      </c>
      <c r="C1171" t="s">
        <v>3624</v>
      </c>
      <c r="D1171" s="2" t="s">
        <v>1621</v>
      </c>
      <c r="E1171">
        <v>4.68</v>
      </c>
      <c r="F1171">
        <v>0.09</v>
      </c>
      <c r="G1171" t="s">
        <v>3456</v>
      </c>
      <c r="H1171" t="s">
        <v>3457</v>
      </c>
      <c r="I1171">
        <v>770</v>
      </c>
      <c r="J1171">
        <v>770</v>
      </c>
      <c r="M1171" s="2" t="s">
        <v>1715</v>
      </c>
      <c r="N1171" s="2" t="s">
        <v>1701</v>
      </c>
      <c r="O1171" s="5">
        <v>45427.176145150457</v>
      </c>
      <c r="P1171" t="str">
        <f>IF($Q1171="DELETE",IF($S1171="CONFIRMED: NO MODS &gt; 1YR","CONFIRMED: NO MODS &gt; 1YR","DO NOT DELETE — not defensibly confirmed"),IF($Q1171="HOLD","DO NOT DELETE — HOLD (Charlie review)",IF($Q1171="KEEP","DO NOT DELETE — KEEP",IF(ISNUMBER(SEARCH("REVIEW",$Q1171)),"DO NOT DELETE — REVIEW pending",$S1171))))</f>
        <v>DO NOT DELETE — HOLD (Charlie review)</v>
      </c>
      <c r="Q1171" t="str" cm="1">
        <f t="array" ref="Q1171">_xlfn.IFS(AND($A1171="thg-beauty",ISNUMBER(SEARCH("liveramp",$C1171))),"DELETE",$A1171="agile-bonbon-662",_xlfn.IFS(LEFT($G1171,9)="Tranche 1","DELETE",$C1171="Sessions_Level_1_All_Sites","KEEP",ISNUMBER(--$C1171),"REVIEW — UA raw logs",$C1171="Emag_Reporting","KEEP",$C1171="Nutrition_Data_Archived_Tables","KEEP",$C1171="EU_Data","KEEP",TRUE,"REVIEW"),OR($A1171="thg-influencer",$A1171="thg-ingenuity",$A1171="thg-central-marketing",$A1171="thg-seoclarity"),"HOLD",TRUE,"")</f>
        <v>HOLD</v>
      </c>
      <c r="R1171" t="str" cm="1">
        <f t="array" ref="R1171">_xlfn.IFS(AND($A1171="thg-beauty",ISNUMBER(SEARCH("liveramp",$C1171))),"thg-beauty Liveramp dataset — confirmed safe to delete",$A1171="agile-bonbon-662",_xlfn.IFS(LEFT($G1171,9)="Tranche 1","Tranche 1: cleared",$C1171="Sessions_Level_1_All_Sites","Downstream aggregation of UA raw logs — keep if raw tables go",ISNUMBER(--$C1171),"UA raw site logs (account ID) — keep pending audit-retention check",$C1171="Emag_Reporting","Legacy but likely needed",$C1171="Nutrition_Data_Archived_Tables","Worth keeping",$C1171="EU_Data","Static lookup tables — scripts still reference (smoke-test risk)",TRUE,"Review"),OR($A1171="thg-influencer",$A1171="thg-ingenuity",$A1171="thg-central-marketing",$A1171="thg-seoclarity"),"HOLD — Charlie Stringer to review before deletion",TRUE,"")</f>
        <v>HOLD — Charlie Stringer to review before deletion</v>
      </c>
      <c r="S1171" t="s">
        <v>1624</v>
      </c>
    </row>
    <row r="1172" spans="1:19" hidden="1">
      <c r="A1172" t="s">
        <v>38</v>
      </c>
      <c r="B1172" t="s">
        <v>1619</v>
      </c>
      <c r="C1172" t="s">
        <v>3625</v>
      </c>
      <c r="D1172" s="2" t="s">
        <v>1621</v>
      </c>
      <c r="E1172">
        <v>4.83</v>
      </c>
      <c r="F1172">
        <v>0.1</v>
      </c>
      <c r="G1172" t="s">
        <v>3456</v>
      </c>
      <c r="H1172" t="s">
        <v>3457</v>
      </c>
      <c r="I1172">
        <v>769</v>
      </c>
      <c r="J1172">
        <v>769</v>
      </c>
      <c r="M1172" s="2" t="s">
        <v>1715</v>
      </c>
      <c r="N1172" s="2" t="s">
        <v>1701</v>
      </c>
      <c r="O1172" s="5">
        <v>45428.277063217603</v>
      </c>
      <c r="P1172" t="str">
        <f>IF($Q1172="DELETE",IF($S1172="CONFIRMED: NO MODS &gt; 1YR","CONFIRMED: NO MODS &gt; 1YR","DO NOT DELETE — not defensibly confirmed"),IF($Q1172="HOLD","DO NOT DELETE — HOLD (Charlie review)",IF($Q1172="KEEP","DO NOT DELETE — KEEP",IF(ISNUMBER(SEARCH("REVIEW",$Q1172)),"DO NOT DELETE — REVIEW pending",$S1172))))</f>
        <v>DO NOT DELETE — HOLD (Charlie review)</v>
      </c>
      <c r="Q1172" t="str" cm="1">
        <f t="array" ref="Q1172">_xlfn.IFS(AND($A1172="thg-beauty",ISNUMBER(SEARCH("liveramp",$C1172))),"DELETE",$A1172="agile-bonbon-662",_xlfn.IFS(LEFT($G1172,9)="Tranche 1","DELETE",$C1172="Sessions_Level_1_All_Sites","KEEP",ISNUMBER(--$C1172),"REVIEW — UA raw logs",$C1172="Emag_Reporting","KEEP",$C1172="Nutrition_Data_Archived_Tables","KEEP",$C1172="EU_Data","KEEP",TRUE,"REVIEW"),OR($A1172="thg-influencer",$A1172="thg-ingenuity",$A1172="thg-central-marketing",$A1172="thg-seoclarity"),"HOLD",TRUE,"")</f>
        <v>HOLD</v>
      </c>
      <c r="R1172" t="str" cm="1">
        <f t="array" ref="R1172">_xlfn.IFS(AND($A1172="thg-beauty",ISNUMBER(SEARCH("liveramp",$C1172))),"thg-beauty Liveramp dataset — confirmed safe to delete",$A1172="agile-bonbon-662",_xlfn.IFS(LEFT($G1172,9)="Tranche 1","Tranche 1: cleared",$C1172="Sessions_Level_1_All_Sites","Downstream aggregation of UA raw logs — keep if raw tables go",ISNUMBER(--$C1172),"UA raw site logs (account ID) — keep pending audit-retention check",$C1172="Emag_Reporting","Legacy but likely needed",$C1172="Nutrition_Data_Archived_Tables","Worth keeping",$C1172="EU_Data","Static lookup tables — scripts still reference (smoke-test risk)",TRUE,"Review"),OR($A1172="thg-influencer",$A1172="thg-ingenuity",$A1172="thg-central-marketing",$A1172="thg-seoclarity"),"HOLD — Charlie Stringer to review before deletion",TRUE,"")</f>
        <v>HOLD — Charlie Stringer to review before deletion</v>
      </c>
      <c r="S1172" t="s">
        <v>1624</v>
      </c>
    </row>
    <row r="1173" spans="1:19" hidden="1">
      <c r="A1173" t="s">
        <v>38</v>
      </c>
      <c r="B1173" t="s">
        <v>1619</v>
      </c>
      <c r="C1173" t="s">
        <v>3626</v>
      </c>
      <c r="D1173" s="2" t="s">
        <v>1621</v>
      </c>
      <c r="E1173">
        <v>1.46</v>
      </c>
      <c r="F1173">
        <v>0.03</v>
      </c>
      <c r="G1173" t="s">
        <v>3456</v>
      </c>
      <c r="H1173" t="s">
        <v>3457</v>
      </c>
      <c r="I1173">
        <v>768</v>
      </c>
      <c r="J1173">
        <v>768</v>
      </c>
      <c r="M1173" s="2" t="s">
        <v>1715</v>
      </c>
      <c r="N1173" s="2" t="s">
        <v>1701</v>
      </c>
      <c r="O1173" s="5">
        <v>45429.325390659717</v>
      </c>
      <c r="P1173" t="str">
        <f>IF($Q1173="DELETE",IF($S1173="CONFIRMED: NO MODS &gt; 1YR","CONFIRMED: NO MODS &gt; 1YR","DO NOT DELETE — not defensibly confirmed"),IF($Q1173="HOLD","DO NOT DELETE — HOLD (Charlie review)",IF($Q1173="KEEP","DO NOT DELETE — KEEP",IF(ISNUMBER(SEARCH("REVIEW",$Q1173)),"DO NOT DELETE — REVIEW pending",$S1173))))</f>
        <v>DO NOT DELETE — HOLD (Charlie review)</v>
      </c>
      <c r="Q1173" t="str" cm="1">
        <f t="array" ref="Q1173">_xlfn.IFS(AND($A1173="thg-beauty",ISNUMBER(SEARCH("liveramp",$C1173))),"DELETE",$A1173="agile-bonbon-662",_xlfn.IFS(LEFT($G1173,9)="Tranche 1","DELETE",$C1173="Sessions_Level_1_All_Sites","KEEP",ISNUMBER(--$C1173),"REVIEW — UA raw logs",$C1173="Emag_Reporting","KEEP",$C1173="Nutrition_Data_Archived_Tables","KEEP",$C1173="EU_Data","KEEP",TRUE,"REVIEW"),OR($A1173="thg-influencer",$A1173="thg-ingenuity",$A1173="thg-central-marketing",$A1173="thg-seoclarity"),"HOLD",TRUE,"")</f>
        <v>HOLD</v>
      </c>
      <c r="R1173" t="str" cm="1">
        <f t="array" ref="R1173">_xlfn.IFS(AND($A1173="thg-beauty",ISNUMBER(SEARCH("liveramp",$C1173))),"thg-beauty Liveramp dataset — confirmed safe to delete",$A1173="agile-bonbon-662",_xlfn.IFS(LEFT($G1173,9)="Tranche 1","Tranche 1: cleared",$C1173="Sessions_Level_1_All_Sites","Downstream aggregation of UA raw logs — keep if raw tables go",ISNUMBER(--$C1173),"UA raw site logs (account ID) — keep pending audit-retention check",$C1173="Emag_Reporting","Legacy but likely needed",$C1173="Nutrition_Data_Archived_Tables","Worth keeping",$C1173="EU_Data","Static lookup tables — scripts still reference (smoke-test risk)",TRUE,"Review"),OR($A1173="thg-influencer",$A1173="thg-ingenuity",$A1173="thg-central-marketing",$A1173="thg-seoclarity"),"HOLD — Charlie Stringer to review before deletion",TRUE,"")</f>
        <v>HOLD — Charlie Stringer to review before deletion</v>
      </c>
      <c r="S1173" t="s">
        <v>1624</v>
      </c>
    </row>
    <row r="1174" spans="1:19" hidden="1">
      <c r="A1174" t="s">
        <v>38</v>
      </c>
      <c r="B1174" t="s">
        <v>1619</v>
      </c>
      <c r="C1174" t="s">
        <v>3627</v>
      </c>
      <c r="D1174" s="2" t="s">
        <v>1621</v>
      </c>
      <c r="E1174">
        <v>3.01</v>
      </c>
      <c r="F1174">
        <v>0.06</v>
      </c>
      <c r="G1174" t="s">
        <v>3456</v>
      </c>
      <c r="H1174" t="s">
        <v>3457</v>
      </c>
      <c r="I1174">
        <v>767</v>
      </c>
      <c r="J1174">
        <v>767</v>
      </c>
      <c r="M1174" s="2" t="s">
        <v>1715</v>
      </c>
      <c r="N1174" s="2" t="s">
        <v>1701</v>
      </c>
      <c r="O1174" s="5">
        <v>45430.228315069442</v>
      </c>
      <c r="P1174" t="str">
        <f>IF($Q1174="DELETE",IF($S1174="CONFIRMED: NO MODS &gt; 1YR","CONFIRMED: NO MODS &gt; 1YR","DO NOT DELETE — not defensibly confirmed"),IF($Q1174="HOLD","DO NOT DELETE — HOLD (Charlie review)",IF($Q1174="KEEP","DO NOT DELETE — KEEP",IF(ISNUMBER(SEARCH("REVIEW",$Q1174)),"DO NOT DELETE — REVIEW pending",$S1174))))</f>
        <v>DO NOT DELETE — HOLD (Charlie review)</v>
      </c>
      <c r="Q1174" t="str" cm="1">
        <f t="array" ref="Q1174">_xlfn.IFS(AND($A1174="thg-beauty",ISNUMBER(SEARCH("liveramp",$C1174))),"DELETE",$A1174="agile-bonbon-662",_xlfn.IFS(LEFT($G1174,9)="Tranche 1","DELETE",$C1174="Sessions_Level_1_All_Sites","KEEP",ISNUMBER(--$C1174),"REVIEW — UA raw logs",$C1174="Emag_Reporting","KEEP",$C1174="Nutrition_Data_Archived_Tables","KEEP",$C1174="EU_Data","KEEP",TRUE,"REVIEW"),OR($A1174="thg-influencer",$A1174="thg-ingenuity",$A1174="thg-central-marketing",$A1174="thg-seoclarity"),"HOLD",TRUE,"")</f>
        <v>HOLD</v>
      </c>
      <c r="R1174" t="str" cm="1">
        <f t="array" ref="R1174">_xlfn.IFS(AND($A1174="thg-beauty",ISNUMBER(SEARCH("liveramp",$C1174))),"thg-beauty Liveramp dataset — confirmed safe to delete",$A1174="agile-bonbon-662",_xlfn.IFS(LEFT($G1174,9)="Tranche 1","Tranche 1: cleared",$C1174="Sessions_Level_1_All_Sites","Downstream aggregation of UA raw logs — keep if raw tables go",ISNUMBER(--$C1174),"UA raw site logs (account ID) — keep pending audit-retention check",$C1174="Emag_Reporting","Legacy but likely needed",$C1174="Nutrition_Data_Archived_Tables","Worth keeping",$C1174="EU_Data","Static lookup tables — scripts still reference (smoke-test risk)",TRUE,"Review"),OR($A1174="thg-influencer",$A1174="thg-ingenuity",$A1174="thg-central-marketing",$A1174="thg-seoclarity"),"HOLD — Charlie Stringer to review before deletion",TRUE,"")</f>
        <v>HOLD — Charlie Stringer to review before deletion</v>
      </c>
      <c r="S1174" t="s">
        <v>1624</v>
      </c>
    </row>
    <row r="1175" spans="1:19" hidden="1">
      <c r="A1175" t="s">
        <v>38</v>
      </c>
      <c r="B1175" t="s">
        <v>1619</v>
      </c>
      <c r="C1175" t="s">
        <v>3628</v>
      </c>
      <c r="D1175" s="2" t="s">
        <v>1621</v>
      </c>
      <c r="E1175">
        <v>1.85</v>
      </c>
      <c r="F1175">
        <v>0.04</v>
      </c>
      <c r="G1175" t="s">
        <v>3456</v>
      </c>
      <c r="H1175" t="s">
        <v>3457</v>
      </c>
      <c r="I1175">
        <v>760</v>
      </c>
      <c r="J1175">
        <v>760</v>
      </c>
      <c r="M1175" s="2" t="s">
        <v>1715</v>
      </c>
      <c r="N1175" s="2" t="s">
        <v>1701</v>
      </c>
      <c r="O1175" s="5">
        <v>45436.632069074083</v>
      </c>
      <c r="P1175" t="str">
        <f>IF($Q1175="DELETE",IF($S1175="CONFIRMED: NO MODS &gt; 1YR","CONFIRMED: NO MODS &gt; 1YR","DO NOT DELETE — not defensibly confirmed"),IF($Q1175="HOLD","DO NOT DELETE — HOLD (Charlie review)",IF($Q1175="KEEP","DO NOT DELETE — KEEP",IF(ISNUMBER(SEARCH("REVIEW",$Q1175)),"DO NOT DELETE — REVIEW pending",$S1175))))</f>
        <v>DO NOT DELETE — HOLD (Charlie review)</v>
      </c>
      <c r="Q1175" t="str" cm="1">
        <f t="array" ref="Q1175">_xlfn.IFS(AND($A1175="thg-beauty",ISNUMBER(SEARCH("liveramp",$C1175))),"DELETE",$A1175="agile-bonbon-662",_xlfn.IFS(LEFT($G1175,9)="Tranche 1","DELETE",$C1175="Sessions_Level_1_All_Sites","KEEP",ISNUMBER(--$C1175),"REVIEW — UA raw logs",$C1175="Emag_Reporting","KEEP",$C1175="Nutrition_Data_Archived_Tables","KEEP",$C1175="EU_Data","KEEP",TRUE,"REVIEW"),OR($A1175="thg-influencer",$A1175="thg-ingenuity",$A1175="thg-central-marketing",$A1175="thg-seoclarity"),"HOLD",TRUE,"")</f>
        <v>HOLD</v>
      </c>
      <c r="R1175" t="str" cm="1">
        <f t="array" ref="R1175">_xlfn.IFS(AND($A1175="thg-beauty",ISNUMBER(SEARCH("liveramp",$C1175))),"thg-beauty Liveramp dataset — confirmed safe to delete",$A1175="agile-bonbon-662",_xlfn.IFS(LEFT($G1175,9)="Tranche 1","Tranche 1: cleared",$C1175="Sessions_Level_1_All_Sites","Downstream aggregation of UA raw logs — keep if raw tables go",ISNUMBER(--$C1175),"UA raw site logs (account ID) — keep pending audit-retention check",$C1175="Emag_Reporting","Legacy but likely needed",$C1175="Nutrition_Data_Archived_Tables","Worth keeping",$C1175="EU_Data","Static lookup tables — scripts still reference (smoke-test risk)",TRUE,"Review"),OR($A1175="thg-influencer",$A1175="thg-ingenuity",$A1175="thg-central-marketing",$A1175="thg-seoclarity"),"HOLD — Charlie Stringer to review before deletion",TRUE,"")</f>
        <v>HOLD — Charlie Stringer to review before deletion</v>
      </c>
      <c r="S1175" t="s">
        <v>1624</v>
      </c>
    </row>
    <row r="1176" spans="1:19" hidden="1">
      <c r="A1176" t="s">
        <v>38</v>
      </c>
      <c r="B1176" t="s">
        <v>1619</v>
      </c>
      <c r="C1176" t="s">
        <v>3629</v>
      </c>
      <c r="D1176" s="2" t="s">
        <v>1621</v>
      </c>
      <c r="E1176">
        <v>0.04</v>
      </c>
      <c r="F1176">
        <v>0</v>
      </c>
      <c r="G1176" t="s">
        <v>3456</v>
      </c>
      <c r="H1176" t="s">
        <v>3457</v>
      </c>
      <c r="I1176">
        <v>759</v>
      </c>
      <c r="J1176">
        <v>759</v>
      </c>
      <c r="M1176" s="2" t="s">
        <v>1715</v>
      </c>
      <c r="N1176" s="2" t="s">
        <v>1701</v>
      </c>
      <c r="O1176" s="5">
        <v>45438.338583009259</v>
      </c>
      <c r="P1176" t="str">
        <f>IF($Q1176="DELETE",IF($S1176="CONFIRMED: NO MODS &gt; 1YR","CONFIRMED: NO MODS &gt; 1YR","DO NOT DELETE — not defensibly confirmed"),IF($Q1176="HOLD","DO NOT DELETE — HOLD (Charlie review)",IF($Q1176="KEEP","DO NOT DELETE — KEEP",IF(ISNUMBER(SEARCH("REVIEW",$Q1176)),"DO NOT DELETE — REVIEW pending",$S1176))))</f>
        <v>DO NOT DELETE — HOLD (Charlie review)</v>
      </c>
      <c r="Q1176" t="str" cm="1">
        <f t="array" ref="Q1176">_xlfn.IFS(AND($A1176="thg-beauty",ISNUMBER(SEARCH("liveramp",$C1176))),"DELETE",$A1176="agile-bonbon-662",_xlfn.IFS(LEFT($G1176,9)="Tranche 1","DELETE",$C1176="Sessions_Level_1_All_Sites","KEEP",ISNUMBER(--$C1176),"REVIEW — UA raw logs",$C1176="Emag_Reporting","KEEP",$C1176="Nutrition_Data_Archived_Tables","KEEP",$C1176="EU_Data","KEEP",TRUE,"REVIEW"),OR($A1176="thg-influencer",$A1176="thg-ingenuity",$A1176="thg-central-marketing",$A1176="thg-seoclarity"),"HOLD",TRUE,"")</f>
        <v>HOLD</v>
      </c>
      <c r="R1176" t="str" cm="1">
        <f t="array" ref="R1176">_xlfn.IFS(AND($A1176="thg-beauty",ISNUMBER(SEARCH("liveramp",$C1176))),"thg-beauty Liveramp dataset — confirmed safe to delete",$A1176="agile-bonbon-662",_xlfn.IFS(LEFT($G1176,9)="Tranche 1","Tranche 1: cleared",$C1176="Sessions_Level_1_All_Sites","Downstream aggregation of UA raw logs — keep if raw tables go",ISNUMBER(--$C1176),"UA raw site logs (account ID) — keep pending audit-retention check",$C1176="Emag_Reporting","Legacy but likely needed",$C1176="Nutrition_Data_Archived_Tables","Worth keeping",$C1176="EU_Data","Static lookup tables — scripts still reference (smoke-test risk)",TRUE,"Review"),OR($A1176="thg-influencer",$A1176="thg-ingenuity",$A1176="thg-central-marketing",$A1176="thg-seoclarity"),"HOLD — Charlie Stringer to review before deletion",TRUE,"")</f>
        <v>HOLD — Charlie Stringer to review before deletion</v>
      </c>
      <c r="S1176" t="s">
        <v>1624</v>
      </c>
    </row>
    <row r="1177" spans="1:19" hidden="1">
      <c r="A1177" t="s">
        <v>38</v>
      </c>
      <c r="B1177" t="s">
        <v>1619</v>
      </c>
      <c r="C1177" t="s">
        <v>3630</v>
      </c>
      <c r="D1177" s="2" t="s">
        <v>1621</v>
      </c>
      <c r="E1177">
        <v>0.51</v>
      </c>
      <c r="F1177">
        <v>0.01</v>
      </c>
      <c r="G1177" t="s">
        <v>3456</v>
      </c>
      <c r="H1177" t="s">
        <v>3457</v>
      </c>
      <c r="I1177">
        <v>755</v>
      </c>
      <c r="J1177">
        <v>755</v>
      </c>
      <c r="M1177" s="2" t="s">
        <v>1715</v>
      </c>
      <c r="N1177" s="2" t="s">
        <v>1701</v>
      </c>
      <c r="O1177" s="5">
        <v>45441.633264548611</v>
      </c>
      <c r="P1177" t="str">
        <f>IF($Q1177="DELETE",IF($S1177="CONFIRMED: NO MODS &gt; 1YR","CONFIRMED: NO MODS &gt; 1YR","DO NOT DELETE — not defensibly confirmed"),IF($Q1177="HOLD","DO NOT DELETE — HOLD (Charlie review)",IF($Q1177="KEEP","DO NOT DELETE — KEEP",IF(ISNUMBER(SEARCH("REVIEW",$Q1177)),"DO NOT DELETE — REVIEW pending",$S1177))))</f>
        <v>DO NOT DELETE — HOLD (Charlie review)</v>
      </c>
      <c r="Q1177" t="str" cm="1">
        <f t="array" ref="Q1177">_xlfn.IFS(AND($A1177="thg-beauty",ISNUMBER(SEARCH("liveramp",$C1177))),"DELETE",$A1177="agile-bonbon-662",_xlfn.IFS(LEFT($G1177,9)="Tranche 1","DELETE",$C1177="Sessions_Level_1_All_Sites","KEEP",ISNUMBER(--$C1177),"REVIEW — UA raw logs",$C1177="Emag_Reporting","KEEP",$C1177="Nutrition_Data_Archived_Tables","KEEP",$C1177="EU_Data","KEEP",TRUE,"REVIEW"),OR($A1177="thg-influencer",$A1177="thg-ingenuity",$A1177="thg-central-marketing",$A1177="thg-seoclarity"),"HOLD",TRUE,"")</f>
        <v>HOLD</v>
      </c>
      <c r="R1177" t="str" cm="1">
        <f t="array" ref="R1177">_xlfn.IFS(AND($A1177="thg-beauty",ISNUMBER(SEARCH("liveramp",$C1177))),"thg-beauty Liveramp dataset — confirmed safe to delete",$A1177="agile-bonbon-662",_xlfn.IFS(LEFT($G1177,9)="Tranche 1","Tranche 1: cleared",$C1177="Sessions_Level_1_All_Sites","Downstream aggregation of UA raw logs — keep if raw tables go",ISNUMBER(--$C1177),"UA raw site logs (account ID) — keep pending audit-retention check",$C1177="Emag_Reporting","Legacy but likely needed",$C1177="Nutrition_Data_Archived_Tables","Worth keeping",$C1177="EU_Data","Static lookup tables — scripts still reference (smoke-test risk)",TRUE,"Review"),OR($A1177="thg-influencer",$A1177="thg-ingenuity",$A1177="thg-central-marketing",$A1177="thg-seoclarity"),"HOLD — Charlie Stringer to review before deletion",TRUE,"")</f>
        <v>HOLD — Charlie Stringer to review before deletion</v>
      </c>
      <c r="S1177" t="s">
        <v>1624</v>
      </c>
    </row>
    <row r="1178" spans="1:19" hidden="1">
      <c r="A1178" t="s">
        <v>38</v>
      </c>
      <c r="B1178" t="s">
        <v>1619</v>
      </c>
      <c r="C1178" t="s">
        <v>3631</v>
      </c>
      <c r="D1178" s="2" t="s">
        <v>1621</v>
      </c>
      <c r="E1178">
        <v>0.19</v>
      </c>
      <c r="F1178">
        <v>0</v>
      </c>
      <c r="G1178" t="s">
        <v>3456</v>
      </c>
      <c r="H1178" t="s">
        <v>3457</v>
      </c>
      <c r="I1178">
        <v>755</v>
      </c>
      <c r="J1178">
        <v>755</v>
      </c>
      <c r="M1178" s="2" t="s">
        <v>1715</v>
      </c>
      <c r="N1178" s="2" t="s">
        <v>1701</v>
      </c>
      <c r="O1178" s="5">
        <v>45442.301188773148</v>
      </c>
      <c r="P1178" t="str">
        <f>IF($Q1178="DELETE",IF($S1178="CONFIRMED: NO MODS &gt; 1YR","CONFIRMED: NO MODS &gt; 1YR","DO NOT DELETE — not defensibly confirmed"),IF($Q1178="HOLD","DO NOT DELETE — HOLD (Charlie review)",IF($Q1178="KEEP","DO NOT DELETE — KEEP",IF(ISNUMBER(SEARCH("REVIEW",$Q1178)),"DO NOT DELETE — REVIEW pending",$S1178))))</f>
        <v>DO NOT DELETE — HOLD (Charlie review)</v>
      </c>
      <c r="Q1178" t="str" cm="1">
        <f t="array" ref="Q1178">_xlfn.IFS(AND($A1178="thg-beauty",ISNUMBER(SEARCH("liveramp",$C1178))),"DELETE",$A1178="agile-bonbon-662",_xlfn.IFS(LEFT($G1178,9)="Tranche 1","DELETE",$C1178="Sessions_Level_1_All_Sites","KEEP",ISNUMBER(--$C1178),"REVIEW — UA raw logs",$C1178="Emag_Reporting","KEEP",$C1178="Nutrition_Data_Archived_Tables","KEEP",$C1178="EU_Data","KEEP",TRUE,"REVIEW"),OR($A1178="thg-influencer",$A1178="thg-ingenuity",$A1178="thg-central-marketing",$A1178="thg-seoclarity"),"HOLD",TRUE,"")</f>
        <v>HOLD</v>
      </c>
      <c r="R1178" t="str" cm="1">
        <f t="array" ref="R1178">_xlfn.IFS(AND($A1178="thg-beauty",ISNUMBER(SEARCH("liveramp",$C1178))),"thg-beauty Liveramp dataset — confirmed safe to delete",$A1178="agile-bonbon-662",_xlfn.IFS(LEFT($G1178,9)="Tranche 1","Tranche 1: cleared",$C1178="Sessions_Level_1_All_Sites","Downstream aggregation of UA raw logs — keep if raw tables go",ISNUMBER(--$C1178),"UA raw site logs (account ID) — keep pending audit-retention check",$C1178="Emag_Reporting","Legacy but likely needed",$C1178="Nutrition_Data_Archived_Tables","Worth keeping",$C1178="EU_Data","Static lookup tables — scripts still reference (smoke-test risk)",TRUE,"Review"),OR($A1178="thg-influencer",$A1178="thg-ingenuity",$A1178="thg-central-marketing",$A1178="thg-seoclarity"),"HOLD — Charlie Stringer to review before deletion",TRUE,"")</f>
        <v>HOLD — Charlie Stringer to review before deletion</v>
      </c>
      <c r="S1178" t="s">
        <v>1624</v>
      </c>
    </row>
    <row r="1179" spans="1:19" hidden="1">
      <c r="A1179" t="s">
        <v>38</v>
      </c>
      <c r="B1179" t="s">
        <v>1619</v>
      </c>
      <c r="C1179" t="s">
        <v>3632</v>
      </c>
      <c r="D1179" s="2" t="s">
        <v>1621</v>
      </c>
      <c r="E1179">
        <v>0.16</v>
      </c>
      <c r="F1179">
        <v>0</v>
      </c>
      <c r="G1179" t="s">
        <v>3456</v>
      </c>
      <c r="H1179" t="s">
        <v>3457</v>
      </c>
      <c r="I1179">
        <v>755</v>
      </c>
      <c r="J1179">
        <v>755</v>
      </c>
      <c r="M1179" s="2" t="s">
        <v>1715</v>
      </c>
      <c r="N1179" s="2" t="s">
        <v>1701</v>
      </c>
      <c r="O1179" s="5">
        <v>45442.30117859954</v>
      </c>
      <c r="P1179" t="str">
        <f>IF($Q1179="DELETE",IF($S1179="CONFIRMED: NO MODS &gt; 1YR","CONFIRMED: NO MODS &gt; 1YR","DO NOT DELETE — not defensibly confirmed"),IF($Q1179="HOLD","DO NOT DELETE — HOLD (Charlie review)",IF($Q1179="KEEP","DO NOT DELETE — KEEP",IF(ISNUMBER(SEARCH("REVIEW",$Q1179)),"DO NOT DELETE — REVIEW pending",$S1179))))</f>
        <v>DO NOT DELETE — HOLD (Charlie review)</v>
      </c>
      <c r="Q1179" t="str" cm="1">
        <f t="array" ref="Q1179">_xlfn.IFS(AND($A1179="thg-beauty",ISNUMBER(SEARCH("liveramp",$C1179))),"DELETE",$A1179="agile-bonbon-662",_xlfn.IFS(LEFT($G1179,9)="Tranche 1","DELETE",$C1179="Sessions_Level_1_All_Sites","KEEP",ISNUMBER(--$C1179),"REVIEW — UA raw logs",$C1179="Emag_Reporting","KEEP",$C1179="Nutrition_Data_Archived_Tables","KEEP",$C1179="EU_Data","KEEP",TRUE,"REVIEW"),OR($A1179="thg-influencer",$A1179="thg-ingenuity",$A1179="thg-central-marketing",$A1179="thg-seoclarity"),"HOLD",TRUE,"")</f>
        <v>HOLD</v>
      </c>
      <c r="R1179" t="str" cm="1">
        <f t="array" ref="R1179">_xlfn.IFS(AND($A1179="thg-beauty",ISNUMBER(SEARCH("liveramp",$C1179))),"thg-beauty Liveramp dataset — confirmed safe to delete",$A1179="agile-bonbon-662",_xlfn.IFS(LEFT($G1179,9)="Tranche 1","Tranche 1: cleared",$C1179="Sessions_Level_1_All_Sites","Downstream aggregation of UA raw logs — keep if raw tables go",ISNUMBER(--$C1179),"UA raw site logs (account ID) — keep pending audit-retention check",$C1179="Emag_Reporting","Legacy but likely needed",$C1179="Nutrition_Data_Archived_Tables","Worth keeping",$C1179="EU_Data","Static lookup tables — scripts still reference (smoke-test risk)",TRUE,"Review"),OR($A1179="thg-influencer",$A1179="thg-ingenuity",$A1179="thg-central-marketing",$A1179="thg-seoclarity"),"HOLD — Charlie Stringer to review before deletion",TRUE,"")</f>
        <v>HOLD — Charlie Stringer to review before deletion</v>
      </c>
      <c r="S1179" t="s">
        <v>1624</v>
      </c>
    </row>
    <row r="1180" spans="1:19" hidden="1">
      <c r="A1180" t="s">
        <v>38</v>
      </c>
      <c r="B1180" t="s">
        <v>1619</v>
      </c>
      <c r="C1180" t="s">
        <v>3633</v>
      </c>
      <c r="D1180" s="2" t="s">
        <v>1621</v>
      </c>
      <c r="E1180">
        <v>0.02</v>
      </c>
      <c r="F1180">
        <v>0</v>
      </c>
      <c r="G1180" t="s">
        <v>3456</v>
      </c>
      <c r="H1180" t="s">
        <v>3457</v>
      </c>
      <c r="I1180">
        <v>755</v>
      </c>
      <c r="J1180">
        <v>755</v>
      </c>
      <c r="M1180" s="2" t="s">
        <v>1715</v>
      </c>
      <c r="N1180" s="2" t="s">
        <v>1701</v>
      </c>
      <c r="O1180" s="5">
        <v>45442.301168668979</v>
      </c>
      <c r="P1180" t="str">
        <f>IF($Q1180="DELETE",IF($S1180="CONFIRMED: NO MODS &gt; 1YR","CONFIRMED: NO MODS &gt; 1YR","DO NOT DELETE — not defensibly confirmed"),IF($Q1180="HOLD","DO NOT DELETE — HOLD (Charlie review)",IF($Q1180="KEEP","DO NOT DELETE — KEEP",IF(ISNUMBER(SEARCH("REVIEW",$Q1180)),"DO NOT DELETE — REVIEW pending",$S1180))))</f>
        <v>DO NOT DELETE — HOLD (Charlie review)</v>
      </c>
      <c r="Q1180" t="str" cm="1">
        <f t="array" ref="Q1180">_xlfn.IFS(AND($A1180="thg-beauty",ISNUMBER(SEARCH("liveramp",$C1180))),"DELETE",$A1180="agile-bonbon-662",_xlfn.IFS(LEFT($G1180,9)="Tranche 1","DELETE",$C1180="Sessions_Level_1_All_Sites","KEEP",ISNUMBER(--$C1180),"REVIEW — UA raw logs",$C1180="Emag_Reporting","KEEP",$C1180="Nutrition_Data_Archived_Tables","KEEP",$C1180="EU_Data","KEEP",TRUE,"REVIEW"),OR($A1180="thg-influencer",$A1180="thg-ingenuity",$A1180="thg-central-marketing",$A1180="thg-seoclarity"),"HOLD",TRUE,"")</f>
        <v>HOLD</v>
      </c>
      <c r="R1180" t="str" cm="1">
        <f t="array" ref="R1180">_xlfn.IFS(AND($A1180="thg-beauty",ISNUMBER(SEARCH("liveramp",$C1180))),"thg-beauty Liveramp dataset — confirmed safe to delete",$A1180="agile-bonbon-662",_xlfn.IFS(LEFT($G1180,9)="Tranche 1","Tranche 1: cleared",$C1180="Sessions_Level_1_All_Sites","Downstream aggregation of UA raw logs — keep if raw tables go",ISNUMBER(--$C1180),"UA raw site logs (account ID) — keep pending audit-retention check",$C1180="Emag_Reporting","Legacy but likely needed",$C1180="Nutrition_Data_Archived_Tables","Worth keeping",$C1180="EU_Data","Static lookup tables — scripts still reference (smoke-test risk)",TRUE,"Review"),OR($A1180="thg-influencer",$A1180="thg-ingenuity",$A1180="thg-central-marketing",$A1180="thg-seoclarity"),"HOLD — Charlie Stringer to review before deletion",TRUE,"")</f>
        <v>HOLD — Charlie Stringer to review before deletion</v>
      </c>
      <c r="S1180" t="s">
        <v>1624</v>
      </c>
    </row>
    <row r="1181" spans="1:19" hidden="1">
      <c r="A1181" t="s">
        <v>38</v>
      </c>
      <c r="B1181" t="s">
        <v>1619</v>
      </c>
      <c r="C1181" t="s">
        <v>3634</v>
      </c>
      <c r="D1181" s="2" t="s">
        <v>1621</v>
      </c>
      <c r="E1181">
        <v>0.51</v>
      </c>
      <c r="F1181">
        <v>0.01</v>
      </c>
      <c r="G1181" t="s">
        <v>3456</v>
      </c>
      <c r="H1181" t="s">
        <v>3457</v>
      </c>
      <c r="I1181">
        <v>754</v>
      </c>
      <c r="J1181">
        <v>754</v>
      </c>
      <c r="M1181" s="2" t="s">
        <v>1715</v>
      </c>
      <c r="N1181" s="2" t="s">
        <v>1701</v>
      </c>
      <c r="O1181" s="5">
        <v>45443.241424618063</v>
      </c>
      <c r="P1181" t="str">
        <f>IF($Q1181="DELETE",IF($S1181="CONFIRMED: NO MODS &gt; 1YR","CONFIRMED: NO MODS &gt; 1YR","DO NOT DELETE — not defensibly confirmed"),IF($Q1181="HOLD","DO NOT DELETE — HOLD (Charlie review)",IF($Q1181="KEEP","DO NOT DELETE — KEEP",IF(ISNUMBER(SEARCH("REVIEW",$Q1181)),"DO NOT DELETE — REVIEW pending",$S1181))))</f>
        <v>DO NOT DELETE — HOLD (Charlie review)</v>
      </c>
      <c r="Q1181" t="str" cm="1">
        <f t="array" ref="Q1181">_xlfn.IFS(AND($A1181="thg-beauty",ISNUMBER(SEARCH("liveramp",$C1181))),"DELETE",$A1181="agile-bonbon-662",_xlfn.IFS(LEFT($G1181,9)="Tranche 1","DELETE",$C1181="Sessions_Level_1_All_Sites","KEEP",ISNUMBER(--$C1181),"REVIEW — UA raw logs",$C1181="Emag_Reporting","KEEP",$C1181="Nutrition_Data_Archived_Tables","KEEP",$C1181="EU_Data","KEEP",TRUE,"REVIEW"),OR($A1181="thg-influencer",$A1181="thg-ingenuity",$A1181="thg-central-marketing",$A1181="thg-seoclarity"),"HOLD",TRUE,"")</f>
        <v>HOLD</v>
      </c>
      <c r="R1181" t="str" cm="1">
        <f t="array" ref="R1181">_xlfn.IFS(AND($A1181="thg-beauty",ISNUMBER(SEARCH("liveramp",$C1181))),"thg-beauty Liveramp dataset — confirmed safe to delete",$A1181="agile-bonbon-662",_xlfn.IFS(LEFT($G1181,9)="Tranche 1","Tranche 1: cleared",$C1181="Sessions_Level_1_All_Sites","Downstream aggregation of UA raw logs — keep if raw tables go",ISNUMBER(--$C1181),"UA raw site logs (account ID) — keep pending audit-retention check",$C1181="Emag_Reporting","Legacy but likely needed",$C1181="Nutrition_Data_Archived_Tables","Worth keeping",$C1181="EU_Data","Static lookup tables — scripts still reference (smoke-test risk)",TRUE,"Review"),OR($A1181="thg-influencer",$A1181="thg-ingenuity",$A1181="thg-central-marketing",$A1181="thg-seoclarity"),"HOLD — Charlie Stringer to review before deletion",TRUE,"")</f>
        <v>HOLD — Charlie Stringer to review before deletion</v>
      </c>
      <c r="S1181" t="s">
        <v>1624</v>
      </c>
    </row>
    <row r="1182" spans="1:19" hidden="1">
      <c r="A1182" t="s">
        <v>38</v>
      </c>
      <c r="B1182" t="s">
        <v>1619</v>
      </c>
      <c r="C1182" t="s">
        <v>3635</v>
      </c>
      <c r="D1182" s="2" t="s">
        <v>1621</v>
      </c>
      <c r="E1182">
        <v>0.12</v>
      </c>
      <c r="F1182">
        <v>0</v>
      </c>
      <c r="G1182" t="s">
        <v>3456</v>
      </c>
      <c r="H1182" t="s">
        <v>3457</v>
      </c>
      <c r="I1182">
        <v>754</v>
      </c>
      <c r="J1182">
        <v>754</v>
      </c>
      <c r="M1182" s="2" t="s">
        <v>1715</v>
      </c>
      <c r="N1182" s="2" t="s">
        <v>1701</v>
      </c>
      <c r="O1182" s="5">
        <v>45443.276401388888</v>
      </c>
      <c r="P1182" t="str">
        <f>IF($Q1182="DELETE",IF($S1182="CONFIRMED: NO MODS &gt; 1YR","CONFIRMED: NO MODS &gt; 1YR","DO NOT DELETE — not defensibly confirmed"),IF($Q1182="HOLD","DO NOT DELETE — HOLD (Charlie review)",IF($Q1182="KEEP","DO NOT DELETE — KEEP",IF(ISNUMBER(SEARCH("REVIEW",$Q1182)),"DO NOT DELETE — REVIEW pending",$S1182))))</f>
        <v>DO NOT DELETE — HOLD (Charlie review)</v>
      </c>
      <c r="Q1182" t="str" cm="1">
        <f t="array" ref="Q1182">_xlfn.IFS(AND($A1182="thg-beauty",ISNUMBER(SEARCH("liveramp",$C1182))),"DELETE",$A1182="agile-bonbon-662",_xlfn.IFS(LEFT($G1182,9)="Tranche 1","DELETE",$C1182="Sessions_Level_1_All_Sites","KEEP",ISNUMBER(--$C1182),"REVIEW — UA raw logs",$C1182="Emag_Reporting","KEEP",$C1182="Nutrition_Data_Archived_Tables","KEEP",$C1182="EU_Data","KEEP",TRUE,"REVIEW"),OR($A1182="thg-influencer",$A1182="thg-ingenuity",$A1182="thg-central-marketing",$A1182="thg-seoclarity"),"HOLD",TRUE,"")</f>
        <v>HOLD</v>
      </c>
      <c r="R1182" t="str" cm="1">
        <f t="array" ref="R1182">_xlfn.IFS(AND($A1182="thg-beauty",ISNUMBER(SEARCH("liveramp",$C1182))),"thg-beauty Liveramp dataset — confirmed safe to delete",$A1182="agile-bonbon-662",_xlfn.IFS(LEFT($G1182,9)="Tranche 1","Tranche 1: cleared",$C1182="Sessions_Level_1_All_Sites","Downstream aggregation of UA raw logs — keep if raw tables go",ISNUMBER(--$C1182),"UA raw site logs (account ID) — keep pending audit-retention check",$C1182="Emag_Reporting","Legacy but likely needed",$C1182="Nutrition_Data_Archived_Tables","Worth keeping",$C1182="EU_Data","Static lookup tables — scripts still reference (smoke-test risk)",TRUE,"Review"),OR($A1182="thg-influencer",$A1182="thg-ingenuity",$A1182="thg-central-marketing",$A1182="thg-seoclarity"),"HOLD — Charlie Stringer to review before deletion",TRUE,"")</f>
        <v>HOLD — Charlie Stringer to review before deletion</v>
      </c>
      <c r="S1182" t="s">
        <v>1624</v>
      </c>
    </row>
    <row r="1183" spans="1:19" hidden="1">
      <c r="A1183" t="s">
        <v>38</v>
      </c>
      <c r="B1183" t="s">
        <v>1619</v>
      </c>
      <c r="C1183" t="s">
        <v>3636</v>
      </c>
      <c r="D1183" s="2" t="s">
        <v>1621</v>
      </c>
      <c r="E1183">
        <v>2.13</v>
      </c>
      <c r="F1183">
        <v>0.04</v>
      </c>
      <c r="G1183" t="s">
        <v>3456</v>
      </c>
      <c r="H1183" t="s">
        <v>3457</v>
      </c>
      <c r="I1183">
        <v>750</v>
      </c>
      <c r="J1183">
        <v>750</v>
      </c>
      <c r="M1183" s="2" t="s">
        <v>1715</v>
      </c>
      <c r="N1183" s="2" t="s">
        <v>1701</v>
      </c>
      <c r="O1183" s="5">
        <v>45447.382795613426</v>
      </c>
      <c r="P1183" t="str">
        <f>IF($Q1183="DELETE",IF($S1183="CONFIRMED: NO MODS &gt; 1YR","CONFIRMED: NO MODS &gt; 1YR","DO NOT DELETE — not defensibly confirmed"),IF($Q1183="HOLD","DO NOT DELETE — HOLD (Charlie review)",IF($Q1183="KEEP","DO NOT DELETE — KEEP",IF(ISNUMBER(SEARCH("REVIEW",$Q1183)),"DO NOT DELETE — REVIEW pending",$S1183))))</f>
        <v>DO NOT DELETE — HOLD (Charlie review)</v>
      </c>
      <c r="Q1183" t="str" cm="1">
        <f t="array" ref="Q1183">_xlfn.IFS(AND($A1183="thg-beauty",ISNUMBER(SEARCH("liveramp",$C1183))),"DELETE",$A1183="agile-bonbon-662",_xlfn.IFS(LEFT($G1183,9)="Tranche 1","DELETE",$C1183="Sessions_Level_1_All_Sites","KEEP",ISNUMBER(--$C1183),"REVIEW — UA raw logs",$C1183="Emag_Reporting","KEEP",$C1183="Nutrition_Data_Archived_Tables","KEEP",$C1183="EU_Data","KEEP",TRUE,"REVIEW"),OR($A1183="thg-influencer",$A1183="thg-ingenuity",$A1183="thg-central-marketing",$A1183="thg-seoclarity"),"HOLD",TRUE,"")</f>
        <v>HOLD</v>
      </c>
      <c r="R1183" t="str" cm="1">
        <f t="array" ref="R1183">_xlfn.IFS(AND($A1183="thg-beauty",ISNUMBER(SEARCH("liveramp",$C1183))),"thg-beauty Liveramp dataset — confirmed safe to delete",$A1183="agile-bonbon-662",_xlfn.IFS(LEFT($G1183,9)="Tranche 1","Tranche 1: cleared",$C1183="Sessions_Level_1_All_Sites","Downstream aggregation of UA raw logs — keep if raw tables go",ISNUMBER(--$C1183),"UA raw site logs (account ID) — keep pending audit-retention check",$C1183="Emag_Reporting","Legacy but likely needed",$C1183="Nutrition_Data_Archived_Tables","Worth keeping",$C1183="EU_Data","Static lookup tables — scripts still reference (smoke-test risk)",TRUE,"Review"),OR($A1183="thg-influencer",$A1183="thg-ingenuity",$A1183="thg-central-marketing",$A1183="thg-seoclarity"),"HOLD — Charlie Stringer to review before deletion",TRUE,"")</f>
        <v>HOLD — Charlie Stringer to review before deletion</v>
      </c>
      <c r="S1183" t="s">
        <v>1624</v>
      </c>
    </row>
    <row r="1184" spans="1:19" hidden="1">
      <c r="A1184" t="s">
        <v>38</v>
      </c>
      <c r="B1184" t="s">
        <v>1619</v>
      </c>
      <c r="C1184" t="s">
        <v>3637</v>
      </c>
      <c r="D1184" s="2" t="s">
        <v>1621</v>
      </c>
      <c r="E1184">
        <v>0.05</v>
      </c>
      <c r="F1184">
        <v>0</v>
      </c>
      <c r="G1184" t="s">
        <v>3456</v>
      </c>
      <c r="H1184" t="s">
        <v>3457</v>
      </c>
      <c r="I1184">
        <v>750</v>
      </c>
      <c r="J1184">
        <v>750</v>
      </c>
      <c r="M1184" s="2" t="s">
        <v>1715</v>
      </c>
      <c r="N1184" s="2" t="s">
        <v>1701</v>
      </c>
      <c r="O1184" s="5">
        <v>45447.281207928238</v>
      </c>
      <c r="P1184" t="str">
        <f>IF($Q1184="DELETE",IF($S1184="CONFIRMED: NO MODS &gt; 1YR","CONFIRMED: NO MODS &gt; 1YR","DO NOT DELETE — not defensibly confirmed"),IF($Q1184="HOLD","DO NOT DELETE — HOLD (Charlie review)",IF($Q1184="KEEP","DO NOT DELETE — KEEP",IF(ISNUMBER(SEARCH("REVIEW",$Q1184)),"DO NOT DELETE — REVIEW pending",$S1184))))</f>
        <v>DO NOT DELETE — HOLD (Charlie review)</v>
      </c>
      <c r="Q1184" t="str" cm="1">
        <f t="array" ref="Q1184">_xlfn.IFS(AND($A1184="thg-beauty",ISNUMBER(SEARCH("liveramp",$C1184))),"DELETE",$A1184="agile-bonbon-662",_xlfn.IFS(LEFT($G1184,9)="Tranche 1","DELETE",$C1184="Sessions_Level_1_All_Sites","KEEP",ISNUMBER(--$C1184),"REVIEW — UA raw logs",$C1184="Emag_Reporting","KEEP",$C1184="Nutrition_Data_Archived_Tables","KEEP",$C1184="EU_Data","KEEP",TRUE,"REVIEW"),OR($A1184="thg-influencer",$A1184="thg-ingenuity",$A1184="thg-central-marketing",$A1184="thg-seoclarity"),"HOLD",TRUE,"")</f>
        <v>HOLD</v>
      </c>
      <c r="R1184" t="str" cm="1">
        <f t="array" ref="R1184">_xlfn.IFS(AND($A1184="thg-beauty",ISNUMBER(SEARCH("liveramp",$C1184))),"thg-beauty Liveramp dataset — confirmed safe to delete",$A1184="agile-bonbon-662",_xlfn.IFS(LEFT($G1184,9)="Tranche 1","Tranche 1: cleared",$C1184="Sessions_Level_1_All_Sites","Downstream aggregation of UA raw logs — keep if raw tables go",ISNUMBER(--$C1184),"UA raw site logs (account ID) — keep pending audit-retention check",$C1184="Emag_Reporting","Legacy but likely needed",$C1184="Nutrition_Data_Archived_Tables","Worth keeping",$C1184="EU_Data","Static lookup tables — scripts still reference (smoke-test risk)",TRUE,"Review"),OR($A1184="thg-influencer",$A1184="thg-ingenuity",$A1184="thg-central-marketing",$A1184="thg-seoclarity"),"HOLD — Charlie Stringer to review before deletion",TRUE,"")</f>
        <v>HOLD — Charlie Stringer to review before deletion</v>
      </c>
      <c r="S1184" t="s">
        <v>1624</v>
      </c>
    </row>
    <row r="1185" spans="1:19" hidden="1">
      <c r="A1185" t="s">
        <v>38</v>
      </c>
      <c r="B1185" t="s">
        <v>1619</v>
      </c>
      <c r="C1185" t="s">
        <v>3638</v>
      </c>
      <c r="D1185" s="2" t="s">
        <v>1621</v>
      </c>
      <c r="E1185">
        <v>4.0999999999999996</v>
      </c>
      <c r="F1185">
        <v>0.08</v>
      </c>
      <c r="G1185" t="s">
        <v>3456</v>
      </c>
      <c r="H1185" t="s">
        <v>3457</v>
      </c>
      <c r="I1185">
        <v>749</v>
      </c>
      <c r="J1185">
        <v>749</v>
      </c>
      <c r="M1185" s="2" t="s">
        <v>1715</v>
      </c>
      <c r="N1185" s="2" t="s">
        <v>1701</v>
      </c>
      <c r="O1185" s="5">
        <v>45448.275415173608</v>
      </c>
      <c r="P1185" t="str">
        <f>IF($Q1185="DELETE",IF($S1185="CONFIRMED: NO MODS &gt; 1YR","CONFIRMED: NO MODS &gt; 1YR","DO NOT DELETE — not defensibly confirmed"),IF($Q1185="HOLD","DO NOT DELETE — HOLD (Charlie review)",IF($Q1185="KEEP","DO NOT DELETE — KEEP",IF(ISNUMBER(SEARCH("REVIEW",$Q1185)),"DO NOT DELETE — REVIEW pending",$S1185))))</f>
        <v>DO NOT DELETE — HOLD (Charlie review)</v>
      </c>
      <c r="Q1185" t="str" cm="1">
        <f t="array" ref="Q1185">_xlfn.IFS(AND($A1185="thg-beauty",ISNUMBER(SEARCH("liveramp",$C1185))),"DELETE",$A1185="agile-bonbon-662",_xlfn.IFS(LEFT($G1185,9)="Tranche 1","DELETE",$C1185="Sessions_Level_1_All_Sites","KEEP",ISNUMBER(--$C1185),"REVIEW — UA raw logs",$C1185="Emag_Reporting","KEEP",$C1185="Nutrition_Data_Archived_Tables","KEEP",$C1185="EU_Data","KEEP",TRUE,"REVIEW"),OR($A1185="thg-influencer",$A1185="thg-ingenuity",$A1185="thg-central-marketing",$A1185="thg-seoclarity"),"HOLD",TRUE,"")</f>
        <v>HOLD</v>
      </c>
      <c r="R1185" t="str" cm="1">
        <f t="array" ref="R1185">_xlfn.IFS(AND($A1185="thg-beauty",ISNUMBER(SEARCH("liveramp",$C1185))),"thg-beauty Liveramp dataset — confirmed safe to delete",$A1185="agile-bonbon-662",_xlfn.IFS(LEFT($G1185,9)="Tranche 1","Tranche 1: cleared",$C1185="Sessions_Level_1_All_Sites","Downstream aggregation of UA raw logs — keep if raw tables go",ISNUMBER(--$C1185),"UA raw site logs (account ID) — keep pending audit-retention check",$C1185="Emag_Reporting","Legacy but likely needed",$C1185="Nutrition_Data_Archived_Tables","Worth keeping",$C1185="EU_Data","Static lookup tables — scripts still reference (smoke-test risk)",TRUE,"Review"),OR($A1185="thg-influencer",$A1185="thg-ingenuity",$A1185="thg-central-marketing",$A1185="thg-seoclarity"),"HOLD — Charlie Stringer to review before deletion",TRUE,"")</f>
        <v>HOLD — Charlie Stringer to review before deletion</v>
      </c>
      <c r="S1185" t="s">
        <v>1624</v>
      </c>
    </row>
    <row r="1186" spans="1:19" hidden="1">
      <c r="A1186" t="s">
        <v>38</v>
      </c>
      <c r="B1186" t="s">
        <v>1619</v>
      </c>
      <c r="C1186" t="s">
        <v>3639</v>
      </c>
      <c r="D1186" s="2" t="s">
        <v>1621</v>
      </c>
      <c r="E1186">
        <v>2.88</v>
      </c>
      <c r="F1186">
        <v>0.06</v>
      </c>
      <c r="G1186" t="s">
        <v>3456</v>
      </c>
      <c r="H1186" t="s">
        <v>3457</v>
      </c>
      <c r="I1186">
        <v>749</v>
      </c>
      <c r="J1186">
        <v>749</v>
      </c>
      <c r="M1186" s="2" t="s">
        <v>1715</v>
      </c>
      <c r="N1186" s="2" t="s">
        <v>1701</v>
      </c>
      <c r="O1186" s="5">
        <v>45448.275041724541</v>
      </c>
      <c r="P1186" t="str">
        <f>IF($Q1186="DELETE",IF($S1186="CONFIRMED: NO MODS &gt; 1YR","CONFIRMED: NO MODS &gt; 1YR","DO NOT DELETE — not defensibly confirmed"),IF($Q1186="HOLD","DO NOT DELETE — HOLD (Charlie review)",IF($Q1186="KEEP","DO NOT DELETE — KEEP",IF(ISNUMBER(SEARCH("REVIEW",$Q1186)),"DO NOT DELETE — REVIEW pending",$S1186))))</f>
        <v>DO NOT DELETE — HOLD (Charlie review)</v>
      </c>
      <c r="Q1186" t="str" cm="1">
        <f t="array" ref="Q1186">_xlfn.IFS(AND($A1186="thg-beauty",ISNUMBER(SEARCH("liveramp",$C1186))),"DELETE",$A1186="agile-bonbon-662",_xlfn.IFS(LEFT($G1186,9)="Tranche 1","DELETE",$C1186="Sessions_Level_1_All_Sites","KEEP",ISNUMBER(--$C1186),"REVIEW — UA raw logs",$C1186="Emag_Reporting","KEEP",$C1186="Nutrition_Data_Archived_Tables","KEEP",$C1186="EU_Data","KEEP",TRUE,"REVIEW"),OR($A1186="thg-influencer",$A1186="thg-ingenuity",$A1186="thg-central-marketing",$A1186="thg-seoclarity"),"HOLD",TRUE,"")</f>
        <v>HOLD</v>
      </c>
      <c r="R1186" t="str" cm="1">
        <f t="array" ref="R1186">_xlfn.IFS(AND($A1186="thg-beauty",ISNUMBER(SEARCH("liveramp",$C1186))),"thg-beauty Liveramp dataset — confirmed safe to delete",$A1186="agile-bonbon-662",_xlfn.IFS(LEFT($G1186,9)="Tranche 1","Tranche 1: cleared",$C1186="Sessions_Level_1_All_Sites","Downstream aggregation of UA raw logs — keep if raw tables go",ISNUMBER(--$C1186),"UA raw site logs (account ID) — keep pending audit-retention check",$C1186="Emag_Reporting","Legacy but likely needed",$C1186="Nutrition_Data_Archived_Tables","Worth keeping",$C1186="EU_Data","Static lookup tables — scripts still reference (smoke-test risk)",TRUE,"Review"),OR($A1186="thg-influencer",$A1186="thg-ingenuity",$A1186="thg-central-marketing",$A1186="thg-seoclarity"),"HOLD — Charlie Stringer to review before deletion",TRUE,"")</f>
        <v>HOLD — Charlie Stringer to review before deletion</v>
      </c>
      <c r="S1186" t="s">
        <v>1624</v>
      </c>
    </row>
    <row r="1187" spans="1:19" hidden="1">
      <c r="A1187" t="s">
        <v>38</v>
      </c>
      <c r="B1187" t="s">
        <v>1619</v>
      </c>
      <c r="C1187" t="s">
        <v>3640</v>
      </c>
      <c r="D1187" s="2" t="s">
        <v>1621</v>
      </c>
      <c r="E1187">
        <v>1.53</v>
      </c>
      <c r="F1187">
        <v>0.03</v>
      </c>
      <c r="G1187" t="s">
        <v>3456</v>
      </c>
      <c r="H1187" t="s">
        <v>3457</v>
      </c>
      <c r="I1187">
        <v>747</v>
      </c>
      <c r="J1187">
        <v>747</v>
      </c>
      <c r="M1187" s="2" t="s">
        <v>1715</v>
      </c>
      <c r="N1187" s="2" t="s">
        <v>1701</v>
      </c>
      <c r="O1187" s="5">
        <v>45450.126286145831</v>
      </c>
      <c r="P1187" t="str">
        <f>IF($Q1187="DELETE",IF($S1187="CONFIRMED: NO MODS &gt; 1YR","CONFIRMED: NO MODS &gt; 1YR","DO NOT DELETE — not defensibly confirmed"),IF($Q1187="HOLD","DO NOT DELETE — HOLD (Charlie review)",IF($Q1187="KEEP","DO NOT DELETE — KEEP",IF(ISNUMBER(SEARCH("REVIEW",$Q1187)),"DO NOT DELETE — REVIEW pending",$S1187))))</f>
        <v>DO NOT DELETE — HOLD (Charlie review)</v>
      </c>
      <c r="Q1187" t="str" cm="1">
        <f t="array" ref="Q1187">_xlfn.IFS(AND($A1187="thg-beauty",ISNUMBER(SEARCH("liveramp",$C1187))),"DELETE",$A1187="agile-bonbon-662",_xlfn.IFS(LEFT($G1187,9)="Tranche 1","DELETE",$C1187="Sessions_Level_1_All_Sites","KEEP",ISNUMBER(--$C1187),"REVIEW — UA raw logs",$C1187="Emag_Reporting","KEEP",$C1187="Nutrition_Data_Archived_Tables","KEEP",$C1187="EU_Data","KEEP",TRUE,"REVIEW"),OR($A1187="thg-influencer",$A1187="thg-ingenuity",$A1187="thg-central-marketing",$A1187="thg-seoclarity"),"HOLD",TRUE,"")</f>
        <v>HOLD</v>
      </c>
      <c r="R1187" t="str" cm="1">
        <f t="array" ref="R1187">_xlfn.IFS(AND($A1187="thg-beauty",ISNUMBER(SEARCH("liveramp",$C1187))),"thg-beauty Liveramp dataset — confirmed safe to delete",$A1187="agile-bonbon-662",_xlfn.IFS(LEFT($G1187,9)="Tranche 1","Tranche 1: cleared",$C1187="Sessions_Level_1_All_Sites","Downstream aggregation of UA raw logs — keep if raw tables go",ISNUMBER(--$C1187),"UA raw site logs (account ID) — keep pending audit-retention check",$C1187="Emag_Reporting","Legacy but likely needed",$C1187="Nutrition_Data_Archived_Tables","Worth keeping",$C1187="EU_Data","Static lookup tables — scripts still reference (smoke-test risk)",TRUE,"Review"),OR($A1187="thg-influencer",$A1187="thg-ingenuity",$A1187="thg-central-marketing",$A1187="thg-seoclarity"),"HOLD — Charlie Stringer to review before deletion",TRUE,"")</f>
        <v>HOLD — Charlie Stringer to review before deletion</v>
      </c>
      <c r="S1187" t="s">
        <v>1624</v>
      </c>
    </row>
    <row r="1188" spans="1:19" hidden="1">
      <c r="A1188" t="s">
        <v>38</v>
      </c>
      <c r="B1188" t="s">
        <v>1619</v>
      </c>
      <c r="C1188" t="s">
        <v>3641</v>
      </c>
      <c r="D1188" s="2" t="s">
        <v>1621</v>
      </c>
      <c r="E1188">
        <v>0.14000000000000001</v>
      </c>
      <c r="F1188">
        <v>0</v>
      </c>
      <c r="G1188" t="s">
        <v>3456</v>
      </c>
      <c r="H1188" t="s">
        <v>3457</v>
      </c>
      <c r="I1188">
        <v>746</v>
      </c>
      <c r="J1188">
        <v>746</v>
      </c>
      <c r="M1188" s="2" t="s">
        <v>1715</v>
      </c>
      <c r="N1188" s="2" t="s">
        <v>1701</v>
      </c>
      <c r="O1188" s="5">
        <v>45450.660638148147</v>
      </c>
      <c r="P1188" t="str">
        <f>IF($Q1188="DELETE",IF($S1188="CONFIRMED: NO MODS &gt; 1YR","CONFIRMED: NO MODS &gt; 1YR","DO NOT DELETE — not defensibly confirmed"),IF($Q1188="HOLD","DO NOT DELETE — HOLD (Charlie review)",IF($Q1188="KEEP","DO NOT DELETE — KEEP",IF(ISNUMBER(SEARCH("REVIEW",$Q1188)),"DO NOT DELETE — REVIEW pending",$S1188))))</f>
        <v>DO NOT DELETE — HOLD (Charlie review)</v>
      </c>
      <c r="Q1188" t="str" cm="1">
        <f t="array" ref="Q1188">_xlfn.IFS(AND($A1188="thg-beauty",ISNUMBER(SEARCH("liveramp",$C1188))),"DELETE",$A1188="agile-bonbon-662",_xlfn.IFS(LEFT($G1188,9)="Tranche 1","DELETE",$C1188="Sessions_Level_1_All_Sites","KEEP",ISNUMBER(--$C1188),"REVIEW — UA raw logs",$C1188="Emag_Reporting","KEEP",$C1188="Nutrition_Data_Archived_Tables","KEEP",$C1188="EU_Data","KEEP",TRUE,"REVIEW"),OR($A1188="thg-influencer",$A1188="thg-ingenuity",$A1188="thg-central-marketing",$A1188="thg-seoclarity"),"HOLD",TRUE,"")</f>
        <v>HOLD</v>
      </c>
      <c r="R1188" t="str" cm="1">
        <f t="array" ref="R1188">_xlfn.IFS(AND($A1188="thg-beauty",ISNUMBER(SEARCH("liveramp",$C1188))),"thg-beauty Liveramp dataset — confirmed safe to delete",$A1188="agile-bonbon-662",_xlfn.IFS(LEFT($G1188,9)="Tranche 1","Tranche 1: cleared",$C1188="Sessions_Level_1_All_Sites","Downstream aggregation of UA raw logs — keep if raw tables go",ISNUMBER(--$C1188),"UA raw site logs (account ID) — keep pending audit-retention check",$C1188="Emag_Reporting","Legacy but likely needed",$C1188="Nutrition_Data_Archived_Tables","Worth keeping",$C1188="EU_Data","Static lookup tables — scripts still reference (smoke-test risk)",TRUE,"Review"),OR($A1188="thg-influencer",$A1188="thg-ingenuity",$A1188="thg-central-marketing",$A1188="thg-seoclarity"),"HOLD — Charlie Stringer to review before deletion",TRUE,"")</f>
        <v>HOLD — Charlie Stringer to review before deletion</v>
      </c>
      <c r="S1188" t="s">
        <v>1624</v>
      </c>
    </row>
    <row r="1189" spans="1:19" hidden="1">
      <c r="A1189" t="s">
        <v>38</v>
      </c>
      <c r="B1189" t="s">
        <v>1619</v>
      </c>
      <c r="C1189" t="s">
        <v>3642</v>
      </c>
      <c r="D1189" s="2" t="s">
        <v>1621</v>
      </c>
      <c r="E1189">
        <v>92.16</v>
      </c>
      <c r="F1189">
        <v>1.84</v>
      </c>
      <c r="G1189" t="s">
        <v>3456</v>
      </c>
      <c r="H1189" t="s">
        <v>3457</v>
      </c>
      <c r="I1189">
        <v>742</v>
      </c>
      <c r="J1189">
        <v>742</v>
      </c>
      <c r="M1189" s="2" t="s">
        <v>1715</v>
      </c>
      <c r="N1189" s="2" t="s">
        <v>1701</v>
      </c>
      <c r="O1189" s="5">
        <v>45455.356489305559</v>
      </c>
      <c r="P1189" t="str">
        <f>IF($Q1189="DELETE",IF($S1189="CONFIRMED: NO MODS &gt; 1YR","CONFIRMED: NO MODS &gt; 1YR","DO NOT DELETE — not defensibly confirmed"),IF($Q1189="HOLD","DO NOT DELETE — HOLD (Charlie review)",IF($Q1189="KEEP","DO NOT DELETE — KEEP",IF(ISNUMBER(SEARCH("REVIEW",$Q1189)),"DO NOT DELETE — REVIEW pending",$S1189))))</f>
        <v>DO NOT DELETE — HOLD (Charlie review)</v>
      </c>
      <c r="Q1189" t="str" cm="1">
        <f t="array" ref="Q1189">_xlfn.IFS(AND($A1189="thg-beauty",ISNUMBER(SEARCH("liveramp",$C1189))),"DELETE",$A1189="agile-bonbon-662",_xlfn.IFS(LEFT($G1189,9)="Tranche 1","DELETE",$C1189="Sessions_Level_1_All_Sites","KEEP",ISNUMBER(--$C1189),"REVIEW — UA raw logs",$C1189="Emag_Reporting","KEEP",$C1189="Nutrition_Data_Archived_Tables","KEEP",$C1189="EU_Data","KEEP",TRUE,"REVIEW"),OR($A1189="thg-influencer",$A1189="thg-ingenuity",$A1189="thg-central-marketing",$A1189="thg-seoclarity"),"HOLD",TRUE,"")</f>
        <v>HOLD</v>
      </c>
      <c r="R1189" t="str" cm="1">
        <f t="array" ref="R1189">_xlfn.IFS(AND($A1189="thg-beauty",ISNUMBER(SEARCH("liveramp",$C1189))),"thg-beauty Liveramp dataset — confirmed safe to delete",$A1189="agile-bonbon-662",_xlfn.IFS(LEFT($G1189,9)="Tranche 1","Tranche 1: cleared",$C1189="Sessions_Level_1_All_Sites","Downstream aggregation of UA raw logs — keep if raw tables go",ISNUMBER(--$C1189),"UA raw site logs (account ID) — keep pending audit-retention check",$C1189="Emag_Reporting","Legacy but likely needed",$C1189="Nutrition_Data_Archived_Tables","Worth keeping",$C1189="EU_Data","Static lookup tables — scripts still reference (smoke-test risk)",TRUE,"Review"),OR($A1189="thg-influencer",$A1189="thg-ingenuity",$A1189="thg-central-marketing",$A1189="thg-seoclarity"),"HOLD — Charlie Stringer to review before deletion",TRUE,"")</f>
        <v>HOLD — Charlie Stringer to review before deletion</v>
      </c>
      <c r="S1189" t="s">
        <v>1624</v>
      </c>
    </row>
    <row r="1190" spans="1:19" hidden="1">
      <c r="A1190" t="s">
        <v>38</v>
      </c>
      <c r="B1190" t="s">
        <v>1619</v>
      </c>
      <c r="C1190" t="s">
        <v>3643</v>
      </c>
      <c r="D1190" s="2" t="s">
        <v>1621</v>
      </c>
      <c r="E1190">
        <v>15.55</v>
      </c>
      <c r="F1190">
        <v>0.31</v>
      </c>
      <c r="G1190" t="s">
        <v>3456</v>
      </c>
      <c r="H1190" t="s">
        <v>3457</v>
      </c>
      <c r="I1190">
        <v>741</v>
      </c>
      <c r="J1190">
        <v>741</v>
      </c>
      <c r="M1190" s="2" t="s">
        <v>1715</v>
      </c>
      <c r="N1190" s="2" t="s">
        <v>1701</v>
      </c>
      <c r="O1190" s="5">
        <v>45455.662677708337</v>
      </c>
      <c r="P1190" t="str">
        <f>IF($Q1190="DELETE",IF($S1190="CONFIRMED: NO MODS &gt; 1YR","CONFIRMED: NO MODS &gt; 1YR","DO NOT DELETE — not defensibly confirmed"),IF($Q1190="HOLD","DO NOT DELETE — HOLD (Charlie review)",IF($Q1190="KEEP","DO NOT DELETE — KEEP",IF(ISNUMBER(SEARCH("REVIEW",$Q1190)),"DO NOT DELETE — REVIEW pending",$S1190))))</f>
        <v>DO NOT DELETE — HOLD (Charlie review)</v>
      </c>
      <c r="Q1190" t="str" cm="1">
        <f t="array" ref="Q1190">_xlfn.IFS(AND($A1190="thg-beauty",ISNUMBER(SEARCH("liveramp",$C1190))),"DELETE",$A1190="agile-bonbon-662",_xlfn.IFS(LEFT($G1190,9)="Tranche 1","DELETE",$C1190="Sessions_Level_1_All_Sites","KEEP",ISNUMBER(--$C1190),"REVIEW — UA raw logs",$C1190="Emag_Reporting","KEEP",$C1190="Nutrition_Data_Archived_Tables","KEEP",$C1190="EU_Data","KEEP",TRUE,"REVIEW"),OR($A1190="thg-influencer",$A1190="thg-ingenuity",$A1190="thg-central-marketing",$A1190="thg-seoclarity"),"HOLD",TRUE,"")</f>
        <v>HOLD</v>
      </c>
      <c r="R1190" t="str" cm="1">
        <f t="array" ref="R1190">_xlfn.IFS(AND($A1190="thg-beauty",ISNUMBER(SEARCH("liveramp",$C1190))),"thg-beauty Liveramp dataset — confirmed safe to delete",$A1190="agile-bonbon-662",_xlfn.IFS(LEFT($G1190,9)="Tranche 1","Tranche 1: cleared",$C1190="Sessions_Level_1_All_Sites","Downstream aggregation of UA raw logs — keep if raw tables go",ISNUMBER(--$C1190),"UA raw site logs (account ID) — keep pending audit-retention check",$C1190="Emag_Reporting","Legacy but likely needed",$C1190="Nutrition_Data_Archived_Tables","Worth keeping",$C1190="EU_Data","Static lookup tables — scripts still reference (smoke-test risk)",TRUE,"Review"),OR($A1190="thg-influencer",$A1190="thg-ingenuity",$A1190="thg-central-marketing",$A1190="thg-seoclarity"),"HOLD — Charlie Stringer to review before deletion",TRUE,"")</f>
        <v>HOLD — Charlie Stringer to review before deletion</v>
      </c>
      <c r="S1190" t="s">
        <v>1624</v>
      </c>
    </row>
    <row r="1191" spans="1:19" hidden="1">
      <c r="A1191" t="s">
        <v>38</v>
      </c>
      <c r="B1191" t="s">
        <v>1619</v>
      </c>
      <c r="C1191" t="s">
        <v>3644</v>
      </c>
      <c r="D1191" s="2" t="s">
        <v>1621</v>
      </c>
      <c r="E1191">
        <v>12.02</v>
      </c>
      <c r="F1191">
        <v>0.24</v>
      </c>
      <c r="G1191" t="s">
        <v>3456</v>
      </c>
      <c r="H1191" t="s">
        <v>3457</v>
      </c>
      <c r="I1191">
        <v>741</v>
      </c>
      <c r="J1191">
        <v>741</v>
      </c>
      <c r="M1191" s="2" t="s">
        <v>1715</v>
      </c>
      <c r="N1191" s="2" t="s">
        <v>1701</v>
      </c>
      <c r="O1191" s="5">
        <v>45455.909199675923</v>
      </c>
      <c r="P1191" t="str">
        <f>IF($Q1191="DELETE",IF($S1191="CONFIRMED: NO MODS &gt; 1YR","CONFIRMED: NO MODS &gt; 1YR","DO NOT DELETE — not defensibly confirmed"),IF($Q1191="HOLD","DO NOT DELETE — HOLD (Charlie review)",IF($Q1191="KEEP","DO NOT DELETE — KEEP",IF(ISNUMBER(SEARCH("REVIEW",$Q1191)),"DO NOT DELETE — REVIEW pending",$S1191))))</f>
        <v>DO NOT DELETE — HOLD (Charlie review)</v>
      </c>
      <c r="Q1191" t="str" cm="1">
        <f t="array" ref="Q1191">_xlfn.IFS(AND($A1191="thg-beauty",ISNUMBER(SEARCH("liveramp",$C1191))),"DELETE",$A1191="agile-bonbon-662",_xlfn.IFS(LEFT($G1191,9)="Tranche 1","DELETE",$C1191="Sessions_Level_1_All_Sites","KEEP",ISNUMBER(--$C1191),"REVIEW — UA raw logs",$C1191="Emag_Reporting","KEEP",$C1191="Nutrition_Data_Archived_Tables","KEEP",$C1191="EU_Data","KEEP",TRUE,"REVIEW"),OR($A1191="thg-influencer",$A1191="thg-ingenuity",$A1191="thg-central-marketing",$A1191="thg-seoclarity"),"HOLD",TRUE,"")</f>
        <v>HOLD</v>
      </c>
      <c r="R1191" t="str" cm="1">
        <f t="array" ref="R1191">_xlfn.IFS(AND($A1191="thg-beauty",ISNUMBER(SEARCH("liveramp",$C1191))),"thg-beauty Liveramp dataset — confirmed safe to delete",$A1191="agile-bonbon-662",_xlfn.IFS(LEFT($G1191,9)="Tranche 1","Tranche 1: cleared",$C1191="Sessions_Level_1_All_Sites","Downstream aggregation of UA raw logs — keep if raw tables go",ISNUMBER(--$C1191),"UA raw site logs (account ID) — keep pending audit-retention check",$C1191="Emag_Reporting","Legacy but likely needed",$C1191="Nutrition_Data_Archived_Tables","Worth keeping",$C1191="EU_Data","Static lookup tables — scripts still reference (smoke-test risk)",TRUE,"Review"),OR($A1191="thg-influencer",$A1191="thg-ingenuity",$A1191="thg-central-marketing",$A1191="thg-seoclarity"),"HOLD — Charlie Stringer to review before deletion",TRUE,"")</f>
        <v>HOLD — Charlie Stringer to review before deletion</v>
      </c>
      <c r="S1191" t="s">
        <v>1624</v>
      </c>
    </row>
    <row r="1192" spans="1:19" hidden="1">
      <c r="A1192" t="s">
        <v>38</v>
      </c>
      <c r="B1192" t="s">
        <v>1619</v>
      </c>
      <c r="C1192" t="s">
        <v>3645</v>
      </c>
      <c r="D1192" s="2" t="s">
        <v>1621</v>
      </c>
      <c r="E1192">
        <v>10.29</v>
      </c>
      <c r="F1192">
        <v>0.21</v>
      </c>
      <c r="G1192" t="s">
        <v>3456</v>
      </c>
      <c r="H1192" t="s">
        <v>3457</v>
      </c>
      <c r="I1192">
        <v>741</v>
      </c>
      <c r="J1192">
        <v>741</v>
      </c>
      <c r="M1192" s="2" t="s">
        <v>1715</v>
      </c>
      <c r="N1192" s="2" t="s">
        <v>1701</v>
      </c>
      <c r="O1192" s="5">
        <v>45455.577154363433</v>
      </c>
      <c r="P1192" t="str">
        <f>IF($Q1192="DELETE",IF($S1192="CONFIRMED: NO MODS &gt; 1YR","CONFIRMED: NO MODS &gt; 1YR","DO NOT DELETE — not defensibly confirmed"),IF($Q1192="HOLD","DO NOT DELETE — HOLD (Charlie review)",IF($Q1192="KEEP","DO NOT DELETE — KEEP",IF(ISNUMBER(SEARCH("REVIEW",$Q1192)),"DO NOT DELETE — REVIEW pending",$S1192))))</f>
        <v>DO NOT DELETE — HOLD (Charlie review)</v>
      </c>
      <c r="Q1192" t="str" cm="1">
        <f t="array" ref="Q1192">_xlfn.IFS(AND($A1192="thg-beauty",ISNUMBER(SEARCH("liveramp",$C1192))),"DELETE",$A1192="agile-bonbon-662",_xlfn.IFS(LEFT($G1192,9)="Tranche 1","DELETE",$C1192="Sessions_Level_1_All_Sites","KEEP",ISNUMBER(--$C1192),"REVIEW — UA raw logs",$C1192="Emag_Reporting","KEEP",$C1192="Nutrition_Data_Archived_Tables","KEEP",$C1192="EU_Data","KEEP",TRUE,"REVIEW"),OR($A1192="thg-influencer",$A1192="thg-ingenuity",$A1192="thg-central-marketing",$A1192="thg-seoclarity"),"HOLD",TRUE,"")</f>
        <v>HOLD</v>
      </c>
      <c r="R1192" t="str" cm="1">
        <f t="array" ref="R1192">_xlfn.IFS(AND($A1192="thg-beauty",ISNUMBER(SEARCH("liveramp",$C1192))),"thg-beauty Liveramp dataset — confirmed safe to delete",$A1192="agile-bonbon-662",_xlfn.IFS(LEFT($G1192,9)="Tranche 1","Tranche 1: cleared",$C1192="Sessions_Level_1_All_Sites","Downstream aggregation of UA raw logs — keep if raw tables go",ISNUMBER(--$C1192),"UA raw site logs (account ID) — keep pending audit-retention check",$C1192="Emag_Reporting","Legacy but likely needed",$C1192="Nutrition_Data_Archived_Tables","Worth keeping",$C1192="EU_Data","Static lookup tables — scripts still reference (smoke-test risk)",TRUE,"Review"),OR($A1192="thg-influencer",$A1192="thg-ingenuity",$A1192="thg-central-marketing",$A1192="thg-seoclarity"),"HOLD — Charlie Stringer to review before deletion",TRUE,"")</f>
        <v>HOLD — Charlie Stringer to review before deletion</v>
      </c>
      <c r="S1192" t="s">
        <v>1624</v>
      </c>
    </row>
    <row r="1193" spans="1:19" hidden="1">
      <c r="A1193" t="s">
        <v>38</v>
      </c>
      <c r="B1193" t="s">
        <v>1619</v>
      </c>
      <c r="C1193" t="s">
        <v>3646</v>
      </c>
      <c r="D1193" s="2" t="s">
        <v>1621</v>
      </c>
      <c r="E1193">
        <v>10.039999999999999</v>
      </c>
      <c r="F1193">
        <v>0.2</v>
      </c>
      <c r="G1193" t="s">
        <v>3456</v>
      </c>
      <c r="H1193" t="s">
        <v>3457</v>
      </c>
      <c r="I1193">
        <v>741</v>
      </c>
      <c r="J1193">
        <v>741</v>
      </c>
      <c r="M1193" s="2" t="s">
        <v>1715</v>
      </c>
      <c r="N1193" s="2" t="s">
        <v>1701</v>
      </c>
      <c r="O1193" s="5">
        <v>45455.826955405093</v>
      </c>
      <c r="P1193" t="str">
        <f>IF($Q1193="DELETE",IF($S1193="CONFIRMED: NO MODS &gt; 1YR","CONFIRMED: NO MODS &gt; 1YR","DO NOT DELETE — not defensibly confirmed"),IF($Q1193="HOLD","DO NOT DELETE — HOLD (Charlie review)",IF($Q1193="KEEP","DO NOT DELETE — KEEP",IF(ISNUMBER(SEARCH("REVIEW",$Q1193)),"DO NOT DELETE — REVIEW pending",$S1193))))</f>
        <v>DO NOT DELETE — HOLD (Charlie review)</v>
      </c>
      <c r="Q1193" t="str" cm="1">
        <f t="array" ref="Q1193">_xlfn.IFS(AND($A1193="thg-beauty",ISNUMBER(SEARCH("liveramp",$C1193))),"DELETE",$A1193="agile-bonbon-662",_xlfn.IFS(LEFT($G1193,9)="Tranche 1","DELETE",$C1193="Sessions_Level_1_All_Sites","KEEP",ISNUMBER(--$C1193),"REVIEW — UA raw logs",$C1193="Emag_Reporting","KEEP",$C1193="Nutrition_Data_Archived_Tables","KEEP",$C1193="EU_Data","KEEP",TRUE,"REVIEW"),OR($A1193="thg-influencer",$A1193="thg-ingenuity",$A1193="thg-central-marketing",$A1193="thg-seoclarity"),"HOLD",TRUE,"")</f>
        <v>HOLD</v>
      </c>
      <c r="R1193" t="str" cm="1">
        <f t="array" ref="R1193">_xlfn.IFS(AND($A1193="thg-beauty",ISNUMBER(SEARCH("liveramp",$C1193))),"thg-beauty Liveramp dataset — confirmed safe to delete",$A1193="agile-bonbon-662",_xlfn.IFS(LEFT($G1193,9)="Tranche 1","Tranche 1: cleared",$C1193="Sessions_Level_1_All_Sites","Downstream aggregation of UA raw logs — keep if raw tables go",ISNUMBER(--$C1193),"UA raw site logs (account ID) — keep pending audit-retention check",$C1193="Emag_Reporting","Legacy but likely needed",$C1193="Nutrition_Data_Archived_Tables","Worth keeping",$C1193="EU_Data","Static lookup tables — scripts still reference (smoke-test risk)",TRUE,"Review"),OR($A1193="thg-influencer",$A1193="thg-ingenuity",$A1193="thg-central-marketing",$A1193="thg-seoclarity"),"HOLD — Charlie Stringer to review before deletion",TRUE,"")</f>
        <v>HOLD — Charlie Stringer to review before deletion</v>
      </c>
      <c r="S1193" t="s">
        <v>1624</v>
      </c>
    </row>
    <row r="1194" spans="1:19" hidden="1">
      <c r="A1194" t="s">
        <v>38</v>
      </c>
      <c r="B1194" t="s">
        <v>1619</v>
      </c>
      <c r="C1194" t="s">
        <v>3647</v>
      </c>
      <c r="D1194" s="2" t="s">
        <v>1621</v>
      </c>
      <c r="E1194">
        <v>0.7</v>
      </c>
      <c r="F1194">
        <v>0.01</v>
      </c>
      <c r="G1194" t="s">
        <v>3456</v>
      </c>
      <c r="H1194" t="s">
        <v>3457</v>
      </c>
      <c r="I1194">
        <v>739</v>
      </c>
      <c r="J1194">
        <v>739</v>
      </c>
      <c r="M1194" s="2" t="s">
        <v>1715</v>
      </c>
      <c r="N1194" s="2" t="s">
        <v>1701</v>
      </c>
      <c r="O1194" s="5">
        <v>45458.282743506941</v>
      </c>
      <c r="P1194" t="str">
        <f>IF($Q1194="DELETE",IF($S1194="CONFIRMED: NO MODS &gt; 1YR","CONFIRMED: NO MODS &gt; 1YR","DO NOT DELETE — not defensibly confirmed"),IF($Q1194="HOLD","DO NOT DELETE — HOLD (Charlie review)",IF($Q1194="KEEP","DO NOT DELETE — KEEP",IF(ISNUMBER(SEARCH("REVIEW",$Q1194)),"DO NOT DELETE — REVIEW pending",$S1194))))</f>
        <v>DO NOT DELETE — HOLD (Charlie review)</v>
      </c>
      <c r="Q1194" t="str" cm="1">
        <f t="array" ref="Q1194">_xlfn.IFS(AND($A1194="thg-beauty",ISNUMBER(SEARCH("liveramp",$C1194))),"DELETE",$A1194="agile-bonbon-662",_xlfn.IFS(LEFT($G1194,9)="Tranche 1","DELETE",$C1194="Sessions_Level_1_All_Sites","KEEP",ISNUMBER(--$C1194),"REVIEW — UA raw logs",$C1194="Emag_Reporting","KEEP",$C1194="Nutrition_Data_Archived_Tables","KEEP",$C1194="EU_Data","KEEP",TRUE,"REVIEW"),OR($A1194="thg-influencer",$A1194="thg-ingenuity",$A1194="thg-central-marketing",$A1194="thg-seoclarity"),"HOLD",TRUE,"")</f>
        <v>HOLD</v>
      </c>
      <c r="R1194" t="str" cm="1">
        <f t="array" ref="R1194">_xlfn.IFS(AND($A1194="thg-beauty",ISNUMBER(SEARCH("liveramp",$C1194))),"thg-beauty Liveramp dataset — confirmed safe to delete",$A1194="agile-bonbon-662",_xlfn.IFS(LEFT($G1194,9)="Tranche 1","Tranche 1: cleared",$C1194="Sessions_Level_1_All_Sites","Downstream aggregation of UA raw logs — keep if raw tables go",ISNUMBER(--$C1194),"UA raw site logs (account ID) — keep pending audit-retention check",$C1194="Emag_Reporting","Legacy but likely needed",$C1194="Nutrition_Data_Archived_Tables","Worth keeping",$C1194="EU_Data","Static lookup tables — scripts still reference (smoke-test risk)",TRUE,"Review"),OR($A1194="thg-influencer",$A1194="thg-ingenuity",$A1194="thg-central-marketing",$A1194="thg-seoclarity"),"HOLD — Charlie Stringer to review before deletion",TRUE,"")</f>
        <v>HOLD — Charlie Stringer to review before deletion</v>
      </c>
      <c r="S1194" t="s">
        <v>1624</v>
      </c>
    </row>
    <row r="1195" spans="1:19" hidden="1">
      <c r="A1195" t="s">
        <v>38</v>
      </c>
      <c r="B1195" t="s">
        <v>1619</v>
      </c>
      <c r="C1195" t="s">
        <v>3648</v>
      </c>
      <c r="D1195" s="2" t="s">
        <v>1621</v>
      </c>
      <c r="E1195">
        <v>123.67</v>
      </c>
      <c r="F1195">
        <v>2.4700000000000002</v>
      </c>
      <c r="G1195" t="s">
        <v>3456</v>
      </c>
      <c r="H1195" t="s">
        <v>3328</v>
      </c>
      <c r="I1195">
        <v>736</v>
      </c>
      <c r="J1195">
        <v>736</v>
      </c>
      <c r="M1195" s="2" t="s">
        <v>1715</v>
      </c>
      <c r="N1195" s="2" t="s">
        <v>1701</v>
      </c>
      <c r="O1195" s="5">
        <v>45461.448267719898</v>
      </c>
      <c r="P1195" t="str">
        <f>IF($Q1195="DELETE",IF($S1195="CONFIRMED: NO MODS &gt; 1YR","CONFIRMED: NO MODS &gt; 1YR","DO NOT DELETE — not defensibly confirmed"),IF($Q1195="HOLD","DO NOT DELETE — HOLD (Charlie review)",IF($Q1195="KEEP","DO NOT DELETE — KEEP",IF(ISNUMBER(SEARCH("REVIEW",$Q1195)),"DO NOT DELETE — REVIEW pending",$S1195))))</f>
        <v>DO NOT DELETE — HOLD (Charlie review)</v>
      </c>
      <c r="Q1195" t="str" cm="1">
        <f t="array" ref="Q1195">_xlfn.IFS(AND($A1195="thg-beauty",ISNUMBER(SEARCH("liveramp",$C1195))),"DELETE",$A1195="agile-bonbon-662",_xlfn.IFS(LEFT($G1195,9)="Tranche 1","DELETE",$C1195="Sessions_Level_1_All_Sites","KEEP",ISNUMBER(--$C1195),"REVIEW — UA raw logs",$C1195="Emag_Reporting","KEEP",$C1195="Nutrition_Data_Archived_Tables","KEEP",$C1195="EU_Data","KEEP",TRUE,"REVIEW"),OR($A1195="thg-influencer",$A1195="thg-ingenuity",$A1195="thg-central-marketing",$A1195="thg-seoclarity"),"HOLD",TRUE,"")</f>
        <v>HOLD</v>
      </c>
      <c r="R1195" t="str" cm="1">
        <f t="array" ref="R1195">_xlfn.IFS(AND($A1195="thg-beauty",ISNUMBER(SEARCH("liveramp",$C1195))),"thg-beauty Liveramp dataset — confirmed safe to delete",$A1195="agile-bonbon-662",_xlfn.IFS(LEFT($G1195,9)="Tranche 1","Tranche 1: cleared",$C1195="Sessions_Level_1_All_Sites","Downstream aggregation of UA raw logs — keep if raw tables go",ISNUMBER(--$C1195),"UA raw site logs (account ID) — keep pending audit-retention check",$C1195="Emag_Reporting","Legacy but likely needed",$C1195="Nutrition_Data_Archived_Tables","Worth keeping",$C1195="EU_Data","Static lookup tables — scripts still reference (smoke-test risk)",TRUE,"Review"),OR($A1195="thg-influencer",$A1195="thg-ingenuity",$A1195="thg-central-marketing",$A1195="thg-seoclarity"),"HOLD — Charlie Stringer to review before deletion",TRUE,"")</f>
        <v>HOLD — Charlie Stringer to review before deletion</v>
      </c>
      <c r="S1195" t="s">
        <v>1624</v>
      </c>
    </row>
    <row r="1196" spans="1:19" hidden="1">
      <c r="A1196" t="s">
        <v>38</v>
      </c>
      <c r="B1196" t="s">
        <v>1619</v>
      </c>
      <c r="C1196" t="s">
        <v>3649</v>
      </c>
      <c r="D1196" s="2" t="s">
        <v>1621</v>
      </c>
      <c r="E1196">
        <v>44.21</v>
      </c>
      <c r="F1196">
        <v>0.88</v>
      </c>
      <c r="G1196" t="s">
        <v>3456</v>
      </c>
      <c r="H1196" t="s">
        <v>3457</v>
      </c>
      <c r="I1196">
        <v>735</v>
      </c>
      <c r="J1196">
        <v>735</v>
      </c>
      <c r="M1196" s="2" t="s">
        <v>1715</v>
      </c>
      <c r="N1196" s="2" t="s">
        <v>1701</v>
      </c>
      <c r="O1196" s="5">
        <v>45462.255640046293</v>
      </c>
      <c r="P1196" t="str">
        <f>IF($Q1196="DELETE",IF($S1196="CONFIRMED: NO MODS &gt; 1YR","CONFIRMED: NO MODS &gt; 1YR","DO NOT DELETE — not defensibly confirmed"),IF($Q1196="HOLD","DO NOT DELETE — HOLD (Charlie review)",IF($Q1196="KEEP","DO NOT DELETE — KEEP",IF(ISNUMBER(SEARCH("REVIEW",$Q1196)),"DO NOT DELETE — REVIEW pending",$S1196))))</f>
        <v>DO NOT DELETE — HOLD (Charlie review)</v>
      </c>
      <c r="Q1196" t="str" cm="1">
        <f t="array" ref="Q1196">_xlfn.IFS(AND($A1196="thg-beauty",ISNUMBER(SEARCH("liveramp",$C1196))),"DELETE",$A1196="agile-bonbon-662",_xlfn.IFS(LEFT($G1196,9)="Tranche 1","DELETE",$C1196="Sessions_Level_1_All_Sites","KEEP",ISNUMBER(--$C1196),"REVIEW — UA raw logs",$C1196="Emag_Reporting","KEEP",$C1196="Nutrition_Data_Archived_Tables","KEEP",$C1196="EU_Data","KEEP",TRUE,"REVIEW"),OR($A1196="thg-influencer",$A1196="thg-ingenuity",$A1196="thg-central-marketing",$A1196="thg-seoclarity"),"HOLD",TRUE,"")</f>
        <v>HOLD</v>
      </c>
      <c r="R1196" t="str" cm="1">
        <f t="array" ref="R1196">_xlfn.IFS(AND($A1196="thg-beauty",ISNUMBER(SEARCH("liveramp",$C1196))),"thg-beauty Liveramp dataset — confirmed safe to delete",$A1196="agile-bonbon-662",_xlfn.IFS(LEFT($G1196,9)="Tranche 1","Tranche 1: cleared",$C1196="Sessions_Level_1_All_Sites","Downstream aggregation of UA raw logs — keep if raw tables go",ISNUMBER(--$C1196),"UA raw site logs (account ID) — keep pending audit-retention check",$C1196="Emag_Reporting","Legacy but likely needed",$C1196="Nutrition_Data_Archived_Tables","Worth keeping",$C1196="EU_Data","Static lookup tables — scripts still reference (smoke-test risk)",TRUE,"Review"),OR($A1196="thg-influencer",$A1196="thg-ingenuity",$A1196="thg-central-marketing",$A1196="thg-seoclarity"),"HOLD — Charlie Stringer to review before deletion",TRUE,"")</f>
        <v>HOLD — Charlie Stringer to review before deletion</v>
      </c>
      <c r="S1196" t="s">
        <v>1624</v>
      </c>
    </row>
    <row r="1197" spans="1:19" hidden="1">
      <c r="A1197" t="s">
        <v>38</v>
      </c>
      <c r="B1197" t="s">
        <v>1619</v>
      </c>
      <c r="C1197" t="s">
        <v>3650</v>
      </c>
      <c r="D1197" s="2" t="s">
        <v>1621</v>
      </c>
      <c r="E1197">
        <v>3.94</v>
      </c>
      <c r="F1197">
        <v>0.08</v>
      </c>
      <c r="G1197" t="s">
        <v>3456</v>
      </c>
      <c r="H1197" t="s">
        <v>3457</v>
      </c>
      <c r="I1197">
        <v>734</v>
      </c>
      <c r="J1197">
        <v>734</v>
      </c>
      <c r="M1197" s="2" t="s">
        <v>1715</v>
      </c>
      <c r="N1197" s="2" t="s">
        <v>1701</v>
      </c>
      <c r="O1197" s="5">
        <v>45463.287329513892</v>
      </c>
      <c r="P1197" t="str">
        <f>IF($Q1197="DELETE",IF($S1197="CONFIRMED: NO MODS &gt; 1YR","CONFIRMED: NO MODS &gt; 1YR","DO NOT DELETE — not defensibly confirmed"),IF($Q1197="HOLD","DO NOT DELETE — HOLD (Charlie review)",IF($Q1197="KEEP","DO NOT DELETE — KEEP",IF(ISNUMBER(SEARCH("REVIEW",$Q1197)),"DO NOT DELETE — REVIEW pending",$S1197))))</f>
        <v>DO NOT DELETE — HOLD (Charlie review)</v>
      </c>
      <c r="Q1197" t="str" cm="1">
        <f t="array" ref="Q1197">_xlfn.IFS(AND($A1197="thg-beauty",ISNUMBER(SEARCH("liveramp",$C1197))),"DELETE",$A1197="agile-bonbon-662",_xlfn.IFS(LEFT($G1197,9)="Tranche 1","DELETE",$C1197="Sessions_Level_1_All_Sites","KEEP",ISNUMBER(--$C1197),"REVIEW — UA raw logs",$C1197="Emag_Reporting","KEEP",$C1197="Nutrition_Data_Archived_Tables","KEEP",$C1197="EU_Data","KEEP",TRUE,"REVIEW"),OR($A1197="thg-influencer",$A1197="thg-ingenuity",$A1197="thg-central-marketing",$A1197="thg-seoclarity"),"HOLD",TRUE,"")</f>
        <v>HOLD</v>
      </c>
      <c r="R1197" t="str" cm="1">
        <f t="array" ref="R1197">_xlfn.IFS(AND($A1197="thg-beauty",ISNUMBER(SEARCH("liveramp",$C1197))),"thg-beauty Liveramp dataset — confirmed safe to delete",$A1197="agile-bonbon-662",_xlfn.IFS(LEFT($G1197,9)="Tranche 1","Tranche 1: cleared",$C1197="Sessions_Level_1_All_Sites","Downstream aggregation of UA raw logs — keep if raw tables go",ISNUMBER(--$C1197),"UA raw site logs (account ID) — keep pending audit-retention check",$C1197="Emag_Reporting","Legacy but likely needed",$C1197="Nutrition_Data_Archived_Tables","Worth keeping",$C1197="EU_Data","Static lookup tables — scripts still reference (smoke-test risk)",TRUE,"Review"),OR($A1197="thg-influencer",$A1197="thg-ingenuity",$A1197="thg-central-marketing",$A1197="thg-seoclarity"),"HOLD — Charlie Stringer to review before deletion",TRUE,"")</f>
        <v>HOLD — Charlie Stringer to review before deletion</v>
      </c>
      <c r="S1197" t="s">
        <v>1624</v>
      </c>
    </row>
    <row r="1198" spans="1:19" hidden="1">
      <c r="A1198" t="s">
        <v>38</v>
      </c>
      <c r="B1198" t="s">
        <v>1619</v>
      </c>
      <c r="C1198" t="s">
        <v>3651</v>
      </c>
      <c r="D1198" s="2" t="s">
        <v>1621</v>
      </c>
      <c r="E1198">
        <v>7.01</v>
      </c>
      <c r="F1198">
        <v>0.14000000000000001</v>
      </c>
      <c r="G1198" t="s">
        <v>3456</v>
      </c>
      <c r="H1198" t="s">
        <v>3457</v>
      </c>
      <c r="I1198">
        <v>733</v>
      </c>
      <c r="J1198">
        <v>733</v>
      </c>
      <c r="M1198" s="2" t="s">
        <v>1715</v>
      </c>
      <c r="N1198" s="2" t="s">
        <v>1701</v>
      </c>
      <c r="O1198" s="5">
        <v>45464.304844907398</v>
      </c>
      <c r="P1198" t="str">
        <f>IF($Q1198="DELETE",IF($S1198="CONFIRMED: NO MODS &gt; 1YR","CONFIRMED: NO MODS &gt; 1YR","DO NOT DELETE — not defensibly confirmed"),IF($Q1198="HOLD","DO NOT DELETE — HOLD (Charlie review)",IF($Q1198="KEEP","DO NOT DELETE — KEEP",IF(ISNUMBER(SEARCH("REVIEW",$Q1198)),"DO NOT DELETE — REVIEW pending",$S1198))))</f>
        <v>DO NOT DELETE — HOLD (Charlie review)</v>
      </c>
      <c r="Q1198" t="str" cm="1">
        <f t="array" ref="Q1198">_xlfn.IFS(AND($A1198="thg-beauty",ISNUMBER(SEARCH("liveramp",$C1198))),"DELETE",$A1198="agile-bonbon-662",_xlfn.IFS(LEFT($G1198,9)="Tranche 1","DELETE",$C1198="Sessions_Level_1_All_Sites","KEEP",ISNUMBER(--$C1198),"REVIEW — UA raw logs",$C1198="Emag_Reporting","KEEP",$C1198="Nutrition_Data_Archived_Tables","KEEP",$C1198="EU_Data","KEEP",TRUE,"REVIEW"),OR($A1198="thg-influencer",$A1198="thg-ingenuity",$A1198="thg-central-marketing",$A1198="thg-seoclarity"),"HOLD",TRUE,"")</f>
        <v>HOLD</v>
      </c>
      <c r="R1198" t="str" cm="1">
        <f t="array" ref="R1198">_xlfn.IFS(AND($A1198="thg-beauty",ISNUMBER(SEARCH("liveramp",$C1198))),"thg-beauty Liveramp dataset — confirmed safe to delete",$A1198="agile-bonbon-662",_xlfn.IFS(LEFT($G1198,9)="Tranche 1","Tranche 1: cleared",$C1198="Sessions_Level_1_All_Sites","Downstream aggregation of UA raw logs — keep if raw tables go",ISNUMBER(--$C1198),"UA raw site logs (account ID) — keep pending audit-retention check",$C1198="Emag_Reporting","Legacy but likely needed",$C1198="Nutrition_Data_Archived_Tables","Worth keeping",$C1198="EU_Data","Static lookup tables — scripts still reference (smoke-test risk)",TRUE,"Review"),OR($A1198="thg-influencer",$A1198="thg-ingenuity",$A1198="thg-central-marketing",$A1198="thg-seoclarity"),"HOLD — Charlie Stringer to review before deletion",TRUE,"")</f>
        <v>HOLD — Charlie Stringer to review before deletion</v>
      </c>
      <c r="S1198" t="s">
        <v>1624</v>
      </c>
    </row>
    <row r="1199" spans="1:19" hidden="1">
      <c r="A1199" t="s">
        <v>38</v>
      </c>
      <c r="B1199" t="s">
        <v>1619</v>
      </c>
      <c r="C1199" t="s">
        <v>3652</v>
      </c>
      <c r="D1199" s="2" t="s">
        <v>1621</v>
      </c>
      <c r="E1199">
        <v>0.28000000000000003</v>
      </c>
      <c r="F1199">
        <v>0.01</v>
      </c>
      <c r="G1199" t="s">
        <v>3456</v>
      </c>
      <c r="H1199" t="s">
        <v>3457</v>
      </c>
      <c r="I1199">
        <v>728</v>
      </c>
      <c r="J1199">
        <v>728</v>
      </c>
      <c r="M1199" s="2" t="s">
        <v>1715</v>
      </c>
      <c r="N1199" s="2" t="s">
        <v>1701</v>
      </c>
      <c r="O1199" s="5">
        <v>45469.303418113428</v>
      </c>
      <c r="P1199" t="str">
        <f>IF($Q1199="DELETE",IF($S1199="CONFIRMED: NO MODS &gt; 1YR","CONFIRMED: NO MODS &gt; 1YR","DO NOT DELETE — not defensibly confirmed"),IF($Q1199="HOLD","DO NOT DELETE — HOLD (Charlie review)",IF($Q1199="KEEP","DO NOT DELETE — KEEP",IF(ISNUMBER(SEARCH("REVIEW",$Q1199)),"DO NOT DELETE — REVIEW pending",$S1199))))</f>
        <v>DO NOT DELETE — HOLD (Charlie review)</v>
      </c>
      <c r="Q1199" t="str" cm="1">
        <f t="array" ref="Q1199">_xlfn.IFS(AND($A1199="thg-beauty",ISNUMBER(SEARCH("liveramp",$C1199))),"DELETE",$A1199="agile-bonbon-662",_xlfn.IFS(LEFT($G1199,9)="Tranche 1","DELETE",$C1199="Sessions_Level_1_All_Sites","KEEP",ISNUMBER(--$C1199),"REVIEW — UA raw logs",$C1199="Emag_Reporting","KEEP",$C1199="Nutrition_Data_Archived_Tables","KEEP",$C1199="EU_Data","KEEP",TRUE,"REVIEW"),OR($A1199="thg-influencer",$A1199="thg-ingenuity",$A1199="thg-central-marketing",$A1199="thg-seoclarity"),"HOLD",TRUE,"")</f>
        <v>HOLD</v>
      </c>
      <c r="R1199" t="str" cm="1">
        <f t="array" ref="R1199">_xlfn.IFS(AND($A1199="thg-beauty",ISNUMBER(SEARCH("liveramp",$C1199))),"thg-beauty Liveramp dataset — confirmed safe to delete",$A1199="agile-bonbon-662",_xlfn.IFS(LEFT($G1199,9)="Tranche 1","Tranche 1: cleared",$C1199="Sessions_Level_1_All_Sites","Downstream aggregation of UA raw logs — keep if raw tables go",ISNUMBER(--$C1199),"UA raw site logs (account ID) — keep pending audit-retention check",$C1199="Emag_Reporting","Legacy but likely needed",$C1199="Nutrition_Data_Archived_Tables","Worth keeping",$C1199="EU_Data","Static lookup tables — scripts still reference (smoke-test risk)",TRUE,"Review"),OR($A1199="thg-influencer",$A1199="thg-ingenuity",$A1199="thg-central-marketing",$A1199="thg-seoclarity"),"HOLD — Charlie Stringer to review before deletion",TRUE,"")</f>
        <v>HOLD — Charlie Stringer to review before deletion</v>
      </c>
      <c r="S1199" t="s">
        <v>1624</v>
      </c>
    </row>
    <row r="1200" spans="1:19" hidden="1">
      <c r="A1200" t="s">
        <v>38</v>
      </c>
      <c r="B1200" t="s">
        <v>1619</v>
      </c>
      <c r="C1200" t="s">
        <v>3653</v>
      </c>
      <c r="D1200" s="2" t="s">
        <v>1621</v>
      </c>
      <c r="E1200">
        <v>0.11</v>
      </c>
      <c r="F1200">
        <v>0</v>
      </c>
      <c r="G1200" t="s">
        <v>3456</v>
      </c>
      <c r="H1200" t="s">
        <v>3457</v>
      </c>
      <c r="I1200">
        <v>727</v>
      </c>
      <c r="J1200">
        <v>727</v>
      </c>
      <c r="M1200" s="2" t="s">
        <v>1715</v>
      </c>
      <c r="N1200" s="2" t="s">
        <v>1701</v>
      </c>
      <c r="O1200" s="5">
        <v>45470.294134699077</v>
      </c>
      <c r="P1200" t="str">
        <f>IF($Q1200="DELETE",IF($S1200="CONFIRMED: NO MODS &gt; 1YR","CONFIRMED: NO MODS &gt; 1YR","DO NOT DELETE — not defensibly confirmed"),IF($Q1200="HOLD","DO NOT DELETE — HOLD (Charlie review)",IF($Q1200="KEEP","DO NOT DELETE — KEEP",IF(ISNUMBER(SEARCH("REVIEW",$Q1200)),"DO NOT DELETE — REVIEW pending",$S1200))))</f>
        <v>DO NOT DELETE — HOLD (Charlie review)</v>
      </c>
      <c r="Q1200" t="str" cm="1">
        <f t="array" ref="Q1200">_xlfn.IFS(AND($A1200="thg-beauty",ISNUMBER(SEARCH("liveramp",$C1200))),"DELETE",$A1200="agile-bonbon-662",_xlfn.IFS(LEFT($G1200,9)="Tranche 1","DELETE",$C1200="Sessions_Level_1_All_Sites","KEEP",ISNUMBER(--$C1200),"REVIEW — UA raw logs",$C1200="Emag_Reporting","KEEP",$C1200="Nutrition_Data_Archived_Tables","KEEP",$C1200="EU_Data","KEEP",TRUE,"REVIEW"),OR($A1200="thg-influencer",$A1200="thg-ingenuity",$A1200="thg-central-marketing",$A1200="thg-seoclarity"),"HOLD",TRUE,"")</f>
        <v>HOLD</v>
      </c>
      <c r="R1200" t="str" cm="1">
        <f t="array" ref="R1200">_xlfn.IFS(AND($A1200="thg-beauty",ISNUMBER(SEARCH("liveramp",$C1200))),"thg-beauty Liveramp dataset — confirmed safe to delete",$A1200="agile-bonbon-662",_xlfn.IFS(LEFT($G1200,9)="Tranche 1","Tranche 1: cleared",$C1200="Sessions_Level_1_All_Sites","Downstream aggregation of UA raw logs — keep if raw tables go",ISNUMBER(--$C1200),"UA raw site logs (account ID) — keep pending audit-retention check",$C1200="Emag_Reporting","Legacy but likely needed",$C1200="Nutrition_Data_Archived_Tables","Worth keeping",$C1200="EU_Data","Static lookup tables — scripts still reference (smoke-test risk)",TRUE,"Review"),OR($A1200="thg-influencer",$A1200="thg-ingenuity",$A1200="thg-central-marketing",$A1200="thg-seoclarity"),"HOLD — Charlie Stringer to review before deletion",TRUE,"")</f>
        <v>HOLD — Charlie Stringer to review before deletion</v>
      </c>
      <c r="S1200" t="s">
        <v>1624</v>
      </c>
    </row>
    <row r="1201" spans="1:19" hidden="1">
      <c r="A1201" t="s">
        <v>38</v>
      </c>
      <c r="B1201" t="s">
        <v>1619</v>
      </c>
      <c r="C1201" t="s">
        <v>3654</v>
      </c>
      <c r="D1201" s="2" t="s">
        <v>1621</v>
      </c>
      <c r="E1201">
        <v>0.5</v>
      </c>
      <c r="F1201">
        <v>0.01</v>
      </c>
      <c r="G1201" t="s">
        <v>3456</v>
      </c>
      <c r="H1201" t="s">
        <v>3457</v>
      </c>
      <c r="I1201">
        <v>726</v>
      </c>
      <c r="J1201">
        <v>726</v>
      </c>
      <c r="M1201" s="2" t="s">
        <v>1715</v>
      </c>
      <c r="N1201" s="2" t="s">
        <v>1701</v>
      </c>
      <c r="O1201" s="5">
        <v>45471.303432719913</v>
      </c>
      <c r="P1201" t="str">
        <f>IF($Q1201="DELETE",IF($S1201="CONFIRMED: NO MODS &gt; 1YR","CONFIRMED: NO MODS &gt; 1YR","DO NOT DELETE — not defensibly confirmed"),IF($Q1201="HOLD","DO NOT DELETE — HOLD (Charlie review)",IF($Q1201="KEEP","DO NOT DELETE — KEEP",IF(ISNUMBER(SEARCH("REVIEW",$Q1201)),"DO NOT DELETE — REVIEW pending",$S1201))))</f>
        <v>DO NOT DELETE — HOLD (Charlie review)</v>
      </c>
      <c r="Q1201" t="str" cm="1">
        <f t="array" ref="Q1201">_xlfn.IFS(AND($A1201="thg-beauty",ISNUMBER(SEARCH("liveramp",$C1201))),"DELETE",$A1201="agile-bonbon-662",_xlfn.IFS(LEFT($G1201,9)="Tranche 1","DELETE",$C1201="Sessions_Level_1_All_Sites","KEEP",ISNUMBER(--$C1201),"REVIEW — UA raw logs",$C1201="Emag_Reporting","KEEP",$C1201="Nutrition_Data_Archived_Tables","KEEP",$C1201="EU_Data","KEEP",TRUE,"REVIEW"),OR($A1201="thg-influencer",$A1201="thg-ingenuity",$A1201="thg-central-marketing",$A1201="thg-seoclarity"),"HOLD",TRUE,"")</f>
        <v>HOLD</v>
      </c>
      <c r="R1201" t="str" cm="1">
        <f t="array" ref="R1201">_xlfn.IFS(AND($A1201="thg-beauty",ISNUMBER(SEARCH("liveramp",$C1201))),"thg-beauty Liveramp dataset — confirmed safe to delete",$A1201="agile-bonbon-662",_xlfn.IFS(LEFT($G1201,9)="Tranche 1","Tranche 1: cleared",$C1201="Sessions_Level_1_All_Sites","Downstream aggregation of UA raw logs — keep if raw tables go",ISNUMBER(--$C1201),"UA raw site logs (account ID) — keep pending audit-retention check",$C1201="Emag_Reporting","Legacy but likely needed",$C1201="Nutrition_Data_Archived_Tables","Worth keeping",$C1201="EU_Data","Static lookup tables — scripts still reference (smoke-test risk)",TRUE,"Review"),OR($A1201="thg-influencer",$A1201="thg-ingenuity",$A1201="thg-central-marketing",$A1201="thg-seoclarity"),"HOLD — Charlie Stringer to review before deletion",TRUE,"")</f>
        <v>HOLD — Charlie Stringer to review before deletion</v>
      </c>
      <c r="S1201" t="s">
        <v>1624</v>
      </c>
    </row>
    <row r="1202" spans="1:19" hidden="1">
      <c r="A1202" t="s">
        <v>38</v>
      </c>
      <c r="B1202" t="s">
        <v>1619</v>
      </c>
      <c r="C1202" t="s">
        <v>3655</v>
      </c>
      <c r="D1202" s="2" t="s">
        <v>1621</v>
      </c>
      <c r="E1202">
        <v>0.22</v>
      </c>
      <c r="F1202">
        <v>0</v>
      </c>
      <c r="G1202" t="s">
        <v>3456</v>
      </c>
      <c r="H1202" t="s">
        <v>3457</v>
      </c>
      <c r="I1202">
        <v>726</v>
      </c>
      <c r="J1202">
        <v>726</v>
      </c>
      <c r="M1202" s="2" t="s">
        <v>1715</v>
      </c>
      <c r="N1202" s="2" t="s">
        <v>1701</v>
      </c>
      <c r="O1202" s="5">
        <v>45471.302039421287</v>
      </c>
      <c r="P1202" t="str">
        <f>IF($Q1202="DELETE",IF($S1202="CONFIRMED: NO MODS &gt; 1YR","CONFIRMED: NO MODS &gt; 1YR","DO NOT DELETE — not defensibly confirmed"),IF($Q1202="HOLD","DO NOT DELETE — HOLD (Charlie review)",IF($Q1202="KEEP","DO NOT DELETE — KEEP",IF(ISNUMBER(SEARCH("REVIEW",$Q1202)),"DO NOT DELETE — REVIEW pending",$S1202))))</f>
        <v>DO NOT DELETE — HOLD (Charlie review)</v>
      </c>
      <c r="Q1202" t="str" cm="1">
        <f t="array" ref="Q1202">_xlfn.IFS(AND($A1202="thg-beauty",ISNUMBER(SEARCH("liveramp",$C1202))),"DELETE",$A1202="agile-bonbon-662",_xlfn.IFS(LEFT($G1202,9)="Tranche 1","DELETE",$C1202="Sessions_Level_1_All_Sites","KEEP",ISNUMBER(--$C1202),"REVIEW — UA raw logs",$C1202="Emag_Reporting","KEEP",$C1202="Nutrition_Data_Archived_Tables","KEEP",$C1202="EU_Data","KEEP",TRUE,"REVIEW"),OR($A1202="thg-influencer",$A1202="thg-ingenuity",$A1202="thg-central-marketing",$A1202="thg-seoclarity"),"HOLD",TRUE,"")</f>
        <v>HOLD</v>
      </c>
      <c r="R1202" t="str" cm="1">
        <f t="array" ref="R1202">_xlfn.IFS(AND($A1202="thg-beauty",ISNUMBER(SEARCH("liveramp",$C1202))),"thg-beauty Liveramp dataset — confirmed safe to delete",$A1202="agile-bonbon-662",_xlfn.IFS(LEFT($G1202,9)="Tranche 1","Tranche 1: cleared",$C1202="Sessions_Level_1_All_Sites","Downstream aggregation of UA raw logs — keep if raw tables go",ISNUMBER(--$C1202),"UA raw site logs (account ID) — keep pending audit-retention check",$C1202="Emag_Reporting","Legacy but likely needed",$C1202="Nutrition_Data_Archived_Tables","Worth keeping",$C1202="EU_Data","Static lookup tables — scripts still reference (smoke-test risk)",TRUE,"Review"),OR($A1202="thg-influencer",$A1202="thg-ingenuity",$A1202="thg-central-marketing",$A1202="thg-seoclarity"),"HOLD — Charlie Stringer to review before deletion",TRUE,"")</f>
        <v>HOLD — Charlie Stringer to review before deletion</v>
      </c>
      <c r="S1202" t="s">
        <v>1624</v>
      </c>
    </row>
    <row r="1203" spans="1:19" hidden="1">
      <c r="A1203" t="s">
        <v>38</v>
      </c>
      <c r="B1203" t="s">
        <v>1619</v>
      </c>
      <c r="C1203" t="s">
        <v>3656</v>
      </c>
      <c r="D1203" s="2" t="s">
        <v>1621</v>
      </c>
      <c r="E1203">
        <v>12.39</v>
      </c>
      <c r="F1203">
        <v>0.25</v>
      </c>
      <c r="G1203" t="s">
        <v>3456</v>
      </c>
      <c r="H1203" t="s">
        <v>3457</v>
      </c>
      <c r="I1203">
        <v>724</v>
      </c>
      <c r="J1203">
        <v>724</v>
      </c>
      <c r="M1203" s="2" t="s">
        <v>1715</v>
      </c>
      <c r="N1203" s="2" t="s">
        <v>1701</v>
      </c>
      <c r="O1203" s="5">
        <v>45473.281896793982</v>
      </c>
      <c r="P1203" t="str">
        <f>IF($Q1203="DELETE",IF($S1203="CONFIRMED: NO MODS &gt; 1YR","CONFIRMED: NO MODS &gt; 1YR","DO NOT DELETE — not defensibly confirmed"),IF($Q1203="HOLD","DO NOT DELETE — HOLD (Charlie review)",IF($Q1203="KEEP","DO NOT DELETE — KEEP",IF(ISNUMBER(SEARCH("REVIEW",$Q1203)),"DO NOT DELETE — REVIEW pending",$S1203))))</f>
        <v>DO NOT DELETE — HOLD (Charlie review)</v>
      </c>
      <c r="Q1203" t="str" cm="1">
        <f t="array" ref="Q1203">_xlfn.IFS(AND($A1203="thg-beauty",ISNUMBER(SEARCH("liveramp",$C1203))),"DELETE",$A1203="agile-bonbon-662",_xlfn.IFS(LEFT($G1203,9)="Tranche 1","DELETE",$C1203="Sessions_Level_1_All_Sites","KEEP",ISNUMBER(--$C1203),"REVIEW — UA raw logs",$C1203="Emag_Reporting","KEEP",$C1203="Nutrition_Data_Archived_Tables","KEEP",$C1203="EU_Data","KEEP",TRUE,"REVIEW"),OR($A1203="thg-influencer",$A1203="thg-ingenuity",$A1203="thg-central-marketing",$A1203="thg-seoclarity"),"HOLD",TRUE,"")</f>
        <v>HOLD</v>
      </c>
      <c r="R1203" t="str" cm="1">
        <f t="array" ref="R1203">_xlfn.IFS(AND($A1203="thg-beauty",ISNUMBER(SEARCH("liveramp",$C1203))),"thg-beauty Liveramp dataset — confirmed safe to delete",$A1203="agile-bonbon-662",_xlfn.IFS(LEFT($G1203,9)="Tranche 1","Tranche 1: cleared",$C1203="Sessions_Level_1_All_Sites","Downstream aggregation of UA raw logs — keep if raw tables go",ISNUMBER(--$C1203),"UA raw site logs (account ID) — keep pending audit-retention check",$C1203="Emag_Reporting","Legacy but likely needed",$C1203="Nutrition_Data_Archived_Tables","Worth keeping",$C1203="EU_Data","Static lookup tables — scripts still reference (smoke-test risk)",TRUE,"Review"),OR($A1203="thg-influencer",$A1203="thg-ingenuity",$A1203="thg-central-marketing",$A1203="thg-seoclarity"),"HOLD — Charlie Stringer to review before deletion",TRUE,"")</f>
        <v>HOLD — Charlie Stringer to review before deletion</v>
      </c>
      <c r="S1203" t="s">
        <v>1624</v>
      </c>
    </row>
    <row r="1204" spans="1:19" hidden="1">
      <c r="A1204" t="s">
        <v>38</v>
      </c>
      <c r="B1204" t="s">
        <v>1619</v>
      </c>
      <c r="C1204" t="s">
        <v>3657</v>
      </c>
      <c r="D1204" s="2" t="s">
        <v>1621</v>
      </c>
      <c r="E1204">
        <v>3.38</v>
      </c>
      <c r="F1204">
        <v>7.0000000000000007E-2</v>
      </c>
      <c r="G1204" t="s">
        <v>3456</v>
      </c>
      <c r="H1204" t="s">
        <v>3457</v>
      </c>
      <c r="I1204">
        <v>724</v>
      </c>
      <c r="J1204">
        <v>724</v>
      </c>
      <c r="M1204" s="2" t="s">
        <v>1715</v>
      </c>
      <c r="N1204" s="2" t="s">
        <v>1701</v>
      </c>
      <c r="O1204" s="5">
        <v>45473.283802777783</v>
      </c>
      <c r="P1204" t="str">
        <f>IF($Q1204="DELETE",IF($S1204="CONFIRMED: NO MODS &gt; 1YR","CONFIRMED: NO MODS &gt; 1YR","DO NOT DELETE — not defensibly confirmed"),IF($Q1204="HOLD","DO NOT DELETE — HOLD (Charlie review)",IF($Q1204="KEEP","DO NOT DELETE — KEEP",IF(ISNUMBER(SEARCH("REVIEW",$Q1204)),"DO NOT DELETE — REVIEW pending",$S1204))))</f>
        <v>DO NOT DELETE — HOLD (Charlie review)</v>
      </c>
      <c r="Q1204" t="str" cm="1">
        <f t="array" ref="Q1204">_xlfn.IFS(AND($A1204="thg-beauty",ISNUMBER(SEARCH("liveramp",$C1204))),"DELETE",$A1204="agile-bonbon-662",_xlfn.IFS(LEFT($G1204,9)="Tranche 1","DELETE",$C1204="Sessions_Level_1_All_Sites","KEEP",ISNUMBER(--$C1204),"REVIEW — UA raw logs",$C1204="Emag_Reporting","KEEP",$C1204="Nutrition_Data_Archived_Tables","KEEP",$C1204="EU_Data","KEEP",TRUE,"REVIEW"),OR($A1204="thg-influencer",$A1204="thg-ingenuity",$A1204="thg-central-marketing",$A1204="thg-seoclarity"),"HOLD",TRUE,"")</f>
        <v>HOLD</v>
      </c>
      <c r="R1204" t="str" cm="1">
        <f t="array" ref="R1204">_xlfn.IFS(AND($A1204="thg-beauty",ISNUMBER(SEARCH("liveramp",$C1204))),"thg-beauty Liveramp dataset — confirmed safe to delete",$A1204="agile-bonbon-662",_xlfn.IFS(LEFT($G1204,9)="Tranche 1","Tranche 1: cleared",$C1204="Sessions_Level_1_All_Sites","Downstream aggregation of UA raw logs — keep if raw tables go",ISNUMBER(--$C1204),"UA raw site logs (account ID) — keep pending audit-retention check",$C1204="Emag_Reporting","Legacy but likely needed",$C1204="Nutrition_Data_Archived_Tables","Worth keeping",$C1204="EU_Data","Static lookup tables — scripts still reference (smoke-test risk)",TRUE,"Review"),OR($A1204="thg-influencer",$A1204="thg-ingenuity",$A1204="thg-central-marketing",$A1204="thg-seoclarity"),"HOLD — Charlie Stringer to review before deletion",TRUE,"")</f>
        <v>HOLD — Charlie Stringer to review before deletion</v>
      </c>
      <c r="S1204" t="s">
        <v>1624</v>
      </c>
    </row>
    <row r="1205" spans="1:19" hidden="1">
      <c r="A1205" t="s">
        <v>38</v>
      </c>
      <c r="B1205" t="s">
        <v>1619</v>
      </c>
      <c r="C1205" t="s">
        <v>3658</v>
      </c>
      <c r="D1205" s="2" t="s">
        <v>1621</v>
      </c>
      <c r="E1205">
        <v>0.06</v>
      </c>
      <c r="F1205">
        <v>0</v>
      </c>
      <c r="G1205" t="s">
        <v>3456</v>
      </c>
      <c r="H1205" t="s">
        <v>3457</v>
      </c>
      <c r="I1205">
        <v>724</v>
      </c>
      <c r="J1205">
        <v>724</v>
      </c>
      <c r="M1205" s="2" t="s">
        <v>1715</v>
      </c>
      <c r="N1205" s="2" t="s">
        <v>1701</v>
      </c>
      <c r="O1205" s="5">
        <v>45472.476318078698</v>
      </c>
      <c r="P1205" t="str">
        <f>IF($Q1205="DELETE",IF($S1205="CONFIRMED: NO MODS &gt; 1YR","CONFIRMED: NO MODS &gt; 1YR","DO NOT DELETE — not defensibly confirmed"),IF($Q1205="HOLD","DO NOT DELETE — HOLD (Charlie review)",IF($Q1205="KEEP","DO NOT DELETE — KEEP",IF(ISNUMBER(SEARCH("REVIEW",$Q1205)),"DO NOT DELETE — REVIEW pending",$S1205))))</f>
        <v>DO NOT DELETE — HOLD (Charlie review)</v>
      </c>
      <c r="Q1205" t="str" cm="1">
        <f t="array" ref="Q1205">_xlfn.IFS(AND($A1205="thg-beauty",ISNUMBER(SEARCH("liveramp",$C1205))),"DELETE",$A1205="agile-bonbon-662",_xlfn.IFS(LEFT($G1205,9)="Tranche 1","DELETE",$C1205="Sessions_Level_1_All_Sites","KEEP",ISNUMBER(--$C1205),"REVIEW — UA raw logs",$C1205="Emag_Reporting","KEEP",$C1205="Nutrition_Data_Archived_Tables","KEEP",$C1205="EU_Data","KEEP",TRUE,"REVIEW"),OR($A1205="thg-influencer",$A1205="thg-ingenuity",$A1205="thg-central-marketing",$A1205="thg-seoclarity"),"HOLD",TRUE,"")</f>
        <v>HOLD</v>
      </c>
      <c r="R1205" t="str" cm="1">
        <f t="array" ref="R1205">_xlfn.IFS(AND($A1205="thg-beauty",ISNUMBER(SEARCH("liveramp",$C1205))),"thg-beauty Liveramp dataset — confirmed safe to delete",$A1205="agile-bonbon-662",_xlfn.IFS(LEFT($G1205,9)="Tranche 1","Tranche 1: cleared",$C1205="Sessions_Level_1_All_Sites","Downstream aggregation of UA raw logs — keep if raw tables go",ISNUMBER(--$C1205),"UA raw site logs (account ID) — keep pending audit-retention check",$C1205="Emag_Reporting","Legacy but likely needed",$C1205="Nutrition_Data_Archived_Tables","Worth keeping",$C1205="EU_Data","Static lookup tables — scripts still reference (smoke-test risk)",TRUE,"Review"),OR($A1205="thg-influencer",$A1205="thg-ingenuity",$A1205="thg-central-marketing",$A1205="thg-seoclarity"),"HOLD — Charlie Stringer to review before deletion",TRUE,"")</f>
        <v>HOLD — Charlie Stringer to review before deletion</v>
      </c>
      <c r="S1205" t="s">
        <v>1624</v>
      </c>
    </row>
    <row r="1206" spans="1:19" hidden="1">
      <c r="A1206" t="s">
        <v>38</v>
      </c>
      <c r="B1206" t="s">
        <v>1619</v>
      </c>
      <c r="C1206" t="s">
        <v>3659</v>
      </c>
      <c r="D1206" s="2" t="s">
        <v>1621</v>
      </c>
      <c r="E1206">
        <v>84.74</v>
      </c>
      <c r="F1206">
        <v>1.69</v>
      </c>
      <c r="G1206" t="s">
        <v>3456</v>
      </c>
      <c r="H1206" t="s">
        <v>3457</v>
      </c>
      <c r="I1206">
        <v>723</v>
      </c>
      <c r="J1206">
        <v>723</v>
      </c>
      <c r="M1206" s="2" t="s">
        <v>1715</v>
      </c>
      <c r="N1206" s="2" t="s">
        <v>1701</v>
      </c>
      <c r="O1206" s="5">
        <v>45474.279258495371</v>
      </c>
      <c r="P1206" t="str">
        <f>IF($Q1206="DELETE",IF($S1206="CONFIRMED: NO MODS &gt; 1YR","CONFIRMED: NO MODS &gt; 1YR","DO NOT DELETE — not defensibly confirmed"),IF($Q1206="HOLD","DO NOT DELETE — HOLD (Charlie review)",IF($Q1206="KEEP","DO NOT DELETE — KEEP",IF(ISNUMBER(SEARCH("REVIEW",$Q1206)),"DO NOT DELETE — REVIEW pending",$S1206))))</f>
        <v>DO NOT DELETE — HOLD (Charlie review)</v>
      </c>
      <c r="Q1206" t="str" cm="1">
        <f t="array" ref="Q1206">_xlfn.IFS(AND($A1206="thg-beauty",ISNUMBER(SEARCH("liveramp",$C1206))),"DELETE",$A1206="agile-bonbon-662",_xlfn.IFS(LEFT($G1206,9)="Tranche 1","DELETE",$C1206="Sessions_Level_1_All_Sites","KEEP",ISNUMBER(--$C1206),"REVIEW — UA raw logs",$C1206="Emag_Reporting","KEEP",$C1206="Nutrition_Data_Archived_Tables","KEEP",$C1206="EU_Data","KEEP",TRUE,"REVIEW"),OR($A1206="thg-influencer",$A1206="thg-ingenuity",$A1206="thg-central-marketing",$A1206="thg-seoclarity"),"HOLD",TRUE,"")</f>
        <v>HOLD</v>
      </c>
      <c r="R1206" t="str" cm="1">
        <f t="array" ref="R1206">_xlfn.IFS(AND($A1206="thg-beauty",ISNUMBER(SEARCH("liveramp",$C1206))),"thg-beauty Liveramp dataset — confirmed safe to delete",$A1206="agile-bonbon-662",_xlfn.IFS(LEFT($G1206,9)="Tranche 1","Tranche 1: cleared",$C1206="Sessions_Level_1_All_Sites","Downstream aggregation of UA raw logs — keep if raw tables go",ISNUMBER(--$C1206),"UA raw site logs (account ID) — keep pending audit-retention check",$C1206="Emag_Reporting","Legacy but likely needed",$C1206="Nutrition_Data_Archived_Tables","Worth keeping",$C1206="EU_Data","Static lookup tables — scripts still reference (smoke-test risk)",TRUE,"Review"),OR($A1206="thg-influencer",$A1206="thg-ingenuity",$A1206="thg-central-marketing",$A1206="thg-seoclarity"),"HOLD — Charlie Stringer to review before deletion",TRUE,"")</f>
        <v>HOLD — Charlie Stringer to review before deletion</v>
      </c>
      <c r="S1206" t="s">
        <v>1624</v>
      </c>
    </row>
    <row r="1207" spans="1:19" hidden="1">
      <c r="A1207" t="s">
        <v>38</v>
      </c>
      <c r="B1207" t="s">
        <v>1619</v>
      </c>
      <c r="C1207" t="s">
        <v>3660</v>
      </c>
      <c r="D1207" s="2" t="s">
        <v>1621</v>
      </c>
      <c r="E1207">
        <v>66.64</v>
      </c>
      <c r="F1207">
        <v>1.33</v>
      </c>
      <c r="G1207" t="s">
        <v>3456</v>
      </c>
      <c r="H1207" t="s">
        <v>3457</v>
      </c>
      <c r="I1207">
        <v>723</v>
      </c>
      <c r="J1207">
        <v>723</v>
      </c>
      <c r="M1207" s="2" t="s">
        <v>1715</v>
      </c>
      <c r="N1207" s="2" t="s">
        <v>1701</v>
      </c>
      <c r="O1207" s="5">
        <v>45474.339915983794</v>
      </c>
      <c r="P1207" t="str">
        <f>IF($Q1207="DELETE",IF($S1207="CONFIRMED: NO MODS &gt; 1YR","CONFIRMED: NO MODS &gt; 1YR","DO NOT DELETE — not defensibly confirmed"),IF($Q1207="HOLD","DO NOT DELETE — HOLD (Charlie review)",IF($Q1207="KEEP","DO NOT DELETE — KEEP",IF(ISNUMBER(SEARCH("REVIEW",$Q1207)),"DO NOT DELETE — REVIEW pending",$S1207))))</f>
        <v>DO NOT DELETE — HOLD (Charlie review)</v>
      </c>
      <c r="Q1207" t="str" cm="1">
        <f t="array" ref="Q1207">_xlfn.IFS(AND($A1207="thg-beauty",ISNUMBER(SEARCH("liveramp",$C1207))),"DELETE",$A1207="agile-bonbon-662",_xlfn.IFS(LEFT($G1207,9)="Tranche 1","DELETE",$C1207="Sessions_Level_1_All_Sites","KEEP",ISNUMBER(--$C1207),"REVIEW — UA raw logs",$C1207="Emag_Reporting","KEEP",$C1207="Nutrition_Data_Archived_Tables","KEEP",$C1207="EU_Data","KEEP",TRUE,"REVIEW"),OR($A1207="thg-influencer",$A1207="thg-ingenuity",$A1207="thg-central-marketing",$A1207="thg-seoclarity"),"HOLD",TRUE,"")</f>
        <v>HOLD</v>
      </c>
      <c r="R1207" t="str" cm="1">
        <f t="array" ref="R1207">_xlfn.IFS(AND($A1207="thg-beauty",ISNUMBER(SEARCH("liveramp",$C1207))),"thg-beauty Liveramp dataset — confirmed safe to delete",$A1207="agile-bonbon-662",_xlfn.IFS(LEFT($G1207,9)="Tranche 1","Tranche 1: cleared",$C1207="Sessions_Level_1_All_Sites","Downstream aggregation of UA raw logs — keep if raw tables go",ISNUMBER(--$C1207),"UA raw site logs (account ID) — keep pending audit-retention check",$C1207="Emag_Reporting","Legacy but likely needed",$C1207="Nutrition_Data_Archived_Tables","Worth keeping",$C1207="EU_Data","Static lookup tables — scripts still reference (smoke-test risk)",TRUE,"Review"),OR($A1207="thg-influencer",$A1207="thg-ingenuity",$A1207="thg-central-marketing",$A1207="thg-seoclarity"),"HOLD — Charlie Stringer to review before deletion",TRUE,"")</f>
        <v>HOLD — Charlie Stringer to review before deletion</v>
      </c>
      <c r="S1207" t="s">
        <v>1624</v>
      </c>
    </row>
    <row r="1208" spans="1:19" hidden="1">
      <c r="A1208" t="s">
        <v>38</v>
      </c>
      <c r="B1208" t="s">
        <v>1619</v>
      </c>
      <c r="C1208" t="s">
        <v>3661</v>
      </c>
      <c r="D1208" s="2" t="s">
        <v>1621</v>
      </c>
      <c r="E1208">
        <v>57.88</v>
      </c>
      <c r="F1208">
        <v>1.1599999999999999</v>
      </c>
      <c r="G1208" t="s">
        <v>3456</v>
      </c>
      <c r="H1208" t="s">
        <v>3457</v>
      </c>
      <c r="I1208">
        <v>723</v>
      </c>
      <c r="J1208">
        <v>723</v>
      </c>
      <c r="M1208" s="2" t="s">
        <v>1715</v>
      </c>
      <c r="N1208" s="2" t="s">
        <v>1701</v>
      </c>
      <c r="O1208" s="5">
        <v>45474.282007442132</v>
      </c>
      <c r="P1208" t="str">
        <f>IF($Q1208="DELETE",IF($S1208="CONFIRMED: NO MODS &gt; 1YR","CONFIRMED: NO MODS &gt; 1YR","DO NOT DELETE — not defensibly confirmed"),IF($Q1208="HOLD","DO NOT DELETE — HOLD (Charlie review)",IF($Q1208="KEEP","DO NOT DELETE — KEEP",IF(ISNUMBER(SEARCH("REVIEW",$Q1208)),"DO NOT DELETE — REVIEW pending",$S1208))))</f>
        <v>DO NOT DELETE — HOLD (Charlie review)</v>
      </c>
      <c r="Q1208" t="str" cm="1">
        <f t="array" ref="Q1208">_xlfn.IFS(AND($A1208="thg-beauty",ISNUMBER(SEARCH("liveramp",$C1208))),"DELETE",$A1208="agile-bonbon-662",_xlfn.IFS(LEFT($G1208,9)="Tranche 1","DELETE",$C1208="Sessions_Level_1_All_Sites","KEEP",ISNUMBER(--$C1208),"REVIEW — UA raw logs",$C1208="Emag_Reporting","KEEP",$C1208="Nutrition_Data_Archived_Tables","KEEP",$C1208="EU_Data","KEEP",TRUE,"REVIEW"),OR($A1208="thg-influencer",$A1208="thg-ingenuity",$A1208="thg-central-marketing",$A1208="thg-seoclarity"),"HOLD",TRUE,"")</f>
        <v>HOLD</v>
      </c>
      <c r="R1208" t="str" cm="1">
        <f t="array" ref="R1208">_xlfn.IFS(AND($A1208="thg-beauty",ISNUMBER(SEARCH("liveramp",$C1208))),"thg-beauty Liveramp dataset — confirmed safe to delete",$A1208="agile-bonbon-662",_xlfn.IFS(LEFT($G1208,9)="Tranche 1","Tranche 1: cleared",$C1208="Sessions_Level_1_All_Sites","Downstream aggregation of UA raw logs — keep if raw tables go",ISNUMBER(--$C1208),"UA raw site logs (account ID) — keep pending audit-retention check",$C1208="Emag_Reporting","Legacy but likely needed",$C1208="Nutrition_Data_Archived_Tables","Worth keeping",$C1208="EU_Data","Static lookup tables — scripts still reference (smoke-test risk)",TRUE,"Review"),OR($A1208="thg-influencer",$A1208="thg-ingenuity",$A1208="thg-central-marketing",$A1208="thg-seoclarity"),"HOLD — Charlie Stringer to review before deletion",TRUE,"")</f>
        <v>HOLD — Charlie Stringer to review before deletion</v>
      </c>
      <c r="S1208" t="s">
        <v>1624</v>
      </c>
    </row>
    <row r="1209" spans="1:19" hidden="1">
      <c r="A1209" t="s">
        <v>38</v>
      </c>
      <c r="B1209" t="s">
        <v>1619</v>
      </c>
      <c r="C1209" t="s">
        <v>3662</v>
      </c>
      <c r="D1209" s="2" t="s">
        <v>1621</v>
      </c>
      <c r="E1209">
        <v>47.09</v>
      </c>
      <c r="F1209">
        <v>0.94</v>
      </c>
      <c r="G1209" t="s">
        <v>3456</v>
      </c>
      <c r="H1209" t="s">
        <v>3457</v>
      </c>
      <c r="I1209">
        <v>723</v>
      </c>
      <c r="J1209">
        <v>723</v>
      </c>
      <c r="M1209" s="2" t="s">
        <v>1715</v>
      </c>
      <c r="N1209" s="2" t="s">
        <v>1701</v>
      </c>
      <c r="O1209" s="5">
        <v>45474.275011238416</v>
      </c>
      <c r="P1209" t="str">
        <f>IF($Q1209="DELETE",IF($S1209="CONFIRMED: NO MODS &gt; 1YR","CONFIRMED: NO MODS &gt; 1YR","DO NOT DELETE — not defensibly confirmed"),IF($Q1209="HOLD","DO NOT DELETE — HOLD (Charlie review)",IF($Q1209="KEEP","DO NOT DELETE — KEEP",IF(ISNUMBER(SEARCH("REVIEW",$Q1209)),"DO NOT DELETE — REVIEW pending",$S1209))))</f>
        <v>DO NOT DELETE — HOLD (Charlie review)</v>
      </c>
      <c r="Q1209" t="str" cm="1">
        <f t="array" ref="Q1209">_xlfn.IFS(AND($A1209="thg-beauty",ISNUMBER(SEARCH("liveramp",$C1209))),"DELETE",$A1209="agile-bonbon-662",_xlfn.IFS(LEFT($G1209,9)="Tranche 1","DELETE",$C1209="Sessions_Level_1_All_Sites","KEEP",ISNUMBER(--$C1209),"REVIEW — UA raw logs",$C1209="Emag_Reporting","KEEP",$C1209="Nutrition_Data_Archived_Tables","KEEP",$C1209="EU_Data","KEEP",TRUE,"REVIEW"),OR($A1209="thg-influencer",$A1209="thg-ingenuity",$A1209="thg-central-marketing",$A1209="thg-seoclarity"),"HOLD",TRUE,"")</f>
        <v>HOLD</v>
      </c>
      <c r="R1209" t="str" cm="1">
        <f t="array" ref="R1209">_xlfn.IFS(AND($A1209="thg-beauty",ISNUMBER(SEARCH("liveramp",$C1209))),"thg-beauty Liveramp dataset — confirmed safe to delete",$A1209="agile-bonbon-662",_xlfn.IFS(LEFT($G1209,9)="Tranche 1","Tranche 1: cleared",$C1209="Sessions_Level_1_All_Sites","Downstream aggregation of UA raw logs — keep if raw tables go",ISNUMBER(--$C1209),"UA raw site logs (account ID) — keep pending audit-retention check",$C1209="Emag_Reporting","Legacy but likely needed",$C1209="Nutrition_Data_Archived_Tables","Worth keeping",$C1209="EU_Data","Static lookup tables — scripts still reference (smoke-test risk)",TRUE,"Review"),OR($A1209="thg-influencer",$A1209="thg-ingenuity",$A1209="thg-central-marketing",$A1209="thg-seoclarity"),"HOLD — Charlie Stringer to review before deletion",TRUE,"")</f>
        <v>HOLD — Charlie Stringer to review before deletion</v>
      </c>
      <c r="S1209" t="s">
        <v>1624</v>
      </c>
    </row>
    <row r="1210" spans="1:19" hidden="1">
      <c r="A1210" t="s">
        <v>38</v>
      </c>
      <c r="B1210" t="s">
        <v>1619</v>
      </c>
      <c r="C1210" t="s">
        <v>3663</v>
      </c>
      <c r="D1210" s="2" t="s">
        <v>1621</v>
      </c>
      <c r="E1210">
        <v>44.48</v>
      </c>
      <c r="F1210">
        <v>0.89</v>
      </c>
      <c r="G1210" t="s">
        <v>3456</v>
      </c>
      <c r="H1210" t="s">
        <v>3457</v>
      </c>
      <c r="I1210">
        <v>723</v>
      </c>
      <c r="J1210">
        <v>723</v>
      </c>
      <c r="M1210" s="2" t="s">
        <v>1715</v>
      </c>
      <c r="N1210" s="2" t="s">
        <v>1701</v>
      </c>
      <c r="O1210" s="5">
        <v>45474.336641006943</v>
      </c>
      <c r="P1210" t="str">
        <f>IF($Q1210="DELETE",IF($S1210="CONFIRMED: NO MODS &gt; 1YR","CONFIRMED: NO MODS &gt; 1YR","DO NOT DELETE — not defensibly confirmed"),IF($Q1210="HOLD","DO NOT DELETE — HOLD (Charlie review)",IF($Q1210="KEEP","DO NOT DELETE — KEEP",IF(ISNUMBER(SEARCH("REVIEW",$Q1210)),"DO NOT DELETE — REVIEW pending",$S1210))))</f>
        <v>DO NOT DELETE — HOLD (Charlie review)</v>
      </c>
      <c r="Q1210" t="str" cm="1">
        <f t="array" ref="Q1210">_xlfn.IFS(AND($A1210="thg-beauty",ISNUMBER(SEARCH("liveramp",$C1210))),"DELETE",$A1210="agile-bonbon-662",_xlfn.IFS(LEFT($G1210,9)="Tranche 1","DELETE",$C1210="Sessions_Level_1_All_Sites","KEEP",ISNUMBER(--$C1210),"REVIEW — UA raw logs",$C1210="Emag_Reporting","KEEP",$C1210="Nutrition_Data_Archived_Tables","KEEP",$C1210="EU_Data","KEEP",TRUE,"REVIEW"),OR($A1210="thg-influencer",$A1210="thg-ingenuity",$A1210="thg-central-marketing",$A1210="thg-seoclarity"),"HOLD",TRUE,"")</f>
        <v>HOLD</v>
      </c>
      <c r="R1210" t="str" cm="1">
        <f t="array" ref="R1210">_xlfn.IFS(AND($A1210="thg-beauty",ISNUMBER(SEARCH("liveramp",$C1210))),"thg-beauty Liveramp dataset — confirmed safe to delete",$A1210="agile-bonbon-662",_xlfn.IFS(LEFT($G1210,9)="Tranche 1","Tranche 1: cleared",$C1210="Sessions_Level_1_All_Sites","Downstream aggregation of UA raw logs — keep if raw tables go",ISNUMBER(--$C1210),"UA raw site logs (account ID) — keep pending audit-retention check",$C1210="Emag_Reporting","Legacy but likely needed",$C1210="Nutrition_Data_Archived_Tables","Worth keeping",$C1210="EU_Data","Static lookup tables — scripts still reference (smoke-test risk)",TRUE,"Review"),OR($A1210="thg-influencer",$A1210="thg-ingenuity",$A1210="thg-central-marketing",$A1210="thg-seoclarity"),"HOLD — Charlie Stringer to review before deletion",TRUE,"")</f>
        <v>HOLD — Charlie Stringer to review before deletion</v>
      </c>
      <c r="S1210" t="s">
        <v>1624</v>
      </c>
    </row>
    <row r="1211" spans="1:19" hidden="1">
      <c r="A1211" t="s">
        <v>38</v>
      </c>
      <c r="B1211" t="s">
        <v>1619</v>
      </c>
      <c r="C1211" t="s">
        <v>3664</v>
      </c>
      <c r="D1211" s="2" t="s">
        <v>1621</v>
      </c>
      <c r="E1211">
        <v>41.03</v>
      </c>
      <c r="F1211">
        <v>0.82</v>
      </c>
      <c r="G1211" t="s">
        <v>3456</v>
      </c>
      <c r="H1211" t="s">
        <v>3457</v>
      </c>
      <c r="I1211">
        <v>723</v>
      </c>
      <c r="J1211">
        <v>723</v>
      </c>
      <c r="M1211" s="2" t="s">
        <v>1715</v>
      </c>
      <c r="N1211" s="2" t="s">
        <v>1701</v>
      </c>
      <c r="O1211" s="5">
        <v>45474.253246469911</v>
      </c>
      <c r="P1211" t="str">
        <f>IF($Q1211="DELETE",IF($S1211="CONFIRMED: NO MODS &gt; 1YR","CONFIRMED: NO MODS &gt; 1YR","DO NOT DELETE — not defensibly confirmed"),IF($Q1211="HOLD","DO NOT DELETE — HOLD (Charlie review)",IF($Q1211="KEEP","DO NOT DELETE — KEEP",IF(ISNUMBER(SEARCH("REVIEW",$Q1211)),"DO NOT DELETE — REVIEW pending",$S1211))))</f>
        <v>DO NOT DELETE — HOLD (Charlie review)</v>
      </c>
      <c r="Q1211" t="str" cm="1">
        <f t="array" ref="Q1211">_xlfn.IFS(AND($A1211="thg-beauty",ISNUMBER(SEARCH("liveramp",$C1211))),"DELETE",$A1211="agile-bonbon-662",_xlfn.IFS(LEFT($G1211,9)="Tranche 1","DELETE",$C1211="Sessions_Level_1_All_Sites","KEEP",ISNUMBER(--$C1211),"REVIEW — UA raw logs",$C1211="Emag_Reporting","KEEP",$C1211="Nutrition_Data_Archived_Tables","KEEP",$C1211="EU_Data","KEEP",TRUE,"REVIEW"),OR($A1211="thg-influencer",$A1211="thg-ingenuity",$A1211="thg-central-marketing",$A1211="thg-seoclarity"),"HOLD",TRUE,"")</f>
        <v>HOLD</v>
      </c>
      <c r="R1211" t="str" cm="1">
        <f t="array" ref="R1211">_xlfn.IFS(AND($A1211="thg-beauty",ISNUMBER(SEARCH("liveramp",$C1211))),"thg-beauty Liveramp dataset — confirmed safe to delete",$A1211="agile-bonbon-662",_xlfn.IFS(LEFT($G1211,9)="Tranche 1","Tranche 1: cleared",$C1211="Sessions_Level_1_All_Sites","Downstream aggregation of UA raw logs — keep if raw tables go",ISNUMBER(--$C1211),"UA raw site logs (account ID) — keep pending audit-retention check",$C1211="Emag_Reporting","Legacy but likely needed",$C1211="Nutrition_Data_Archived_Tables","Worth keeping",$C1211="EU_Data","Static lookup tables — scripts still reference (smoke-test risk)",TRUE,"Review"),OR($A1211="thg-influencer",$A1211="thg-ingenuity",$A1211="thg-central-marketing",$A1211="thg-seoclarity"),"HOLD — Charlie Stringer to review before deletion",TRUE,"")</f>
        <v>HOLD — Charlie Stringer to review before deletion</v>
      </c>
      <c r="S1211" t="s">
        <v>1624</v>
      </c>
    </row>
    <row r="1212" spans="1:19" hidden="1">
      <c r="A1212" t="s">
        <v>38</v>
      </c>
      <c r="B1212" t="s">
        <v>1619</v>
      </c>
      <c r="C1212" t="s">
        <v>3665</v>
      </c>
      <c r="D1212" s="2" t="s">
        <v>1621</v>
      </c>
      <c r="E1212">
        <v>36.520000000000003</v>
      </c>
      <c r="F1212">
        <v>0.73</v>
      </c>
      <c r="G1212" t="s">
        <v>3456</v>
      </c>
      <c r="H1212" t="s">
        <v>3457</v>
      </c>
      <c r="I1212">
        <v>723</v>
      </c>
      <c r="J1212">
        <v>723</v>
      </c>
      <c r="M1212" s="2" t="s">
        <v>1715</v>
      </c>
      <c r="N1212" s="2" t="s">
        <v>1701</v>
      </c>
      <c r="O1212" s="5">
        <v>45474.281023020827</v>
      </c>
      <c r="P1212" t="str">
        <f>IF($Q1212="DELETE",IF($S1212="CONFIRMED: NO MODS &gt; 1YR","CONFIRMED: NO MODS &gt; 1YR","DO NOT DELETE — not defensibly confirmed"),IF($Q1212="HOLD","DO NOT DELETE — HOLD (Charlie review)",IF($Q1212="KEEP","DO NOT DELETE — KEEP",IF(ISNUMBER(SEARCH("REVIEW",$Q1212)),"DO NOT DELETE — REVIEW pending",$S1212))))</f>
        <v>DO NOT DELETE — HOLD (Charlie review)</v>
      </c>
      <c r="Q1212" t="str" cm="1">
        <f t="array" ref="Q1212">_xlfn.IFS(AND($A1212="thg-beauty",ISNUMBER(SEARCH("liveramp",$C1212))),"DELETE",$A1212="agile-bonbon-662",_xlfn.IFS(LEFT($G1212,9)="Tranche 1","DELETE",$C1212="Sessions_Level_1_All_Sites","KEEP",ISNUMBER(--$C1212),"REVIEW — UA raw logs",$C1212="Emag_Reporting","KEEP",$C1212="Nutrition_Data_Archived_Tables","KEEP",$C1212="EU_Data","KEEP",TRUE,"REVIEW"),OR($A1212="thg-influencer",$A1212="thg-ingenuity",$A1212="thg-central-marketing",$A1212="thg-seoclarity"),"HOLD",TRUE,"")</f>
        <v>HOLD</v>
      </c>
      <c r="R1212" t="str" cm="1">
        <f t="array" ref="R1212">_xlfn.IFS(AND($A1212="thg-beauty",ISNUMBER(SEARCH("liveramp",$C1212))),"thg-beauty Liveramp dataset — confirmed safe to delete",$A1212="agile-bonbon-662",_xlfn.IFS(LEFT($G1212,9)="Tranche 1","Tranche 1: cleared",$C1212="Sessions_Level_1_All_Sites","Downstream aggregation of UA raw logs — keep if raw tables go",ISNUMBER(--$C1212),"UA raw site logs (account ID) — keep pending audit-retention check",$C1212="Emag_Reporting","Legacy but likely needed",$C1212="Nutrition_Data_Archived_Tables","Worth keeping",$C1212="EU_Data","Static lookup tables — scripts still reference (smoke-test risk)",TRUE,"Review"),OR($A1212="thg-influencer",$A1212="thg-ingenuity",$A1212="thg-central-marketing",$A1212="thg-seoclarity"),"HOLD — Charlie Stringer to review before deletion",TRUE,"")</f>
        <v>HOLD — Charlie Stringer to review before deletion</v>
      </c>
      <c r="S1212" t="s">
        <v>1624</v>
      </c>
    </row>
    <row r="1213" spans="1:19" hidden="1">
      <c r="A1213" t="s">
        <v>38</v>
      </c>
      <c r="B1213" t="s">
        <v>1619</v>
      </c>
      <c r="C1213" t="s">
        <v>3666</v>
      </c>
      <c r="D1213" s="2" t="s">
        <v>1621</v>
      </c>
      <c r="E1213">
        <v>26.87</v>
      </c>
      <c r="F1213">
        <v>0.54</v>
      </c>
      <c r="G1213" t="s">
        <v>3456</v>
      </c>
      <c r="H1213" t="s">
        <v>3457</v>
      </c>
      <c r="I1213">
        <v>723</v>
      </c>
      <c r="J1213">
        <v>723</v>
      </c>
      <c r="M1213" s="2" t="s">
        <v>1715</v>
      </c>
      <c r="N1213" s="2" t="s">
        <v>1701</v>
      </c>
      <c r="O1213" s="5">
        <v>45474.281419652783</v>
      </c>
      <c r="P1213" t="str">
        <f>IF($Q1213="DELETE",IF($S1213="CONFIRMED: NO MODS &gt; 1YR","CONFIRMED: NO MODS &gt; 1YR","DO NOT DELETE — not defensibly confirmed"),IF($Q1213="HOLD","DO NOT DELETE — HOLD (Charlie review)",IF($Q1213="KEEP","DO NOT DELETE — KEEP",IF(ISNUMBER(SEARCH("REVIEW",$Q1213)),"DO NOT DELETE — REVIEW pending",$S1213))))</f>
        <v>DO NOT DELETE — HOLD (Charlie review)</v>
      </c>
      <c r="Q1213" t="str" cm="1">
        <f t="array" ref="Q1213">_xlfn.IFS(AND($A1213="thg-beauty",ISNUMBER(SEARCH("liveramp",$C1213))),"DELETE",$A1213="agile-bonbon-662",_xlfn.IFS(LEFT($G1213,9)="Tranche 1","DELETE",$C1213="Sessions_Level_1_All_Sites","KEEP",ISNUMBER(--$C1213),"REVIEW — UA raw logs",$C1213="Emag_Reporting","KEEP",$C1213="Nutrition_Data_Archived_Tables","KEEP",$C1213="EU_Data","KEEP",TRUE,"REVIEW"),OR($A1213="thg-influencer",$A1213="thg-ingenuity",$A1213="thg-central-marketing",$A1213="thg-seoclarity"),"HOLD",TRUE,"")</f>
        <v>HOLD</v>
      </c>
      <c r="R1213" t="str" cm="1">
        <f t="array" ref="R1213">_xlfn.IFS(AND($A1213="thg-beauty",ISNUMBER(SEARCH("liveramp",$C1213))),"thg-beauty Liveramp dataset — confirmed safe to delete",$A1213="agile-bonbon-662",_xlfn.IFS(LEFT($G1213,9)="Tranche 1","Tranche 1: cleared",$C1213="Sessions_Level_1_All_Sites","Downstream aggregation of UA raw logs — keep if raw tables go",ISNUMBER(--$C1213),"UA raw site logs (account ID) — keep pending audit-retention check",$C1213="Emag_Reporting","Legacy but likely needed",$C1213="Nutrition_Data_Archived_Tables","Worth keeping",$C1213="EU_Data","Static lookup tables — scripts still reference (smoke-test risk)",TRUE,"Review"),OR($A1213="thg-influencer",$A1213="thg-ingenuity",$A1213="thg-central-marketing",$A1213="thg-seoclarity"),"HOLD — Charlie Stringer to review before deletion",TRUE,"")</f>
        <v>HOLD — Charlie Stringer to review before deletion</v>
      </c>
      <c r="S1213" t="s">
        <v>1624</v>
      </c>
    </row>
    <row r="1214" spans="1:19" hidden="1">
      <c r="A1214" t="s">
        <v>38</v>
      </c>
      <c r="B1214" t="s">
        <v>1619</v>
      </c>
      <c r="C1214" t="s">
        <v>3667</v>
      </c>
      <c r="D1214" s="2" t="s">
        <v>1621</v>
      </c>
      <c r="E1214">
        <v>24.15</v>
      </c>
      <c r="F1214">
        <v>0.48</v>
      </c>
      <c r="G1214" t="s">
        <v>3456</v>
      </c>
      <c r="H1214" t="s">
        <v>3457</v>
      </c>
      <c r="I1214">
        <v>723</v>
      </c>
      <c r="J1214">
        <v>723</v>
      </c>
      <c r="M1214" s="2" t="s">
        <v>1715</v>
      </c>
      <c r="N1214" s="2" t="s">
        <v>1701</v>
      </c>
      <c r="O1214" s="5">
        <v>45474.281761018523</v>
      </c>
      <c r="P1214" t="str">
        <f>IF($Q1214="DELETE",IF($S1214="CONFIRMED: NO MODS &gt; 1YR","CONFIRMED: NO MODS &gt; 1YR","DO NOT DELETE — not defensibly confirmed"),IF($Q1214="HOLD","DO NOT DELETE — HOLD (Charlie review)",IF($Q1214="KEEP","DO NOT DELETE — KEEP",IF(ISNUMBER(SEARCH("REVIEW",$Q1214)),"DO NOT DELETE — REVIEW pending",$S1214))))</f>
        <v>DO NOT DELETE — HOLD (Charlie review)</v>
      </c>
      <c r="Q1214" t="str" cm="1">
        <f t="array" ref="Q1214">_xlfn.IFS(AND($A1214="thg-beauty",ISNUMBER(SEARCH("liveramp",$C1214))),"DELETE",$A1214="agile-bonbon-662",_xlfn.IFS(LEFT($G1214,9)="Tranche 1","DELETE",$C1214="Sessions_Level_1_All_Sites","KEEP",ISNUMBER(--$C1214),"REVIEW — UA raw logs",$C1214="Emag_Reporting","KEEP",$C1214="Nutrition_Data_Archived_Tables","KEEP",$C1214="EU_Data","KEEP",TRUE,"REVIEW"),OR($A1214="thg-influencer",$A1214="thg-ingenuity",$A1214="thg-central-marketing",$A1214="thg-seoclarity"),"HOLD",TRUE,"")</f>
        <v>HOLD</v>
      </c>
      <c r="R1214" t="str" cm="1">
        <f t="array" ref="R1214">_xlfn.IFS(AND($A1214="thg-beauty",ISNUMBER(SEARCH("liveramp",$C1214))),"thg-beauty Liveramp dataset — confirmed safe to delete",$A1214="agile-bonbon-662",_xlfn.IFS(LEFT($G1214,9)="Tranche 1","Tranche 1: cleared",$C1214="Sessions_Level_1_All_Sites","Downstream aggregation of UA raw logs — keep if raw tables go",ISNUMBER(--$C1214),"UA raw site logs (account ID) — keep pending audit-retention check",$C1214="Emag_Reporting","Legacy but likely needed",$C1214="Nutrition_Data_Archived_Tables","Worth keeping",$C1214="EU_Data","Static lookup tables — scripts still reference (smoke-test risk)",TRUE,"Review"),OR($A1214="thg-influencer",$A1214="thg-ingenuity",$A1214="thg-central-marketing",$A1214="thg-seoclarity"),"HOLD — Charlie Stringer to review before deletion",TRUE,"")</f>
        <v>HOLD — Charlie Stringer to review before deletion</v>
      </c>
      <c r="S1214" t="s">
        <v>1624</v>
      </c>
    </row>
    <row r="1215" spans="1:19" hidden="1">
      <c r="A1215" t="s">
        <v>38</v>
      </c>
      <c r="B1215" t="s">
        <v>1619</v>
      </c>
      <c r="C1215" t="s">
        <v>3668</v>
      </c>
      <c r="D1215" s="2" t="s">
        <v>1621</v>
      </c>
      <c r="E1215">
        <v>23.46</v>
      </c>
      <c r="F1215">
        <v>0.47</v>
      </c>
      <c r="G1215" t="s">
        <v>3456</v>
      </c>
      <c r="H1215" t="s">
        <v>3457</v>
      </c>
      <c r="I1215">
        <v>723</v>
      </c>
      <c r="J1215">
        <v>723</v>
      </c>
      <c r="M1215" s="2" t="s">
        <v>1715</v>
      </c>
      <c r="N1215" s="2" t="s">
        <v>1701</v>
      </c>
      <c r="O1215" s="5">
        <v>45474.281049756937</v>
      </c>
      <c r="P1215" t="str">
        <f>IF($Q1215="DELETE",IF($S1215="CONFIRMED: NO MODS &gt; 1YR","CONFIRMED: NO MODS &gt; 1YR","DO NOT DELETE — not defensibly confirmed"),IF($Q1215="HOLD","DO NOT DELETE — HOLD (Charlie review)",IF($Q1215="KEEP","DO NOT DELETE — KEEP",IF(ISNUMBER(SEARCH("REVIEW",$Q1215)),"DO NOT DELETE — REVIEW pending",$S1215))))</f>
        <v>DO NOT DELETE — HOLD (Charlie review)</v>
      </c>
      <c r="Q1215" t="str" cm="1">
        <f t="array" ref="Q1215">_xlfn.IFS(AND($A1215="thg-beauty",ISNUMBER(SEARCH("liveramp",$C1215))),"DELETE",$A1215="agile-bonbon-662",_xlfn.IFS(LEFT($G1215,9)="Tranche 1","DELETE",$C1215="Sessions_Level_1_All_Sites","KEEP",ISNUMBER(--$C1215),"REVIEW — UA raw logs",$C1215="Emag_Reporting","KEEP",$C1215="Nutrition_Data_Archived_Tables","KEEP",$C1215="EU_Data","KEEP",TRUE,"REVIEW"),OR($A1215="thg-influencer",$A1215="thg-ingenuity",$A1215="thg-central-marketing",$A1215="thg-seoclarity"),"HOLD",TRUE,"")</f>
        <v>HOLD</v>
      </c>
      <c r="R1215" t="str" cm="1">
        <f t="array" ref="R1215">_xlfn.IFS(AND($A1215="thg-beauty",ISNUMBER(SEARCH("liveramp",$C1215))),"thg-beauty Liveramp dataset — confirmed safe to delete",$A1215="agile-bonbon-662",_xlfn.IFS(LEFT($G1215,9)="Tranche 1","Tranche 1: cleared",$C1215="Sessions_Level_1_All_Sites","Downstream aggregation of UA raw logs — keep if raw tables go",ISNUMBER(--$C1215),"UA raw site logs (account ID) — keep pending audit-retention check",$C1215="Emag_Reporting","Legacy but likely needed",$C1215="Nutrition_Data_Archived_Tables","Worth keeping",$C1215="EU_Data","Static lookup tables — scripts still reference (smoke-test risk)",TRUE,"Review"),OR($A1215="thg-influencer",$A1215="thg-ingenuity",$A1215="thg-central-marketing",$A1215="thg-seoclarity"),"HOLD — Charlie Stringer to review before deletion",TRUE,"")</f>
        <v>HOLD — Charlie Stringer to review before deletion</v>
      </c>
      <c r="S1215" t="s">
        <v>1624</v>
      </c>
    </row>
    <row r="1216" spans="1:19" hidden="1">
      <c r="A1216" t="s">
        <v>38</v>
      </c>
      <c r="B1216" t="s">
        <v>1619</v>
      </c>
      <c r="C1216" t="s">
        <v>3669</v>
      </c>
      <c r="D1216" s="2" t="s">
        <v>1621</v>
      </c>
      <c r="E1216">
        <v>22.01</v>
      </c>
      <c r="F1216">
        <v>0.44</v>
      </c>
      <c r="G1216" t="s">
        <v>3456</v>
      </c>
      <c r="H1216" t="s">
        <v>3457</v>
      </c>
      <c r="I1216">
        <v>723</v>
      </c>
      <c r="J1216">
        <v>723</v>
      </c>
      <c r="M1216" s="2" t="s">
        <v>1715</v>
      </c>
      <c r="N1216" s="2" t="s">
        <v>1701</v>
      </c>
      <c r="O1216" s="5">
        <v>45474.280087129628</v>
      </c>
      <c r="P1216" t="str">
        <f>IF($Q1216="DELETE",IF($S1216="CONFIRMED: NO MODS &gt; 1YR","CONFIRMED: NO MODS &gt; 1YR","DO NOT DELETE — not defensibly confirmed"),IF($Q1216="HOLD","DO NOT DELETE — HOLD (Charlie review)",IF($Q1216="KEEP","DO NOT DELETE — KEEP",IF(ISNUMBER(SEARCH("REVIEW",$Q1216)),"DO NOT DELETE — REVIEW pending",$S1216))))</f>
        <v>DO NOT DELETE — HOLD (Charlie review)</v>
      </c>
      <c r="Q1216" t="str" cm="1">
        <f t="array" ref="Q1216">_xlfn.IFS(AND($A1216="thg-beauty",ISNUMBER(SEARCH("liveramp",$C1216))),"DELETE",$A1216="agile-bonbon-662",_xlfn.IFS(LEFT($G1216,9)="Tranche 1","DELETE",$C1216="Sessions_Level_1_All_Sites","KEEP",ISNUMBER(--$C1216),"REVIEW — UA raw logs",$C1216="Emag_Reporting","KEEP",$C1216="Nutrition_Data_Archived_Tables","KEEP",$C1216="EU_Data","KEEP",TRUE,"REVIEW"),OR($A1216="thg-influencer",$A1216="thg-ingenuity",$A1216="thg-central-marketing",$A1216="thg-seoclarity"),"HOLD",TRUE,"")</f>
        <v>HOLD</v>
      </c>
      <c r="R1216" t="str" cm="1">
        <f t="array" ref="R1216">_xlfn.IFS(AND($A1216="thg-beauty",ISNUMBER(SEARCH("liveramp",$C1216))),"thg-beauty Liveramp dataset — confirmed safe to delete",$A1216="agile-bonbon-662",_xlfn.IFS(LEFT($G1216,9)="Tranche 1","Tranche 1: cleared",$C1216="Sessions_Level_1_All_Sites","Downstream aggregation of UA raw logs — keep if raw tables go",ISNUMBER(--$C1216),"UA raw site logs (account ID) — keep pending audit-retention check",$C1216="Emag_Reporting","Legacy but likely needed",$C1216="Nutrition_Data_Archived_Tables","Worth keeping",$C1216="EU_Data","Static lookup tables — scripts still reference (smoke-test risk)",TRUE,"Review"),OR($A1216="thg-influencer",$A1216="thg-ingenuity",$A1216="thg-central-marketing",$A1216="thg-seoclarity"),"HOLD — Charlie Stringer to review before deletion",TRUE,"")</f>
        <v>HOLD — Charlie Stringer to review before deletion</v>
      </c>
      <c r="S1216" t="s">
        <v>1624</v>
      </c>
    </row>
    <row r="1217" spans="1:19" hidden="1">
      <c r="A1217" t="s">
        <v>38</v>
      </c>
      <c r="B1217" t="s">
        <v>1619</v>
      </c>
      <c r="C1217" t="s">
        <v>3670</v>
      </c>
      <c r="D1217" s="2" t="s">
        <v>1621</v>
      </c>
      <c r="E1217">
        <v>19.43</v>
      </c>
      <c r="F1217">
        <v>0.39</v>
      </c>
      <c r="G1217" t="s">
        <v>3456</v>
      </c>
      <c r="H1217" t="s">
        <v>3457</v>
      </c>
      <c r="I1217">
        <v>723</v>
      </c>
      <c r="J1217">
        <v>723</v>
      </c>
      <c r="M1217" s="2" t="s">
        <v>1715</v>
      </c>
      <c r="N1217" s="2" t="s">
        <v>1701</v>
      </c>
      <c r="O1217" s="5">
        <v>45474.280225543982</v>
      </c>
      <c r="P1217" t="str">
        <f>IF($Q1217="DELETE",IF($S1217="CONFIRMED: NO MODS &gt; 1YR","CONFIRMED: NO MODS &gt; 1YR","DO NOT DELETE — not defensibly confirmed"),IF($Q1217="HOLD","DO NOT DELETE — HOLD (Charlie review)",IF($Q1217="KEEP","DO NOT DELETE — KEEP",IF(ISNUMBER(SEARCH("REVIEW",$Q1217)),"DO NOT DELETE — REVIEW pending",$S1217))))</f>
        <v>DO NOT DELETE — HOLD (Charlie review)</v>
      </c>
      <c r="Q1217" t="str" cm="1">
        <f t="array" ref="Q1217">_xlfn.IFS(AND($A1217="thg-beauty",ISNUMBER(SEARCH("liveramp",$C1217))),"DELETE",$A1217="agile-bonbon-662",_xlfn.IFS(LEFT($G1217,9)="Tranche 1","DELETE",$C1217="Sessions_Level_1_All_Sites","KEEP",ISNUMBER(--$C1217),"REVIEW — UA raw logs",$C1217="Emag_Reporting","KEEP",$C1217="Nutrition_Data_Archived_Tables","KEEP",$C1217="EU_Data","KEEP",TRUE,"REVIEW"),OR($A1217="thg-influencer",$A1217="thg-ingenuity",$A1217="thg-central-marketing",$A1217="thg-seoclarity"),"HOLD",TRUE,"")</f>
        <v>HOLD</v>
      </c>
      <c r="R1217" t="str" cm="1">
        <f t="array" ref="R1217">_xlfn.IFS(AND($A1217="thg-beauty",ISNUMBER(SEARCH("liveramp",$C1217))),"thg-beauty Liveramp dataset — confirmed safe to delete",$A1217="agile-bonbon-662",_xlfn.IFS(LEFT($G1217,9)="Tranche 1","Tranche 1: cleared",$C1217="Sessions_Level_1_All_Sites","Downstream aggregation of UA raw logs — keep if raw tables go",ISNUMBER(--$C1217),"UA raw site logs (account ID) — keep pending audit-retention check",$C1217="Emag_Reporting","Legacy but likely needed",$C1217="Nutrition_Data_Archived_Tables","Worth keeping",$C1217="EU_Data","Static lookup tables — scripts still reference (smoke-test risk)",TRUE,"Review"),OR($A1217="thg-influencer",$A1217="thg-ingenuity",$A1217="thg-central-marketing",$A1217="thg-seoclarity"),"HOLD — Charlie Stringer to review before deletion",TRUE,"")</f>
        <v>HOLD — Charlie Stringer to review before deletion</v>
      </c>
      <c r="S1217" t="s">
        <v>1624</v>
      </c>
    </row>
    <row r="1218" spans="1:19" hidden="1">
      <c r="A1218" t="s">
        <v>38</v>
      </c>
      <c r="B1218" t="s">
        <v>1619</v>
      </c>
      <c r="C1218" t="s">
        <v>3671</v>
      </c>
      <c r="D1218" s="2" t="s">
        <v>1621</v>
      </c>
      <c r="E1218">
        <v>17.399999999999999</v>
      </c>
      <c r="F1218">
        <v>0.35</v>
      </c>
      <c r="G1218" t="s">
        <v>3456</v>
      </c>
      <c r="H1218" t="s">
        <v>3457</v>
      </c>
      <c r="I1218">
        <v>723</v>
      </c>
      <c r="J1218">
        <v>723</v>
      </c>
      <c r="M1218" s="2" t="s">
        <v>1715</v>
      </c>
      <c r="N1218" s="2" t="s">
        <v>1701</v>
      </c>
      <c r="O1218" s="5">
        <v>45474.281111238422</v>
      </c>
      <c r="P1218" t="str">
        <f>IF($Q1218="DELETE",IF($S1218="CONFIRMED: NO MODS &gt; 1YR","CONFIRMED: NO MODS &gt; 1YR","DO NOT DELETE — not defensibly confirmed"),IF($Q1218="HOLD","DO NOT DELETE — HOLD (Charlie review)",IF($Q1218="KEEP","DO NOT DELETE — KEEP",IF(ISNUMBER(SEARCH("REVIEW",$Q1218)),"DO NOT DELETE — REVIEW pending",$S1218))))</f>
        <v>DO NOT DELETE — HOLD (Charlie review)</v>
      </c>
      <c r="Q1218" t="str" cm="1">
        <f t="array" ref="Q1218">_xlfn.IFS(AND($A1218="thg-beauty",ISNUMBER(SEARCH("liveramp",$C1218))),"DELETE",$A1218="agile-bonbon-662",_xlfn.IFS(LEFT($G1218,9)="Tranche 1","DELETE",$C1218="Sessions_Level_1_All_Sites","KEEP",ISNUMBER(--$C1218),"REVIEW — UA raw logs",$C1218="Emag_Reporting","KEEP",$C1218="Nutrition_Data_Archived_Tables","KEEP",$C1218="EU_Data","KEEP",TRUE,"REVIEW"),OR($A1218="thg-influencer",$A1218="thg-ingenuity",$A1218="thg-central-marketing",$A1218="thg-seoclarity"),"HOLD",TRUE,"")</f>
        <v>HOLD</v>
      </c>
      <c r="R1218" t="str" cm="1">
        <f t="array" ref="R1218">_xlfn.IFS(AND($A1218="thg-beauty",ISNUMBER(SEARCH("liveramp",$C1218))),"thg-beauty Liveramp dataset — confirmed safe to delete",$A1218="agile-bonbon-662",_xlfn.IFS(LEFT($G1218,9)="Tranche 1","Tranche 1: cleared",$C1218="Sessions_Level_1_All_Sites","Downstream aggregation of UA raw logs — keep if raw tables go",ISNUMBER(--$C1218),"UA raw site logs (account ID) — keep pending audit-retention check",$C1218="Emag_Reporting","Legacy but likely needed",$C1218="Nutrition_Data_Archived_Tables","Worth keeping",$C1218="EU_Data","Static lookup tables — scripts still reference (smoke-test risk)",TRUE,"Review"),OR($A1218="thg-influencer",$A1218="thg-ingenuity",$A1218="thg-central-marketing",$A1218="thg-seoclarity"),"HOLD — Charlie Stringer to review before deletion",TRUE,"")</f>
        <v>HOLD — Charlie Stringer to review before deletion</v>
      </c>
      <c r="S1218" t="s">
        <v>1624</v>
      </c>
    </row>
    <row r="1219" spans="1:19" hidden="1">
      <c r="A1219" t="s">
        <v>38</v>
      </c>
      <c r="B1219" t="s">
        <v>1619</v>
      </c>
      <c r="C1219" t="s">
        <v>3672</v>
      </c>
      <c r="D1219" s="2" t="s">
        <v>1621</v>
      </c>
      <c r="E1219">
        <v>16.690000000000001</v>
      </c>
      <c r="F1219">
        <v>0.33</v>
      </c>
      <c r="G1219" t="s">
        <v>3456</v>
      </c>
      <c r="H1219" t="s">
        <v>3457</v>
      </c>
      <c r="I1219">
        <v>723</v>
      </c>
      <c r="J1219">
        <v>723</v>
      </c>
      <c r="M1219" s="2" t="s">
        <v>1715</v>
      </c>
      <c r="N1219" s="2" t="s">
        <v>1701</v>
      </c>
      <c r="O1219" s="5">
        <v>45474.282088148153</v>
      </c>
      <c r="P1219" t="str">
        <f>IF($Q1219="DELETE",IF($S1219="CONFIRMED: NO MODS &gt; 1YR","CONFIRMED: NO MODS &gt; 1YR","DO NOT DELETE — not defensibly confirmed"),IF($Q1219="HOLD","DO NOT DELETE — HOLD (Charlie review)",IF($Q1219="KEEP","DO NOT DELETE — KEEP",IF(ISNUMBER(SEARCH("REVIEW",$Q1219)),"DO NOT DELETE — REVIEW pending",$S1219))))</f>
        <v>DO NOT DELETE — HOLD (Charlie review)</v>
      </c>
      <c r="Q1219" t="str" cm="1">
        <f t="array" ref="Q1219">_xlfn.IFS(AND($A1219="thg-beauty",ISNUMBER(SEARCH("liveramp",$C1219))),"DELETE",$A1219="agile-bonbon-662",_xlfn.IFS(LEFT($G1219,9)="Tranche 1","DELETE",$C1219="Sessions_Level_1_All_Sites","KEEP",ISNUMBER(--$C1219),"REVIEW — UA raw logs",$C1219="Emag_Reporting","KEEP",$C1219="Nutrition_Data_Archived_Tables","KEEP",$C1219="EU_Data","KEEP",TRUE,"REVIEW"),OR($A1219="thg-influencer",$A1219="thg-ingenuity",$A1219="thg-central-marketing",$A1219="thg-seoclarity"),"HOLD",TRUE,"")</f>
        <v>HOLD</v>
      </c>
      <c r="R1219" t="str" cm="1">
        <f t="array" ref="R1219">_xlfn.IFS(AND($A1219="thg-beauty",ISNUMBER(SEARCH("liveramp",$C1219))),"thg-beauty Liveramp dataset — confirmed safe to delete",$A1219="agile-bonbon-662",_xlfn.IFS(LEFT($G1219,9)="Tranche 1","Tranche 1: cleared",$C1219="Sessions_Level_1_All_Sites","Downstream aggregation of UA raw logs — keep if raw tables go",ISNUMBER(--$C1219),"UA raw site logs (account ID) — keep pending audit-retention check",$C1219="Emag_Reporting","Legacy but likely needed",$C1219="Nutrition_Data_Archived_Tables","Worth keeping",$C1219="EU_Data","Static lookup tables — scripts still reference (smoke-test risk)",TRUE,"Review"),OR($A1219="thg-influencer",$A1219="thg-ingenuity",$A1219="thg-central-marketing",$A1219="thg-seoclarity"),"HOLD — Charlie Stringer to review before deletion",TRUE,"")</f>
        <v>HOLD — Charlie Stringer to review before deletion</v>
      </c>
      <c r="S1219" t="s">
        <v>1624</v>
      </c>
    </row>
    <row r="1220" spans="1:19" hidden="1">
      <c r="A1220" t="s">
        <v>38</v>
      </c>
      <c r="B1220" t="s">
        <v>1619</v>
      </c>
      <c r="C1220" t="s">
        <v>3673</v>
      </c>
      <c r="D1220" s="2" t="s">
        <v>1621</v>
      </c>
      <c r="E1220">
        <v>16.32</v>
      </c>
      <c r="F1220">
        <v>0.33</v>
      </c>
      <c r="G1220" t="s">
        <v>3456</v>
      </c>
      <c r="H1220" t="s">
        <v>3457</v>
      </c>
      <c r="I1220">
        <v>723</v>
      </c>
      <c r="J1220">
        <v>723</v>
      </c>
      <c r="M1220" s="2" t="s">
        <v>1715</v>
      </c>
      <c r="N1220" s="2" t="s">
        <v>1701</v>
      </c>
      <c r="O1220" s="5">
        <v>45474.281494502313</v>
      </c>
      <c r="P1220" t="str">
        <f>IF($Q1220="DELETE",IF($S1220="CONFIRMED: NO MODS &gt; 1YR","CONFIRMED: NO MODS &gt; 1YR","DO NOT DELETE — not defensibly confirmed"),IF($Q1220="HOLD","DO NOT DELETE — HOLD (Charlie review)",IF($Q1220="KEEP","DO NOT DELETE — KEEP",IF(ISNUMBER(SEARCH("REVIEW",$Q1220)),"DO NOT DELETE — REVIEW pending",$S1220))))</f>
        <v>DO NOT DELETE — HOLD (Charlie review)</v>
      </c>
      <c r="Q1220" t="str" cm="1">
        <f t="array" ref="Q1220">_xlfn.IFS(AND($A1220="thg-beauty",ISNUMBER(SEARCH("liveramp",$C1220))),"DELETE",$A1220="agile-bonbon-662",_xlfn.IFS(LEFT($G1220,9)="Tranche 1","DELETE",$C1220="Sessions_Level_1_All_Sites","KEEP",ISNUMBER(--$C1220),"REVIEW — UA raw logs",$C1220="Emag_Reporting","KEEP",$C1220="Nutrition_Data_Archived_Tables","KEEP",$C1220="EU_Data","KEEP",TRUE,"REVIEW"),OR($A1220="thg-influencer",$A1220="thg-ingenuity",$A1220="thg-central-marketing",$A1220="thg-seoclarity"),"HOLD",TRUE,"")</f>
        <v>HOLD</v>
      </c>
      <c r="R1220" t="str" cm="1">
        <f t="array" ref="R1220">_xlfn.IFS(AND($A1220="thg-beauty",ISNUMBER(SEARCH("liveramp",$C1220))),"thg-beauty Liveramp dataset — confirmed safe to delete",$A1220="agile-bonbon-662",_xlfn.IFS(LEFT($G1220,9)="Tranche 1","Tranche 1: cleared",$C1220="Sessions_Level_1_All_Sites","Downstream aggregation of UA raw logs — keep if raw tables go",ISNUMBER(--$C1220),"UA raw site logs (account ID) — keep pending audit-retention check",$C1220="Emag_Reporting","Legacy but likely needed",$C1220="Nutrition_Data_Archived_Tables","Worth keeping",$C1220="EU_Data","Static lookup tables — scripts still reference (smoke-test risk)",TRUE,"Review"),OR($A1220="thg-influencer",$A1220="thg-ingenuity",$A1220="thg-central-marketing",$A1220="thg-seoclarity"),"HOLD — Charlie Stringer to review before deletion",TRUE,"")</f>
        <v>HOLD — Charlie Stringer to review before deletion</v>
      </c>
      <c r="S1220" t="s">
        <v>1624</v>
      </c>
    </row>
    <row r="1221" spans="1:19" hidden="1">
      <c r="A1221" t="s">
        <v>38</v>
      </c>
      <c r="B1221" t="s">
        <v>1619</v>
      </c>
      <c r="C1221" t="s">
        <v>3674</v>
      </c>
      <c r="D1221" s="2" t="s">
        <v>1621</v>
      </c>
      <c r="E1221">
        <v>16.02</v>
      </c>
      <c r="F1221">
        <v>0.32</v>
      </c>
      <c r="G1221" t="s">
        <v>3456</v>
      </c>
      <c r="H1221" t="s">
        <v>3457</v>
      </c>
      <c r="I1221">
        <v>723</v>
      </c>
      <c r="J1221">
        <v>723</v>
      </c>
      <c r="M1221" s="2" t="s">
        <v>1715</v>
      </c>
      <c r="N1221" s="2" t="s">
        <v>1701</v>
      </c>
      <c r="O1221" s="5">
        <v>45474.280378148149</v>
      </c>
      <c r="P1221" t="str">
        <f>IF($Q1221="DELETE",IF($S1221="CONFIRMED: NO MODS &gt; 1YR","CONFIRMED: NO MODS &gt; 1YR","DO NOT DELETE — not defensibly confirmed"),IF($Q1221="HOLD","DO NOT DELETE — HOLD (Charlie review)",IF($Q1221="KEEP","DO NOT DELETE — KEEP",IF(ISNUMBER(SEARCH("REVIEW",$Q1221)),"DO NOT DELETE — REVIEW pending",$S1221))))</f>
        <v>DO NOT DELETE — HOLD (Charlie review)</v>
      </c>
      <c r="Q1221" t="str" cm="1">
        <f t="array" ref="Q1221">_xlfn.IFS(AND($A1221="thg-beauty",ISNUMBER(SEARCH("liveramp",$C1221))),"DELETE",$A1221="agile-bonbon-662",_xlfn.IFS(LEFT($G1221,9)="Tranche 1","DELETE",$C1221="Sessions_Level_1_All_Sites","KEEP",ISNUMBER(--$C1221),"REVIEW — UA raw logs",$C1221="Emag_Reporting","KEEP",$C1221="Nutrition_Data_Archived_Tables","KEEP",$C1221="EU_Data","KEEP",TRUE,"REVIEW"),OR($A1221="thg-influencer",$A1221="thg-ingenuity",$A1221="thg-central-marketing",$A1221="thg-seoclarity"),"HOLD",TRUE,"")</f>
        <v>HOLD</v>
      </c>
      <c r="R1221" t="str" cm="1">
        <f t="array" ref="R1221">_xlfn.IFS(AND($A1221="thg-beauty",ISNUMBER(SEARCH("liveramp",$C1221))),"thg-beauty Liveramp dataset — confirmed safe to delete",$A1221="agile-bonbon-662",_xlfn.IFS(LEFT($G1221,9)="Tranche 1","Tranche 1: cleared",$C1221="Sessions_Level_1_All_Sites","Downstream aggregation of UA raw logs — keep if raw tables go",ISNUMBER(--$C1221),"UA raw site logs (account ID) — keep pending audit-retention check",$C1221="Emag_Reporting","Legacy but likely needed",$C1221="Nutrition_Data_Archived_Tables","Worth keeping",$C1221="EU_Data","Static lookup tables — scripts still reference (smoke-test risk)",TRUE,"Review"),OR($A1221="thg-influencer",$A1221="thg-ingenuity",$A1221="thg-central-marketing",$A1221="thg-seoclarity"),"HOLD — Charlie Stringer to review before deletion",TRUE,"")</f>
        <v>HOLD — Charlie Stringer to review before deletion</v>
      </c>
      <c r="S1221" t="s">
        <v>1624</v>
      </c>
    </row>
    <row r="1222" spans="1:19" hidden="1">
      <c r="A1222" t="s">
        <v>38</v>
      </c>
      <c r="B1222" t="s">
        <v>1619</v>
      </c>
      <c r="C1222" t="s">
        <v>3675</v>
      </c>
      <c r="D1222" s="2" t="s">
        <v>1621</v>
      </c>
      <c r="E1222">
        <v>15.04</v>
      </c>
      <c r="F1222">
        <v>0.3</v>
      </c>
      <c r="G1222" t="s">
        <v>3456</v>
      </c>
      <c r="H1222" t="s">
        <v>3457</v>
      </c>
      <c r="I1222">
        <v>723</v>
      </c>
      <c r="J1222">
        <v>723</v>
      </c>
      <c r="M1222" s="2" t="s">
        <v>1715</v>
      </c>
      <c r="N1222" s="2" t="s">
        <v>1701</v>
      </c>
      <c r="O1222" s="5">
        <v>45474.281179363417</v>
      </c>
      <c r="P1222" t="str">
        <f>IF($Q1222="DELETE",IF($S1222="CONFIRMED: NO MODS &gt; 1YR","CONFIRMED: NO MODS &gt; 1YR","DO NOT DELETE — not defensibly confirmed"),IF($Q1222="HOLD","DO NOT DELETE — HOLD (Charlie review)",IF($Q1222="KEEP","DO NOT DELETE — KEEP",IF(ISNUMBER(SEARCH("REVIEW",$Q1222)),"DO NOT DELETE — REVIEW pending",$S1222))))</f>
        <v>DO NOT DELETE — HOLD (Charlie review)</v>
      </c>
      <c r="Q1222" t="str" cm="1">
        <f t="array" ref="Q1222">_xlfn.IFS(AND($A1222="thg-beauty",ISNUMBER(SEARCH("liveramp",$C1222))),"DELETE",$A1222="agile-bonbon-662",_xlfn.IFS(LEFT($G1222,9)="Tranche 1","DELETE",$C1222="Sessions_Level_1_All_Sites","KEEP",ISNUMBER(--$C1222),"REVIEW — UA raw logs",$C1222="Emag_Reporting","KEEP",$C1222="Nutrition_Data_Archived_Tables","KEEP",$C1222="EU_Data","KEEP",TRUE,"REVIEW"),OR($A1222="thg-influencer",$A1222="thg-ingenuity",$A1222="thg-central-marketing",$A1222="thg-seoclarity"),"HOLD",TRUE,"")</f>
        <v>HOLD</v>
      </c>
      <c r="R1222" t="str" cm="1">
        <f t="array" ref="R1222">_xlfn.IFS(AND($A1222="thg-beauty",ISNUMBER(SEARCH("liveramp",$C1222))),"thg-beauty Liveramp dataset — confirmed safe to delete",$A1222="agile-bonbon-662",_xlfn.IFS(LEFT($G1222,9)="Tranche 1","Tranche 1: cleared",$C1222="Sessions_Level_1_All_Sites","Downstream aggregation of UA raw logs — keep if raw tables go",ISNUMBER(--$C1222),"UA raw site logs (account ID) — keep pending audit-retention check",$C1222="Emag_Reporting","Legacy but likely needed",$C1222="Nutrition_Data_Archived_Tables","Worth keeping",$C1222="EU_Data","Static lookup tables — scripts still reference (smoke-test risk)",TRUE,"Review"),OR($A1222="thg-influencer",$A1222="thg-ingenuity",$A1222="thg-central-marketing",$A1222="thg-seoclarity"),"HOLD — Charlie Stringer to review before deletion",TRUE,"")</f>
        <v>HOLD — Charlie Stringer to review before deletion</v>
      </c>
      <c r="S1222" t="s">
        <v>1624</v>
      </c>
    </row>
    <row r="1223" spans="1:19" hidden="1">
      <c r="A1223" t="s">
        <v>38</v>
      </c>
      <c r="B1223" t="s">
        <v>1619</v>
      </c>
      <c r="C1223" t="s">
        <v>3676</v>
      </c>
      <c r="D1223" s="2" t="s">
        <v>1621</v>
      </c>
      <c r="E1223">
        <v>14.71</v>
      </c>
      <c r="F1223">
        <v>0.28999999999999998</v>
      </c>
      <c r="G1223" t="s">
        <v>3456</v>
      </c>
      <c r="H1223" t="s">
        <v>3457</v>
      </c>
      <c r="I1223">
        <v>723</v>
      </c>
      <c r="J1223">
        <v>723</v>
      </c>
      <c r="M1223" s="2" t="s">
        <v>1715</v>
      </c>
      <c r="N1223" s="2" t="s">
        <v>1701</v>
      </c>
      <c r="O1223" s="5">
        <v>45474.280652245368</v>
      </c>
      <c r="P1223" t="str">
        <f>IF($Q1223="DELETE",IF($S1223="CONFIRMED: NO MODS &gt; 1YR","CONFIRMED: NO MODS &gt; 1YR","DO NOT DELETE — not defensibly confirmed"),IF($Q1223="HOLD","DO NOT DELETE — HOLD (Charlie review)",IF($Q1223="KEEP","DO NOT DELETE — KEEP",IF(ISNUMBER(SEARCH("REVIEW",$Q1223)),"DO NOT DELETE — REVIEW pending",$S1223))))</f>
        <v>DO NOT DELETE — HOLD (Charlie review)</v>
      </c>
      <c r="Q1223" t="str" cm="1">
        <f t="array" ref="Q1223">_xlfn.IFS(AND($A1223="thg-beauty",ISNUMBER(SEARCH("liveramp",$C1223))),"DELETE",$A1223="agile-bonbon-662",_xlfn.IFS(LEFT($G1223,9)="Tranche 1","DELETE",$C1223="Sessions_Level_1_All_Sites","KEEP",ISNUMBER(--$C1223),"REVIEW — UA raw logs",$C1223="Emag_Reporting","KEEP",$C1223="Nutrition_Data_Archived_Tables","KEEP",$C1223="EU_Data","KEEP",TRUE,"REVIEW"),OR($A1223="thg-influencer",$A1223="thg-ingenuity",$A1223="thg-central-marketing",$A1223="thg-seoclarity"),"HOLD",TRUE,"")</f>
        <v>HOLD</v>
      </c>
      <c r="R1223" t="str" cm="1">
        <f t="array" ref="R1223">_xlfn.IFS(AND($A1223="thg-beauty",ISNUMBER(SEARCH("liveramp",$C1223))),"thg-beauty Liveramp dataset — confirmed safe to delete",$A1223="agile-bonbon-662",_xlfn.IFS(LEFT($G1223,9)="Tranche 1","Tranche 1: cleared",$C1223="Sessions_Level_1_All_Sites","Downstream aggregation of UA raw logs — keep if raw tables go",ISNUMBER(--$C1223),"UA raw site logs (account ID) — keep pending audit-retention check",$C1223="Emag_Reporting","Legacy but likely needed",$C1223="Nutrition_Data_Archived_Tables","Worth keeping",$C1223="EU_Data","Static lookup tables — scripts still reference (smoke-test risk)",TRUE,"Review"),OR($A1223="thg-influencer",$A1223="thg-ingenuity",$A1223="thg-central-marketing",$A1223="thg-seoclarity"),"HOLD — Charlie Stringer to review before deletion",TRUE,"")</f>
        <v>HOLD — Charlie Stringer to review before deletion</v>
      </c>
      <c r="S1223" t="s">
        <v>1624</v>
      </c>
    </row>
    <row r="1224" spans="1:19" hidden="1">
      <c r="A1224" t="s">
        <v>38</v>
      </c>
      <c r="B1224" t="s">
        <v>1619</v>
      </c>
      <c r="C1224" t="s">
        <v>3677</v>
      </c>
      <c r="D1224" s="2" t="s">
        <v>1621</v>
      </c>
      <c r="E1224">
        <v>14.62</v>
      </c>
      <c r="F1224">
        <v>0.28999999999999998</v>
      </c>
      <c r="G1224" t="s">
        <v>3456</v>
      </c>
      <c r="H1224" t="s">
        <v>3457</v>
      </c>
      <c r="I1224">
        <v>723</v>
      </c>
      <c r="J1224">
        <v>723</v>
      </c>
      <c r="M1224" s="2" t="s">
        <v>1715</v>
      </c>
      <c r="N1224" s="2" t="s">
        <v>1701</v>
      </c>
      <c r="O1224" s="5">
        <v>45474.280505879629</v>
      </c>
      <c r="P1224" t="str">
        <f>IF($Q1224="DELETE",IF($S1224="CONFIRMED: NO MODS &gt; 1YR","CONFIRMED: NO MODS &gt; 1YR","DO NOT DELETE — not defensibly confirmed"),IF($Q1224="HOLD","DO NOT DELETE — HOLD (Charlie review)",IF($Q1224="KEEP","DO NOT DELETE — KEEP",IF(ISNUMBER(SEARCH("REVIEW",$Q1224)),"DO NOT DELETE — REVIEW pending",$S1224))))</f>
        <v>DO NOT DELETE — HOLD (Charlie review)</v>
      </c>
      <c r="Q1224" t="str" cm="1">
        <f t="array" ref="Q1224">_xlfn.IFS(AND($A1224="thg-beauty",ISNUMBER(SEARCH("liveramp",$C1224))),"DELETE",$A1224="agile-bonbon-662",_xlfn.IFS(LEFT($G1224,9)="Tranche 1","DELETE",$C1224="Sessions_Level_1_All_Sites","KEEP",ISNUMBER(--$C1224),"REVIEW — UA raw logs",$C1224="Emag_Reporting","KEEP",$C1224="Nutrition_Data_Archived_Tables","KEEP",$C1224="EU_Data","KEEP",TRUE,"REVIEW"),OR($A1224="thg-influencer",$A1224="thg-ingenuity",$A1224="thg-central-marketing",$A1224="thg-seoclarity"),"HOLD",TRUE,"")</f>
        <v>HOLD</v>
      </c>
      <c r="R1224" t="str" cm="1">
        <f t="array" ref="R1224">_xlfn.IFS(AND($A1224="thg-beauty",ISNUMBER(SEARCH("liveramp",$C1224))),"thg-beauty Liveramp dataset — confirmed safe to delete",$A1224="agile-bonbon-662",_xlfn.IFS(LEFT($G1224,9)="Tranche 1","Tranche 1: cleared",$C1224="Sessions_Level_1_All_Sites","Downstream aggregation of UA raw logs — keep if raw tables go",ISNUMBER(--$C1224),"UA raw site logs (account ID) — keep pending audit-retention check",$C1224="Emag_Reporting","Legacy but likely needed",$C1224="Nutrition_Data_Archived_Tables","Worth keeping",$C1224="EU_Data","Static lookup tables — scripts still reference (smoke-test risk)",TRUE,"Review"),OR($A1224="thg-influencer",$A1224="thg-ingenuity",$A1224="thg-central-marketing",$A1224="thg-seoclarity"),"HOLD — Charlie Stringer to review before deletion",TRUE,"")</f>
        <v>HOLD — Charlie Stringer to review before deletion</v>
      </c>
      <c r="S1224" t="s">
        <v>1624</v>
      </c>
    </row>
    <row r="1225" spans="1:19" hidden="1">
      <c r="A1225" t="s">
        <v>38</v>
      </c>
      <c r="B1225" t="s">
        <v>1619</v>
      </c>
      <c r="C1225" t="s">
        <v>3678</v>
      </c>
      <c r="D1225" s="2" t="s">
        <v>1621</v>
      </c>
      <c r="E1225">
        <v>13.97</v>
      </c>
      <c r="F1225">
        <v>0.28000000000000003</v>
      </c>
      <c r="G1225" t="s">
        <v>3456</v>
      </c>
      <c r="H1225" t="s">
        <v>3457</v>
      </c>
      <c r="I1225">
        <v>723</v>
      </c>
      <c r="J1225">
        <v>723</v>
      </c>
      <c r="M1225" s="2" t="s">
        <v>1715</v>
      </c>
      <c r="N1225" s="2" t="s">
        <v>1701</v>
      </c>
      <c r="O1225" s="5">
        <v>45474.297461909722</v>
      </c>
      <c r="P1225" t="str">
        <f>IF($Q1225="DELETE",IF($S1225="CONFIRMED: NO MODS &gt; 1YR","CONFIRMED: NO MODS &gt; 1YR","DO NOT DELETE — not defensibly confirmed"),IF($Q1225="HOLD","DO NOT DELETE — HOLD (Charlie review)",IF($Q1225="KEEP","DO NOT DELETE — KEEP",IF(ISNUMBER(SEARCH("REVIEW",$Q1225)),"DO NOT DELETE — REVIEW pending",$S1225))))</f>
        <v>DO NOT DELETE — HOLD (Charlie review)</v>
      </c>
      <c r="Q1225" t="str" cm="1">
        <f t="array" ref="Q1225">_xlfn.IFS(AND($A1225="thg-beauty",ISNUMBER(SEARCH("liveramp",$C1225))),"DELETE",$A1225="agile-bonbon-662",_xlfn.IFS(LEFT($G1225,9)="Tranche 1","DELETE",$C1225="Sessions_Level_1_All_Sites","KEEP",ISNUMBER(--$C1225),"REVIEW — UA raw logs",$C1225="Emag_Reporting","KEEP",$C1225="Nutrition_Data_Archived_Tables","KEEP",$C1225="EU_Data","KEEP",TRUE,"REVIEW"),OR($A1225="thg-influencer",$A1225="thg-ingenuity",$A1225="thg-central-marketing",$A1225="thg-seoclarity"),"HOLD",TRUE,"")</f>
        <v>HOLD</v>
      </c>
      <c r="R1225" t="str" cm="1">
        <f t="array" ref="R1225">_xlfn.IFS(AND($A1225="thg-beauty",ISNUMBER(SEARCH("liveramp",$C1225))),"thg-beauty Liveramp dataset — confirmed safe to delete",$A1225="agile-bonbon-662",_xlfn.IFS(LEFT($G1225,9)="Tranche 1","Tranche 1: cleared",$C1225="Sessions_Level_1_All_Sites","Downstream aggregation of UA raw logs — keep if raw tables go",ISNUMBER(--$C1225),"UA raw site logs (account ID) — keep pending audit-retention check",$C1225="Emag_Reporting","Legacy but likely needed",$C1225="Nutrition_Data_Archived_Tables","Worth keeping",$C1225="EU_Data","Static lookup tables — scripts still reference (smoke-test risk)",TRUE,"Review"),OR($A1225="thg-influencer",$A1225="thg-ingenuity",$A1225="thg-central-marketing",$A1225="thg-seoclarity"),"HOLD — Charlie Stringer to review before deletion",TRUE,"")</f>
        <v>HOLD — Charlie Stringer to review before deletion</v>
      </c>
      <c r="S1225" t="s">
        <v>1624</v>
      </c>
    </row>
    <row r="1226" spans="1:19" hidden="1">
      <c r="A1226" t="s">
        <v>38</v>
      </c>
      <c r="B1226" t="s">
        <v>1619</v>
      </c>
      <c r="C1226" t="s">
        <v>3679</v>
      </c>
      <c r="D1226" s="2" t="s">
        <v>1621</v>
      </c>
      <c r="E1226">
        <v>13.54</v>
      </c>
      <c r="F1226">
        <v>0.27</v>
      </c>
      <c r="G1226" t="s">
        <v>3456</v>
      </c>
      <c r="H1226" t="s">
        <v>3457</v>
      </c>
      <c r="I1226">
        <v>723</v>
      </c>
      <c r="J1226">
        <v>723</v>
      </c>
      <c r="M1226" s="2" t="s">
        <v>1715</v>
      </c>
      <c r="N1226" s="2" t="s">
        <v>1701</v>
      </c>
      <c r="O1226" s="5">
        <v>45474.282115138893</v>
      </c>
      <c r="P1226" t="str">
        <f>IF($Q1226="DELETE",IF($S1226="CONFIRMED: NO MODS &gt; 1YR","CONFIRMED: NO MODS &gt; 1YR","DO NOT DELETE — not defensibly confirmed"),IF($Q1226="HOLD","DO NOT DELETE — HOLD (Charlie review)",IF($Q1226="KEEP","DO NOT DELETE — KEEP",IF(ISNUMBER(SEARCH("REVIEW",$Q1226)),"DO NOT DELETE — REVIEW pending",$S1226))))</f>
        <v>DO NOT DELETE — HOLD (Charlie review)</v>
      </c>
      <c r="Q1226" t="str" cm="1">
        <f t="array" ref="Q1226">_xlfn.IFS(AND($A1226="thg-beauty",ISNUMBER(SEARCH("liveramp",$C1226))),"DELETE",$A1226="agile-bonbon-662",_xlfn.IFS(LEFT($G1226,9)="Tranche 1","DELETE",$C1226="Sessions_Level_1_All_Sites","KEEP",ISNUMBER(--$C1226),"REVIEW — UA raw logs",$C1226="Emag_Reporting","KEEP",$C1226="Nutrition_Data_Archived_Tables","KEEP",$C1226="EU_Data","KEEP",TRUE,"REVIEW"),OR($A1226="thg-influencer",$A1226="thg-ingenuity",$A1226="thg-central-marketing",$A1226="thg-seoclarity"),"HOLD",TRUE,"")</f>
        <v>HOLD</v>
      </c>
      <c r="R1226" t="str" cm="1">
        <f t="array" ref="R1226">_xlfn.IFS(AND($A1226="thg-beauty",ISNUMBER(SEARCH("liveramp",$C1226))),"thg-beauty Liveramp dataset — confirmed safe to delete",$A1226="agile-bonbon-662",_xlfn.IFS(LEFT($G1226,9)="Tranche 1","Tranche 1: cleared",$C1226="Sessions_Level_1_All_Sites","Downstream aggregation of UA raw logs — keep if raw tables go",ISNUMBER(--$C1226),"UA raw site logs (account ID) — keep pending audit-retention check",$C1226="Emag_Reporting","Legacy but likely needed",$C1226="Nutrition_Data_Archived_Tables","Worth keeping",$C1226="EU_Data","Static lookup tables — scripts still reference (smoke-test risk)",TRUE,"Review"),OR($A1226="thg-influencer",$A1226="thg-ingenuity",$A1226="thg-central-marketing",$A1226="thg-seoclarity"),"HOLD — Charlie Stringer to review before deletion",TRUE,"")</f>
        <v>HOLD — Charlie Stringer to review before deletion</v>
      </c>
      <c r="S1226" t="s">
        <v>1624</v>
      </c>
    </row>
    <row r="1227" spans="1:19" hidden="1">
      <c r="A1227" t="s">
        <v>38</v>
      </c>
      <c r="B1227" t="s">
        <v>1619</v>
      </c>
      <c r="C1227" t="s">
        <v>3680</v>
      </c>
      <c r="D1227" s="2" t="s">
        <v>1621</v>
      </c>
      <c r="E1227">
        <v>12.54</v>
      </c>
      <c r="F1227">
        <v>0.25</v>
      </c>
      <c r="G1227" t="s">
        <v>3456</v>
      </c>
      <c r="H1227" t="s">
        <v>3457</v>
      </c>
      <c r="I1227">
        <v>723</v>
      </c>
      <c r="J1227">
        <v>723</v>
      </c>
      <c r="M1227" s="2" t="s">
        <v>1715</v>
      </c>
      <c r="N1227" s="2" t="s">
        <v>1701</v>
      </c>
      <c r="O1227" s="5">
        <v>45474.281024212964</v>
      </c>
      <c r="P1227" t="str">
        <f>IF($Q1227="DELETE",IF($S1227="CONFIRMED: NO MODS &gt; 1YR","CONFIRMED: NO MODS &gt; 1YR","DO NOT DELETE — not defensibly confirmed"),IF($Q1227="HOLD","DO NOT DELETE — HOLD (Charlie review)",IF($Q1227="KEEP","DO NOT DELETE — KEEP",IF(ISNUMBER(SEARCH("REVIEW",$Q1227)),"DO NOT DELETE — REVIEW pending",$S1227))))</f>
        <v>DO NOT DELETE — HOLD (Charlie review)</v>
      </c>
      <c r="Q1227" t="str" cm="1">
        <f t="array" ref="Q1227">_xlfn.IFS(AND($A1227="thg-beauty",ISNUMBER(SEARCH("liveramp",$C1227))),"DELETE",$A1227="agile-bonbon-662",_xlfn.IFS(LEFT($G1227,9)="Tranche 1","DELETE",$C1227="Sessions_Level_1_All_Sites","KEEP",ISNUMBER(--$C1227),"REVIEW — UA raw logs",$C1227="Emag_Reporting","KEEP",$C1227="Nutrition_Data_Archived_Tables","KEEP",$C1227="EU_Data","KEEP",TRUE,"REVIEW"),OR($A1227="thg-influencer",$A1227="thg-ingenuity",$A1227="thg-central-marketing",$A1227="thg-seoclarity"),"HOLD",TRUE,"")</f>
        <v>HOLD</v>
      </c>
      <c r="R1227" t="str" cm="1">
        <f t="array" ref="R1227">_xlfn.IFS(AND($A1227="thg-beauty",ISNUMBER(SEARCH("liveramp",$C1227))),"thg-beauty Liveramp dataset — confirmed safe to delete",$A1227="agile-bonbon-662",_xlfn.IFS(LEFT($G1227,9)="Tranche 1","Tranche 1: cleared",$C1227="Sessions_Level_1_All_Sites","Downstream aggregation of UA raw logs — keep if raw tables go",ISNUMBER(--$C1227),"UA raw site logs (account ID) — keep pending audit-retention check",$C1227="Emag_Reporting","Legacy but likely needed",$C1227="Nutrition_Data_Archived_Tables","Worth keeping",$C1227="EU_Data","Static lookup tables — scripts still reference (smoke-test risk)",TRUE,"Review"),OR($A1227="thg-influencer",$A1227="thg-ingenuity",$A1227="thg-central-marketing",$A1227="thg-seoclarity"),"HOLD — Charlie Stringer to review before deletion",TRUE,"")</f>
        <v>HOLD — Charlie Stringer to review before deletion</v>
      </c>
      <c r="S1227" t="s">
        <v>1624</v>
      </c>
    </row>
    <row r="1228" spans="1:19" hidden="1">
      <c r="A1228" t="s">
        <v>38</v>
      </c>
      <c r="B1228" t="s">
        <v>1619</v>
      </c>
      <c r="C1228" t="s">
        <v>3681</v>
      </c>
      <c r="D1228" s="2" t="s">
        <v>1621</v>
      </c>
      <c r="E1228">
        <v>12.51</v>
      </c>
      <c r="F1228">
        <v>0.25</v>
      </c>
      <c r="G1228" t="s">
        <v>3456</v>
      </c>
      <c r="H1228" t="s">
        <v>3457</v>
      </c>
      <c r="I1228">
        <v>723</v>
      </c>
      <c r="J1228">
        <v>723</v>
      </c>
      <c r="M1228" s="2" t="s">
        <v>1715</v>
      </c>
      <c r="N1228" s="2" t="s">
        <v>1701</v>
      </c>
      <c r="O1228" s="5">
        <v>45474.273293958337</v>
      </c>
      <c r="P1228" t="str">
        <f>IF($Q1228="DELETE",IF($S1228="CONFIRMED: NO MODS &gt; 1YR","CONFIRMED: NO MODS &gt; 1YR","DO NOT DELETE — not defensibly confirmed"),IF($Q1228="HOLD","DO NOT DELETE — HOLD (Charlie review)",IF($Q1228="KEEP","DO NOT DELETE — KEEP",IF(ISNUMBER(SEARCH("REVIEW",$Q1228)),"DO NOT DELETE — REVIEW pending",$S1228))))</f>
        <v>DO NOT DELETE — HOLD (Charlie review)</v>
      </c>
      <c r="Q1228" t="str" cm="1">
        <f t="array" ref="Q1228">_xlfn.IFS(AND($A1228="thg-beauty",ISNUMBER(SEARCH("liveramp",$C1228))),"DELETE",$A1228="agile-bonbon-662",_xlfn.IFS(LEFT($G1228,9)="Tranche 1","DELETE",$C1228="Sessions_Level_1_All_Sites","KEEP",ISNUMBER(--$C1228),"REVIEW — UA raw logs",$C1228="Emag_Reporting","KEEP",$C1228="Nutrition_Data_Archived_Tables","KEEP",$C1228="EU_Data","KEEP",TRUE,"REVIEW"),OR($A1228="thg-influencer",$A1228="thg-ingenuity",$A1228="thg-central-marketing",$A1228="thg-seoclarity"),"HOLD",TRUE,"")</f>
        <v>HOLD</v>
      </c>
      <c r="R1228" t="str" cm="1">
        <f t="array" ref="R1228">_xlfn.IFS(AND($A1228="thg-beauty",ISNUMBER(SEARCH("liveramp",$C1228))),"thg-beauty Liveramp dataset — confirmed safe to delete",$A1228="agile-bonbon-662",_xlfn.IFS(LEFT($G1228,9)="Tranche 1","Tranche 1: cleared",$C1228="Sessions_Level_1_All_Sites","Downstream aggregation of UA raw logs — keep if raw tables go",ISNUMBER(--$C1228),"UA raw site logs (account ID) — keep pending audit-retention check",$C1228="Emag_Reporting","Legacy but likely needed",$C1228="Nutrition_Data_Archived_Tables","Worth keeping",$C1228="EU_Data","Static lookup tables — scripts still reference (smoke-test risk)",TRUE,"Review"),OR($A1228="thg-influencer",$A1228="thg-ingenuity",$A1228="thg-central-marketing",$A1228="thg-seoclarity"),"HOLD — Charlie Stringer to review before deletion",TRUE,"")</f>
        <v>HOLD — Charlie Stringer to review before deletion</v>
      </c>
      <c r="S1228" t="s">
        <v>1624</v>
      </c>
    </row>
    <row r="1229" spans="1:19" hidden="1">
      <c r="A1229" t="s">
        <v>38</v>
      </c>
      <c r="B1229" t="s">
        <v>1619</v>
      </c>
      <c r="C1229" t="s">
        <v>3682</v>
      </c>
      <c r="D1229" s="2" t="s">
        <v>1621</v>
      </c>
      <c r="E1229">
        <v>12.39</v>
      </c>
      <c r="F1229">
        <v>0.25</v>
      </c>
      <c r="G1229" t="s">
        <v>3456</v>
      </c>
      <c r="H1229" t="s">
        <v>3457</v>
      </c>
      <c r="I1229">
        <v>723</v>
      </c>
      <c r="J1229">
        <v>723</v>
      </c>
      <c r="M1229" s="2" t="s">
        <v>1715</v>
      </c>
      <c r="N1229" s="2" t="s">
        <v>1701</v>
      </c>
      <c r="O1229" s="5">
        <v>45474.270597071758</v>
      </c>
      <c r="P1229" t="str">
        <f>IF($Q1229="DELETE",IF($S1229="CONFIRMED: NO MODS &gt; 1YR","CONFIRMED: NO MODS &gt; 1YR","DO NOT DELETE — not defensibly confirmed"),IF($Q1229="HOLD","DO NOT DELETE — HOLD (Charlie review)",IF($Q1229="KEEP","DO NOT DELETE — KEEP",IF(ISNUMBER(SEARCH("REVIEW",$Q1229)),"DO NOT DELETE — REVIEW pending",$S1229))))</f>
        <v>DO NOT DELETE — HOLD (Charlie review)</v>
      </c>
      <c r="Q1229" t="str" cm="1">
        <f t="array" ref="Q1229">_xlfn.IFS(AND($A1229="thg-beauty",ISNUMBER(SEARCH("liveramp",$C1229))),"DELETE",$A1229="agile-bonbon-662",_xlfn.IFS(LEFT($G1229,9)="Tranche 1","DELETE",$C1229="Sessions_Level_1_All_Sites","KEEP",ISNUMBER(--$C1229),"REVIEW — UA raw logs",$C1229="Emag_Reporting","KEEP",$C1229="Nutrition_Data_Archived_Tables","KEEP",$C1229="EU_Data","KEEP",TRUE,"REVIEW"),OR($A1229="thg-influencer",$A1229="thg-ingenuity",$A1229="thg-central-marketing",$A1229="thg-seoclarity"),"HOLD",TRUE,"")</f>
        <v>HOLD</v>
      </c>
      <c r="R1229" t="str" cm="1">
        <f t="array" ref="R1229">_xlfn.IFS(AND($A1229="thg-beauty",ISNUMBER(SEARCH("liveramp",$C1229))),"thg-beauty Liveramp dataset — confirmed safe to delete",$A1229="agile-bonbon-662",_xlfn.IFS(LEFT($G1229,9)="Tranche 1","Tranche 1: cleared",$C1229="Sessions_Level_1_All_Sites","Downstream aggregation of UA raw logs — keep if raw tables go",ISNUMBER(--$C1229),"UA raw site logs (account ID) — keep pending audit-retention check",$C1229="Emag_Reporting","Legacy but likely needed",$C1229="Nutrition_Data_Archived_Tables","Worth keeping",$C1229="EU_Data","Static lookup tables — scripts still reference (smoke-test risk)",TRUE,"Review"),OR($A1229="thg-influencer",$A1229="thg-ingenuity",$A1229="thg-central-marketing",$A1229="thg-seoclarity"),"HOLD — Charlie Stringer to review before deletion",TRUE,"")</f>
        <v>HOLD — Charlie Stringer to review before deletion</v>
      </c>
      <c r="S1229" t="s">
        <v>1624</v>
      </c>
    </row>
    <row r="1230" spans="1:19" hidden="1">
      <c r="A1230" t="s">
        <v>38</v>
      </c>
      <c r="B1230" t="s">
        <v>1619</v>
      </c>
      <c r="C1230" t="s">
        <v>3683</v>
      </c>
      <c r="D1230" s="2" t="s">
        <v>1621</v>
      </c>
      <c r="E1230">
        <v>11.86</v>
      </c>
      <c r="F1230">
        <v>0.24</v>
      </c>
      <c r="G1230" t="s">
        <v>3456</v>
      </c>
      <c r="H1230" t="s">
        <v>3457</v>
      </c>
      <c r="I1230">
        <v>723</v>
      </c>
      <c r="J1230">
        <v>723</v>
      </c>
      <c r="M1230" s="2" t="s">
        <v>1715</v>
      </c>
      <c r="N1230" s="2" t="s">
        <v>1701</v>
      </c>
      <c r="O1230" s="5">
        <v>45474.28076736111</v>
      </c>
      <c r="P1230" t="str">
        <f>IF($Q1230="DELETE",IF($S1230="CONFIRMED: NO MODS &gt; 1YR","CONFIRMED: NO MODS &gt; 1YR","DO NOT DELETE — not defensibly confirmed"),IF($Q1230="HOLD","DO NOT DELETE — HOLD (Charlie review)",IF($Q1230="KEEP","DO NOT DELETE — KEEP",IF(ISNUMBER(SEARCH("REVIEW",$Q1230)),"DO NOT DELETE — REVIEW pending",$S1230))))</f>
        <v>DO NOT DELETE — HOLD (Charlie review)</v>
      </c>
      <c r="Q1230" t="str" cm="1">
        <f t="array" ref="Q1230">_xlfn.IFS(AND($A1230="thg-beauty",ISNUMBER(SEARCH("liveramp",$C1230))),"DELETE",$A1230="agile-bonbon-662",_xlfn.IFS(LEFT($G1230,9)="Tranche 1","DELETE",$C1230="Sessions_Level_1_All_Sites","KEEP",ISNUMBER(--$C1230),"REVIEW — UA raw logs",$C1230="Emag_Reporting","KEEP",$C1230="Nutrition_Data_Archived_Tables","KEEP",$C1230="EU_Data","KEEP",TRUE,"REVIEW"),OR($A1230="thg-influencer",$A1230="thg-ingenuity",$A1230="thg-central-marketing",$A1230="thg-seoclarity"),"HOLD",TRUE,"")</f>
        <v>HOLD</v>
      </c>
      <c r="R1230" t="str" cm="1">
        <f t="array" ref="R1230">_xlfn.IFS(AND($A1230="thg-beauty",ISNUMBER(SEARCH("liveramp",$C1230))),"thg-beauty Liveramp dataset — confirmed safe to delete",$A1230="agile-bonbon-662",_xlfn.IFS(LEFT($G1230,9)="Tranche 1","Tranche 1: cleared",$C1230="Sessions_Level_1_All_Sites","Downstream aggregation of UA raw logs — keep if raw tables go",ISNUMBER(--$C1230),"UA raw site logs (account ID) — keep pending audit-retention check",$C1230="Emag_Reporting","Legacy but likely needed",$C1230="Nutrition_Data_Archived_Tables","Worth keeping",$C1230="EU_Data","Static lookup tables — scripts still reference (smoke-test risk)",TRUE,"Review"),OR($A1230="thg-influencer",$A1230="thg-ingenuity",$A1230="thg-central-marketing",$A1230="thg-seoclarity"),"HOLD — Charlie Stringer to review before deletion",TRUE,"")</f>
        <v>HOLD — Charlie Stringer to review before deletion</v>
      </c>
      <c r="S1230" t="s">
        <v>1624</v>
      </c>
    </row>
    <row r="1231" spans="1:19" hidden="1">
      <c r="A1231" t="s">
        <v>38</v>
      </c>
      <c r="B1231" t="s">
        <v>1619</v>
      </c>
      <c r="C1231" t="s">
        <v>3684</v>
      </c>
      <c r="D1231" s="2" t="s">
        <v>1621</v>
      </c>
      <c r="E1231">
        <v>11.26</v>
      </c>
      <c r="F1231">
        <v>0.23</v>
      </c>
      <c r="G1231" t="s">
        <v>3456</v>
      </c>
      <c r="H1231" t="s">
        <v>3457</v>
      </c>
      <c r="I1231">
        <v>723</v>
      </c>
      <c r="J1231">
        <v>723</v>
      </c>
      <c r="M1231" s="2" t="s">
        <v>1715</v>
      </c>
      <c r="N1231" s="2" t="s">
        <v>1701</v>
      </c>
      <c r="O1231" s="5">
        <v>45474.281115636571</v>
      </c>
      <c r="P1231" t="str">
        <f>IF($Q1231="DELETE",IF($S1231="CONFIRMED: NO MODS &gt; 1YR","CONFIRMED: NO MODS &gt; 1YR","DO NOT DELETE — not defensibly confirmed"),IF($Q1231="HOLD","DO NOT DELETE — HOLD (Charlie review)",IF($Q1231="KEEP","DO NOT DELETE — KEEP",IF(ISNUMBER(SEARCH("REVIEW",$Q1231)),"DO NOT DELETE — REVIEW pending",$S1231))))</f>
        <v>DO NOT DELETE — HOLD (Charlie review)</v>
      </c>
      <c r="Q1231" t="str" cm="1">
        <f t="array" ref="Q1231">_xlfn.IFS(AND($A1231="thg-beauty",ISNUMBER(SEARCH("liveramp",$C1231))),"DELETE",$A1231="agile-bonbon-662",_xlfn.IFS(LEFT($G1231,9)="Tranche 1","DELETE",$C1231="Sessions_Level_1_All_Sites","KEEP",ISNUMBER(--$C1231),"REVIEW — UA raw logs",$C1231="Emag_Reporting","KEEP",$C1231="Nutrition_Data_Archived_Tables","KEEP",$C1231="EU_Data","KEEP",TRUE,"REVIEW"),OR($A1231="thg-influencer",$A1231="thg-ingenuity",$A1231="thg-central-marketing",$A1231="thg-seoclarity"),"HOLD",TRUE,"")</f>
        <v>HOLD</v>
      </c>
      <c r="R1231" t="str" cm="1">
        <f t="array" ref="R1231">_xlfn.IFS(AND($A1231="thg-beauty",ISNUMBER(SEARCH("liveramp",$C1231))),"thg-beauty Liveramp dataset — confirmed safe to delete",$A1231="agile-bonbon-662",_xlfn.IFS(LEFT($G1231,9)="Tranche 1","Tranche 1: cleared",$C1231="Sessions_Level_1_All_Sites","Downstream aggregation of UA raw logs — keep if raw tables go",ISNUMBER(--$C1231),"UA raw site logs (account ID) — keep pending audit-retention check",$C1231="Emag_Reporting","Legacy but likely needed",$C1231="Nutrition_Data_Archived_Tables","Worth keeping",$C1231="EU_Data","Static lookup tables — scripts still reference (smoke-test risk)",TRUE,"Review"),OR($A1231="thg-influencer",$A1231="thg-ingenuity",$A1231="thg-central-marketing",$A1231="thg-seoclarity"),"HOLD — Charlie Stringer to review before deletion",TRUE,"")</f>
        <v>HOLD — Charlie Stringer to review before deletion</v>
      </c>
      <c r="S1231" t="s">
        <v>1624</v>
      </c>
    </row>
    <row r="1232" spans="1:19" hidden="1">
      <c r="A1232" t="s">
        <v>38</v>
      </c>
      <c r="B1232" t="s">
        <v>1619</v>
      </c>
      <c r="C1232" t="s">
        <v>3685</v>
      </c>
      <c r="D1232" s="2" t="s">
        <v>1621</v>
      </c>
      <c r="E1232">
        <v>10.52</v>
      </c>
      <c r="F1232">
        <v>0.21</v>
      </c>
      <c r="G1232" t="s">
        <v>3456</v>
      </c>
      <c r="H1232" t="s">
        <v>3457</v>
      </c>
      <c r="I1232">
        <v>723</v>
      </c>
      <c r="J1232">
        <v>723</v>
      </c>
      <c r="M1232" s="2" t="s">
        <v>1715</v>
      </c>
      <c r="N1232" s="2" t="s">
        <v>1701</v>
      </c>
      <c r="O1232" s="5">
        <v>45474.28100959491</v>
      </c>
      <c r="P1232" t="str">
        <f>IF($Q1232="DELETE",IF($S1232="CONFIRMED: NO MODS &gt; 1YR","CONFIRMED: NO MODS &gt; 1YR","DO NOT DELETE — not defensibly confirmed"),IF($Q1232="HOLD","DO NOT DELETE — HOLD (Charlie review)",IF($Q1232="KEEP","DO NOT DELETE — KEEP",IF(ISNUMBER(SEARCH("REVIEW",$Q1232)),"DO NOT DELETE — REVIEW pending",$S1232))))</f>
        <v>DO NOT DELETE — HOLD (Charlie review)</v>
      </c>
      <c r="Q1232" t="str" cm="1">
        <f t="array" ref="Q1232">_xlfn.IFS(AND($A1232="thg-beauty",ISNUMBER(SEARCH("liveramp",$C1232))),"DELETE",$A1232="agile-bonbon-662",_xlfn.IFS(LEFT($G1232,9)="Tranche 1","DELETE",$C1232="Sessions_Level_1_All_Sites","KEEP",ISNUMBER(--$C1232),"REVIEW — UA raw logs",$C1232="Emag_Reporting","KEEP",$C1232="Nutrition_Data_Archived_Tables","KEEP",$C1232="EU_Data","KEEP",TRUE,"REVIEW"),OR($A1232="thg-influencer",$A1232="thg-ingenuity",$A1232="thg-central-marketing",$A1232="thg-seoclarity"),"HOLD",TRUE,"")</f>
        <v>HOLD</v>
      </c>
      <c r="R1232" t="str" cm="1">
        <f t="array" ref="R1232">_xlfn.IFS(AND($A1232="thg-beauty",ISNUMBER(SEARCH("liveramp",$C1232))),"thg-beauty Liveramp dataset — confirmed safe to delete",$A1232="agile-bonbon-662",_xlfn.IFS(LEFT($G1232,9)="Tranche 1","Tranche 1: cleared",$C1232="Sessions_Level_1_All_Sites","Downstream aggregation of UA raw logs — keep if raw tables go",ISNUMBER(--$C1232),"UA raw site logs (account ID) — keep pending audit-retention check",$C1232="Emag_Reporting","Legacy but likely needed",$C1232="Nutrition_Data_Archived_Tables","Worth keeping",$C1232="EU_Data","Static lookup tables — scripts still reference (smoke-test risk)",TRUE,"Review"),OR($A1232="thg-influencer",$A1232="thg-ingenuity",$A1232="thg-central-marketing",$A1232="thg-seoclarity"),"HOLD — Charlie Stringer to review before deletion",TRUE,"")</f>
        <v>HOLD — Charlie Stringer to review before deletion</v>
      </c>
      <c r="S1232" t="s">
        <v>1624</v>
      </c>
    </row>
    <row r="1233" spans="1:19" hidden="1">
      <c r="A1233" t="s">
        <v>38</v>
      </c>
      <c r="B1233" t="s">
        <v>1619</v>
      </c>
      <c r="C1233" t="s">
        <v>3686</v>
      </c>
      <c r="D1233" s="2" t="s">
        <v>1621</v>
      </c>
      <c r="E1233">
        <v>9.7799999999999994</v>
      </c>
      <c r="F1233">
        <v>0.2</v>
      </c>
      <c r="G1233" t="s">
        <v>3456</v>
      </c>
      <c r="H1233" t="s">
        <v>3457</v>
      </c>
      <c r="I1233">
        <v>723</v>
      </c>
      <c r="J1233">
        <v>723</v>
      </c>
      <c r="M1233" s="2" t="s">
        <v>1715</v>
      </c>
      <c r="N1233" s="2" t="s">
        <v>1701</v>
      </c>
      <c r="O1233" s="5">
        <v>45474.280995486108</v>
      </c>
      <c r="P1233" t="str">
        <f>IF($Q1233="DELETE",IF($S1233="CONFIRMED: NO MODS &gt; 1YR","CONFIRMED: NO MODS &gt; 1YR","DO NOT DELETE — not defensibly confirmed"),IF($Q1233="HOLD","DO NOT DELETE — HOLD (Charlie review)",IF($Q1233="KEEP","DO NOT DELETE — KEEP",IF(ISNUMBER(SEARCH("REVIEW",$Q1233)),"DO NOT DELETE — REVIEW pending",$S1233))))</f>
        <v>DO NOT DELETE — HOLD (Charlie review)</v>
      </c>
      <c r="Q1233" t="str" cm="1">
        <f t="array" ref="Q1233">_xlfn.IFS(AND($A1233="thg-beauty",ISNUMBER(SEARCH("liveramp",$C1233))),"DELETE",$A1233="agile-bonbon-662",_xlfn.IFS(LEFT($G1233,9)="Tranche 1","DELETE",$C1233="Sessions_Level_1_All_Sites","KEEP",ISNUMBER(--$C1233),"REVIEW — UA raw logs",$C1233="Emag_Reporting","KEEP",$C1233="Nutrition_Data_Archived_Tables","KEEP",$C1233="EU_Data","KEEP",TRUE,"REVIEW"),OR($A1233="thg-influencer",$A1233="thg-ingenuity",$A1233="thg-central-marketing",$A1233="thg-seoclarity"),"HOLD",TRUE,"")</f>
        <v>HOLD</v>
      </c>
      <c r="R1233" t="str" cm="1">
        <f t="array" ref="R1233">_xlfn.IFS(AND($A1233="thg-beauty",ISNUMBER(SEARCH("liveramp",$C1233))),"thg-beauty Liveramp dataset — confirmed safe to delete",$A1233="agile-bonbon-662",_xlfn.IFS(LEFT($G1233,9)="Tranche 1","Tranche 1: cleared",$C1233="Sessions_Level_1_All_Sites","Downstream aggregation of UA raw logs — keep if raw tables go",ISNUMBER(--$C1233),"UA raw site logs (account ID) — keep pending audit-retention check",$C1233="Emag_Reporting","Legacy but likely needed",$C1233="Nutrition_Data_Archived_Tables","Worth keeping",$C1233="EU_Data","Static lookup tables — scripts still reference (smoke-test risk)",TRUE,"Review"),OR($A1233="thg-influencer",$A1233="thg-ingenuity",$A1233="thg-central-marketing",$A1233="thg-seoclarity"),"HOLD — Charlie Stringer to review before deletion",TRUE,"")</f>
        <v>HOLD — Charlie Stringer to review before deletion</v>
      </c>
      <c r="S1233" t="s">
        <v>1624</v>
      </c>
    </row>
    <row r="1234" spans="1:19" hidden="1">
      <c r="A1234" t="s">
        <v>38</v>
      </c>
      <c r="B1234" t="s">
        <v>1619</v>
      </c>
      <c r="C1234" t="s">
        <v>3687</v>
      </c>
      <c r="D1234" s="2" t="s">
        <v>1621</v>
      </c>
      <c r="E1234">
        <v>9.74</v>
      </c>
      <c r="F1234">
        <v>0.19</v>
      </c>
      <c r="G1234" t="s">
        <v>3456</v>
      </c>
      <c r="H1234" t="s">
        <v>3457</v>
      </c>
      <c r="I1234">
        <v>723</v>
      </c>
      <c r="J1234">
        <v>723</v>
      </c>
      <c r="M1234" s="2" t="s">
        <v>1715</v>
      </c>
      <c r="N1234" s="2" t="s">
        <v>1701</v>
      </c>
      <c r="O1234" s="5">
        <v>45474.297456817127</v>
      </c>
      <c r="P1234" t="str">
        <f>IF($Q1234="DELETE",IF($S1234="CONFIRMED: NO MODS &gt; 1YR","CONFIRMED: NO MODS &gt; 1YR","DO NOT DELETE — not defensibly confirmed"),IF($Q1234="HOLD","DO NOT DELETE — HOLD (Charlie review)",IF($Q1234="KEEP","DO NOT DELETE — KEEP",IF(ISNUMBER(SEARCH("REVIEW",$Q1234)),"DO NOT DELETE — REVIEW pending",$S1234))))</f>
        <v>DO NOT DELETE — HOLD (Charlie review)</v>
      </c>
      <c r="Q1234" t="str" cm="1">
        <f t="array" ref="Q1234">_xlfn.IFS(AND($A1234="thg-beauty",ISNUMBER(SEARCH("liveramp",$C1234))),"DELETE",$A1234="agile-bonbon-662",_xlfn.IFS(LEFT($G1234,9)="Tranche 1","DELETE",$C1234="Sessions_Level_1_All_Sites","KEEP",ISNUMBER(--$C1234),"REVIEW — UA raw logs",$C1234="Emag_Reporting","KEEP",$C1234="Nutrition_Data_Archived_Tables","KEEP",$C1234="EU_Data","KEEP",TRUE,"REVIEW"),OR($A1234="thg-influencer",$A1234="thg-ingenuity",$A1234="thg-central-marketing",$A1234="thg-seoclarity"),"HOLD",TRUE,"")</f>
        <v>HOLD</v>
      </c>
      <c r="R1234" t="str" cm="1">
        <f t="array" ref="R1234">_xlfn.IFS(AND($A1234="thg-beauty",ISNUMBER(SEARCH("liveramp",$C1234))),"thg-beauty Liveramp dataset — confirmed safe to delete",$A1234="agile-bonbon-662",_xlfn.IFS(LEFT($G1234,9)="Tranche 1","Tranche 1: cleared",$C1234="Sessions_Level_1_All_Sites","Downstream aggregation of UA raw logs — keep if raw tables go",ISNUMBER(--$C1234),"UA raw site logs (account ID) — keep pending audit-retention check",$C1234="Emag_Reporting","Legacy but likely needed",$C1234="Nutrition_Data_Archived_Tables","Worth keeping",$C1234="EU_Data","Static lookup tables — scripts still reference (smoke-test risk)",TRUE,"Review"),OR($A1234="thg-influencer",$A1234="thg-ingenuity",$A1234="thg-central-marketing",$A1234="thg-seoclarity"),"HOLD — Charlie Stringer to review before deletion",TRUE,"")</f>
        <v>HOLD — Charlie Stringer to review before deletion</v>
      </c>
      <c r="S1234" t="s">
        <v>1624</v>
      </c>
    </row>
    <row r="1235" spans="1:19" hidden="1">
      <c r="A1235" t="s">
        <v>38</v>
      </c>
      <c r="B1235" t="s">
        <v>1619</v>
      </c>
      <c r="C1235" t="s">
        <v>3688</v>
      </c>
      <c r="D1235" s="2" t="s">
        <v>1621</v>
      </c>
      <c r="E1235">
        <v>9.65</v>
      </c>
      <c r="F1235">
        <v>0.19</v>
      </c>
      <c r="G1235" t="s">
        <v>3456</v>
      </c>
      <c r="H1235" t="s">
        <v>3457</v>
      </c>
      <c r="I1235">
        <v>723</v>
      </c>
      <c r="J1235">
        <v>723</v>
      </c>
      <c r="M1235" s="2" t="s">
        <v>1715</v>
      </c>
      <c r="N1235" s="2" t="s">
        <v>1701</v>
      </c>
      <c r="O1235" s="5">
        <v>45474.281772407398</v>
      </c>
      <c r="P1235" t="str">
        <f>IF($Q1235="DELETE",IF($S1235="CONFIRMED: NO MODS &gt; 1YR","CONFIRMED: NO MODS &gt; 1YR","DO NOT DELETE — not defensibly confirmed"),IF($Q1235="HOLD","DO NOT DELETE — HOLD (Charlie review)",IF($Q1235="KEEP","DO NOT DELETE — KEEP",IF(ISNUMBER(SEARCH("REVIEW",$Q1235)),"DO NOT DELETE — REVIEW pending",$S1235))))</f>
        <v>DO NOT DELETE — HOLD (Charlie review)</v>
      </c>
      <c r="Q1235" t="str" cm="1">
        <f t="array" ref="Q1235">_xlfn.IFS(AND($A1235="thg-beauty",ISNUMBER(SEARCH("liveramp",$C1235))),"DELETE",$A1235="agile-bonbon-662",_xlfn.IFS(LEFT($G1235,9)="Tranche 1","DELETE",$C1235="Sessions_Level_1_All_Sites","KEEP",ISNUMBER(--$C1235),"REVIEW — UA raw logs",$C1235="Emag_Reporting","KEEP",$C1235="Nutrition_Data_Archived_Tables","KEEP",$C1235="EU_Data","KEEP",TRUE,"REVIEW"),OR($A1235="thg-influencer",$A1235="thg-ingenuity",$A1235="thg-central-marketing",$A1235="thg-seoclarity"),"HOLD",TRUE,"")</f>
        <v>HOLD</v>
      </c>
      <c r="R1235" t="str" cm="1">
        <f t="array" ref="R1235">_xlfn.IFS(AND($A1235="thg-beauty",ISNUMBER(SEARCH("liveramp",$C1235))),"thg-beauty Liveramp dataset — confirmed safe to delete",$A1235="agile-bonbon-662",_xlfn.IFS(LEFT($G1235,9)="Tranche 1","Tranche 1: cleared",$C1235="Sessions_Level_1_All_Sites","Downstream aggregation of UA raw logs — keep if raw tables go",ISNUMBER(--$C1235),"UA raw site logs (account ID) — keep pending audit-retention check",$C1235="Emag_Reporting","Legacy but likely needed",$C1235="Nutrition_Data_Archived_Tables","Worth keeping",$C1235="EU_Data","Static lookup tables — scripts still reference (smoke-test risk)",TRUE,"Review"),OR($A1235="thg-influencer",$A1235="thg-ingenuity",$A1235="thg-central-marketing",$A1235="thg-seoclarity"),"HOLD — Charlie Stringer to review before deletion",TRUE,"")</f>
        <v>HOLD — Charlie Stringer to review before deletion</v>
      </c>
      <c r="S1235" t="s">
        <v>1624</v>
      </c>
    </row>
    <row r="1236" spans="1:19" hidden="1">
      <c r="A1236" t="s">
        <v>38</v>
      </c>
      <c r="B1236" t="s">
        <v>1619</v>
      </c>
      <c r="C1236" t="s">
        <v>3689</v>
      </c>
      <c r="D1236" s="2" t="s">
        <v>1621</v>
      </c>
      <c r="E1236">
        <v>9.3800000000000008</v>
      </c>
      <c r="F1236">
        <v>0.19</v>
      </c>
      <c r="G1236" t="s">
        <v>3456</v>
      </c>
      <c r="H1236" t="s">
        <v>3457</v>
      </c>
      <c r="I1236">
        <v>723</v>
      </c>
      <c r="J1236">
        <v>723</v>
      </c>
      <c r="M1236" s="2" t="s">
        <v>1715</v>
      </c>
      <c r="N1236" s="2" t="s">
        <v>1701</v>
      </c>
      <c r="O1236" s="5">
        <v>45474.284340833343</v>
      </c>
      <c r="P1236" t="str">
        <f>IF($Q1236="DELETE",IF($S1236="CONFIRMED: NO MODS &gt; 1YR","CONFIRMED: NO MODS &gt; 1YR","DO NOT DELETE — not defensibly confirmed"),IF($Q1236="HOLD","DO NOT DELETE — HOLD (Charlie review)",IF($Q1236="KEEP","DO NOT DELETE — KEEP",IF(ISNUMBER(SEARCH("REVIEW",$Q1236)),"DO NOT DELETE — REVIEW pending",$S1236))))</f>
        <v>DO NOT DELETE — HOLD (Charlie review)</v>
      </c>
      <c r="Q1236" t="str" cm="1">
        <f t="array" ref="Q1236">_xlfn.IFS(AND($A1236="thg-beauty",ISNUMBER(SEARCH("liveramp",$C1236))),"DELETE",$A1236="agile-bonbon-662",_xlfn.IFS(LEFT($G1236,9)="Tranche 1","DELETE",$C1236="Sessions_Level_1_All_Sites","KEEP",ISNUMBER(--$C1236),"REVIEW — UA raw logs",$C1236="Emag_Reporting","KEEP",$C1236="Nutrition_Data_Archived_Tables","KEEP",$C1236="EU_Data","KEEP",TRUE,"REVIEW"),OR($A1236="thg-influencer",$A1236="thg-ingenuity",$A1236="thg-central-marketing",$A1236="thg-seoclarity"),"HOLD",TRUE,"")</f>
        <v>HOLD</v>
      </c>
      <c r="R1236" t="str" cm="1">
        <f t="array" ref="R1236">_xlfn.IFS(AND($A1236="thg-beauty",ISNUMBER(SEARCH("liveramp",$C1236))),"thg-beauty Liveramp dataset — confirmed safe to delete",$A1236="agile-bonbon-662",_xlfn.IFS(LEFT($G1236,9)="Tranche 1","Tranche 1: cleared",$C1236="Sessions_Level_1_All_Sites","Downstream aggregation of UA raw logs — keep if raw tables go",ISNUMBER(--$C1236),"UA raw site logs (account ID) — keep pending audit-retention check",$C1236="Emag_Reporting","Legacy but likely needed",$C1236="Nutrition_Data_Archived_Tables","Worth keeping",$C1236="EU_Data","Static lookup tables — scripts still reference (smoke-test risk)",TRUE,"Review"),OR($A1236="thg-influencer",$A1236="thg-ingenuity",$A1236="thg-central-marketing",$A1236="thg-seoclarity"),"HOLD — Charlie Stringer to review before deletion",TRUE,"")</f>
        <v>HOLD — Charlie Stringer to review before deletion</v>
      </c>
      <c r="S1236" t="s">
        <v>1624</v>
      </c>
    </row>
    <row r="1237" spans="1:19" hidden="1">
      <c r="A1237" t="s">
        <v>38</v>
      </c>
      <c r="B1237" t="s">
        <v>1619</v>
      </c>
      <c r="C1237" t="s">
        <v>3690</v>
      </c>
      <c r="D1237" s="2" t="s">
        <v>1621</v>
      </c>
      <c r="E1237">
        <v>8.81</v>
      </c>
      <c r="F1237">
        <v>0.18</v>
      </c>
      <c r="G1237" t="s">
        <v>3456</v>
      </c>
      <c r="H1237" t="s">
        <v>3457</v>
      </c>
      <c r="I1237">
        <v>723</v>
      </c>
      <c r="J1237">
        <v>723</v>
      </c>
      <c r="M1237" s="2" t="s">
        <v>1715</v>
      </c>
      <c r="N1237" s="2" t="s">
        <v>1701</v>
      </c>
      <c r="O1237" s="5">
        <v>45474.281169641203</v>
      </c>
      <c r="P1237" t="str">
        <f>IF($Q1237="DELETE",IF($S1237="CONFIRMED: NO MODS &gt; 1YR","CONFIRMED: NO MODS &gt; 1YR","DO NOT DELETE — not defensibly confirmed"),IF($Q1237="HOLD","DO NOT DELETE — HOLD (Charlie review)",IF($Q1237="KEEP","DO NOT DELETE — KEEP",IF(ISNUMBER(SEARCH("REVIEW",$Q1237)),"DO NOT DELETE — REVIEW pending",$S1237))))</f>
        <v>DO NOT DELETE — HOLD (Charlie review)</v>
      </c>
      <c r="Q1237" t="str" cm="1">
        <f t="array" ref="Q1237">_xlfn.IFS(AND($A1237="thg-beauty",ISNUMBER(SEARCH("liveramp",$C1237))),"DELETE",$A1237="agile-bonbon-662",_xlfn.IFS(LEFT($G1237,9)="Tranche 1","DELETE",$C1237="Sessions_Level_1_All_Sites","KEEP",ISNUMBER(--$C1237),"REVIEW — UA raw logs",$C1237="Emag_Reporting","KEEP",$C1237="Nutrition_Data_Archived_Tables","KEEP",$C1237="EU_Data","KEEP",TRUE,"REVIEW"),OR($A1237="thg-influencer",$A1237="thg-ingenuity",$A1237="thg-central-marketing",$A1237="thg-seoclarity"),"HOLD",TRUE,"")</f>
        <v>HOLD</v>
      </c>
      <c r="R1237" t="str" cm="1">
        <f t="array" ref="R1237">_xlfn.IFS(AND($A1237="thg-beauty",ISNUMBER(SEARCH("liveramp",$C1237))),"thg-beauty Liveramp dataset — confirmed safe to delete",$A1237="agile-bonbon-662",_xlfn.IFS(LEFT($G1237,9)="Tranche 1","Tranche 1: cleared",$C1237="Sessions_Level_1_All_Sites","Downstream aggregation of UA raw logs — keep if raw tables go",ISNUMBER(--$C1237),"UA raw site logs (account ID) — keep pending audit-retention check",$C1237="Emag_Reporting","Legacy but likely needed",$C1237="Nutrition_Data_Archived_Tables","Worth keeping",$C1237="EU_Data","Static lookup tables — scripts still reference (smoke-test risk)",TRUE,"Review"),OR($A1237="thg-influencer",$A1237="thg-ingenuity",$A1237="thg-central-marketing",$A1237="thg-seoclarity"),"HOLD — Charlie Stringer to review before deletion",TRUE,"")</f>
        <v>HOLD — Charlie Stringer to review before deletion</v>
      </c>
      <c r="S1237" t="s">
        <v>1624</v>
      </c>
    </row>
    <row r="1238" spans="1:19" hidden="1">
      <c r="A1238" t="s">
        <v>38</v>
      </c>
      <c r="B1238" t="s">
        <v>1619</v>
      </c>
      <c r="C1238" t="s">
        <v>3691</v>
      </c>
      <c r="D1238" s="2" t="s">
        <v>1621</v>
      </c>
      <c r="E1238">
        <v>8.19</v>
      </c>
      <c r="F1238">
        <v>0.16</v>
      </c>
      <c r="G1238" t="s">
        <v>3456</v>
      </c>
      <c r="H1238" t="s">
        <v>3457</v>
      </c>
      <c r="I1238">
        <v>723</v>
      </c>
      <c r="J1238">
        <v>723</v>
      </c>
      <c r="M1238" s="2" t="s">
        <v>1715</v>
      </c>
      <c r="N1238" s="2" t="s">
        <v>1701</v>
      </c>
      <c r="O1238" s="5">
        <v>45474.269689988418</v>
      </c>
      <c r="P1238" t="str">
        <f>IF($Q1238="DELETE",IF($S1238="CONFIRMED: NO MODS &gt; 1YR","CONFIRMED: NO MODS &gt; 1YR","DO NOT DELETE — not defensibly confirmed"),IF($Q1238="HOLD","DO NOT DELETE — HOLD (Charlie review)",IF($Q1238="KEEP","DO NOT DELETE — KEEP",IF(ISNUMBER(SEARCH("REVIEW",$Q1238)),"DO NOT DELETE — REVIEW pending",$S1238))))</f>
        <v>DO NOT DELETE — HOLD (Charlie review)</v>
      </c>
      <c r="Q1238" t="str" cm="1">
        <f t="array" ref="Q1238">_xlfn.IFS(AND($A1238="thg-beauty",ISNUMBER(SEARCH("liveramp",$C1238))),"DELETE",$A1238="agile-bonbon-662",_xlfn.IFS(LEFT($G1238,9)="Tranche 1","DELETE",$C1238="Sessions_Level_1_All_Sites","KEEP",ISNUMBER(--$C1238),"REVIEW — UA raw logs",$C1238="Emag_Reporting","KEEP",$C1238="Nutrition_Data_Archived_Tables","KEEP",$C1238="EU_Data","KEEP",TRUE,"REVIEW"),OR($A1238="thg-influencer",$A1238="thg-ingenuity",$A1238="thg-central-marketing",$A1238="thg-seoclarity"),"HOLD",TRUE,"")</f>
        <v>HOLD</v>
      </c>
      <c r="R1238" t="str" cm="1">
        <f t="array" ref="R1238">_xlfn.IFS(AND($A1238="thg-beauty",ISNUMBER(SEARCH("liveramp",$C1238))),"thg-beauty Liveramp dataset — confirmed safe to delete",$A1238="agile-bonbon-662",_xlfn.IFS(LEFT($G1238,9)="Tranche 1","Tranche 1: cleared",$C1238="Sessions_Level_1_All_Sites","Downstream aggregation of UA raw logs — keep if raw tables go",ISNUMBER(--$C1238),"UA raw site logs (account ID) — keep pending audit-retention check",$C1238="Emag_Reporting","Legacy but likely needed",$C1238="Nutrition_Data_Archived_Tables","Worth keeping",$C1238="EU_Data","Static lookup tables — scripts still reference (smoke-test risk)",TRUE,"Review"),OR($A1238="thg-influencer",$A1238="thg-ingenuity",$A1238="thg-central-marketing",$A1238="thg-seoclarity"),"HOLD — Charlie Stringer to review before deletion",TRUE,"")</f>
        <v>HOLD — Charlie Stringer to review before deletion</v>
      </c>
      <c r="S1238" t="s">
        <v>1624</v>
      </c>
    </row>
    <row r="1239" spans="1:19" hidden="1">
      <c r="A1239" t="s">
        <v>38</v>
      </c>
      <c r="B1239" t="s">
        <v>1619</v>
      </c>
      <c r="C1239" t="s">
        <v>3692</v>
      </c>
      <c r="D1239" s="2" t="s">
        <v>1621</v>
      </c>
      <c r="E1239">
        <v>8.1</v>
      </c>
      <c r="F1239">
        <v>0.16</v>
      </c>
      <c r="G1239" t="s">
        <v>3456</v>
      </c>
      <c r="H1239" t="s">
        <v>3457</v>
      </c>
      <c r="I1239">
        <v>723</v>
      </c>
      <c r="J1239">
        <v>723</v>
      </c>
      <c r="M1239" s="2" t="s">
        <v>1715</v>
      </c>
      <c r="N1239" s="2" t="s">
        <v>1701</v>
      </c>
      <c r="O1239" s="5">
        <v>45474.266495972217</v>
      </c>
      <c r="P1239" t="str">
        <f>IF($Q1239="DELETE",IF($S1239="CONFIRMED: NO MODS &gt; 1YR","CONFIRMED: NO MODS &gt; 1YR","DO NOT DELETE — not defensibly confirmed"),IF($Q1239="HOLD","DO NOT DELETE — HOLD (Charlie review)",IF($Q1239="KEEP","DO NOT DELETE — KEEP",IF(ISNUMBER(SEARCH("REVIEW",$Q1239)),"DO NOT DELETE — REVIEW pending",$S1239))))</f>
        <v>DO NOT DELETE — HOLD (Charlie review)</v>
      </c>
      <c r="Q1239" t="str" cm="1">
        <f t="array" ref="Q1239">_xlfn.IFS(AND($A1239="thg-beauty",ISNUMBER(SEARCH("liveramp",$C1239))),"DELETE",$A1239="agile-bonbon-662",_xlfn.IFS(LEFT($G1239,9)="Tranche 1","DELETE",$C1239="Sessions_Level_1_All_Sites","KEEP",ISNUMBER(--$C1239),"REVIEW — UA raw logs",$C1239="Emag_Reporting","KEEP",$C1239="Nutrition_Data_Archived_Tables","KEEP",$C1239="EU_Data","KEEP",TRUE,"REVIEW"),OR($A1239="thg-influencer",$A1239="thg-ingenuity",$A1239="thg-central-marketing",$A1239="thg-seoclarity"),"HOLD",TRUE,"")</f>
        <v>HOLD</v>
      </c>
      <c r="R1239" t="str" cm="1">
        <f t="array" ref="R1239">_xlfn.IFS(AND($A1239="thg-beauty",ISNUMBER(SEARCH("liveramp",$C1239))),"thg-beauty Liveramp dataset — confirmed safe to delete",$A1239="agile-bonbon-662",_xlfn.IFS(LEFT($G1239,9)="Tranche 1","Tranche 1: cleared",$C1239="Sessions_Level_1_All_Sites","Downstream aggregation of UA raw logs — keep if raw tables go",ISNUMBER(--$C1239),"UA raw site logs (account ID) — keep pending audit-retention check",$C1239="Emag_Reporting","Legacy but likely needed",$C1239="Nutrition_Data_Archived_Tables","Worth keeping",$C1239="EU_Data","Static lookup tables — scripts still reference (smoke-test risk)",TRUE,"Review"),OR($A1239="thg-influencer",$A1239="thg-ingenuity",$A1239="thg-central-marketing",$A1239="thg-seoclarity"),"HOLD — Charlie Stringer to review before deletion",TRUE,"")</f>
        <v>HOLD — Charlie Stringer to review before deletion</v>
      </c>
      <c r="S1239" t="s">
        <v>1624</v>
      </c>
    </row>
    <row r="1240" spans="1:19" hidden="1">
      <c r="A1240" t="s">
        <v>38</v>
      </c>
      <c r="B1240" t="s">
        <v>1619</v>
      </c>
      <c r="C1240" t="s">
        <v>3693</v>
      </c>
      <c r="D1240" s="2" t="s">
        <v>1621</v>
      </c>
      <c r="E1240">
        <v>7.36</v>
      </c>
      <c r="F1240">
        <v>0.15</v>
      </c>
      <c r="G1240" t="s">
        <v>3456</v>
      </c>
      <c r="H1240" t="s">
        <v>3457</v>
      </c>
      <c r="I1240">
        <v>723</v>
      </c>
      <c r="J1240">
        <v>723</v>
      </c>
      <c r="M1240" s="2" t="s">
        <v>1715</v>
      </c>
      <c r="N1240" s="2" t="s">
        <v>1701</v>
      </c>
      <c r="O1240" s="5">
        <v>45474.282781226852</v>
      </c>
      <c r="P1240" t="str">
        <f>IF($Q1240="DELETE",IF($S1240="CONFIRMED: NO MODS &gt; 1YR","CONFIRMED: NO MODS &gt; 1YR","DO NOT DELETE — not defensibly confirmed"),IF($Q1240="HOLD","DO NOT DELETE — HOLD (Charlie review)",IF($Q1240="KEEP","DO NOT DELETE — KEEP",IF(ISNUMBER(SEARCH("REVIEW",$Q1240)),"DO NOT DELETE — REVIEW pending",$S1240))))</f>
        <v>DO NOT DELETE — HOLD (Charlie review)</v>
      </c>
      <c r="Q1240" t="str" cm="1">
        <f t="array" ref="Q1240">_xlfn.IFS(AND($A1240="thg-beauty",ISNUMBER(SEARCH("liveramp",$C1240))),"DELETE",$A1240="agile-bonbon-662",_xlfn.IFS(LEFT($G1240,9)="Tranche 1","DELETE",$C1240="Sessions_Level_1_All_Sites","KEEP",ISNUMBER(--$C1240),"REVIEW — UA raw logs",$C1240="Emag_Reporting","KEEP",$C1240="Nutrition_Data_Archived_Tables","KEEP",$C1240="EU_Data","KEEP",TRUE,"REVIEW"),OR($A1240="thg-influencer",$A1240="thg-ingenuity",$A1240="thg-central-marketing",$A1240="thg-seoclarity"),"HOLD",TRUE,"")</f>
        <v>HOLD</v>
      </c>
      <c r="R1240" t="str" cm="1">
        <f t="array" ref="R1240">_xlfn.IFS(AND($A1240="thg-beauty",ISNUMBER(SEARCH("liveramp",$C1240))),"thg-beauty Liveramp dataset — confirmed safe to delete",$A1240="agile-bonbon-662",_xlfn.IFS(LEFT($G1240,9)="Tranche 1","Tranche 1: cleared",$C1240="Sessions_Level_1_All_Sites","Downstream aggregation of UA raw logs — keep if raw tables go",ISNUMBER(--$C1240),"UA raw site logs (account ID) — keep pending audit-retention check",$C1240="Emag_Reporting","Legacy but likely needed",$C1240="Nutrition_Data_Archived_Tables","Worth keeping",$C1240="EU_Data","Static lookup tables — scripts still reference (smoke-test risk)",TRUE,"Review"),OR($A1240="thg-influencer",$A1240="thg-ingenuity",$A1240="thg-central-marketing",$A1240="thg-seoclarity"),"HOLD — Charlie Stringer to review before deletion",TRUE,"")</f>
        <v>HOLD — Charlie Stringer to review before deletion</v>
      </c>
      <c r="S1240" t="s">
        <v>1624</v>
      </c>
    </row>
    <row r="1241" spans="1:19" hidden="1">
      <c r="A1241" t="s">
        <v>38</v>
      </c>
      <c r="B1241" t="s">
        <v>1619</v>
      </c>
      <c r="C1241" t="s">
        <v>3694</v>
      </c>
      <c r="D1241" s="2" t="s">
        <v>1621</v>
      </c>
      <c r="E1241">
        <v>6.87</v>
      </c>
      <c r="F1241">
        <v>0.14000000000000001</v>
      </c>
      <c r="G1241" t="s">
        <v>3456</v>
      </c>
      <c r="H1241" t="s">
        <v>3457</v>
      </c>
      <c r="I1241">
        <v>723</v>
      </c>
      <c r="J1241">
        <v>723</v>
      </c>
      <c r="M1241" s="2" t="s">
        <v>1715</v>
      </c>
      <c r="N1241" s="2" t="s">
        <v>1701</v>
      </c>
      <c r="O1241" s="5">
        <v>45474.276700949071</v>
      </c>
      <c r="P1241" t="str">
        <f>IF($Q1241="DELETE",IF($S1241="CONFIRMED: NO MODS &gt; 1YR","CONFIRMED: NO MODS &gt; 1YR","DO NOT DELETE — not defensibly confirmed"),IF($Q1241="HOLD","DO NOT DELETE — HOLD (Charlie review)",IF($Q1241="KEEP","DO NOT DELETE — KEEP",IF(ISNUMBER(SEARCH("REVIEW",$Q1241)),"DO NOT DELETE — REVIEW pending",$S1241))))</f>
        <v>DO NOT DELETE — HOLD (Charlie review)</v>
      </c>
      <c r="Q1241" t="str" cm="1">
        <f t="array" ref="Q1241">_xlfn.IFS(AND($A1241="thg-beauty",ISNUMBER(SEARCH("liveramp",$C1241))),"DELETE",$A1241="agile-bonbon-662",_xlfn.IFS(LEFT($G1241,9)="Tranche 1","DELETE",$C1241="Sessions_Level_1_All_Sites","KEEP",ISNUMBER(--$C1241),"REVIEW — UA raw logs",$C1241="Emag_Reporting","KEEP",$C1241="Nutrition_Data_Archived_Tables","KEEP",$C1241="EU_Data","KEEP",TRUE,"REVIEW"),OR($A1241="thg-influencer",$A1241="thg-ingenuity",$A1241="thg-central-marketing",$A1241="thg-seoclarity"),"HOLD",TRUE,"")</f>
        <v>HOLD</v>
      </c>
      <c r="R1241" t="str" cm="1">
        <f t="array" ref="R1241">_xlfn.IFS(AND($A1241="thg-beauty",ISNUMBER(SEARCH("liveramp",$C1241))),"thg-beauty Liveramp dataset — confirmed safe to delete",$A1241="agile-bonbon-662",_xlfn.IFS(LEFT($G1241,9)="Tranche 1","Tranche 1: cleared",$C1241="Sessions_Level_1_All_Sites","Downstream aggregation of UA raw logs — keep if raw tables go",ISNUMBER(--$C1241),"UA raw site logs (account ID) — keep pending audit-retention check",$C1241="Emag_Reporting","Legacy but likely needed",$C1241="Nutrition_Data_Archived_Tables","Worth keeping",$C1241="EU_Data","Static lookup tables — scripts still reference (smoke-test risk)",TRUE,"Review"),OR($A1241="thg-influencer",$A1241="thg-ingenuity",$A1241="thg-central-marketing",$A1241="thg-seoclarity"),"HOLD — Charlie Stringer to review before deletion",TRUE,"")</f>
        <v>HOLD — Charlie Stringer to review before deletion</v>
      </c>
      <c r="S1241" t="s">
        <v>1624</v>
      </c>
    </row>
    <row r="1242" spans="1:19" hidden="1">
      <c r="A1242" t="s">
        <v>38</v>
      </c>
      <c r="B1242" t="s">
        <v>1619</v>
      </c>
      <c r="C1242" t="s">
        <v>3695</v>
      </c>
      <c r="D1242" s="2" t="s">
        <v>1621</v>
      </c>
      <c r="E1242">
        <v>6.85</v>
      </c>
      <c r="F1242">
        <v>0.14000000000000001</v>
      </c>
      <c r="G1242" t="s">
        <v>3456</v>
      </c>
      <c r="H1242" t="s">
        <v>3457</v>
      </c>
      <c r="I1242">
        <v>723</v>
      </c>
      <c r="J1242">
        <v>723</v>
      </c>
      <c r="M1242" s="2" t="s">
        <v>1715</v>
      </c>
      <c r="N1242" s="2" t="s">
        <v>1701</v>
      </c>
      <c r="O1242" s="5">
        <v>45474.28349548611</v>
      </c>
      <c r="P1242" t="str">
        <f>IF($Q1242="DELETE",IF($S1242="CONFIRMED: NO MODS &gt; 1YR","CONFIRMED: NO MODS &gt; 1YR","DO NOT DELETE — not defensibly confirmed"),IF($Q1242="HOLD","DO NOT DELETE — HOLD (Charlie review)",IF($Q1242="KEEP","DO NOT DELETE — KEEP",IF(ISNUMBER(SEARCH("REVIEW",$Q1242)),"DO NOT DELETE — REVIEW pending",$S1242))))</f>
        <v>DO NOT DELETE — HOLD (Charlie review)</v>
      </c>
      <c r="Q1242" t="str" cm="1">
        <f t="array" ref="Q1242">_xlfn.IFS(AND($A1242="thg-beauty",ISNUMBER(SEARCH("liveramp",$C1242))),"DELETE",$A1242="agile-bonbon-662",_xlfn.IFS(LEFT($G1242,9)="Tranche 1","DELETE",$C1242="Sessions_Level_1_All_Sites","KEEP",ISNUMBER(--$C1242),"REVIEW — UA raw logs",$C1242="Emag_Reporting","KEEP",$C1242="Nutrition_Data_Archived_Tables","KEEP",$C1242="EU_Data","KEEP",TRUE,"REVIEW"),OR($A1242="thg-influencer",$A1242="thg-ingenuity",$A1242="thg-central-marketing",$A1242="thg-seoclarity"),"HOLD",TRUE,"")</f>
        <v>HOLD</v>
      </c>
      <c r="R1242" t="str" cm="1">
        <f t="array" ref="R1242">_xlfn.IFS(AND($A1242="thg-beauty",ISNUMBER(SEARCH("liveramp",$C1242))),"thg-beauty Liveramp dataset — confirmed safe to delete",$A1242="agile-bonbon-662",_xlfn.IFS(LEFT($G1242,9)="Tranche 1","Tranche 1: cleared",$C1242="Sessions_Level_1_All_Sites","Downstream aggregation of UA raw logs — keep if raw tables go",ISNUMBER(--$C1242),"UA raw site logs (account ID) — keep pending audit-retention check",$C1242="Emag_Reporting","Legacy but likely needed",$C1242="Nutrition_Data_Archived_Tables","Worth keeping",$C1242="EU_Data","Static lookup tables — scripts still reference (smoke-test risk)",TRUE,"Review"),OR($A1242="thg-influencer",$A1242="thg-ingenuity",$A1242="thg-central-marketing",$A1242="thg-seoclarity"),"HOLD — Charlie Stringer to review before deletion",TRUE,"")</f>
        <v>HOLD — Charlie Stringer to review before deletion</v>
      </c>
      <c r="S1242" t="s">
        <v>1624</v>
      </c>
    </row>
    <row r="1243" spans="1:19" hidden="1">
      <c r="A1243" t="s">
        <v>38</v>
      </c>
      <c r="B1243" t="s">
        <v>1619</v>
      </c>
      <c r="C1243" t="s">
        <v>3696</v>
      </c>
      <c r="D1243" s="2" t="s">
        <v>1621</v>
      </c>
      <c r="E1243">
        <v>6.33</v>
      </c>
      <c r="F1243">
        <v>0.13</v>
      </c>
      <c r="G1243" t="s">
        <v>3456</v>
      </c>
      <c r="H1243" t="s">
        <v>3457</v>
      </c>
      <c r="I1243">
        <v>723</v>
      </c>
      <c r="J1243">
        <v>723</v>
      </c>
      <c r="M1243" s="2" t="s">
        <v>1715</v>
      </c>
      <c r="N1243" s="2" t="s">
        <v>1701</v>
      </c>
      <c r="O1243" s="5">
        <v>45474.281010324077</v>
      </c>
      <c r="P1243" t="str">
        <f>IF($Q1243="DELETE",IF($S1243="CONFIRMED: NO MODS &gt; 1YR","CONFIRMED: NO MODS &gt; 1YR","DO NOT DELETE — not defensibly confirmed"),IF($Q1243="HOLD","DO NOT DELETE — HOLD (Charlie review)",IF($Q1243="KEEP","DO NOT DELETE — KEEP",IF(ISNUMBER(SEARCH("REVIEW",$Q1243)),"DO NOT DELETE — REVIEW pending",$S1243))))</f>
        <v>DO NOT DELETE — HOLD (Charlie review)</v>
      </c>
      <c r="Q1243" t="str" cm="1">
        <f t="array" ref="Q1243">_xlfn.IFS(AND($A1243="thg-beauty",ISNUMBER(SEARCH("liveramp",$C1243))),"DELETE",$A1243="agile-bonbon-662",_xlfn.IFS(LEFT($G1243,9)="Tranche 1","DELETE",$C1243="Sessions_Level_1_All_Sites","KEEP",ISNUMBER(--$C1243),"REVIEW — UA raw logs",$C1243="Emag_Reporting","KEEP",$C1243="Nutrition_Data_Archived_Tables","KEEP",$C1243="EU_Data","KEEP",TRUE,"REVIEW"),OR($A1243="thg-influencer",$A1243="thg-ingenuity",$A1243="thg-central-marketing",$A1243="thg-seoclarity"),"HOLD",TRUE,"")</f>
        <v>HOLD</v>
      </c>
      <c r="R1243" t="str" cm="1">
        <f t="array" ref="R1243">_xlfn.IFS(AND($A1243="thg-beauty",ISNUMBER(SEARCH("liveramp",$C1243))),"thg-beauty Liveramp dataset — confirmed safe to delete",$A1243="agile-bonbon-662",_xlfn.IFS(LEFT($G1243,9)="Tranche 1","Tranche 1: cleared",$C1243="Sessions_Level_1_All_Sites","Downstream aggregation of UA raw logs — keep if raw tables go",ISNUMBER(--$C1243),"UA raw site logs (account ID) — keep pending audit-retention check",$C1243="Emag_Reporting","Legacy but likely needed",$C1243="Nutrition_Data_Archived_Tables","Worth keeping",$C1243="EU_Data","Static lookup tables — scripts still reference (smoke-test risk)",TRUE,"Review"),OR($A1243="thg-influencer",$A1243="thg-ingenuity",$A1243="thg-central-marketing",$A1243="thg-seoclarity"),"HOLD — Charlie Stringer to review before deletion",TRUE,"")</f>
        <v>HOLD — Charlie Stringer to review before deletion</v>
      </c>
      <c r="S1243" t="s">
        <v>1624</v>
      </c>
    </row>
    <row r="1244" spans="1:19" hidden="1">
      <c r="A1244" t="s">
        <v>38</v>
      </c>
      <c r="B1244" t="s">
        <v>1619</v>
      </c>
      <c r="C1244" t="s">
        <v>3697</v>
      </c>
      <c r="D1244" s="2" t="s">
        <v>1621</v>
      </c>
      <c r="E1244">
        <v>6.25</v>
      </c>
      <c r="F1244">
        <v>0.13</v>
      </c>
      <c r="G1244" t="s">
        <v>3456</v>
      </c>
      <c r="H1244" t="s">
        <v>3457</v>
      </c>
      <c r="I1244">
        <v>723</v>
      </c>
      <c r="J1244">
        <v>723</v>
      </c>
      <c r="M1244" s="2" t="s">
        <v>1715</v>
      </c>
      <c r="N1244" s="2" t="s">
        <v>1701</v>
      </c>
      <c r="O1244" s="5">
        <v>45474.297494768522</v>
      </c>
      <c r="P1244" t="str">
        <f>IF($Q1244="DELETE",IF($S1244="CONFIRMED: NO MODS &gt; 1YR","CONFIRMED: NO MODS &gt; 1YR","DO NOT DELETE — not defensibly confirmed"),IF($Q1244="HOLD","DO NOT DELETE — HOLD (Charlie review)",IF($Q1244="KEEP","DO NOT DELETE — KEEP",IF(ISNUMBER(SEARCH("REVIEW",$Q1244)),"DO NOT DELETE — REVIEW pending",$S1244))))</f>
        <v>DO NOT DELETE — HOLD (Charlie review)</v>
      </c>
      <c r="Q1244" t="str" cm="1">
        <f t="array" ref="Q1244">_xlfn.IFS(AND($A1244="thg-beauty",ISNUMBER(SEARCH("liveramp",$C1244))),"DELETE",$A1244="agile-bonbon-662",_xlfn.IFS(LEFT($G1244,9)="Tranche 1","DELETE",$C1244="Sessions_Level_1_All_Sites","KEEP",ISNUMBER(--$C1244),"REVIEW — UA raw logs",$C1244="Emag_Reporting","KEEP",$C1244="Nutrition_Data_Archived_Tables","KEEP",$C1244="EU_Data","KEEP",TRUE,"REVIEW"),OR($A1244="thg-influencer",$A1244="thg-ingenuity",$A1244="thg-central-marketing",$A1244="thg-seoclarity"),"HOLD",TRUE,"")</f>
        <v>HOLD</v>
      </c>
      <c r="R1244" t="str" cm="1">
        <f t="array" ref="R1244">_xlfn.IFS(AND($A1244="thg-beauty",ISNUMBER(SEARCH("liveramp",$C1244))),"thg-beauty Liveramp dataset — confirmed safe to delete",$A1244="agile-bonbon-662",_xlfn.IFS(LEFT($G1244,9)="Tranche 1","Tranche 1: cleared",$C1244="Sessions_Level_1_All_Sites","Downstream aggregation of UA raw logs — keep if raw tables go",ISNUMBER(--$C1244),"UA raw site logs (account ID) — keep pending audit-retention check",$C1244="Emag_Reporting","Legacy but likely needed",$C1244="Nutrition_Data_Archived_Tables","Worth keeping",$C1244="EU_Data","Static lookup tables — scripts still reference (smoke-test risk)",TRUE,"Review"),OR($A1244="thg-influencer",$A1244="thg-ingenuity",$A1244="thg-central-marketing",$A1244="thg-seoclarity"),"HOLD — Charlie Stringer to review before deletion",TRUE,"")</f>
        <v>HOLD — Charlie Stringer to review before deletion</v>
      </c>
      <c r="S1244" t="s">
        <v>1624</v>
      </c>
    </row>
    <row r="1245" spans="1:19" hidden="1">
      <c r="A1245" t="s">
        <v>38</v>
      </c>
      <c r="B1245" t="s">
        <v>1619</v>
      </c>
      <c r="C1245" t="s">
        <v>3698</v>
      </c>
      <c r="D1245" s="2" t="s">
        <v>1621</v>
      </c>
      <c r="E1245">
        <v>6.18</v>
      </c>
      <c r="F1245">
        <v>0.12</v>
      </c>
      <c r="G1245" t="s">
        <v>3456</v>
      </c>
      <c r="H1245" t="s">
        <v>3457</v>
      </c>
      <c r="I1245">
        <v>723</v>
      </c>
      <c r="J1245">
        <v>723</v>
      </c>
      <c r="M1245" s="2" t="s">
        <v>1715</v>
      </c>
      <c r="N1245" s="2" t="s">
        <v>1701</v>
      </c>
      <c r="O1245" s="5">
        <v>45474.279590740742</v>
      </c>
      <c r="P1245" t="str">
        <f>IF($Q1245="DELETE",IF($S1245="CONFIRMED: NO MODS &gt; 1YR","CONFIRMED: NO MODS &gt; 1YR","DO NOT DELETE — not defensibly confirmed"),IF($Q1245="HOLD","DO NOT DELETE — HOLD (Charlie review)",IF($Q1245="KEEP","DO NOT DELETE — KEEP",IF(ISNUMBER(SEARCH("REVIEW",$Q1245)),"DO NOT DELETE — REVIEW pending",$S1245))))</f>
        <v>DO NOT DELETE — HOLD (Charlie review)</v>
      </c>
      <c r="Q1245" t="str" cm="1">
        <f t="array" ref="Q1245">_xlfn.IFS(AND($A1245="thg-beauty",ISNUMBER(SEARCH("liveramp",$C1245))),"DELETE",$A1245="agile-bonbon-662",_xlfn.IFS(LEFT($G1245,9)="Tranche 1","DELETE",$C1245="Sessions_Level_1_All_Sites","KEEP",ISNUMBER(--$C1245),"REVIEW — UA raw logs",$C1245="Emag_Reporting","KEEP",$C1245="Nutrition_Data_Archived_Tables","KEEP",$C1245="EU_Data","KEEP",TRUE,"REVIEW"),OR($A1245="thg-influencer",$A1245="thg-ingenuity",$A1245="thg-central-marketing",$A1245="thg-seoclarity"),"HOLD",TRUE,"")</f>
        <v>HOLD</v>
      </c>
      <c r="R1245" t="str" cm="1">
        <f t="array" ref="R1245">_xlfn.IFS(AND($A1245="thg-beauty",ISNUMBER(SEARCH("liveramp",$C1245))),"thg-beauty Liveramp dataset — confirmed safe to delete",$A1245="agile-bonbon-662",_xlfn.IFS(LEFT($G1245,9)="Tranche 1","Tranche 1: cleared",$C1245="Sessions_Level_1_All_Sites","Downstream aggregation of UA raw logs — keep if raw tables go",ISNUMBER(--$C1245),"UA raw site logs (account ID) — keep pending audit-retention check",$C1245="Emag_Reporting","Legacy but likely needed",$C1245="Nutrition_Data_Archived_Tables","Worth keeping",$C1245="EU_Data","Static lookup tables — scripts still reference (smoke-test risk)",TRUE,"Review"),OR($A1245="thg-influencer",$A1245="thg-ingenuity",$A1245="thg-central-marketing",$A1245="thg-seoclarity"),"HOLD — Charlie Stringer to review before deletion",TRUE,"")</f>
        <v>HOLD — Charlie Stringer to review before deletion</v>
      </c>
      <c r="S1245" t="s">
        <v>1624</v>
      </c>
    </row>
    <row r="1246" spans="1:19" hidden="1">
      <c r="A1246" t="s">
        <v>38</v>
      </c>
      <c r="B1246" t="s">
        <v>1619</v>
      </c>
      <c r="C1246" t="s">
        <v>3699</v>
      </c>
      <c r="D1246" s="2" t="s">
        <v>1621</v>
      </c>
      <c r="E1246">
        <v>6.1</v>
      </c>
      <c r="F1246">
        <v>0.12</v>
      </c>
      <c r="G1246" t="s">
        <v>3456</v>
      </c>
      <c r="H1246" t="s">
        <v>3457</v>
      </c>
      <c r="I1246">
        <v>723</v>
      </c>
      <c r="J1246">
        <v>723</v>
      </c>
      <c r="M1246" s="2" t="s">
        <v>1715</v>
      </c>
      <c r="N1246" s="2" t="s">
        <v>1701</v>
      </c>
      <c r="O1246" s="5">
        <v>45474.26312033565</v>
      </c>
      <c r="P1246" t="str">
        <f>IF($Q1246="DELETE",IF($S1246="CONFIRMED: NO MODS &gt; 1YR","CONFIRMED: NO MODS &gt; 1YR","DO NOT DELETE — not defensibly confirmed"),IF($Q1246="HOLD","DO NOT DELETE — HOLD (Charlie review)",IF($Q1246="KEEP","DO NOT DELETE — KEEP",IF(ISNUMBER(SEARCH("REVIEW",$Q1246)),"DO NOT DELETE — REVIEW pending",$S1246))))</f>
        <v>DO NOT DELETE — HOLD (Charlie review)</v>
      </c>
      <c r="Q1246" t="str" cm="1">
        <f t="array" ref="Q1246">_xlfn.IFS(AND($A1246="thg-beauty",ISNUMBER(SEARCH("liveramp",$C1246))),"DELETE",$A1246="agile-bonbon-662",_xlfn.IFS(LEFT($G1246,9)="Tranche 1","DELETE",$C1246="Sessions_Level_1_All_Sites","KEEP",ISNUMBER(--$C1246),"REVIEW — UA raw logs",$C1246="Emag_Reporting","KEEP",$C1246="Nutrition_Data_Archived_Tables","KEEP",$C1246="EU_Data","KEEP",TRUE,"REVIEW"),OR($A1246="thg-influencer",$A1246="thg-ingenuity",$A1246="thg-central-marketing",$A1246="thg-seoclarity"),"HOLD",TRUE,"")</f>
        <v>HOLD</v>
      </c>
      <c r="R1246" t="str" cm="1">
        <f t="array" ref="R1246">_xlfn.IFS(AND($A1246="thg-beauty",ISNUMBER(SEARCH("liveramp",$C1246))),"thg-beauty Liveramp dataset — confirmed safe to delete",$A1246="agile-bonbon-662",_xlfn.IFS(LEFT($G1246,9)="Tranche 1","Tranche 1: cleared",$C1246="Sessions_Level_1_All_Sites","Downstream aggregation of UA raw logs — keep if raw tables go",ISNUMBER(--$C1246),"UA raw site logs (account ID) — keep pending audit-retention check",$C1246="Emag_Reporting","Legacy but likely needed",$C1246="Nutrition_Data_Archived_Tables","Worth keeping",$C1246="EU_Data","Static lookup tables — scripts still reference (smoke-test risk)",TRUE,"Review"),OR($A1246="thg-influencer",$A1246="thg-ingenuity",$A1246="thg-central-marketing",$A1246="thg-seoclarity"),"HOLD — Charlie Stringer to review before deletion",TRUE,"")</f>
        <v>HOLD — Charlie Stringer to review before deletion</v>
      </c>
      <c r="S1246" t="s">
        <v>1624</v>
      </c>
    </row>
    <row r="1247" spans="1:19" hidden="1">
      <c r="A1247" t="s">
        <v>38</v>
      </c>
      <c r="B1247" t="s">
        <v>1619</v>
      </c>
      <c r="C1247" t="s">
        <v>3700</v>
      </c>
      <c r="D1247" s="2" t="s">
        <v>1621</v>
      </c>
      <c r="E1247">
        <v>5.65</v>
      </c>
      <c r="F1247">
        <v>0.11</v>
      </c>
      <c r="G1247" t="s">
        <v>3456</v>
      </c>
      <c r="H1247" t="s">
        <v>3457</v>
      </c>
      <c r="I1247">
        <v>723</v>
      </c>
      <c r="J1247">
        <v>723</v>
      </c>
      <c r="M1247" s="2" t="s">
        <v>1715</v>
      </c>
      <c r="N1247" s="2" t="s">
        <v>1701</v>
      </c>
      <c r="O1247" s="5">
        <v>45474.284329722221</v>
      </c>
      <c r="P1247" t="str">
        <f>IF($Q1247="DELETE",IF($S1247="CONFIRMED: NO MODS &gt; 1YR","CONFIRMED: NO MODS &gt; 1YR","DO NOT DELETE — not defensibly confirmed"),IF($Q1247="HOLD","DO NOT DELETE — HOLD (Charlie review)",IF($Q1247="KEEP","DO NOT DELETE — KEEP",IF(ISNUMBER(SEARCH("REVIEW",$Q1247)),"DO NOT DELETE — REVIEW pending",$S1247))))</f>
        <v>DO NOT DELETE — HOLD (Charlie review)</v>
      </c>
      <c r="Q1247" t="str" cm="1">
        <f t="array" ref="Q1247">_xlfn.IFS(AND($A1247="thg-beauty",ISNUMBER(SEARCH("liveramp",$C1247))),"DELETE",$A1247="agile-bonbon-662",_xlfn.IFS(LEFT($G1247,9)="Tranche 1","DELETE",$C1247="Sessions_Level_1_All_Sites","KEEP",ISNUMBER(--$C1247),"REVIEW — UA raw logs",$C1247="Emag_Reporting","KEEP",$C1247="Nutrition_Data_Archived_Tables","KEEP",$C1247="EU_Data","KEEP",TRUE,"REVIEW"),OR($A1247="thg-influencer",$A1247="thg-ingenuity",$A1247="thg-central-marketing",$A1247="thg-seoclarity"),"HOLD",TRUE,"")</f>
        <v>HOLD</v>
      </c>
      <c r="R1247" t="str" cm="1">
        <f t="array" ref="R1247">_xlfn.IFS(AND($A1247="thg-beauty",ISNUMBER(SEARCH("liveramp",$C1247))),"thg-beauty Liveramp dataset — confirmed safe to delete",$A1247="agile-bonbon-662",_xlfn.IFS(LEFT($G1247,9)="Tranche 1","Tranche 1: cleared",$C1247="Sessions_Level_1_All_Sites","Downstream aggregation of UA raw logs — keep if raw tables go",ISNUMBER(--$C1247),"UA raw site logs (account ID) — keep pending audit-retention check",$C1247="Emag_Reporting","Legacy but likely needed",$C1247="Nutrition_Data_Archived_Tables","Worth keeping",$C1247="EU_Data","Static lookup tables — scripts still reference (smoke-test risk)",TRUE,"Review"),OR($A1247="thg-influencer",$A1247="thg-ingenuity",$A1247="thg-central-marketing",$A1247="thg-seoclarity"),"HOLD — Charlie Stringer to review before deletion",TRUE,"")</f>
        <v>HOLD — Charlie Stringer to review before deletion</v>
      </c>
      <c r="S1247" t="s">
        <v>1624</v>
      </c>
    </row>
    <row r="1248" spans="1:19" hidden="1">
      <c r="A1248" t="s">
        <v>38</v>
      </c>
      <c r="B1248" t="s">
        <v>1619</v>
      </c>
      <c r="C1248" t="s">
        <v>3701</v>
      </c>
      <c r="D1248" s="2" t="s">
        <v>1621</v>
      </c>
      <c r="E1248">
        <v>5.47</v>
      </c>
      <c r="F1248">
        <v>0.11</v>
      </c>
      <c r="G1248" t="s">
        <v>3456</v>
      </c>
      <c r="H1248" t="s">
        <v>3457</v>
      </c>
      <c r="I1248">
        <v>723</v>
      </c>
      <c r="J1248">
        <v>723</v>
      </c>
      <c r="M1248" s="2" t="s">
        <v>1715</v>
      </c>
      <c r="N1248" s="2" t="s">
        <v>1701</v>
      </c>
      <c r="O1248" s="5">
        <v>45474.282688217587</v>
      </c>
      <c r="P1248" t="str">
        <f>IF($Q1248="DELETE",IF($S1248="CONFIRMED: NO MODS &gt; 1YR","CONFIRMED: NO MODS &gt; 1YR","DO NOT DELETE — not defensibly confirmed"),IF($Q1248="HOLD","DO NOT DELETE — HOLD (Charlie review)",IF($Q1248="KEEP","DO NOT DELETE — KEEP",IF(ISNUMBER(SEARCH("REVIEW",$Q1248)),"DO NOT DELETE — REVIEW pending",$S1248))))</f>
        <v>DO NOT DELETE — HOLD (Charlie review)</v>
      </c>
      <c r="Q1248" t="str" cm="1">
        <f t="array" ref="Q1248">_xlfn.IFS(AND($A1248="thg-beauty",ISNUMBER(SEARCH("liveramp",$C1248))),"DELETE",$A1248="agile-bonbon-662",_xlfn.IFS(LEFT($G1248,9)="Tranche 1","DELETE",$C1248="Sessions_Level_1_All_Sites","KEEP",ISNUMBER(--$C1248),"REVIEW — UA raw logs",$C1248="Emag_Reporting","KEEP",$C1248="Nutrition_Data_Archived_Tables","KEEP",$C1248="EU_Data","KEEP",TRUE,"REVIEW"),OR($A1248="thg-influencer",$A1248="thg-ingenuity",$A1248="thg-central-marketing",$A1248="thg-seoclarity"),"HOLD",TRUE,"")</f>
        <v>HOLD</v>
      </c>
      <c r="R1248" t="str" cm="1">
        <f t="array" ref="R1248">_xlfn.IFS(AND($A1248="thg-beauty",ISNUMBER(SEARCH("liveramp",$C1248))),"thg-beauty Liveramp dataset — confirmed safe to delete",$A1248="agile-bonbon-662",_xlfn.IFS(LEFT($G1248,9)="Tranche 1","Tranche 1: cleared",$C1248="Sessions_Level_1_All_Sites","Downstream aggregation of UA raw logs — keep if raw tables go",ISNUMBER(--$C1248),"UA raw site logs (account ID) — keep pending audit-retention check",$C1248="Emag_Reporting","Legacy but likely needed",$C1248="Nutrition_Data_Archived_Tables","Worth keeping",$C1248="EU_Data","Static lookup tables — scripts still reference (smoke-test risk)",TRUE,"Review"),OR($A1248="thg-influencer",$A1248="thg-ingenuity",$A1248="thg-central-marketing",$A1248="thg-seoclarity"),"HOLD — Charlie Stringer to review before deletion",TRUE,"")</f>
        <v>HOLD — Charlie Stringer to review before deletion</v>
      </c>
      <c r="S1248" t="s">
        <v>1624</v>
      </c>
    </row>
    <row r="1249" spans="1:19" hidden="1">
      <c r="A1249" t="s">
        <v>38</v>
      </c>
      <c r="B1249" t="s">
        <v>1619</v>
      </c>
      <c r="C1249" t="s">
        <v>3702</v>
      </c>
      <c r="D1249" s="2" t="s">
        <v>1621</v>
      </c>
      <c r="E1249">
        <v>5.37</v>
      </c>
      <c r="F1249">
        <v>0.11</v>
      </c>
      <c r="G1249" t="s">
        <v>3456</v>
      </c>
      <c r="H1249" t="s">
        <v>3457</v>
      </c>
      <c r="I1249">
        <v>723</v>
      </c>
      <c r="J1249">
        <v>723</v>
      </c>
      <c r="M1249" s="2" t="s">
        <v>1715</v>
      </c>
      <c r="N1249" s="2" t="s">
        <v>1701</v>
      </c>
      <c r="O1249" s="5">
        <v>45474.281308969898</v>
      </c>
      <c r="P1249" t="str">
        <f>IF($Q1249="DELETE",IF($S1249="CONFIRMED: NO MODS &gt; 1YR","CONFIRMED: NO MODS &gt; 1YR","DO NOT DELETE — not defensibly confirmed"),IF($Q1249="HOLD","DO NOT DELETE — HOLD (Charlie review)",IF($Q1249="KEEP","DO NOT DELETE — KEEP",IF(ISNUMBER(SEARCH("REVIEW",$Q1249)),"DO NOT DELETE — REVIEW pending",$S1249))))</f>
        <v>DO NOT DELETE — HOLD (Charlie review)</v>
      </c>
      <c r="Q1249" t="str" cm="1">
        <f t="array" ref="Q1249">_xlfn.IFS(AND($A1249="thg-beauty",ISNUMBER(SEARCH("liveramp",$C1249))),"DELETE",$A1249="agile-bonbon-662",_xlfn.IFS(LEFT($G1249,9)="Tranche 1","DELETE",$C1249="Sessions_Level_1_All_Sites","KEEP",ISNUMBER(--$C1249),"REVIEW — UA raw logs",$C1249="Emag_Reporting","KEEP",$C1249="Nutrition_Data_Archived_Tables","KEEP",$C1249="EU_Data","KEEP",TRUE,"REVIEW"),OR($A1249="thg-influencer",$A1249="thg-ingenuity",$A1249="thg-central-marketing",$A1249="thg-seoclarity"),"HOLD",TRUE,"")</f>
        <v>HOLD</v>
      </c>
      <c r="R1249" t="str" cm="1">
        <f t="array" ref="R1249">_xlfn.IFS(AND($A1249="thg-beauty",ISNUMBER(SEARCH("liveramp",$C1249))),"thg-beauty Liveramp dataset — confirmed safe to delete",$A1249="agile-bonbon-662",_xlfn.IFS(LEFT($G1249,9)="Tranche 1","Tranche 1: cleared",$C1249="Sessions_Level_1_All_Sites","Downstream aggregation of UA raw logs — keep if raw tables go",ISNUMBER(--$C1249),"UA raw site logs (account ID) — keep pending audit-retention check",$C1249="Emag_Reporting","Legacy but likely needed",$C1249="Nutrition_Data_Archived_Tables","Worth keeping",$C1249="EU_Data","Static lookup tables — scripts still reference (smoke-test risk)",TRUE,"Review"),OR($A1249="thg-influencer",$A1249="thg-ingenuity",$A1249="thg-central-marketing",$A1249="thg-seoclarity"),"HOLD — Charlie Stringer to review before deletion",TRUE,"")</f>
        <v>HOLD — Charlie Stringer to review before deletion</v>
      </c>
      <c r="S1249" t="s">
        <v>1624</v>
      </c>
    </row>
    <row r="1250" spans="1:19" hidden="1">
      <c r="A1250" t="s">
        <v>38</v>
      </c>
      <c r="B1250" t="s">
        <v>1619</v>
      </c>
      <c r="C1250" t="s">
        <v>3703</v>
      </c>
      <c r="D1250" s="2" t="s">
        <v>1621</v>
      </c>
      <c r="E1250">
        <v>5.1100000000000003</v>
      </c>
      <c r="F1250">
        <v>0.1</v>
      </c>
      <c r="G1250" t="s">
        <v>3456</v>
      </c>
      <c r="H1250" t="s">
        <v>3457</v>
      </c>
      <c r="I1250">
        <v>723</v>
      </c>
      <c r="J1250">
        <v>723</v>
      </c>
      <c r="M1250" s="2" t="s">
        <v>1715</v>
      </c>
      <c r="N1250" s="2" t="s">
        <v>1701</v>
      </c>
      <c r="O1250" s="5">
        <v>45474.277211990739</v>
      </c>
      <c r="P1250" t="str">
        <f>IF($Q1250="DELETE",IF($S1250="CONFIRMED: NO MODS &gt; 1YR","CONFIRMED: NO MODS &gt; 1YR","DO NOT DELETE — not defensibly confirmed"),IF($Q1250="HOLD","DO NOT DELETE — HOLD (Charlie review)",IF($Q1250="KEEP","DO NOT DELETE — KEEP",IF(ISNUMBER(SEARCH("REVIEW",$Q1250)),"DO NOT DELETE — REVIEW pending",$S1250))))</f>
        <v>DO NOT DELETE — HOLD (Charlie review)</v>
      </c>
      <c r="Q1250" t="str" cm="1">
        <f t="array" ref="Q1250">_xlfn.IFS(AND($A1250="thg-beauty",ISNUMBER(SEARCH("liveramp",$C1250))),"DELETE",$A1250="agile-bonbon-662",_xlfn.IFS(LEFT($G1250,9)="Tranche 1","DELETE",$C1250="Sessions_Level_1_All_Sites","KEEP",ISNUMBER(--$C1250),"REVIEW — UA raw logs",$C1250="Emag_Reporting","KEEP",$C1250="Nutrition_Data_Archived_Tables","KEEP",$C1250="EU_Data","KEEP",TRUE,"REVIEW"),OR($A1250="thg-influencer",$A1250="thg-ingenuity",$A1250="thg-central-marketing",$A1250="thg-seoclarity"),"HOLD",TRUE,"")</f>
        <v>HOLD</v>
      </c>
      <c r="R1250" t="str" cm="1">
        <f t="array" ref="R1250">_xlfn.IFS(AND($A1250="thg-beauty",ISNUMBER(SEARCH("liveramp",$C1250))),"thg-beauty Liveramp dataset — confirmed safe to delete",$A1250="agile-bonbon-662",_xlfn.IFS(LEFT($G1250,9)="Tranche 1","Tranche 1: cleared",$C1250="Sessions_Level_1_All_Sites","Downstream aggregation of UA raw logs — keep if raw tables go",ISNUMBER(--$C1250),"UA raw site logs (account ID) — keep pending audit-retention check",$C1250="Emag_Reporting","Legacy but likely needed",$C1250="Nutrition_Data_Archived_Tables","Worth keeping",$C1250="EU_Data","Static lookup tables — scripts still reference (smoke-test risk)",TRUE,"Review"),OR($A1250="thg-influencer",$A1250="thg-ingenuity",$A1250="thg-central-marketing",$A1250="thg-seoclarity"),"HOLD — Charlie Stringer to review before deletion",TRUE,"")</f>
        <v>HOLD — Charlie Stringer to review before deletion</v>
      </c>
      <c r="S1250" t="s">
        <v>1624</v>
      </c>
    </row>
    <row r="1251" spans="1:19" hidden="1">
      <c r="A1251" t="s">
        <v>38</v>
      </c>
      <c r="B1251" t="s">
        <v>1619</v>
      </c>
      <c r="C1251" t="s">
        <v>3704</v>
      </c>
      <c r="D1251" s="2" t="s">
        <v>1621</v>
      </c>
      <c r="E1251">
        <v>4.87</v>
      </c>
      <c r="F1251">
        <v>0.1</v>
      </c>
      <c r="G1251" t="s">
        <v>3456</v>
      </c>
      <c r="H1251" t="s">
        <v>3457</v>
      </c>
      <c r="I1251">
        <v>723</v>
      </c>
      <c r="J1251">
        <v>723</v>
      </c>
      <c r="M1251" s="2" t="s">
        <v>1715</v>
      </c>
      <c r="N1251" s="2" t="s">
        <v>1701</v>
      </c>
      <c r="O1251" s="5">
        <v>45474.277214189817</v>
      </c>
      <c r="P1251" t="str">
        <f>IF($Q1251="DELETE",IF($S1251="CONFIRMED: NO MODS &gt; 1YR","CONFIRMED: NO MODS &gt; 1YR","DO NOT DELETE — not defensibly confirmed"),IF($Q1251="HOLD","DO NOT DELETE — HOLD (Charlie review)",IF($Q1251="KEEP","DO NOT DELETE — KEEP",IF(ISNUMBER(SEARCH("REVIEW",$Q1251)),"DO NOT DELETE — REVIEW pending",$S1251))))</f>
        <v>DO NOT DELETE — HOLD (Charlie review)</v>
      </c>
      <c r="Q1251" t="str" cm="1">
        <f t="array" ref="Q1251">_xlfn.IFS(AND($A1251="thg-beauty",ISNUMBER(SEARCH("liveramp",$C1251))),"DELETE",$A1251="agile-bonbon-662",_xlfn.IFS(LEFT($G1251,9)="Tranche 1","DELETE",$C1251="Sessions_Level_1_All_Sites","KEEP",ISNUMBER(--$C1251),"REVIEW — UA raw logs",$C1251="Emag_Reporting","KEEP",$C1251="Nutrition_Data_Archived_Tables","KEEP",$C1251="EU_Data","KEEP",TRUE,"REVIEW"),OR($A1251="thg-influencer",$A1251="thg-ingenuity",$A1251="thg-central-marketing",$A1251="thg-seoclarity"),"HOLD",TRUE,"")</f>
        <v>HOLD</v>
      </c>
      <c r="R1251" t="str" cm="1">
        <f t="array" ref="R1251">_xlfn.IFS(AND($A1251="thg-beauty",ISNUMBER(SEARCH("liveramp",$C1251))),"thg-beauty Liveramp dataset — confirmed safe to delete",$A1251="agile-bonbon-662",_xlfn.IFS(LEFT($G1251,9)="Tranche 1","Tranche 1: cleared",$C1251="Sessions_Level_1_All_Sites","Downstream aggregation of UA raw logs — keep if raw tables go",ISNUMBER(--$C1251),"UA raw site logs (account ID) — keep pending audit-retention check",$C1251="Emag_Reporting","Legacy but likely needed",$C1251="Nutrition_Data_Archived_Tables","Worth keeping",$C1251="EU_Data","Static lookup tables — scripts still reference (smoke-test risk)",TRUE,"Review"),OR($A1251="thg-influencer",$A1251="thg-ingenuity",$A1251="thg-central-marketing",$A1251="thg-seoclarity"),"HOLD — Charlie Stringer to review before deletion",TRUE,"")</f>
        <v>HOLD — Charlie Stringer to review before deletion</v>
      </c>
      <c r="S1251" t="s">
        <v>1624</v>
      </c>
    </row>
    <row r="1252" spans="1:19" hidden="1">
      <c r="A1252" t="s">
        <v>38</v>
      </c>
      <c r="B1252" t="s">
        <v>1619</v>
      </c>
      <c r="C1252" t="s">
        <v>3705</v>
      </c>
      <c r="D1252" s="2" t="s">
        <v>1621</v>
      </c>
      <c r="E1252">
        <v>4.79</v>
      </c>
      <c r="F1252">
        <v>0.1</v>
      </c>
      <c r="G1252" t="s">
        <v>3456</v>
      </c>
      <c r="H1252" t="s">
        <v>3457</v>
      </c>
      <c r="I1252">
        <v>723</v>
      </c>
      <c r="J1252">
        <v>723</v>
      </c>
      <c r="M1252" s="2" t="s">
        <v>1715</v>
      </c>
      <c r="N1252" s="2" t="s">
        <v>1701</v>
      </c>
      <c r="O1252" s="5">
        <v>45474.282687754632</v>
      </c>
      <c r="P1252" t="str">
        <f>IF($Q1252="DELETE",IF($S1252="CONFIRMED: NO MODS &gt; 1YR","CONFIRMED: NO MODS &gt; 1YR","DO NOT DELETE — not defensibly confirmed"),IF($Q1252="HOLD","DO NOT DELETE — HOLD (Charlie review)",IF($Q1252="KEEP","DO NOT DELETE — KEEP",IF(ISNUMBER(SEARCH("REVIEW",$Q1252)),"DO NOT DELETE — REVIEW pending",$S1252))))</f>
        <v>DO NOT DELETE — HOLD (Charlie review)</v>
      </c>
      <c r="Q1252" t="str" cm="1">
        <f t="array" ref="Q1252">_xlfn.IFS(AND($A1252="thg-beauty",ISNUMBER(SEARCH("liveramp",$C1252))),"DELETE",$A1252="agile-bonbon-662",_xlfn.IFS(LEFT($G1252,9)="Tranche 1","DELETE",$C1252="Sessions_Level_1_All_Sites","KEEP",ISNUMBER(--$C1252),"REVIEW — UA raw logs",$C1252="Emag_Reporting","KEEP",$C1252="Nutrition_Data_Archived_Tables","KEEP",$C1252="EU_Data","KEEP",TRUE,"REVIEW"),OR($A1252="thg-influencer",$A1252="thg-ingenuity",$A1252="thg-central-marketing",$A1252="thg-seoclarity"),"HOLD",TRUE,"")</f>
        <v>HOLD</v>
      </c>
      <c r="R1252" t="str" cm="1">
        <f t="array" ref="R1252">_xlfn.IFS(AND($A1252="thg-beauty",ISNUMBER(SEARCH("liveramp",$C1252))),"thg-beauty Liveramp dataset — confirmed safe to delete",$A1252="agile-bonbon-662",_xlfn.IFS(LEFT($G1252,9)="Tranche 1","Tranche 1: cleared",$C1252="Sessions_Level_1_All_Sites","Downstream aggregation of UA raw logs — keep if raw tables go",ISNUMBER(--$C1252),"UA raw site logs (account ID) — keep pending audit-retention check",$C1252="Emag_Reporting","Legacy but likely needed",$C1252="Nutrition_Data_Archived_Tables","Worth keeping",$C1252="EU_Data","Static lookup tables — scripts still reference (smoke-test risk)",TRUE,"Review"),OR($A1252="thg-influencer",$A1252="thg-ingenuity",$A1252="thg-central-marketing",$A1252="thg-seoclarity"),"HOLD — Charlie Stringer to review before deletion",TRUE,"")</f>
        <v>HOLD — Charlie Stringer to review before deletion</v>
      </c>
      <c r="S1252" t="s">
        <v>1624</v>
      </c>
    </row>
    <row r="1253" spans="1:19" hidden="1">
      <c r="A1253" t="s">
        <v>38</v>
      </c>
      <c r="B1253" t="s">
        <v>1619</v>
      </c>
      <c r="C1253" t="s">
        <v>3706</v>
      </c>
      <c r="D1253" s="2" t="s">
        <v>1621</v>
      </c>
      <c r="E1253">
        <v>4.4400000000000004</v>
      </c>
      <c r="F1253">
        <v>0.09</v>
      </c>
      <c r="G1253" t="s">
        <v>3456</v>
      </c>
      <c r="H1253" t="s">
        <v>3457</v>
      </c>
      <c r="I1253">
        <v>723</v>
      </c>
      <c r="J1253">
        <v>723</v>
      </c>
      <c r="M1253" s="2" t="s">
        <v>1715</v>
      </c>
      <c r="N1253" s="2" t="s">
        <v>1701</v>
      </c>
      <c r="O1253" s="5">
        <v>45474.284149398147</v>
      </c>
      <c r="P1253" t="str">
        <f>IF($Q1253="DELETE",IF($S1253="CONFIRMED: NO MODS &gt; 1YR","CONFIRMED: NO MODS &gt; 1YR","DO NOT DELETE — not defensibly confirmed"),IF($Q1253="HOLD","DO NOT DELETE — HOLD (Charlie review)",IF($Q1253="KEEP","DO NOT DELETE — KEEP",IF(ISNUMBER(SEARCH("REVIEW",$Q1253)),"DO NOT DELETE — REVIEW pending",$S1253))))</f>
        <v>DO NOT DELETE — HOLD (Charlie review)</v>
      </c>
      <c r="Q1253" t="str" cm="1">
        <f t="array" ref="Q1253">_xlfn.IFS(AND($A1253="thg-beauty",ISNUMBER(SEARCH("liveramp",$C1253))),"DELETE",$A1253="agile-bonbon-662",_xlfn.IFS(LEFT($G1253,9)="Tranche 1","DELETE",$C1253="Sessions_Level_1_All_Sites","KEEP",ISNUMBER(--$C1253),"REVIEW — UA raw logs",$C1253="Emag_Reporting","KEEP",$C1253="Nutrition_Data_Archived_Tables","KEEP",$C1253="EU_Data","KEEP",TRUE,"REVIEW"),OR($A1253="thg-influencer",$A1253="thg-ingenuity",$A1253="thg-central-marketing",$A1253="thg-seoclarity"),"HOLD",TRUE,"")</f>
        <v>HOLD</v>
      </c>
      <c r="R1253" t="str" cm="1">
        <f t="array" ref="R1253">_xlfn.IFS(AND($A1253="thg-beauty",ISNUMBER(SEARCH("liveramp",$C1253))),"thg-beauty Liveramp dataset — confirmed safe to delete",$A1253="agile-bonbon-662",_xlfn.IFS(LEFT($G1253,9)="Tranche 1","Tranche 1: cleared",$C1253="Sessions_Level_1_All_Sites","Downstream aggregation of UA raw logs — keep if raw tables go",ISNUMBER(--$C1253),"UA raw site logs (account ID) — keep pending audit-retention check",$C1253="Emag_Reporting","Legacy but likely needed",$C1253="Nutrition_Data_Archived_Tables","Worth keeping",$C1253="EU_Data","Static lookup tables — scripts still reference (smoke-test risk)",TRUE,"Review"),OR($A1253="thg-influencer",$A1253="thg-ingenuity",$A1253="thg-central-marketing",$A1253="thg-seoclarity"),"HOLD — Charlie Stringer to review before deletion",TRUE,"")</f>
        <v>HOLD — Charlie Stringer to review before deletion</v>
      </c>
      <c r="S1253" t="s">
        <v>1624</v>
      </c>
    </row>
    <row r="1254" spans="1:19" hidden="1">
      <c r="A1254" t="s">
        <v>38</v>
      </c>
      <c r="B1254" t="s">
        <v>1619</v>
      </c>
      <c r="C1254" t="s">
        <v>3707</v>
      </c>
      <c r="D1254" s="2" t="s">
        <v>1621</v>
      </c>
      <c r="E1254">
        <v>4.34</v>
      </c>
      <c r="F1254">
        <v>0.09</v>
      </c>
      <c r="G1254" t="s">
        <v>3456</v>
      </c>
      <c r="H1254" t="s">
        <v>3457</v>
      </c>
      <c r="I1254">
        <v>723</v>
      </c>
      <c r="J1254">
        <v>723</v>
      </c>
      <c r="M1254" s="2" t="s">
        <v>1715</v>
      </c>
      <c r="N1254" s="2" t="s">
        <v>1701</v>
      </c>
      <c r="O1254" s="5">
        <v>45474.281664374997</v>
      </c>
      <c r="P1254" t="str">
        <f>IF($Q1254="DELETE",IF($S1254="CONFIRMED: NO MODS &gt; 1YR","CONFIRMED: NO MODS &gt; 1YR","DO NOT DELETE — not defensibly confirmed"),IF($Q1254="HOLD","DO NOT DELETE — HOLD (Charlie review)",IF($Q1254="KEEP","DO NOT DELETE — KEEP",IF(ISNUMBER(SEARCH("REVIEW",$Q1254)),"DO NOT DELETE — REVIEW pending",$S1254))))</f>
        <v>DO NOT DELETE — HOLD (Charlie review)</v>
      </c>
      <c r="Q1254" t="str" cm="1">
        <f t="array" ref="Q1254">_xlfn.IFS(AND($A1254="thg-beauty",ISNUMBER(SEARCH("liveramp",$C1254))),"DELETE",$A1254="agile-bonbon-662",_xlfn.IFS(LEFT($G1254,9)="Tranche 1","DELETE",$C1254="Sessions_Level_1_All_Sites","KEEP",ISNUMBER(--$C1254),"REVIEW — UA raw logs",$C1254="Emag_Reporting","KEEP",$C1254="Nutrition_Data_Archived_Tables","KEEP",$C1254="EU_Data","KEEP",TRUE,"REVIEW"),OR($A1254="thg-influencer",$A1254="thg-ingenuity",$A1254="thg-central-marketing",$A1254="thg-seoclarity"),"HOLD",TRUE,"")</f>
        <v>HOLD</v>
      </c>
      <c r="R1254" t="str" cm="1">
        <f t="array" ref="R1254">_xlfn.IFS(AND($A1254="thg-beauty",ISNUMBER(SEARCH("liveramp",$C1254))),"thg-beauty Liveramp dataset — confirmed safe to delete",$A1254="agile-bonbon-662",_xlfn.IFS(LEFT($G1254,9)="Tranche 1","Tranche 1: cleared",$C1254="Sessions_Level_1_All_Sites","Downstream aggregation of UA raw logs — keep if raw tables go",ISNUMBER(--$C1254),"UA raw site logs (account ID) — keep pending audit-retention check",$C1254="Emag_Reporting","Legacy but likely needed",$C1254="Nutrition_Data_Archived_Tables","Worth keeping",$C1254="EU_Data","Static lookup tables — scripts still reference (smoke-test risk)",TRUE,"Review"),OR($A1254="thg-influencer",$A1254="thg-ingenuity",$A1254="thg-central-marketing",$A1254="thg-seoclarity"),"HOLD — Charlie Stringer to review before deletion",TRUE,"")</f>
        <v>HOLD — Charlie Stringer to review before deletion</v>
      </c>
      <c r="S1254" t="s">
        <v>1624</v>
      </c>
    </row>
    <row r="1255" spans="1:19" hidden="1">
      <c r="A1255" t="s">
        <v>38</v>
      </c>
      <c r="B1255" t="s">
        <v>1619</v>
      </c>
      <c r="C1255" t="s">
        <v>3708</v>
      </c>
      <c r="D1255" s="2" t="s">
        <v>1621</v>
      </c>
      <c r="E1255">
        <v>3.84</v>
      </c>
      <c r="F1255">
        <v>0.08</v>
      </c>
      <c r="G1255" t="s">
        <v>3456</v>
      </c>
      <c r="H1255" t="s">
        <v>3457</v>
      </c>
      <c r="I1255">
        <v>723</v>
      </c>
      <c r="J1255">
        <v>723</v>
      </c>
      <c r="M1255" s="2" t="s">
        <v>1715</v>
      </c>
      <c r="N1255" s="2" t="s">
        <v>1701</v>
      </c>
      <c r="O1255" s="5">
        <v>45474.284131944441</v>
      </c>
      <c r="P1255" t="str">
        <f>IF($Q1255="DELETE",IF($S1255="CONFIRMED: NO MODS &gt; 1YR","CONFIRMED: NO MODS &gt; 1YR","DO NOT DELETE — not defensibly confirmed"),IF($Q1255="HOLD","DO NOT DELETE — HOLD (Charlie review)",IF($Q1255="KEEP","DO NOT DELETE — KEEP",IF(ISNUMBER(SEARCH("REVIEW",$Q1255)),"DO NOT DELETE — REVIEW pending",$S1255))))</f>
        <v>DO NOT DELETE — HOLD (Charlie review)</v>
      </c>
      <c r="Q1255" t="str" cm="1">
        <f t="array" ref="Q1255">_xlfn.IFS(AND($A1255="thg-beauty",ISNUMBER(SEARCH("liveramp",$C1255))),"DELETE",$A1255="agile-bonbon-662",_xlfn.IFS(LEFT($G1255,9)="Tranche 1","DELETE",$C1255="Sessions_Level_1_All_Sites","KEEP",ISNUMBER(--$C1255),"REVIEW — UA raw logs",$C1255="Emag_Reporting","KEEP",$C1255="Nutrition_Data_Archived_Tables","KEEP",$C1255="EU_Data","KEEP",TRUE,"REVIEW"),OR($A1255="thg-influencer",$A1255="thg-ingenuity",$A1255="thg-central-marketing",$A1255="thg-seoclarity"),"HOLD",TRUE,"")</f>
        <v>HOLD</v>
      </c>
      <c r="R1255" t="str" cm="1">
        <f t="array" ref="R1255">_xlfn.IFS(AND($A1255="thg-beauty",ISNUMBER(SEARCH("liveramp",$C1255))),"thg-beauty Liveramp dataset — confirmed safe to delete",$A1255="agile-bonbon-662",_xlfn.IFS(LEFT($G1255,9)="Tranche 1","Tranche 1: cleared",$C1255="Sessions_Level_1_All_Sites","Downstream aggregation of UA raw logs — keep if raw tables go",ISNUMBER(--$C1255),"UA raw site logs (account ID) — keep pending audit-retention check",$C1255="Emag_Reporting","Legacy but likely needed",$C1255="Nutrition_Data_Archived_Tables","Worth keeping",$C1255="EU_Data","Static lookup tables — scripts still reference (smoke-test risk)",TRUE,"Review"),OR($A1255="thg-influencer",$A1255="thg-ingenuity",$A1255="thg-central-marketing",$A1255="thg-seoclarity"),"HOLD — Charlie Stringer to review before deletion",TRUE,"")</f>
        <v>HOLD — Charlie Stringer to review before deletion</v>
      </c>
      <c r="S1255" t="s">
        <v>1624</v>
      </c>
    </row>
    <row r="1256" spans="1:19" hidden="1">
      <c r="A1256" t="s">
        <v>38</v>
      </c>
      <c r="B1256" t="s">
        <v>1619</v>
      </c>
      <c r="C1256" t="s">
        <v>3709</v>
      </c>
      <c r="D1256" s="2" t="s">
        <v>1621</v>
      </c>
      <c r="E1256">
        <v>3.79</v>
      </c>
      <c r="F1256">
        <v>0.08</v>
      </c>
      <c r="G1256" t="s">
        <v>3456</v>
      </c>
      <c r="H1256" t="s">
        <v>3457</v>
      </c>
      <c r="I1256">
        <v>723</v>
      </c>
      <c r="J1256">
        <v>723</v>
      </c>
      <c r="M1256" s="2" t="s">
        <v>1715</v>
      </c>
      <c r="N1256" s="2" t="s">
        <v>1701</v>
      </c>
      <c r="O1256" s="5">
        <v>45474.28157777778</v>
      </c>
      <c r="P1256" t="str">
        <f>IF($Q1256="DELETE",IF($S1256="CONFIRMED: NO MODS &gt; 1YR","CONFIRMED: NO MODS &gt; 1YR","DO NOT DELETE — not defensibly confirmed"),IF($Q1256="HOLD","DO NOT DELETE — HOLD (Charlie review)",IF($Q1256="KEEP","DO NOT DELETE — KEEP",IF(ISNUMBER(SEARCH("REVIEW",$Q1256)),"DO NOT DELETE — REVIEW pending",$S1256))))</f>
        <v>DO NOT DELETE — HOLD (Charlie review)</v>
      </c>
      <c r="Q1256" t="str" cm="1">
        <f t="array" ref="Q1256">_xlfn.IFS(AND($A1256="thg-beauty",ISNUMBER(SEARCH("liveramp",$C1256))),"DELETE",$A1256="agile-bonbon-662",_xlfn.IFS(LEFT($G1256,9)="Tranche 1","DELETE",$C1256="Sessions_Level_1_All_Sites","KEEP",ISNUMBER(--$C1256),"REVIEW — UA raw logs",$C1256="Emag_Reporting","KEEP",$C1256="Nutrition_Data_Archived_Tables","KEEP",$C1256="EU_Data","KEEP",TRUE,"REVIEW"),OR($A1256="thg-influencer",$A1256="thg-ingenuity",$A1256="thg-central-marketing",$A1256="thg-seoclarity"),"HOLD",TRUE,"")</f>
        <v>HOLD</v>
      </c>
      <c r="R1256" t="str" cm="1">
        <f t="array" ref="R1256">_xlfn.IFS(AND($A1256="thg-beauty",ISNUMBER(SEARCH("liveramp",$C1256))),"thg-beauty Liveramp dataset — confirmed safe to delete",$A1256="agile-bonbon-662",_xlfn.IFS(LEFT($G1256,9)="Tranche 1","Tranche 1: cleared",$C1256="Sessions_Level_1_All_Sites","Downstream aggregation of UA raw logs — keep if raw tables go",ISNUMBER(--$C1256),"UA raw site logs (account ID) — keep pending audit-retention check",$C1256="Emag_Reporting","Legacy but likely needed",$C1256="Nutrition_Data_Archived_Tables","Worth keeping",$C1256="EU_Data","Static lookup tables — scripts still reference (smoke-test risk)",TRUE,"Review"),OR($A1256="thg-influencer",$A1256="thg-ingenuity",$A1256="thg-central-marketing",$A1256="thg-seoclarity"),"HOLD — Charlie Stringer to review before deletion",TRUE,"")</f>
        <v>HOLD — Charlie Stringer to review before deletion</v>
      </c>
      <c r="S1256" t="s">
        <v>1624</v>
      </c>
    </row>
    <row r="1257" spans="1:19" hidden="1">
      <c r="A1257" t="s">
        <v>38</v>
      </c>
      <c r="B1257" t="s">
        <v>1619</v>
      </c>
      <c r="C1257" t="s">
        <v>3710</v>
      </c>
      <c r="D1257" s="2" t="s">
        <v>1621</v>
      </c>
      <c r="E1257">
        <v>3.7</v>
      </c>
      <c r="F1257">
        <v>7.0000000000000007E-2</v>
      </c>
      <c r="G1257" t="s">
        <v>3456</v>
      </c>
      <c r="H1257" t="s">
        <v>3457</v>
      </c>
      <c r="I1257">
        <v>723</v>
      </c>
      <c r="J1257">
        <v>723</v>
      </c>
      <c r="M1257" s="2" t="s">
        <v>1715</v>
      </c>
      <c r="N1257" s="2" t="s">
        <v>1701</v>
      </c>
      <c r="O1257" s="5">
        <v>45474.281409131952</v>
      </c>
      <c r="P1257" t="str">
        <f>IF($Q1257="DELETE",IF($S1257="CONFIRMED: NO MODS &gt; 1YR","CONFIRMED: NO MODS &gt; 1YR","DO NOT DELETE — not defensibly confirmed"),IF($Q1257="HOLD","DO NOT DELETE — HOLD (Charlie review)",IF($Q1257="KEEP","DO NOT DELETE — KEEP",IF(ISNUMBER(SEARCH("REVIEW",$Q1257)),"DO NOT DELETE — REVIEW pending",$S1257))))</f>
        <v>DO NOT DELETE — HOLD (Charlie review)</v>
      </c>
      <c r="Q1257" t="str" cm="1">
        <f t="array" ref="Q1257">_xlfn.IFS(AND($A1257="thg-beauty",ISNUMBER(SEARCH("liveramp",$C1257))),"DELETE",$A1257="agile-bonbon-662",_xlfn.IFS(LEFT($G1257,9)="Tranche 1","DELETE",$C1257="Sessions_Level_1_All_Sites","KEEP",ISNUMBER(--$C1257),"REVIEW — UA raw logs",$C1257="Emag_Reporting","KEEP",$C1257="Nutrition_Data_Archived_Tables","KEEP",$C1257="EU_Data","KEEP",TRUE,"REVIEW"),OR($A1257="thg-influencer",$A1257="thg-ingenuity",$A1257="thg-central-marketing",$A1257="thg-seoclarity"),"HOLD",TRUE,"")</f>
        <v>HOLD</v>
      </c>
      <c r="R1257" t="str" cm="1">
        <f t="array" ref="R1257">_xlfn.IFS(AND($A1257="thg-beauty",ISNUMBER(SEARCH("liveramp",$C1257))),"thg-beauty Liveramp dataset — confirmed safe to delete",$A1257="agile-bonbon-662",_xlfn.IFS(LEFT($G1257,9)="Tranche 1","Tranche 1: cleared",$C1257="Sessions_Level_1_All_Sites","Downstream aggregation of UA raw logs — keep if raw tables go",ISNUMBER(--$C1257),"UA raw site logs (account ID) — keep pending audit-retention check",$C1257="Emag_Reporting","Legacy but likely needed",$C1257="Nutrition_Data_Archived_Tables","Worth keeping",$C1257="EU_Data","Static lookup tables — scripts still reference (smoke-test risk)",TRUE,"Review"),OR($A1257="thg-influencer",$A1257="thg-ingenuity",$A1257="thg-central-marketing",$A1257="thg-seoclarity"),"HOLD — Charlie Stringer to review before deletion",TRUE,"")</f>
        <v>HOLD — Charlie Stringer to review before deletion</v>
      </c>
      <c r="S1257" t="s">
        <v>1624</v>
      </c>
    </row>
    <row r="1258" spans="1:19" hidden="1">
      <c r="A1258" t="s">
        <v>38</v>
      </c>
      <c r="B1258" t="s">
        <v>1619</v>
      </c>
      <c r="C1258" t="s">
        <v>3711</v>
      </c>
      <c r="D1258" s="2" t="s">
        <v>1621</v>
      </c>
      <c r="E1258">
        <v>3.68</v>
      </c>
      <c r="F1258">
        <v>7.0000000000000007E-2</v>
      </c>
      <c r="G1258" t="s">
        <v>3456</v>
      </c>
      <c r="H1258" t="s">
        <v>3457</v>
      </c>
      <c r="I1258">
        <v>723</v>
      </c>
      <c r="J1258">
        <v>723</v>
      </c>
      <c r="M1258" s="2" t="s">
        <v>1715</v>
      </c>
      <c r="N1258" s="2" t="s">
        <v>1701</v>
      </c>
      <c r="O1258" s="5">
        <v>45474.297588715279</v>
      </c>
      <c r="P1258" t="str">
        <f>IF($Q1258="DELETE",IF($S1258="CONFIRMED: NO MODS &gt; 1YR","CONFIRMED: NO MODS &gt; 1YR","DO NOT DELETE — not defensibly confirmed"),IF($Q1258="HOLD","DO NOT DELETE — HOLD (Charlie review)",IF($Q1258="KEEP","DO NOT DELETE — KEEP",IF(ISNUMBER(SEARCH("REVIEW",$Q1258)),"DO NOT DELETE — REVIEW pending",$S1258))))</f>
        <v>DO NOT DELETE — HOLD (Charlie review)</v>
      </c>
      <c r="Q1258" t="str" cm="1">
        <f t="array" ref="Q1258">_xlfn.IFS(AND($A1258="thg-beauty",ISNUMBER(SEARCH("liveramp",$C1258))),"DELETE",$A1258="agile-bonbon-662",_xlfn.IFS(LEFT($G1258,9)="Tranche 1","DELETE",$C1258="Sessions_Level_1_All_Sites","KEEP",ISNUMBER(--$C1258),"REVIEW — UA raw logs",$C1258="Emag_Reporting","KEEP",$C1258="Nutrition_Data_Archived_Tables","KEEP",$C1258="EU_Data","KEEP",TRUE,"REVIEW"),OR($A1258="thg-influencer",$A1258="thg-ingenuity",$A1258="thg-central-marketing",$A1258="thg-seoclarity"),"HOLD",TRUE,"")</f>
        <v>HOLD</v>
      </c>
      <c r="R1258" t="str" cm="1">
        <f t="array" ref="R1258">_xlfn.IFS(AND($A1258="thg-beauty",ISNUMBER(SEARCH("liveramp",$C1258))),"thg-beauty Liveramp dataset — confirmed safe to delete",$A1258="agile-bonbon-662",_xlfn.IFS(LEFT($G1258,9)="Tranche 1","Tranche 1: cleared",$C1258="Sessions_Level_1_All_Sites","Downstream aggregation of UA raw logs — keep if raw tables go",ISNUMBER(--$C1258),"UA raw site logs (account ID) — keep pending audit-retention check",$C1258="Emag_Reporting","Legacy but likely needed",$C1258="Nutrition_Data_Archived_Tables","Worth keeping",$C1258="EU_Data","Static lookup tables — scripts still reference (smoke-test risk)",TRUE,"Review"),OR($A1258="thg-influencer",$A1258="thg-ingenuity",$A1258="thg-central-marketing",$A1258="thg-seoclarity"),"HOLD — Charlie Stringer to review before deletion",TRUE,"")</f>
        <v>HOLD — Charlie Stringer to review before deletion</v>
      </c>
      <c r="S1258" t="s">
        <v>1624</v>
      </c>
    </row>
    <row r="1259" spans="1:19" hidden="1">
      <c r="A1259" t="s">
        <v>38</v>
      </c>
      <c r="B1259" t="s">
        <v>1619</v>
      </c>
      <c r="C1259" t="s">
        <v>3712</v>
      </c>
      <c r="D1259" s="2" t="s">
        <v>1621</v>
      </c>
      <c r="E1259">
        <v>3.59</v>
      </c>
      <c r="F1259">
        <v>7.0000000000000007E-2</v>
      </c>
      <c r="G1259" t="s">
        <v>3456</v>
      </c>
      <c r="H1259" t="s">
        <v>3457</v>
      </c>
      <c r="I1259">
        <v>723</v>
      </c>
      <c r="J1259">
        <v>723</v>
      </c>
      <c r="M1259" s="2" t="s">
        <v>1715</v>
      </c>
      <c r="N1259" s="2" t="s">
        <v>1701</v>
      </c>
      <c r="O1259" s="5">
        <v>45474.282785949072</v>
      </c>
      <c r="P1259" t="str">
        <f>IF($Q1259="DELETE",IF($S1259="CONFIRMED: NO MODS &gt; 1YR","CONFIRMED: NO MODS &gt; 1YR","DO NOT DELETE — not defensibly confirmed"),IF($Q1259="HOLD","DO NOT DELETE — HOLD (Charlie review)",IF($Q1259="KEEP","DO NOT DELETE — KEEP",IF(ISNUMBER(SEARCH("REVIEW",$Q1259)),"DO NOT DELETE — REVIEW pending",$S1259))))</f>
        <v>DO NOT DELETE — HOLD (Charlie review)</v>
      </c>
      <c r="Q1259" t="str" cm="1">
        <f t="array" ref="Q1259">_xlfn.IFS(AND($A1259="thg-beauty",ISNUMBER(SEARCH("liveramp",$C1259))),"DELETE",$A1259="agile-bonbon-662",_xlfn.IFS(LEFT($G1259,9)="Tranche 1","DELETE",$C1259="Sessions_Level_1_All_Sites","KEEP",ISNUMBER(--$C1259),"REVIEW — UA raw logs",$C1259="Emag_Reporting","KEEP",$C1259="Nutrition_Data_Archived_Tables","KEEP",$C1259="EU_Data","KEEP",TRUE,"REVIEW"),OR($A1259="thg-influencer",$A1259="thg-ingenuity",$A1259="thg-central-marketing",$A1259="thg-seoclarity"),"HOLD",TRUE,"")</f>
        <v>HOLD</v>
      </c>
      <c r="R1259" t="str" cm="1">
        <f t="array" ref="R1259">_xlfn.IFS(AND($A1259="thg-beauty",ISNUMBER(SEARCH("liveramp",$C1259))),"thg-beauty Liveramp dataset — confirmed safe to delete",$A1259="agile-bonbon-662",_xlfn.IFS(LEFT($G1259,9)="Tranche 1","Tranche 1: cleared",$C1259="Sessions_Level_1_All_Sites","Downstream aggregation of UA raw logs — keep if raw tables go",ISNUMBER(--$C1259),"UA raw site logs (account ID) — keep pending audit-retention check",$C1259="Emag_Reporting","Legacy but likely needed",$C1259="Nutrition_Data_Archived_Tables","Worth keeping",$C1259="EU_Data","Static lookup tables — scripts still reference (smoke-test risk)",TRUE,"Review"),OR($A1259="thg-influencer",$A1259="thg-ingenuity",$A1259="thg-central-marketing",$A1259="thg-seoclarity"),"HOLD — Charlie Stringer to review before deletion",TRUE,"")</f>
        <v>HOLD — Charlie Stringer to review before deletion</v>
      </c>
      <c r="S1259" t="s">
        <v>1624</v>
      </c>
    </row>
    <row r="1260" spans="1:19" hidden="1">
      <c r="A1260" t="s">
        <v>38</v>
      </c>
      <c r="B1260" t="s">
        <v>1619</v>
      </c>
      <c r="C1260" t="s">
        <v>3713</v>
      </c>
      <c r="D1260" s="2" t="s">
        <v>1621</v>
      </c>
      <c r="E1260">
        <v>3.49</v>
      </c>
      <c r="F1260">
        <v>7.0000000000000007E-2</v>
      </c>
      <c r="G1260" t="s">
        <v>3456</v>
      </c>
      <c r="H1260" t="s">
        <v>3457</v>
      </c>
      <c r="I1260">
        <v>723</v>
      </c>
      <c r="J1260">
        <v>723</v>
      </c>
      <c r="M1260" s="2" t="s">
        <v>1715</v>
      </c>
      <c r="N1260" s="2" t="s">
        <v>1701</v>
      </c>
      <c r="O1260" s="5">
        <v>45474.269325185189</v>
      </c>
      <c r="P1260" t="str">
        <f>IF($Q1260="DELETE",IF($S1260="CONFIRMED: NO MODS &gt; 1YR","CONFIRMED: NO MODS &gt; 1YR","DO NOT DELETE — not defensibly confirmed"),IF($Q1260="HOLD","DO NOT DELETE — HOLD (Charlie review)",IF($Q1260="KEEP","DO NOT DELETE — KEEP",IF(ISNUMBER(SEARCH("REVIEW",$Q1260)),"DO NOT DELETE — REVIEW pending",$S1260))))</f>
        <v>DO NOT DELETE — HOLD (Charlie review)</v>
      </c>
      <c r="Q1260" t="str" cm="1">
        <f t="array" ref="Q1260">_xlfn.IFS(AND($A1260="thg-beauty",ISNUMBER(SEARCH("liveramp",$C1260))),"DELETE",$A1260="agile-bonbon-662",_xlfn.IFS(LEFT($G1260,9)="Tranche 1","DELETE",$C1260="Sessions_Level_1_All_Sites","KEEP",ISNUMBER(--$C1260),"REVIEW — UA raw logs",$C1260="Emag_Reporting","KEEP",$C1260="Nutrition_Data_Archived_Tables","KEEP",$C1260="EU_Data","KEEP",TRUE,"REVIEW"),OR($A1260="thg-influencer",$A1260="thg-ingenuity",$A1260="thg-central-marketing",$A1260="thg-seoclarity"),"HOLD",TRUE,"")</f>
        <v>HOLD</v>
      </c>
      <c r="R1260" t="str" cm="1">
        <f t="array" ref="R1260">_xlfn.IFS(AND($A1260="thg-beauty",ISNUMBER(SEARCH("liveramp",$C1260))),"thg-beauty Liveramp dataset — confirmed safe to delete",$A1260="agile-bonbon-662",_xlfn.IFS(LEFT($G1260,9)="Tranche 1","Tranche 1: cleared",$C1260="Sessions_Level_1_All_Sites","Downstream aggregation of UA raw logs — keep if raw tables go",ISNUMBER(--$C1260),"UA raw site logs (account ID) — keep pending audit-retention check",$C1260="Emag_Reporting","Legacy but likely needed",$C1260="Nutrition_Data_Archived_Tables","Worth keeping",$C1260="EU_Data","Static lookup tables — scripts still reference (smoke-test risk)",TRUE,"Review"),OR($A1260="thg-influencer",$A1260="thg-ingenuity",$A1260="thg-central-marketing",$A1260="thg-seoclarity"),"HOLD — Charlie Stringer to review before deletion",TRUE,"")</f>
        <v>HOLD — Charlie Stringer to review before deletion</v>
      </c>
      <c r="S1260" t="s">
        <v>1624</v>
      </c>
    </row>
    <row r="1261" spans="1:19" hidden="1">
      <c r="A1261" t="s">
        <v>38</v>
      </c>
      <c r="B1261" t="s">
        <v>1619</v>
      </c>
      <c r="C1261" t="s">
        <v>3714</v>
      </c>
      <c r="D1261" s="2" t="s">
        <v>1621</v>
      </c>
      <c r="E1261">
        <v>3.49</v>
      </c>
      <c r="F1261">
        <v>7.0000000000000007E-2</v>
      </c>
      <c r="G1261" t="s">
        <v>3456</v>
      </c>
      <c r="H1261" t="s">
        <v>3457</v>
      </c>
      <c r="I1261">
        <v>723</v>
      </c>
      <c r="J1261">
        <v>723</v>
      </c>
      <c r="M1261" s="2" t="s">
        <v>1715</v>
      </c>
      <c r="N1261" s="2" t="s">
        <v>1701</v>
      </c>
      <c r="O1261" s="5">
        <v>45474.282889097223</v>
      </c>
      <c r="P1261" t="str">
        <f>IF($Q1261="DELETE",IF($S1261="CONFIRMED: NO MODS &gt; 1YR","CONFIRMED: NO MODS &gt; 1YR","DO NOT DELETE — not defensibly confirmed"),IF($Q1261="HOLD","DO NOT DELETE — HOLD (Charlie review)",IF($Q1261="KEEP","DO NOT DELETE — KEEP",IF(ISNUMBER(SEARCH("REVIEW",$Q1261)),"DO NOT DELETE — REVIEW pending",$S1261))))</f>
        <v>DO NOT DELETE — HOLD (Charlie review)</v>
      </c>
      <c r="Q1261" t="str" cm="1">
        <f t="array" ref="Q1261">_xlfn.IFS(AND($A1261="thg-beauty",ISNUMBER(SEARCH("liveramp",$C1261))),"DELETE",$A1261="agile-bonbon-662",_xlfn.IFS(LEFT($G1261,9)="Tranche 1","DELETE",$C1261="Sessions_Level_1_All_Sites","KEEP",ISNUMBER(--$C1261),"REVIEW — UA raw logs",$C1261="Emag_Reporting","KEEP",$C1261="Nutrition_Data_Archived_Tables","KEEP",$C1261="EU_Data","KEEP",TRUE,"REVIEW"),OR($A1261="thg-influencer",$A1261="thg-ingenuity",$A1261="thg-central-marketing",$A1261="thg-seoclarity"),"HOLD",TRUE,"")</f>
        <v>HOLD</v>
      </c>
      <c r="R1261" t="str" cm="1">
        <f t="array" ref="R1261">_xlfn.IFS(AND($A1261="thg-beauty",ISNUMBER(SEARCH("liveramp",$C1261))),"thg-beauty Liveramp dataset — confirmed safe to delete",$A1261="agile-bonbon-662",_xlfn.IFS(LEFT($G1261,9)="Tranche 1","Tranche 1: cleared",$C1261="Sessions_Level_1_All_Sites","Downstream aggregation of UA raw logs — keep if raw tables go",ISNUMBER(--$C1261),"UA raw site logs (account ID) — keep pending audit-retention check",$C1261="Emag_Reporting","Legacy but likely needed",$C1261="Nutrition_Data_Archived_Tables","Worth keeping",$C1261="EU_Data","Static lookup tables — scripts still reference (smoke-test risk)",TRUE,"Review"),OR($A1261="thg-influencer",$A1261="thg-ingenuity",$A1261="thg-central-marketing",$A1261="thg-seoclarity"),"HOLD — Charlie Stringer to review before deletion",TRUE,"")</f>
        <v>HOLD — Charlie Stringer to review before deletion</v>
      </c>
      <c r="S1261" t="s">
        <v>1624</v>
      </c>
    </row>
    <row r="1262" spans="1:19" hidden="1">
      <c r="A1262" t="s">
        <v>38</v>
      </c>
      <c r="B1262" t="s">
        <v>1619</v>
      </c>
      <c r="C1262" t="s">
        <v>3715</v>
      </c>
      <c r="D1262" s="2" t="s">
        <v>1621</v>
      </c>
      <c r="E1262">
        <v>3.29</v>
      </c>
      <c r="F1262">
        <v>7.0000000000000007E-2</v>
      </c>
      <c r="G1262" t="s">
        <v>3456</v>
      </c>
      <c r="H1262" t="s">
        <v>3457</v>
      </c>
      <c r="I1262">
        <v>723</v>
      </c>
      <c r="J1262">
        <v>723</v>
      </c>
      <c r="M1262" s="2" t="s">
        <v>1715</v>
      </c>
      <c r="N1262" s="2" t="s">
        <v>1701</v>
      </c>
      <c r="O1262" s="5">
        <v>45474.282936203701</v>
      </c>
      <c r="P1262" t="str">
        <f>IF($Q1262="DELETE",IF($S1262="CONFIRMED: NO MODS &gt; 1YR","CONFIRMED: NO MODS &gt; 1YR","DO NOT DELETE — not defensibly confirmed"),IF($Q1262="HOLD","DO NOT DELETE — HOLD (Charlie review)",IF($Q1262="KEEP","DO NOT DELETE — KEEP",IF(ISNUMBER(SEARCH("REVIEW",$Q1262)),"DO NOT DELETE — REVIEW pending",$S1262))))</f>
        <v>DO NOT DELETE — HOLD (Charlie review)</v>
      </c>
      <c r="Q1262" t="str" cm="1">
        <f t="array" ref="Q1262">_xlfn.IFS(AND($A1262="thg-beauty",ISNUMBER(SEARCH("liveramp",$C1262))),"DELETE",$A1262="agile-bonbon-662",_xlfn.IFS(LEFT($G1262,9)="Tranche 1","DELETE",$C1262="Sessions_Level_1_All_Sites","KEEP",ISNUMBER(--$C1262),"REVIEW — UA raw logs",$C1262="Emag_Reporting","KEEP",$C1262="Nutrition_Data_Archived_Tables","KEEP",$C1262="EU_Data","KEEP",TRUE,"REVIEW"),OR($A1262="thg-influencer",$A1262="thg-ingenuity",$A1262="thg-central-marketing",$A1262="thg-seoclarity"),"HOLD",TRUE,"")</f>
        <v>HOLD</v>
      </c>
      <c r="R1262" t="str" cm="1">
        <f t="array" ref="R1262">_xlfn.IFS(AND($A1262="thg-beauty",ISNUMBER(SEARCH("liveramp",$C1262))),"thg-beauty Liveramp dataset — confirmed safe to delete",$A1262="agile-bonbon-662",_xlfn.IFS(LEFT($G1262,9)="Tranche 1","Tranche 1: cleared",$C1262="Sessions_Level_1_All_Sites","Downstream aggregation of UA raw logs — keep if raw tables go",ISNUMBER(--$C1262),"UA raw site logs (account ID) — keep pending audit-retention check",$C1262="Emag_Reporting","Legacy but likely needed",$C1262="Nutrition_Data_Archived_Tables","Worth keeping",$C1262="EU_Data","Static lookup tables — scripts still reference (smoke-test risk)",TRUE,"Review"),OR($A1262="thg-influencer",$A1262="thg-ingenuity",$A1262="thg-central-marketing",$A1262="thg-seoclarity"),"HOLD — Charlie Stringer to review before deletion",TRUE,"")</f>
        <v>HOLD — Charlie Stringer to review before deletion</v>
      </c>
      <c r="S1262" t="s">
        <v>1624</v>
      </c>
    </row>
    <row r="1263" spans="1:19" hidden="1">
      <c r="A1263" t="s">
        <v>38</v>
      </c>
      <c r="B1263" t="s">
        <v>1619</v>
      </c>
      <c r="C1263" t="s">
        <v>1840</v>
      </c>
      <c r="D1263" s="2" t="s">
        <v>1621</v>
      </c>
      <c r="E1263">
        <v>2.98</v>
      </c>
      <c r="F1263">
        <v>0.06</v>
      </c>
      <c r="G1263" t="s">
        <v>3456</v>
      </c>
      <c r="H1263" t="s">
        <v>3457</v>
      </c>
      <c r="I1263">
        <v>723</v>
      </c>
      <c r="J1263">
        <v>723</v>
      </c>
      <c r="M1263" s="2" t="s">
        <v>1715</v>
      </c>
      <c r="N1263" s="2" t="s">
        <v>1701</v>
      </c>
      <c r="O1263" s="5">
        <v>45474.282009444447</v>
      </c>
      <c r="P1263" t="str">
        <f>IF($Q1263="DELETE",IF($S1263="CONFIRMED: NO MODS &gt; 1YR","CONFIRMED: NO MODS &gt; 1YR","DO NOT DELETE — not defensibly confirmed"),IF($Q1263="HOLD","DO NOT DELETE — HOLD (Charlie review)",IF($Q1263="KEEP","DO NOT DELETE — KEEP",IF(ISNUMBER(SEARCH("REVIEW",$Q1263)),"DO NOT DELETE — REVIEW pending",$S1263))))</f>
        <v>DO NOT DELETE — HOLD (Charlie review)</v>
      </c>
      <c r="Q1263" t="str" cm="1">
        <f t="array" ref="Q1263">_xlfn.IFS(AND($A1263="thg-beauty",ISNUMBER(SEARCH("liveramp",$C1263))),"DELETE",$A1263="agile-bonbon-662",_xlfn.IFS(LEFT($G1263,9)="Tranche 1","DELETE",$C1263="Sessions_Level_1_All_Sites","KEEP",ISNUMBER(--$C1263),"REVIEW — UA raw logs",$C1263="Emag_Reporting","KEEP",$C1263="Nutrition_Data_Archived_Tables","KEEP",$C1263="EU_Data","KEEP",TRUE,"REVIEW"),OR($A1263="thg-influencer",$A1263="thg-ingenuity",$A1263="thg-central-marketing",$A1263="thg-seoclarity"),"HOLD",TRUE,"")</f>
        <v>HOLD</v>
      </c>
      <c r="R1263" t="str" cm="1">
        <f t="array" ref="R1263">_xlfn.IFS(AND($A1263="thg-beauty",ISNUMBER(SEARCH("liveramp",$C1263))),"thg-beauty Liveramp dataset — confirmed safe to delete",$A1263="agile-bonbon-662",_xlfn.IFS(LEFT($G1263,9)="Tranche 1","Tranche 1: cleared",$C1263="Sessions_Level_1_All_Sites","Downstream aggregation of UA raw logs — keep if raw tables go",ISNUMBER(--$C1263),"UA raw site logs (account ID) — keep pending audit-retention check",$C1263="Emag_Reporting","Legacy but likely needed",$C1263="Nutrition_Data_Archived_Tables","Worth keeping",$C1263="EU_Data","Static lookup tables — scripts still reference (smoke-test risk)",TRUE,"Review"),OR($A1263="thg-influencer",$A1263="thg-ingenuity",$A1263="thg-central-marketing",$A1263="thg-seoclarity"),"HOLD — Charlie Stringer to review before deletion",TRUE,"")</f>
        <v>HOLD — Charlie Stringer to review before deletion</v>
      </c>
      <c r="S1263" t="s">
        <v>1624</v>
      </c>
    </row>
    <row r="1264" spans="1:19" hidden="1">
      <c r="A1264" t="s">
        <v>38</v>
      </c>
      <c r="B1264" t="s">
        <v>1619</v>
      </c>
      <c r="C1264" t="s">
        <v>3716</v>
      </c>
      <c r="D1264" s="2" t="s">
        <v>1621</v>
      </c>
      <c r="E1264">
        <v>2.6</v>
      </c>
      <c r="F1264">
        <v>0.05</v>
      </c>
      <c r="G1264" t="s">
        <v>3456</v>
      </c>
      <c r="H1264" t="s">
        <v>3457</v>
      </c>
      <c r="I1264">
        <v>723</v>
      </c>
      <c r="J1264">
        <v>723</v>
      </c>
      <c r="M1264" s="2" t="s">
        <v>1715</v>
      </c>
      <c r="N1264" s="2" t="s">
        <v>1701</v>
      </c>
      <c r="O1264" s="5">
        <v>45474.297045983803</v>
      </c>
      <c r="P1264" t="str">
        <f>IF($Q1264="DELETE",IF($S1264="CONFIRMED: NO MODS &gt; 1YR","CONFIRMED: NO MODS &gt; 1YR","DO NOT DELETE — not defensibly confirmed"),IF($Q1264="HOLD","DO NOT DELETE — HOLD (Charlie review)",IF($Q1264="KEEP","DO NOT DELETE — KEEP",IF(ISNUMBER(SEARCH("REVIEW",$Q1264)),"DO NOT DELETE — REVIEW pending",$S1264))))</f>
        <v>DO NOT DELETE — HOLD (Charlie review)</v>
      </c>
      <c r="Q1264" t="str" cm="1">
        <f t="array" ref="Q1264">_xlfn.IFS(AND($A1264="thg-beauty",ISNUMBER(SEARCH("liveramp",$C1264))),"DELETE",$A1264="agile-bonbon-662",_xlfn.IFS(LEFT($G1264,9)="Tranche 1","DELETE",$C1264="Sessions_Level_1_All_Sites","KEEP",ISNUMBER(--$C1264),"REVIEW — UA raw logs",$C1264="Emag_Reporting","KEEP",$C1264="Nutrition_Data_Archived_Tables","KEEP",$C1264="EU_Data","KEEP",TRUE,"REVIEW"),OR($A1264="thg-influencer",$A1264="thg-ingenuity",$A1264="thg-central-marketing",$A1264="thg-seoclarity"),"HOLD",TRUE,"")</f>
        <v>HOLD</v>
      </c>
      <c r="R1264" t="str" cm="1">
        <f t="array" ref="R1264">_xlfn.IFS(AND($A1264="thg-beauty",ISNUMBER(SEARCH("liveramp",$C1264))),"thg-beauty Liveramp dataset — confirmed safe to delete",$A1264="agile-bonbon-662",_xlfn.IFS(LEFT($G1264,9)="Tranche 1","Tranche 1: cleared",$C1264="Sessions_Level_1_All_Sites","Downstream aggregation of UA raw logs — keep if raw tables go",ISNUMBER(--$C1264),"UA raw site logs (account ID) — keep pending audit-retention check",$C1264="Emag_Reporting","Legacy but likely needed",$C1264="Nutrition_Data_Archived_Tables","Worth keeping",$C1264="EU_Data","Static lookup tables — scripts still reference (smoke-test risk)",TRUE,"Review"),OR($A1264="thg-influencer",$A1264="thg-ingenuity",$A1264="thg-central-marketing",$A1264="thg-seoclarity"),"HOLD — Charlie Stringer to review before deletion",TRUE,"")</f>
        <v>HOLD — Charlie Stringer to review before deletion</v>
      </c>
      <c r="S1264" t="s">
        <v>1624</v>
      </c>
    </row>
    <row r="1265" spans="1:19" hidden="1">
      <c r="A1265" t="s">
        <v>38</v>
      </c>
      <c r="B1265" t="s">
        <v>1619</v>
      </c>
      <c r="C1265" t="s">
        <v>3717</v>
      </c>
      <c r="D1265" s="2" t="s">
        <v>1621</v>
      </c>
      <c r="E1265">
        <v>2.54</v>
      </c>
      <c r="F1265">
        <v>0.05</v>
      </c>
      <c r="G1265" t="s">
        <v>3456</v>
      </c>
      <c r="H1265" t="s">
        <v>3457</v>
      </c>
      <c r="I1265">
        <v>723</v>
      </c>
      <c r="J1265">
        <v>723</v>
      </c>
      <c r="M1265" s="2" t="s">
        <v>1715</v>
      </c>
      <c r="N1265" s="2" t="s">
        <v>1701</v>
      </c>
      <c r="O1265" s="5">
        <v>45474.335060185193</v>
      </c>
      <c r="P1265" t="str">
        <f>IF($Q1265="DELETE",IF($S1265="CONFIRMED: NO MODS &gt; 1YR","CONFIRMED: NO MODS &gt; 1YR","DO NOT DELETE — not defensibly confirmed"),IF($Q1265="HOLD","DO NOT DELETE — HOLD (Charlie review)",IF($Q1265="KEEP","DO NOT DELETE — KEEP",IF(ISNUMBER(SEARCH("REVIEW",$Q1265)),"DO NOT DELETE — REVIEW pending",$S1265))))</f>
        <v>DO NOT DELETE — HOLD (Charlie review)</v>
      </c>
      <c r="Q1265" t="str" cm="1">
        <f t="array" ref="Q1265">_xlfn.IFS(AND($A1265="thg-beauty",ISNUMBER(SEARCH("liveramp",$C1265))),"DELETE",$A1265="agile-bonbon-662",_xlfn.IFS(LEFT($G1265,9)="Tranche 1","DELETE",$C1265="Sessions_Level_1_All_Sites","KEEP",ISNUMBER(--$C1265),"REVIEW — UA raw logs",$C1265="Emag_Reporting","KEEP",$C1265="Nutrition_Data_Archived_Tables","KEEP",$C1265="EU_Data","KEEP",TRUE,"REVIEW"),OR($A1265="thg-influencer",$A1265="thg-ingenuity",$A1265="thg-central-marketing",$A1265="thg-seoclarity"),"HOLD",TRUE,"")</f>
        <v>HOLD</v>
      </c>
      <c r="R1265" t="str" cm="1">
        <f t="array" ref="R1265">_xlfn.IFS(AND($A1265="thg-beauty",ISNUMBER(SEARCH("liveramp",$C1265))),"thg-beauty Liveramp dataset — confirmed safe to delete",$A1265="agile-bonbon-662",_xlfn.IFS(LEFT($G1265,9)="Tranche 1","Tranche 1: cleared",$C1265="Sessions_Level_1_All_Sites","Downstream aggregation of UA raw logs — keep if raw tables go",ISNUMBER(--$C1265),"UA raw site logs (account ID) — keep pending audit-retention check",$C1265="Emag_Reporting","Legacy but likely needed",$C1265="Nutrition_Data_Archived_Tables","Worth keeping",$C1265="EU_Data","Static lookup tables — scripts still reference (smoke-test risk)",TRUE,"Review"),OR($A1265="thg-influencer",$A1265="thg-ingenuity",$A1265="thg-central-marketing",$A1265="thg-seoclarity"),"HOLD — Charlie Stringer to review before deletion",TRUE,"")</f>
        <v>HOLD — Charlie Stringer to review before deletion</v>
      </c>
      <c r="S1265" t="s">
        <v>1624</v>
      </c>
    </row>
    <row r="1266" spans="1:19" hidden="1">
      <c r="A1266" t="s">
        <v>38</v>
      </c>
      <c r="B1266" t="s">
        <v>1619</v>
      </c>
      <c r="C1266" t="s">
        <v>3718</v>
      </c>
      <c r="D1266" s="2" t="s">
        <v>1621</v>
      </c>
      <c r="E1266">
        <v>2.4</v>
      </c>
      <c r="F1266">
        <v>0.05</v>
      </c>
      <c r="G1266" t="s">
        <v>3456</v>
      </c>
      <c r="H1266" t="s">
        <v>3457</v>
      </c>
      <c r="I1266">
        <v>723</v>
      </c>
      <c r="J1266">
        <v>723</v>
      </c>
      <c r="M1266" s="2" t="s">
        <v>1715</v>
      </c>
      <c r="N1266" s="2" t="s">
        <v>1701</v>
      </c>
      <c r="O1266" s="5">
        <v>45474.271553715284</v>
      </c>
      <c r="P1266" t="str">
        <f>IF($Q1266="DELETE",IF($S1266="CONFIRMED: NO MODS &gt; 1YR","CONFIRMED: NO MODS &gt; 1YR","DO NOT DELETE — not defensibly confirmed"),IF($Q1266="HOLD","DO NOT DELETE — HOLD (Charlie review)",IF($Q1266="KEEP","DO NOT DELETE — KEEP",IF(ISNUMBER(SEARCH("REVIEW",$Q1266)),"DO NOT DELETE — REVIEW pending",$S1266))))</f>
        <v>DO NOT DELETE — HOLD (Charlie review)</v>
      </c>
      <c r="Q1266" t="str" cm="1">
        <f t="array" ref="Q1266">_xlfn.IFS(AND($A1266="thg-beauty",ISNUMBER(SEARCH("liveramp",$C1266))),"DELETE",$A1266="agile-bonbon-662",_xlfn.IFS(LEFT($G1266,9)="Tranche 1","DELETE",$C1266="Sessions_Level_1_All_Sites","KEEP",ISNUMBER(--$C1266),"REVIEW — UA raw logs",$C1266="Emag_Reporting","KEEP",$C1266="Nutrition_Data_Archived_Tables","KEEP",$C1266="EU_Data","KEEP",TRUE,"REVIEW"),OR($A1266="thg-influencer",$A1266="thg-ingenuity",$A1266="thg-central-marketing",$A1266="thg-seoclarity"),"HOLD",TRUE,"")</f>
        <v>HOLD</v>
      </c>
      <c r="R1266" t="str" cm="1">
        <f t="array" ref="R1266">_xlfn.IFS(AND($A1266="thg-beauty",ISNUMBER(SEARCH("liveramp",$C1266))),"thg-beauty Liveramp dataset — confirmed safe to delete",$A1266="agile-bonbon-662",_xlfn.IFS(LEFT($G1266,9)="Tranche 1","Tranche 1: cleared",$C1266="Sessions_Level_1_All_Sites","Downstream aggregation of UA raw logs — keep if raw tables go",ISNUMBER(--$C1266),"UA raw site logs (account ID) — keep pending audit-retention check",$C1266="Emag_Reporting","Legacy but likely needed",$C1266="Nutrition_Data_Archived_Tables","Worth keeping",$C1266="EU_Data","Static lookup tables — scripts still reference (smoke-test risk)",TRUE,"Review"),OR($A1266="thg-influencer",$A1266="thg-ingenuity",$A1266="thg-central-marketing",$A1266="thg-seoclarity"),"HOLD — Charlie Stringer to review before deletion",TRUE,"")</f>
        <v>HOLD — Charlie Stringer to review before deletion</v>
      </c>
      <c r="S1266" t="s">
        <v>1624</v>
      </c>
    </row>
    <row r="1267" spans="1:19" hidden="1">
      <c r="A1267" t="s">
        <v>38</v>
      </c>
      <c r="B1267" t="s">
        <v>1619</v>
      </c>
      <c r="C1267" t="s">
        <v>3719</v>
      </c>
      <c r="D1267" s="2" t="s">
        <v>1621</v>
      </c>
      <c r="E1267">
        <v>2.4</v>
      </c>
      <c r="F1267">
        <v>0.05</v>
      </c>
      <c r="G1267" t="s">
        <v>3456</v>
      </c>
      <c r="H1267" t="s">
        <v>3457</v>
      </c>
      <c r="I1267">
        <v>723</v>
      </c>
      <c r="J1267">
        <v>723</v>
      </c>
      <c r="M1267" s="2" t="s">
        <v>1715</v>
      </c>
      <c r="N1267" s="2" t="s">
        <v>1701</v>
      </c>
      <c r="O1267" s="5">
        <v>45474.28303215278</v>
      </c>
      <c r="P1267" t="str">
        <f>IF($Q1267="DELETE",IF($S1267="CONFIRMED: NO MODS &gt; 1YR","CONFIRMED: NO MODS &gt; 1YR","DO NOT DELETE — not defensibly confirmed"),IF($Q1267="HOLD","DO NOT DELETE — HOLD (Charlie review)",IF($Q1267="KEEP","DO NOT DELETE — KEEP",IF(ISNUMBER(SEARCH("REVIEW",$Q1267)),"DO NOT DELETE — REVIEW pending",$S1267))))</f>
        <v>DO NOT DELETE — HOLD (Charlie review)</v>
      </c>
      <c r="Q1267" t="str" cm="1">
        <f t="array" ref="Q1267">_xlfn.IFS(AND($A1267="thg-beauty",ISNUMBER(SEARCH("liveramp",$C1267))),"DELETE",$A1267="agile-bonbon-662",_xlfn.IFS(LEFT($G1267,9)="Tranche 1","DELETE",$C1267="Sessions_Level_1_All_Sites","KEEP",ISNUMBER(--$C1267),"REVIEW — UA raw logs",$C1267="Emag_Reporting","KEEP",$C1267="Nutrition_Data_Archived_Tables","KEEP",$C1267="EU_Data","KEEP",TRUE,"REVIEW"),OR($A1267="thg-influencer",$A1267="thg-ingenuity",$A1267="thg-central-marketing",$A1267="thg-seoclarity"),"HOLD",TRUE,"")</f>
        <v>HOLD</v>
      </c>
      <c r="R1267" t="str" cm="1">
        <f t="array" ref="R1267">_xlfn.IFS(AND($A1267="thg-beauty",ISNUMBER(SEARCH("liveramp",$C1267))),"thg-beauty Liveramp dataset — confirmed safe to delete",$A1267="agile-bonbon-662",_xlfn.IFS(LEFT($G1267,9)="Tranche 1","Tranche 1: cleared",$C1267="Sessions_Level_1_All_Sites","Downstream aggregation of UA raw logs — keep if raw tables go",ISNUMBER(--$C1267),"UA raw site logs (account ID) — keep pending audit-retention check",$C1267="Emag_Reporting","Legacy but likely needed",$C1267="Nutrition_Data_Archived_Tables","Worth keeping",$C1267="EU_Data","Static lookup tables — scripts still reference (smoke-test risk)",TRUE,"Review"),OR($A1267="thg-influencer",$A1267="thg-ingenuity",$A1267="thg-central-marketing",$A1267="thg-seoclarity"),"HOLD — Charlie Stringer to review before deletion",TRUE,"")</f>
        <v>HOLD — Charlie Stringer to review before deletion</v>
      </c>
      <c r="S1267" t="s">
        <v>1624</v>
      </c>
    </row>
    <row r="1268" spans="1:19" hidden="1">
      <c r="A1268" t="s">
        <v>38</v>
      </c>
      <c r="B1268" t="s">
        <v>1619</v>
      </c>
      <c r="C1268" t="s">
        <v>3720</v>
      </c>
      <c r="D1268" s="2" t="s">
        <v>1621</v>
      </c>
      <c r="E1268">
        <v>2.36</v>
      </c>
      <c r="F1268">
        <v>0.05</v>
      </c>
      <c r="G1268" t="s">
        <v>3456</v>
      </c>
      <c r="H1268" t="s">
        <v>3457</v>
      </c>
      <c r="I1268">
        <v>723</v>
      </c>
      <c r="J1268">
        <v>723</v>
      </c>
      <c r="M1268" s="2" t="s">
        <v>1715</v>
      </c>
      <c r="N1268" s="2" t="s">
        <v>1701</v>
      </c>
      <c r="O1268" s="5">
        <v>45474.282942245372</v>
      </c>
      <c r="P1268" t="str">
        <f>IF($Q1268="DELETE",IF($S1268="CONFIRMED: NO MODS &gt; 1YR","CONFIRMED: NO MODS &gt; 1YR","DO NOT DELETE — not defensibly confirmed"),IF($Q1268="HOLD","DO NOT DELETE — HOLD (Charlie review)",IF($Q1268="KEEP","DO NOT DELETE — KEEP",IF(ISNUMBER(SEARCH("REVIEW",$Q1268)),"DO NOT DELETE — REVIEW pending",$S1268))))</f>
        <v>DO NOT DELETE — HOLD (Charlie review)</v>
      </c>
      <c r="Q1268" t="str" cm="1">
        <f t="array" ref="Q1268">_xlfn.IFS(AND($A1268="thg-beauty",ISNUMBER(SEARCH("liveramp",$C1268))),"DELETE",$A1268="agile-bonbon-662",_xlfn.IFS(LEFT($G1268,9)="Tranche 1","DELETE",$C1268="Sessions_Level_1_All_Sites","KEEP",ISNUMBER(--$C1268),"REVIEW — UA raw logs",$C1268="Emag_Reporting","KEEP",$C1268="Nutrition_Data_Archived_Tables","KEEP",$C1268="EU_Data","KEEP",TRUE,"REVIEW"),OR($A1268="thg-influencer",$A1268="thg-ingenuity",$A1268="thg-central-marketing",$A1268="thg-seoclarity"),"HOLD",TRUE,"")</f>
        <v>HOLD</v>
      </c>
      <c r="R1268" t="str" cm="1">
        <f t="array" ref="R1268">_xlfn.IFS(AND($A1268="thg-beauty",ISNUMBER(SEARCH("liveramp",$C1268))),"thg-beauty Liveramp dataset — confirmed safe to delete",$A1268="agile-bonbon-662",_xlfn.IFS(LEFT($G1268,9)="Tranche 1","Tranche 1: cleared",$C1268="Sessions_Level_1_All_Sites","Downstream aggregation of UA raw logs — keep if raw tables go",ISNUMBER(--$C1268),"UA raw site logs (account ID) — keep pending audit-retention check",$C1268="Emag_Reporting","Legacy but likely needed",$C1268="Nutrition_Data_Archived_Tables","Worth keeping",$C1268="EU_Data","Static lookup tables — scripts still reference (smoke-test risk)",TRUE,"Review"),OR($A1268="thg-influencer",$A1268="thg-ingenuity",$A1268="thg-central-marketing",$A1268="thg-seoclarity"),"HOLD — Charlie Stringer to review before deletion",TRUE,"")</f>
        <v>HOLD — Charlie Stringer to review before deletion</v>
      </c>
      <c r="S1268" t="s">
        <v>1624</v>
      </c>
    </row>
    <row r="1269" spans="1:19" hidden="1">
      <c r="A1269" t="s">
        <v>38</v>
      </c>
      <c r="B1269" t="s">
        <v>1619</v>
      </c>
      <c r="C1269" t="s">
        <v>3721</v>
      </c>
      <c r="D1269" s="2" t="s">
        <v>1621</v>
      </c>
      <c r="E1269">
        <v>2.2400000000000002</v>
      </c>
      <c r="F1269">
        <v>0.04</v>
      </c>
      <c r="G1269" t="s">
        <v>3456</v>
      </c>
      <c r="H1269" t="s">
        <v>3457</v>
      </c>
      <c r="I1269">
        <v>723</v>
      </c>
      <c r="J1269">
        <v>723</v>
      </c>
      <c r="M1269" s="2" t="s">
        <v>1715</v>
      </c>
      <c r="N1269" s="2" t="s">
        <v>1701</v>
      </c>
      <c r="O1269" s="5">
        <v>45474.297550694442</v>
      </c>
      <c r="P1269" t="str">
        <f>IF($Q1269="DELETE",IF($S1269="CONFIRMED: NO MODS &gt; 1YR","CONFIRMED: NO MODS &gt; 1YR","DO NOT DELETE — not defensibly confirmed"),IF($Q1269="HOLD","DO NOT DELETE — HOLD (Charlie review)",IF($Q1269="KEEP","DO NOT DELETE — KEEP",IF(ISNUMBER(SEARCH("REVIEW",$Q1269)),"DO NOT DELETE — REVIEW pending",$S1269))))</f>
        <v>DO NOT DELETE — HOLD (Charlie review)</v>
      </c>
      <c r="Q1269" t="str" cm="1">
        <f t="array" ref="Q1269">_xlfn.IFS(AND($A1269="thg-beauty",ISNUMBER(SEARCH("liveramp",$C1269))),"DELETE",$A1269="agile-bonbon-662",_xlfn.IFS(LEFT($G1269,9)="Tranche 1","DELETE",$C1269="Sessions_Level_1_All_Sites","KEEP",ISNUMBER(--$C1269),"REVIEW — UA raw logs",$C1269="Emag_Reporting","KEEP",$C1269="Nutrition_Data_Archived_Tables","KEEP",$C1269="EU_Data","KEEP",TRUE,"REVIEW"),OR($A1269="thg-influencer",$A1269="thg-ingenuity",$A1269="thg-central-marketing",$A1269="thg-seoclarity"),"HOLD",TRUE,"")</f>
        <v>HOLD</v>
      </c>
      <c r="R1269" t="str" cm="1">
        <f t="array" ref="R1269">_xlfn.IFS(AND($A1269="thg-beauty",ISNUMBER(SEARCH("liveramp",$C1269))),"thg-beauty Liveramp dataset — confirmed safe to delete",$A1269="agile-bonbon-662",_xlfn.IFS(LEFT($G1269,9)="Tranche 1","Tranche 1: cleared",$C1269="Sessions_Level_1_All_Sites","Downstream aggregation of UA raw logs — keep if raw tables go",ISNUMBER(--$C1269),"UA raw site logs (account ID) — keep pending audit-retention check",$C1269="Emag_Reporting","Legacy but likely needed",$C1269="Nutrition_Data_Archived_Tables","Worth keeping",$C1269="EU_Data","Static lookup tables — scripts still reference (smoke-test risk)",TRUE,"Review"),OR($A1269="thg-influencer",$A1269="thg-ingenuity",$A1269="thg-central-marketing",$A1269="thg-seoclarity"),"HOLD — Charlie Stringer to review before deletion",TRUE,"")</f>
        <v>HOLD — Charlie Stringer to review before deletion</v>
      </c>
      <c r="S1269" t="s">
        <v>1624</v>
      </c>
    </row>
    <row r="1270" spans="1:19" hidden="1">
      <c r="A1270" t="s">
        <v>38</v>
      </c>
      <c r="B1270" t="s">
        <v>1619</v>
      </c>
      <c r="C1270" t="s">
        <v>3722</v>
      </c>
      <c r="D1270" s="2" t="s">
        <v>1621</v>
      </c>
      <c r="E1270">
        <v>2.2200000000000002</v>
      </c>
      <c r="F1270">
        <v>0.04</v>
      </c>
      <c r="G1270" t="s">
        <v>3456</v>
      </c>
      <c r="H1270" t="s">
        <v>3457</v>
      </c>
      <c r="I1270">
        <v>723</v>
      </c>
      <c r="J1270">
        <v>723</v>
      </c>
      <c r="M1270" s="2" t="s">
        <v>1715</v>
      </c>
      <c r="N1270" s="2" t="s">
        <v>1701</v>
      </c>
      <c r="O1270" s="5">
        <v>45474.28151572917</v>
      </c>
      <c r="P1270" t="str">
        <f>IF($Q1270="DELETE",IF($S1270="CONFIRMED: NO MODS &gt; 1YR","CONFIRMED: NO MODS &gt; 1YR","DO NOT DELETE — not defensibly confirmed"),IF($Q1270="HOLD","DO NOT DELETE — HOLD (Charlie review)",IF($Q1270="KEEP","DO NOT DELETE — KEEP",IF(ISNUMBER(SEARCH("REVIEW",$Q1270)),"DO NOT DELETE — REVIEW pending",$S1270))))</f>
        <v>DO NOT DELETE — HOLD (Charlie review)</v>
      </c>
      <c r="Q1270" t="str" cm="1">
        <f t="array" ref="Q1270">_xlfn.IFS(AND($A1270="thg-beauty",ISNUMBER(SEARCH("liveramp",$C1270))),"DELETE",$A1270="agile-bonbon-662",_xlfn.IFS(LEFT($G1270,9)="Tranche 1","DELETE",$C1270="Sessions_Level_1_All_Sites","KEEP",ISNUMBER(--$C1270),"REVIEW — UA raw logs",$C1270="Emag_Reporting","KEEP",$C1270="Nutrition_Data_Archived_Tables","KEEP",$C1270="EU_Data","KEEP",TRUE,"REVIEW"),OR($A1270="thg-influencer",$A1270="thg-ingenuity",$A1270="thg-central-marketing",$A1270="thg-seoclarity"),"HOLD",TRUE,"")</f>
        <v>HOLD</v>
      </c>
      <c r="R1270" t="str" cm="1">
        <f t="array" ref="R1270">_xlfn.IFS(AND($A1270="thg-beauty",ISNUMBER(SEARCH("liveramp",$C1270))),"thg-beauty Liveramp dataset — confirmed safe to delete",$A1270="agile-bonbon-662",_xlfn.IFS(LEFT($G1270,9)="Tranche 1","Tranche 1: cleared",$C1270="Sessions_Level_1_All_Sites","Downstream aggregation of UA raw logs — keep if raw tables go",ISNUMBER(--$C1270),"UA raw site logs (account ID) — keep pending audit-retention check",$C1270="Emag_Reporting","Legacy but likely needed",$C1270="Nutrition_Data_Archived_Tables","Worth keeping",$C1270="EU_Data","Static lookup tables — scripts still reference (smoke-test risk)",TRUE,"Review"),OR($A1270="thg-influencer",$A1270="thg-ingenuity",$A1270="thg-central-marketing",$A1270="thg-seoclarity"),"HOLD — Charlie Stringer to review before deletion",TRUE,"")</f>
        <v>HOLD — Charlie Stringer to review before deletion</v>
      </c>
      <c r="S1270" t="s">
        <v>1624</v>
      </c>
    </row>
    <row r="1271" spans="1:19" hidden="1">
      <c r="A1271" t="s">
        <v>38</v>
      </c>
      <c r="B1271" t="s">
        <v>1619</v>
      </c>
      <c r="C1271" t="s">
        <v>3723</v>
      </c>
      <c r="D1271" s="2" t="s">
        <v>1621</v>
      </c>
      <c r="E1271">
        <v>2.06</v>
      </c>
      <c r="F1271">
        <v>0.04</v>
      </c>
      <c r="G1271" t="s">
        <v>3456</v>
      </c>
      <c r="H1271" t="s">
        <v>3457</v>
      </c>
      <c r="I1271">
        <v>723</v>
      </c>
      <c r="J1271">
        <v>723</v>
      </c>
      <c r="M1271" s="2" t="s">
        <v>1715</v>
      </c>
      <c r="N1271" s="2" t="s">
        <v>1701</v>
      </c>
      <c r="O1271" s="5">
        <v>45474.297548888891</v>
      </c>
      <c r="P1271" t="str">
        <f>IF($Q1271="DELETE",IF($S1271="CONFIRMED: NO MODS &gt; 1YR","CONFIRMED: NO MODS &gt; 1YR","DO NOT DELETE — not defensibly confirmed"),IF($Q1271="HOLD","DO NOT DELETE — HOLD (Charlie review)",IF($Q1271="KEEP","DO NOT DELETE — KEEP",IF(ISNUMBER(SEARCH("REVIEW",$Q1271)),"DO NOT DELETE — REVIEW pending",$S1271))))</f>
        <v>DO NOT DELETE — HOLD (Charlie review)</v>
      </c>
      <c r="Q1271" t="str" cm="1">
        <f t="array" ref="Q1271">_xlfn.IFS(AND($A1271="thg-beauty",ISNUMBER(SEARCH("liveramp",$C1271))),"DELETE",$A1271="agile-bonbon-662",_xlfn.IFS(LEFT($G1271,9)="Tranche 1","DELETE",$C1271="Sessions_Level_1_All_Sites","KEEP",ISNUMBER(--$C1271),"REVIEW — UA raw logs",$C1271="Emag_Reporting","KEEP",$C1271="Nutrition_Data_Archived_Tables","KEEP",$C1271="EU_Data","KEEP",TRUE,"REVIEW"),OR($A1271="thg-influencer",$A1271="thg-ingenuity",$A1271="thg-central-marketing",$A1271="thg-seoclarity"),"HOLD",TRUE,"")</f>
        <v>HOLD</v>
      </c>
      <c r="R1271" t="str" cm="1">
        <f t="array" ref="R1271">_xlfn.IFS(AND($A1271="thg-beauty",ISNUMBER(SEARCH("liveramp",$C1271))),"thg-beauty Liveramp dataset — confirmed safe to delete",$A1271="agile-bonbon-662",_xlfn.IFS(LEFT($G1271,9)="Tranche 1","Tranche 1: cleared",$C1271="Sessions_Level_1_All_Sites","Downstream aggregation of UA raw logs — keep if raw tables go",ISNUMBER(--$C1271),"UA raw site logs (account ID) — keep pending audit-retention check",$C1271="Emag_Reporting","Legacy but likely needed",$C1271="Nutrition_Data_Archived_Tables","Worth keeping",$C1271="EU_Data","Static lookup tables — scripts still reference (smoke-test risk)",TRUE,"Review"),OR($A1271="thg-influencer",$A1271="thg-ingenuity",$A1271="thg-central-marketing",$A1271="thg-seoclarity"),"HOLD — Charlie Stringer to review before deletion",TRUE,"")</f>
        <v>HOLD — Charlie Stringer to review before deletion</v>
      </c>
      <c r="S1271" t="s">
        <v>1624</v>
      </c>
    </row>
    <row r="1272" spans="1:19" hidden="1">
      <c r="A1272" t="s">
        <v>38</v>
      </c>
      <c r="B1272" t="s">
        <v>1619</v>
      </c>
      <c r="C1272" t="s">
        <v>3724</v>
      </c>
      <c r="D1272" s="2" t="s">
        <v>1621</v>
      </c>
      <c r="E1272">
        <v>2.0299999999999998</v>
      </c>
      <c r="F1272">
        <v>0.04</v>
      </c>
      <c r="G1272" t="s">
        <v>3456</v>
      </c>
      <c r="H1272" t="s">
        <v>3457</v>
      </c>
      <c r="I1272">
        <v>723</v>
      </c>
      <c r="J1272">
        <v>723</v>
      </c>
      <c r="M1272" s="2" t="s">
        <v>1715</v>
      </c>
      <c r="N1272" s="2" t="s">
        <v>1701</v>
      </c>
      <c r="O1272" s="5">
        <v>45474.284332685187</v>
      </c>
      <c r="P1272" t="str">
        <f>IF($Q1272="DELETE",IF($S1272="CONFIRMED: NO MODS &gt; 1YR","CONFIRMED: NO MODS &gt; 1YR","DO NOT DELETE — not defensibly confirmed"),IF($Q1272="HOLD","DO NOT DELETE — HOLD (Charlie review)",IF($Q1272="KEEP","DO NOT DELETE — KEEP",IF(ISNUMBER(SEARCH("REVIEW",$Q1272)),"DO NOT DELETE — REVIEW pending",$S1272))))</f>
        <v>DO NOT DELETE — HOLD (Charlie review)</v>
      </c>
      <c r="Q1272" t="str" cm="1">
        <f t="array" ref="Q1272">_xlfn.IFS(AND($A1272="thg-beauty",ISNUMBER(SEARCH("liveramp",$C1272))),"DELETE",$A1272="agile-bonbon-662",_xlfn.IFS(LEFT($G1272,9)="Tranche 1","DELETE",$C1272="Sessions_Level_1_All_Sites","KEEP",ISNUMBER(--$C1272),"REVIEW — UA raw logs",$C1272="Emag_Reporting","KEEP",$C1272="Nutrition_Data_Archived_Tables","KEEP",$C1272="EU_Data","KEEP",TRUE,"REVIEW"),OR($A1272="thg-influencer",$A1272="thg-ingenuity",$A1272="thg-central-marketing",$A1272="thg-seoclarity"),"HOLD",TRUE,"")</f>
        <v>HOLD</v>
      </c>
      <c r="R1272" t="str" cm="1">
        <f t="array" ref="R1272">_xlfn.IFS(AND($A1272="thg-beauty",ISNUMBER(SEARCH("liveramp",$C1272))),"thg-beauty Liveramp dataset — confirmed safe to delete",$A1272="agile-bonbon-662",_xlfn.IFS(LEFT($G1272,9)="Tranche 1","Tranche 1: cleared",$C1272="Sessions_Level_1_All_Sites","Downstream aggregation of UA raw logs — keep if raw tables go",ISNUMBER(--$C1272),"UA raw site logs (account ID) — keep pending audit-retention check",$C1272="Emag_Reporting","Legacy but likely needed",$C1272="Nutrition_Data_Archived_Tables","Worth keeping",$C1272="EU_Data","Static lookup tables — scripts still reference (smoke-test risk)",TRUE,"Review"),OR($A1272="thg-influencer",$A1272="thg-ingenuity",$A1272="thg-central-marketing",$A1272="thg-seoclarity"),"HOLD — Charlie Stringer to review before deletion",TRUE,"")</f>
        <v>HOLD — Charlie Stringer to review before deletion</v>
      </c>
      <c r="S1272" t="s">
        <v>1624</v>
      </c>
    </row>
    <row r="1273" spans="1:19" hidden="1">
      <c r="A1273" t="s">
        <v>38</v>
      </c>
      <c r="B1273" t="s">
        <v>1619</v>
      </c>
      <c r="C1273" t="s">
        <v>3725</v>
      </c>
      <c r="D1273" s="2" t="s">
        <v>1621</v>
      </c>
      <c r="E1273">
        <v>2.0099999999999998</v>
      </c>
      <c r="F1273">
        <v>0.04</v>
      </c>
      <c r="G1273" t="s">
        <v>3456</v>
      </c>
      <c r="H1273" t="s">
        <v>3457</v>
      </c>
      <c r="I1273">
        <v>723</v>
      </c>
      <c r="J1273">
        <v>723</v>
      </c>
      <c r="M1273" s="2" t="s">
        <v>1715</v>
      </c>
      <c r="N1273" s="2" t="s">
        <v>1701</v>
      </c>
      <c r="O1273" s="5">
        <v>45474.282680474527</v>
      </c>
      <c r="P1273" t="str">
        <f>IF($Q1273="DELETE",IF($S1273="CONFIRMED: NO MODS &gt; 1YR","CONFIRMED: NO MODS &gt; 1YR","DO NOT DELETE — not defensibly confirmed"),IF($Q1273="HOLD","DO NOT DELETE — HOLD (Charlie review)",IF($Q1273="KEEP","DO NOT DELETE — KEEP",IF(ISNUMBER(SEARCH("REVIEW",$Q1273)),"DO NOT DELETE — REVIEW pending",$S1273))))</f>
        <v>DO NOT DELETE — HOLD (Charlie review)</v>
      </c>
      <c r="Q1273" t="str" cm="1">
        <f t="array" ref="Q1273">_xlfn.IFS(AND($A1273="thg-beauty",ISNUMBER(SEARCH("liveramp",$C1273))),"DELETE",$A1273="agile-bonbon-662",_xlfn.IFS(LEFT($G1273,9)="Tranche 1","DELETE",$C1273="Sessions_Level_1_All_Sites","KEEP",ISNUMBER(--$C1273),"REVIEW — UA raw logs",$C1273="Emag_Reporting","KEEP",$C1273="Nutrition_Data_Archived_Tables","KEEP",$C1273="EU_Data","KEEP",TRUE,"REVIEW"),OR($A1273="thg-influencer",$A1273="thg-ingenuity",$A1273="thg-central-marketing",$A1273="thg-seoclarity"),"HOLD",TRUE,"")</f>
        <v>HOLD</v>
      </c>
      <c r="R1273" t="str" cm="1">
        <f t="array" ref="R1273">_xlfn.IFS(AND($A1273="thg-beauty",ISNUMBER(SEARCH("liveramp",$C1273))),"thg-beauty Liveramp dataset — confirmed safe to delete",$A1273="agile-bonbon-662",_xlfn.IFS(LEFT($G1273,9)="Tranche 1","Tranche 1: cleared",$C1273="Sessions_Level_1_All_Sites","Downstream aggregation of UA raw logs — keep if raw tables go",ISNUMBER(--$C1273),"UA raw site logs (account ID) — keep pending audit-retention check",$C1273="Emag_Reporting","Legacy but likely needed",$C1273="Nutrition_Data_Archived_Tables","Worth keeping",$C1273="EU_Data","Static lookup tables — scripts still reference (smoke-test risk)",TRUE,"Review"),OR($A1273="thg-influencer",$A1273="thg-ingenuity",$A1273="thg-central-marketing",$A1273="thg-seoclarity"),"HOLD — Charlie Stringer to review before deletion",TRUE,"")</f>
        <v>HOLD — Charlie Stringer to review before deletion</v>
      </c>
      <c r="S1273" t="s">
        <v>1624</v>
      </c>
    </row>
    <row r="1274" spans="1:19" hidden="1">
      <c r="A1274" t="s">
        <v>38</v>
      </c>
      <c r="B1274" t="s">
        <v>1619</v>
      </c>
      <c r="C1274" t="s">
        <v>3726</v>
      </c>
      <c r="D1274" s="2" t="s">
        <v>1621</v>
      </c>
      <c r="E1274">
        <v>1.85</v>
      </c>
      <c r="F1274">
        <v>0.04</v>
      </c>
      <c r="G1274" t="s">
        <v>3456</v>
      </c>
      <c r="H1274" t="s">
        <v>3457</v>
      </c>
      <c r="I1274">
        <v>723</v>
      </c>
      <c r="J1274">
        <v>723</v>
      </c>
      <c r="M1274" s="2" t="s">
        <v>1715</v>
      </c>
      <c r="N1274" s="2" t="s">
        <v>1701</v>
      </c>
      <c r="O1274" s="5">
        <v>45474.266132581019</v>
      </c>
      <c r="P1274" t="str">
        <f>IF($Q1274="DELETE",IF($S1274="CONFIRMED: NO MODS &gt; 1YR","CONFIRMED: NO MODS &gt; 1YR","DO NOT DELETE — not defensibly confirmed"),IF($Q1274="HOLD","DO NOT DELETE — HOLD (Charlie review)",IF($Q1274="KEEP","DO NOT DELETE — KEEP",IF(ISNUMBER(SEARCH("REVIEW",$Q1274)),"DO NOT DELETE — REVIEW pending",$S1274))))</f>
        <v>DO NOT DELETE — HOLD (Charlie review)</v>
      </c>
      <c r="Q1274" t="str" cm="1">
        <f t="array" ref="Q1274">_xlfn.IFS(AND($A1274="thg-beauty",ISNUMBER(SEARCH("liveramp",$C1274))),"DELETE",$A1274="agile-bonbon-662",_xlfn.IFS(LEFT($G1274,9)="Tranche 1","DELETE",$C1274="Sessions_Level_1_All_Sites","KEEP",ISNUMBER(--$C1274),"REVIEW — UA raw logs",$C1274="Emag_Reporting","KEEP",$C1274="Nutrition_Data_Archived_Tables","KEEP",$C1274="EU_Data","KEEP",TRUE,"REVIEW"),OR($A1274="thg-influencer",$A1274="thg-ingenuity",$A1274="thg-central-marketing",$A1274="thg-seoclarity"),"HOLD",TRUE,"")</f>
        <v>HOLD</v>
      </c>
      <c r="R1274" t="str" cm="1">
        <f t="array" ref="R1274">_xlfn.IFS(AND($A1274="thg-beauty",ISNUMBER(SEARCH("liveramp",$C1274))),"thg-beauty Liveramp dataset — confirmed safe to delete",$A1274="agile-bonbon-662",_xlfn.IFS(LEFT($G1274,9)="Tranche 1","Tranche 1: cleared",$C1274="Sessions_Level_1_All_Sites","Downstream aggregation of UA raw logs — keep if raw tables go",ISNUMBER(--$C1274),"UA raw site logs (account ID) — keep pending audit-retention check",$C1274="Emag_Reporting","Legacy but likely needed",$C1274="Nutrition_Data_Archived_Tables","Worth keeping",$C1274="EU_Data","Static lookup tables — scripts still reference (smoke-test risk)",TRUE,"Review"),OR($A1274="thg-influencer",$A1274="thg-ingenuity",$A1274="thg-central-marketing",$A1274="thg-seoclarity"),"HOLD — Charlie Stringer to review before deletion",TRUE,"")</f>
        <v>HOLD — Charlie Stringer to review before deletion</v>
      </c>
      <c r="S1274" t="s">
        <v>1624</v>
      </c>
    </row>
    <row r="1275" spans="1:19" hidden="1">
      <c r="A1275" t="s">
        <v>38</v>
      </c>
      <c r="B1275" t="s">
        <v>1619</v>
      </c>
      <c r="C1275" t="s">
        <v>3727</v>
      </c>
      <c r="D1275" s="2" t="s">
        <v>1621</v>
      </c>
      <c r="E1275">
        <v>1.79</v>
      </c>
      <c r="F1275">
        <v>0.04</v>
      </c>
      <c r="G1275" t="s">
        <v>3456</v>
      </c>
      <c r="H1275" t="s">
        <v>3457</v>
      </c>
      <c r="I1275">
        <v>723</v>
      </c>
      <c r="J1275">
        <v>723</v>
      </c>
      <c r="M1275" s="2" t="s">
        <v>1715</v>
      </c>
      <c r="N1275" s="2" t="s">
        <v>1701</v>
      </c>
      <c r="O1275" s="5">
        <v>45474.282693969908</v>
      </c>
      <c r="P1275" t="str">
        <f>IF($Q1275="DELETE",IF($S1275="CONFIRMED: NO MODS &gt; 1YR","CONFIRMED: NO MODS &gt; 1YR","DO NOT DELETE — not defensibly confirmed"),IF($Q1275="HOLD","DO NOT DELETE — HOLD (Charlie review)",IF($Q1275="KEEP","DO NOT DELETE — KEEP",IF(ISNUMBER(SEARCH("REVIEW",$Q1275)),"DO NOT DELETE — REVIEW pending",$S1275))))</f>
        <v>DO NOT DELETE — HOLD (Charlie review)</v>
      </c>
      <c r="Q1275" t="str" cm="1">
        <f t="array" ref="Q1275">_xlfn.IFS(AND($A1275="thg-beauty",ISNUMBER(SEARCH("liveramp",$C1275))),"DELETE",$A1275="agile-bonbon-662",_xlfn.IFS(LEFT($G1275,9)="Tranche 1","DELETE",$C1275="Sessions_Level_1_All_Sites","KEEP",ISNUMBER(--$C1275),"REVIEW — UA raw logs",$C1275="Emag_Reporting","KEEP",$C1275="Nutrition_Data_Archived_Tables","KEEP",$C1275="EU_Data","KEEP",TRUE,"REVIEW"),OR($A1275="thg-influencer",$A1275="thg-ingenuity",$A1275="thg-central-marketing",$A1275="thg-seoclarity"),"HOLD",TRUE,"")</f>
        <v>HOLD</v>
      </c>
      <c r="R1275" t="str" cm="1">
        <f t="array" ref="R1275">_xlfn.IFS(AND($A1275="thg-beauty",ISNUMBER(SEARCH("liveramp",$C1275))),"thg-beauty Liveramp dataset — confirmed safe to delete",$A1275="agile-bonbon-662",_xlfn.IFS(LEFT($G1275,9)="Tranche 1","Tranche 1: cleared",$C1275="Sessions_Level_1_All_Sites","Downstream aggregation of UA raw logs — keep if raw tables go",ISNUMBER(--$C1275),"UA raw site logs (account ID) — keep pending audit-retention check",$C1275="Emag_Reporting","Legacy but likely needed",$C1275="Nutrition_Data_Archived_Tables","Worth keeping",$C1275="EU_Data","Static lookup tables — scripts still reference (smoke-test risk)",TRUE,"Review"),OR($A1275="thg-influencer",$A1275="thg-ingenuity",$A1275="thg-central-marketing",$A1275="thg-seoclarity"),"HOLD — Charlie Stringer to review before deletion",TRUE,"")</f>
        <v>HOLD — Charlie Stringer to review before deletion</v>
      </c>
      <c r="S1275" t="s">
        <v>1624</v>
      </c>
    </row>
    <row r="1276" spans="1:19" hidden="1">
      <c r="A1276" t="s">
        <v>38</v>
      </c>
      <c r="B1276" t="s">
        <v>1619</v>
      </c>
      <c r="C1276" t="s">
        <v>3728</v>
      </c>
      <c r="D1276" s="2" t="s">
        <v>1621</v>
      </c>
      <c r="E1276">
        <v>1.6</v>
      </c>
      <c r="F1276">
        <v>0.03</v>
      </c>
      <c r="G1276" t="s">
        <v>3456</v>
      </c>
      <c r="H1276" t="s">
        <v>3457</v>
      </c>
      <c r="I1276">
        <v>723</v>
      </c>
      <c r="J1276">
        <v>723</v>
      </c>
      <c r="M1276" s="2" t="s">
        <v>1715</v>
      </c>
      <c r="N1276" s="2" t="s">
        <v>1701</v>
      </c>
      <c r="O1276" s="5">
        <v>45474.297553402779</v>
      </c>
      <c r="P1276" t="str">
        <f>IF($Q1276="DELETE",IF($S1276="CONFIRMED: NO MODS &gt; 1YR","CONFIRMED: NO MODS &gt; 1YR","DO NOT DELETE — not defensibly confirmed"),IF($Q1276="HOLD","DO NOT DELETE — HOLD (Charlie review)",IF($Q1276="KEEP","DO NOT DELETE — KEEP",IF(ISNUMBER(SEARCH("REVIEW",$Q1276)),"DO NOT DELETE — REVIEW pending",$S1276))))</f>
        <v>DO NOT DELETE — HOLD (Charlie review)</v>
      </c>
      <c r="Q1276" t="str" cm="1">
        <f t="array" ref="Q1276">_xlfn.IFS(AND($A1276="thg-beauty",ISNUMBER(SEARCH("liveramp",$C1276))),"DELETE",$A1276="agile-bonbon-662",_xlfn.IFS(LEFT($G1276,9)="Tranche 1","DELETE",$C1276="Sessions_Level_1_All_Sites","KEEP",ISNUMBER(--$C1276),"REVIEW — UA raw logs",$C1276="Emag_Reporting","KEEP",$C1276="Nutrition_Data_Archived_Tables","KEEP",$C1276="EU_Data","KEEP",TRUE,"REVIEW"),OR($A1276="thg-influencer",$A1276="thg-ingenuity",$A1276="thg-central-marketing",$A1276="thg-seoclarity"),"HOLD",TRUE,"")</f>
        <v>HOLD</v>
      </c>
      <c r="R1276" t="str" cm="1">
        <f t="array" ref="R1276">_xlfn.IFS(AND($A1276="thg-beauty",ISNUMBER(SEARCH("liveramp",$C1276))),"thg-beauty Liveramp dataset — confirmed safe to delete",$A1276="agile-bonbon-662",_xlfn.IFS(LEFT($G1276,9)="Tranche 1","Tranche 1: cleared",$C1276="Sessions_Level_1_All_Sites","Downstream aggregation of UA raw logs — keep if raw tables go",ISNUMBER(--$C1276),"UA raw site logs (account ID) — keep pending audit-retention check",$C1276="Emag_Reporting","Legacy but likely needed",$C1276="Nutrition_Data_Archived_Tables","Worth keeping",$C1276="EU_Data","Static lookup tables — scripts still reference (smoke-test risk)",TRUE,"Review"),OR($A1276="thg-influencer",$A1276="thg-ingenuity",$A1276="thg-central-marketing",$A1276="thg-seoclarity"),"HOLD — Charlie Stringer to review before deletion",TRUE,"")</f>
        <v>HOLD — Charlie Stringer to review before deletion</v>
      </c>
      <c r="S1276" t="s">
        <v>1624</v>
      </c>
    </row>
    <row r="1277" spans="1:19" hidden="1">
      <c r="A1277" t="s">
        <v>38</v>
      </c>
      <c r="B1277" t="s">
        <v>1619</v>
      </c>
      <c r="C1277" t="s">
        <v>3729</v>
      </c>
      <c r="D1277" s="2" t="s">
        <v>1621</v>
      </c>
      <c r="E1277">
        <v>1.57</v>
      </c>
      <c r="F1277">
        <v>0.03</v>
      </c>
      <c r="G1277" t="s">
        <v>3456</v>
      </c>
      <c r="H1277" t="s">
        <v>3457</v>
      </c>
      <c r="I1277">
        <v>723</v>
      </c>
      <c r="J1277">
        <v>723</v>
      </c>
      <c r="M1277" s="2" t="s">
        <v>1715</v>
      </c>
      <c r="N1277" s="2" t="s">
        <v>1701</v>
      </c>
      <c r="O1277" s="5">
        <v>45474.277228472223</v>
      </c>
      <c r="P1277" t="str">
        <f>IF($Q1277="DELETE",IF($S1277="CONFIRMED: NO MODS &gt; 1YR","CONFIRMED: NO MODS &gt; 1YR","DO NOT DELETE — not defensibly confirmed"),IF($Q1277="HOLD","DO NOT DELETE — HOLD (Charlie review)",IF($Q1277="KEEP","DO NOT DELETE — KEEP",IF(ISNUMBER(SEARCH("REVIEW",$Q1277)),"DO NOT DELETE — REVIEW pending",$S1277))))</f>
        <v>DO NOT DELETE — HOLD (Charlie review)</v>
      </c>
      <c r="Q1277" t="str" cm="1">
        <f t="array" ref="Q1277">_xlfn.IFS(AND($A1277="thg-beauty",ISNUMBER(SEARCH("liveramp",$C1277))),"DELETE",$A1277="agile-bonbon-662",_xlfn.IFS(LEFT($G1277,9)="Tranche 1","DELETE",$C1277="Sessions_Level_1_All_Sites","KEEP",ISNUMBER(--$C1277),"REVIEW — UA raw logs",$C1277="Emag_Reporting","KEEP",$C1277="Nutrition_Data_Archived_Tables","KEEP",$C1277="EU_Data","KEEP",TRUE,"REVIEW"),OR($A1277="thg-influencer",$A1277="thg-ingenuity",$A1277="thg-central-marketing",$A1277="thg-seoclarity"),"HOLD",TRUE,"")</f>
        <v>HOLD</v>
      </c>
      <c r="R1277" t="str" cm="1">
        <f t="array" ref="R1277">_xlfn.IFS(AND($A1277="thg-beauty",ISNUMBER(SEARCH("liveramp",$C1277))),"thg-beauty Liveramp dataset — confirmed safe to delete",$A1277="agile-bonbon-662",_xlfn.IFS(LEFT($G1277,9)="Tranche 1","Tranche 1: cleared",$C1277="Sessions_Level_1_All_Sites","Downstream aggregation of UA raw logs — keep if raw tables go",ISNUMBER(--$C1277),"UA raw site logs (account ID) — keep pending audit-retention check",$C1277="Emag_Reporting","Legacy but likely needed",$C1277="Nutrition_Data_Archived_Tables","Worth keeping",$C1277="EU_Data","Static lookup tables — scripts still reference (smoke-test risk)",TRUE,"Review"),OR($A1277="thg-influencer",$A1277="thg-ingenuity",$A1277="thg-central-marketing",$A1277="thg-seoclarity"),"HOLD — Charlie Stringer to review before deletion",TRUE,"")</f>
        <v>HOLD — Charlie Stringer to review before deletion</v>
      </c>
      <c r="S1277" t="s">
        <v>1624</v>
      </c>
    </row>
    <row r="1278" spans="1:19" hidden="1">
      <c r="A1278" t="s">
        <v>38</v>
      </c>
      <c r="B1278" t="s">
        <v>1619</v>
      </c>
      <c r="C1278" t="s">
        <v>3730</v>
      </c>
      <c r="D1278" s="2" t="s">
        <v>1621</v>
      </c>
      <c r="E1278">
        <v>1.39</v>
      </c>
      <c r="F1278">
        <v>0.03</v>
      </c>
      <c r="G1278" t="s">
        <v>3456</v>
      </c>
      <c r="H1278" t="s">
        <v>3457</v>
      </c>
      <c r="I1278">
        <v>723</v>
      </c>
      <c r="J1278">
        <v>723</v>
      </c>
      <c r="M1278" s="2" t="s">
        <v>1715</v>
      </c>
      <c r="N1278" s="2" t="s">
        <v>1701</v>
      </c>
      <c r="O1278" s="5">
        <v>45474.26650096065</v>
      </c>
      <c r="P1278" t="str">
        <f>IF($Q1278="DELETE",IF($S1278="CONFIRMED: NO MODS &gt; 1YR","CONFIRMED: NO MODS &gt; 1YR","DO NOT DELETE — not defensibly confirmed"),IF($Q1278="HOLD","DO NOT DELETE — HOLD (Charlie review)",IF($Q1278="KEEP","DO NOT DELETE — KEEP",IF(ISNUMBER(SEARCH("REVIEW",$Q1278)),"DO NOT DELETE — REVIEW pending",$S1278))))</f>
        <v>DO NOT DELETE — HOLD (Charlie review)</v>
      </c>
      <c r="Q1278" t="str" cm="1">
        <f t="array" ref="Q1278">_xlfn.IFS(AND($A1278="thg-beauty",ISNUMBER(SEARCH("liveramp",$C1278))),"DELETE",$A1278="agile-bonbon-662",_xlfn.IFS(LEFT($G1278,9)="Tranche 1","DELETE",$C1278="Sessions_Level_1_All_Sites","KEEP",ISNUMBER(--$C1278),"REVIEW — UA raw logs",$C1278="Emag_Reporting","KEEP",$C1278="Nutrition_Data_Archived_Tables","KEEP",$C1278="EU_Data","KEEP",TRUE,"REVIEW"),OR($A1278="thg-influencer",$A1278="thg-ingenuity",$A1278="thg-central-marketing",$A1278="thg-seoclarity"),"HOLD",TRUE,"")</f>
        <v>HOLD</v>
      </c>
      <c r="R1278" t="str" cm="1">
        <f t="array" ref="R1278">_xlfn.IFS(AND($A1278="thg-beauty",ISNUMBER(SEARCH("liveramp",$C1278))),"thg-beauty Liveramp dataset — confirmed safe to delete",$A1278="agile-bonbon-662",_xlfn.IFS(LEFT($G1278,9)="Tranche 1","Tranche 1: cleared",$C1278="Sessions_Level_1_All_Sites","Downstream aggregation of UA raw logs — keep if raw tables go",ISNUMBER(--$C1278),"UA raw site logs (account ID) — keep pending audit-retention check",$C1278="Emag_Reporting","Legacy but likely needed",$C1278="Nutrition_Data_Archived_Tables","Worth keeping",$C1278="EU_Data","Static lookup tables — scripts still reference (smoke-test risk)",TRUE,"Review"),OR($A1278="thg-influencer",$A1278="thg-ingenuity",$A1278="thg-central-marketing",$A1278="thg-seoclarity"),"HOLD — Charlie Stringer to review before deletion",TRUE,"")</f>
        <v>HOLD — Charlie Stringer to review before deletion</v>
      </c>
      <c r="S1278" t="s">
        <v>1624</v>
      </c>
    </row>
    <row r="1279" spans="1:19" hidden="1">
      <c r="A1279" t="s">
        <v>38</v>
      </c>
      <c r="B1279" t="s">
        <v>1619</v>
      </c>
      <c r="C1279" t="s">
        <v>3731</v>
      </c>
      <c r="D1279" s="2" t="s">
        <v>1621</v>
      </c>
      <c r="E1279">
        <v>1.1499999999999999</v>
      </c>
      <c r="F1279">
        <v>0.02</v>
      </c>
      <c r="G1279" t="s">
        <v>3456</v>
      </c>
      <c r="H1279" t="s">
        <v>3457</v>
      </c>
      <c r="I1279">
        <v>723</v>
      </c>
      <c r="J1279">
        <v>723</v>
      </c>
      <c r="M1279" s="2" t="s">
        <v>1715</v>
      </c>
      <c r="N1279" s="2" t="s">
        <v>1701</v>
      </c>
      <c r="O1279" s="5">
        <v>45474.271712303242</v>
      </c>
      <c r="P1279" t="str">
        <f>IF($Q1279="DELETE",IF($S1279="CONFIRMED: NO MODS &gt; 1YR","CONFIRMED: NO MODS &gt; 1YR","DO NOT DELETE — not defensibly confirmed"),IF($Q1279="HOLD","DO NOT DELETE — HOLD (Charlie review)",IF($Q1279="KEEP","DO NOT DELETE — KEEP",IF(ISNUMBER(SEARCH("REVIEW",$Q1279)),"DO NOT DELETE — REVIEW pending",$S1279))))</f>
        <v>DO NOT DELETE — HOLD (Charlie review)</v>
      </c>
      <c r="Q1279" t="str" cm="1">
        <f t="array" ref="Q1279">_xlfn.IFS(AND($A1279="thg-beauty",ISNUMBER(SEARCH("liveramp",$C1279))),"DELETE",$A1279="agile-bonbon-662",_xlfn.IFS(LEFT($G1279,9)="Tranche 1","DELETE",$C1279="Sessions_Level_1_All_Sites","KEEP",ISNUMBER(--$C1279),"REVIEW — UA raw logs",$C1279="Emag_Reporting","KEEP",$C1279="Nutrition_Data_Archived_Tables","KEEP",$C1279="EU_Data","KEEP",TRUE,"REVIEW"),OR($A1279="thg-influencer",$A1279="thg-ingenuity",$A1279="thg-central-marketing",$A1279="thg-seoclarity"),"HOLD",TRUE,"")</f>
        <v>HOLD</v>
      </c>
      <c r="R1279" t="str" cm="1">
        <f t="array" ref="R1279">_xlfn.IFS(AND($A1279="thg-beauty",ISNUMBER(SEARCH("liveramp",$C1279))),"thg-beauty Liveramp dataset — confirmed safe to delete",$A1279="agile-bonbon-662",_xlfn.IFS(LEFT($G1279,9)="Tranche 1","Tranche 1: cleared",$C1279="Sessions_Level_1_All_Sites","Downstream aggregation of UA raw logs — keep if raw tables go",ISNUMBER(--$C1279),"UA raw site logs (account ID) — keep pending audit-retention check",$C1279="Emag_Reporting","Legacy but likely needed",$C1279="Nutrition_Data_Archived_Tables","Worth keeping",$C1279="EU_Data","Static lookup tables — scripts still reference (smoke-test risk)",TRUE,"Review"),OR($A1279="thg-influencer",$A1279="thg-ingenuity",$A1279="thg-central-marketing",$A1279="thg-seoclarity"),"HOLD — Charlie Stringer to review before deletion",TRUE,"")</f>
        <v>HOLD — Charlie Stringer to review before deletion</v>
      </c>
      <c r="S1279" t="s">
        <v>1624</v>
      </c>
    </row>
    <row r="1280" spans="1:19" hidden="1">
      <c r="A1280" t="s">
        <v>38</v>
      </c>
      <c r="B1280" t="s">
        <v>1619</v>
      </c>
      <c r="C1280" t="s">
        <v>3732</v>
      </c>
      <c r="D1280" s="2" t="s">
        <v>1621</v>
      </c>
      <c r="E1280">
        <v>0.97</v>
      </c>
      <c r="F1280">
        <v>0.02</v>
      </c>
      <c r="G1280" t="s">
        <v>3456</v>
      </c>
      <c r="H1280" t="s">
        <v>3457</v>
      </c>
      <c r="I1280">
        <v>723</v>
      </c>
      <c r="J1280">
        <v>723</v>
      </c>
      <c r="M1280" s="2" t="s">
        <v>1715</v>
      </c>
      <c r="N1280" s="2" t="s">
        <v>1701</v>
      </c>
      <c r="O1280" s="5">
        <v>45474.267754814813</v>
      </c>
      <c r="P1280" t="str">
        <f>IF($Q1280="DELETE",IF($S1280="CONFIRMED: NO MODS &gt; 1YR","CONFIRMED: NO MODS &gt; 1YR","DO NOT DELETE — not defensibly confirmed"),IF($Q1280="HOLD","DO NOT DELETE — HOLD (Charlie review)",IF($Q1280="KEEP","DO NOT DELETE — KEEP",IF(ISNUMBER(SEARCH("REVIEW",$Q1280)),"DO NOT DELETE — REVIEW pending",$S1280))))</f>
        <v>DO NOT DELETE — HOLD (Charlie review)</v>
      </c>
      <c r="Q1280" t="str" cm="1">
        <f t="array" ref="Q1280">_xlfn.IFS(AND($A1280="thg-beauty",ISNUMBER(SEARCH("liveramp",$C1280))),"DELETE",$A1280="agile-bonbon-662",_xlfn.IFS(LEFT($G1280,9)="Tranche 1","DELETE",$C1280="Sessions_Level_1_All_Sites","KEEP",ISNUMBER(--$C1280),"REVIEW — UA raw logs",$C1280="Emag_Reporting","KEEP",$C1280="Nutrition_Data_Archived_Tables","KEEP",$C1280="EU_Data","KEEP",TRUE,"REVIEW"),OR($A1280="thg-influencer",$A1280="thg-ingenuity",$A1280="thg-central-marketing",$A1280="thg-seoclarity"),"HOLD",TRUE,"")</f>
        <v>HOLD</v>
      </c>
      <c r="R1280" t="str" cm="1">
        <f t="array" ref="R1280">_xlfn.IFS(AND($A1280="thg-beauty",ISNUMBER(SEARCH("liveramp",$C1280))),"thg-beauty Liveramp dataset — confirmed safe to delete",$A1280="agile-bonbon-662",_xlfn.IFS(LEFT($G1280,9)="Tranche 1","Tranche 1: cleared",$C1280="Sessions_Level_1_All_Sites","Downstream aggregation of UA raw logs — keep if raw tables go",ISNUMBER(--$C1280),"UA raw site logs (account ID) — keep pending audit-retention check",$C1280="Emag_Reporting","Legacy but likely needed",$C1280="Nutrition_Data_Archived_Tables","Worth keeping",$C1280="EU_Data","Static lookup tables — scripts still reference (smoke-test risk)",TRUE,"Review"),OR($A1280="thg-influencer",$A1280="thg-ingenuity",$A1280="thg-central-marketing",$A1280="thg-seoclarity"),"HOLD — Charlie Stringer to review before deletion",TRUE,"")</f>
        <v>HOLD — Charlie Stringer to review before deletion</v>
      </c>
      <c r="S1280" t="s">
        <v>1624</v>
      </c>
    </row>
    <row r="1281" spans="1:19" hidden="1">
      <c r="A1281" t="s">
        <v>38</v>
      </c>
      <c r="B1281" t="s">
        <v>1619</v>
      </c>
      <c r="C1281" t="s">
        <v>3733</v>
      </c>
      <c r="D1281" s="2" t="s">
        <v>1621</v>
      </c>
      <c r="E1281">
        <v>0.91</v>
      </c>
      <c r="F1281">
        <v>0.02</v>
      </c>
      <c r="G1281" t="s">
        <v>3456</v>
      </c>
      <c r="H1281" t="s">
        <v>3457</v>
      </c>
      <c r="I1281">
        <v>723</v>
      </c>
      <c r="J1281">
        <v>723</v>
      </c>
      <c r="M1281" s="2" t="s">
        <v>1715</v>
      </c>
      <c r="N1281" s="2" t="s">
        <v>1701</v>
      </c>
      <c r="O1281" s="5">
        <v>45474.282169247686</v>
      </c>
      <c r="P1281" t="str">
        <f>IF($Q1281="DELETE",IF($S1281="CONFIRMED: NO MODS &gt; 1YR","CONFIRMED: NO MODS &gt; 1YR","DO NOT DELETE — not defensibly confirmed"),IF($Q1281="HOLD","DO NOT DELETE — HOLD (Charlie review)",IF($Q1281="KEEP","DO NOT DELETE — KEEP",IF(ISNUMBER(SEARCH("REVIEW",$Q1281)),"DO NOT DELETE — REVIEW pending",$S1281))))</f>
        <v>DO NOT DELETE — HOLD (Charlie review)</v>
      </c>
      <c r="Q1281" t="str" cm="1">
        <f t="array" ref="Q1281">_xlfn.IFS(AND($A1281="thg-beauty",ISNUMBER(SEARCH("liveramp",$C1281))),"DELETE",$A1281="agile-bonbon-662",_xlfn.IFS(LEFT($G1281,9)="Tranche 1","DELETE",$C1281="Sessions_Level_1_All_Sites","KEEP",ISNUMBER(--$C1281),"REVIEW — UA raw logs",$C1281="Emag_Reporting","KEEP",$C1281="Nutrition_Data_Archived_Tables","KEEP",$C1281="EU_Data","KEEP",TRUE,"REVIEW"),OR($A1281="thg-influencer",$A1281="thg-ingenuity",$A1281="thg-central-marketing",$A1281="thg-seoclarity"),"HOLD",TRUE,"")</f>
        <v>HOLD</v>
      </c>
      <c r="R1281" t="str" cm="1">
        <f t="array" ref="R1281">_xlfn.IFS(AND($A1281="thg-beauty",ISNUMBER(SEARCH("liveramp",$C1281))),"thg-beauty Liveramp dataset — confirmed safe to delete",$A1281="agile-bonbon-662",_xlfn.IFS(LEFT($G1281,9)="Tranche 1","Tranche 1: cleared",$C1281="Sessions_Level_1_All_Sites","Downstream aggregation of UA raw logs — keep if raw tables go",ISNUMBER(--$C1281),"UA raw site logs (account ID) — keep pending audit-retention check",$C1281="Emag_Reporting","Legacy but likely needed",$C1281="Nutrition_Data_Archived_Tables","Worth keeping",$C1281="EU_Data","Static lookup tables — scripts still reference (smoke-test risk)",TRUE,"Review"),OR($A1281="thg-influencer",$A1281="thg-ingenuity",$A1281="thg-central-marketing",$A1281="thg-seoclarity"),"HOLD — Charlie Stringer to review before deletion",TRUE,"")</f>
        <v>HOLD — Charlie Stringer to review before deletion</v>
      </c>
      <c r="S1281" t="s">
        <v>1624</v>
      </c>
    </row>
    <row r="1282" spans="1:19" hidden="1">
      <c r="A1282" t="s">
        <v>38</v>
      </c>
      <c r="B1282" t="s">
        <v>1619</v>
      </c>
      <c r="C1282" t="s">
        <v>3734</v>
      </c>
      <c r="D1282" s="2" t="s">
        <v>1621</v>
      </c>
      <c r="E1282">
        <v>0.83</v>
      </c>
      <c r="F1282">
        <v>0.02</v>
      </c>
      <c r="G1282" t="s">
        <v>3456</v>
      </c>
      <c r="H1282" t="s">
        <v>3457</v>
      </c>
      <c r="I1282">
        <v>723</v>
      </c>
      <c r="J1282">
        <v>723</v>
      </c>
      <c r="M1282" s="2" t="s">
        <v>1715</v>
      </c>
      <c r="N1282" s="2" t="s">
        <v>1701</v>
      </c>
      <c r="O1282" s="5">
        <v>45474.271783472221</v>
      </c>
      <c r="P1282" t="str">
        <f>IF($Q1282="DELETE",IF($S1282="CONFIRMED: NO MODS &gt; 1YR","CONFIRMED: NO MODS &gt; 1YR","DO NOT DELETE — not defensibly confirmed"),IF($Q1282="HOLD","DO NOT DELETE — HOLD (Charlie review)",IF($Q1282="KEEP","DO NOT DELETE — KEEP",IF(ISNUMBER(SEARCH("REVIEW",$Q1282)),"DO NOT DELETE — REVIEW pending",$S1282))))</f>
        <v>DO NOT DELETE — HOLD (Charlie review)</v>
      </c>
      <c r="Q1282" t="str" cm="1">
        <f t="array" ref="Q1282">_xlfn.IFS(AND($A1282="thg-beauty",ISNUMBER(SEARCH("liveramp",$C1282))),"DELETE",$A1282="agile-bonbon-662",_xlfn.IFS(LEFT($G1282,9)="Tranche 1","DELETE",$C1282="Sessions_Level_1_All_Sites","KEEP",ISNUMBER(--$C1282),"REVIEW — UA raw logs",$C1282="Emag_Reporting","KEEP",$C1282="Nutrition_Data_Archived_Tables","KEEP",$C1282="EU_Data","KEEP",TRUE,"REVIEW"),OR($A1282="thg-influencer",$A1282="thg-ingenuity",$A1282="thg-central-marketing",$A1282="thg-seoclarity"),"HOLD",TRUE,"")</f>
        <v>HOLD</v>
      </c>
      <c r="R1282" t="str" cm="1">
        <f t="array" ref="R1282">_xlfn.IFS(AND($A1282="thg-beauty",ISNUMBER(SEARCH("liveramp",$C1282))),"thg-beauty Liveramp dataset — confirmed safe to delete",$A1282="agile-bonbon-662",_xlfn.IFS(LEFT($G1282,9)="Tranche 1","Tranche 1: cleared",$C1282="Sessions_Level_1_All_Sites","Downstream aggregation of UA raw logs — keep if raw tables go",ISNUMBER(--$C1282),"UA raw site logs (account ID) — keep pending audit-retention check",$C1282="Emag_Reporting","Legacy but likely needed",$C1282="Nutrition_Data_Archived_Tables","Worth keeping",$C1282="EU_Data","Static lookup tables — scripts still reference (smoke-test risk)",TRUE,"Review"),OR($A1282="thg-influencer",$A1282="thg-ingenuity",$A1282="thg-central-marketing",$A1282="thg-seoclarity"),"HOLD — Charlie Stringer to review before deletion",TRUE,"")</f>
        <v>HOLD — Charlie Stringer to review before deletion</v>
      </c>
      <c r="S1282" t="s">
        <v>1624</v>
      </c>
    </row>
    <row r="1283" spans="1:19" hidden="1">
      <c r="A1283" t="s">
        <v>38</v>
      </c>
      <c r="B1283" t="s">
        <v>1619</v>
      </c>
      <c r="C1283" t="s">
        <v>3735</v>
      </c>
      <c r="D1283" s="2" t="s">
        <v>1621</v>
      </c>
      <c r="E1283">
        <v>0.81</v>
      </c>
      <c r="F1283">
        <v>0.02</v>
      </c>
      <c r="G1283" t="s">
        <v>3456</v>
      </c>
      <c r="H1283" t="s">
        <v>3457</v>
      </c>
      <c r="I1283">
        <v>723</v>
      </c>
      <c r="J1283">
        <v>723</v>
      </c>
      <c r="M1283" s="2" t="s">
        <v>1715</v>
      </c>
      <c r="N1283" s="2" t="s">
        <v>1701</v>
      </c>
      <c r="O1283" s="5">
        <v>45474.284373506947</v>
      </c>
      <c r="P1283" t="str">
        <f>IF($Q1283="DELETE",IF($S1283="CONFIRMED: NO MODS &gt; 1YR","CONFIRMED: NO MODS &gt; 1YR","DO NOT DELETE — not defensibly confirmed"),IF($Q1283="HOLD","DO NOT DELETE — HOLD (Charlie review)",IF($Q1283="KEEP","DO NOT DELETE — KEEP",IF(ISNUMBER(SEARCH("REVIEW",$Q1283)),"DO NOT DELETE — REVIEW pending",$S1283))))</f>
        <v>DO NOT DELETE — HOLD (Charlie review)</v>
      </c>
      <c r="Q1283" t="str" cm="1">
        <f t="array" ref="Q1283">_xlfn.IFS(AND($A1283="thg-beauty",ISNUMBER(SEARCH("liveramp",$C1283))),"DELETE",$A1283="agile-bonbon-662",_xlfn.IFS(LEFT($G1283,9)="Tranche 1","DELETE",$C1283="Sessions_Level_1_All_Sites","KEEP",ISNUMBER(--$C1283),"REVIEW — UA raw logs",$C1283="Emag_Reporting","KEEP",$C1283="Nutrition_Data_Archived_Tables","KEEP",$C1283="EU_Data","KEEP",TRUE,"REVIEW"),OR($A1283="thg-influencer",$A1283="thg-ingenuity",$A1283="thg-central-marketing",$A1283="thg-seoclarity"),"HOLD",TRUE,"")</f>
        <v>HOLD</v>
      </c>
      <c r="R1283" t="str" cm="1">
        <f t="array" ref="R1283">_xlfn.IFS(AND($A1283="thg-beauty",ISNUMBER(SEARCH("liveramp",$C1283))),"thg-beauty Liveramp dataset — confirmed safe to delete",$A1283="agile-bonbon-662",_xlfn.IFS(LEFT($G1283,9)="Tranche 1","Tranche 1: cleared",$C1283="Sessions_Level_1_All_Sites","Downstream aggregation of UA raw logs — keep if raw tables go",ISNUMBER(--$C1283),"UA raw site logs (account ID) — keep pending audit-retention check",$C1283="Emag_Reporting","Legacy but likely needed",$C1283="Nutrition_Data_Archived_Tables","Worth keeping",$C1283="EU_Data","Static lookup tables — scripts still reference (smoke-test risk)",TRUE,"Review"),OR($A1283="thg-influencer",$A1283="thg-ingenuity",$A1283="thg-central-marketing",$A1283="thg-seoclarity"),"HOLD — Charlie Stringer to review before deletion",TRUE,"")</f>
        <v>HOLD — Charlie Stringer to review before deletion</v>
      </c>
      <c r="S1283" t="s">
        <v>1624</v>
      </c>
    </row>
    <row r="1284" spans="1:19" hidden="1">
      <c r="A1284" t="s">
        <v>38</v>
      </c>
      <c r="B1284" t="s">
        <v>1619</v>
      </c>
      <c r="C1284" t="s">
        <v>3736</v>
      </c>
      <c r="D1284" s="2" t="s">
        <v>1621</v>
      </c>
      <c r="E1284">
        <v>0.75</v>
      </c>
      <c r="F1284">
        <v>0.01</v>
      </c>
      <c r="G1284" t="s">
        <v>3456</v>
      </c>
      <c r="H1284" t="s">
        <v>3457</v>
      </c>
      <c r="I1284">
        <v>723</v>
      </c>
      <c r="J1284">
        <v>723</v>
      </c>
      <c r="M1284" s="2" t="s">
        <v>1715</v>
      </c>
      <c r="N1284" s="2" t="s">
        <v>1701</v>
      </c>
      <c r="O1284" s="5">
        <v>45474.283508449073</v>
      </c>
      <c r="P1284" t="str">
        <f>IF($Q1284="DELETE",IF($S1284="CONFIRMED: NO MODS &gt; 1YR","CONFIRMED: NO MODS &gt; 1YR","DO NOT DELETE — not defensibly confirmed"),IF($Q1284="HOLD","DO NOT DELETE — HOLD (Charlie review)",IF($Q1284="KEEP","DO NOT DELETE — KEEP",IF(ISNUMBER(SEARCH("REVIEW",$Q1284)),"DO NOT DELETE — REVIEW pending",$S1284))))</f>
        <v>DO NOT DELETE — HOLD (Charlie review)</v>
      </c>
      <c r="Q1284" t="str" cm="1">
        <f t="array" ref="Q1284">_xlfn.IFS(AND($A1284="thg-beauty",ISNUMBER(SEARCH("liveramp",$C1284))),"DELETE",$A1284="agile-bonbon-662",_xlfn.IFS(LEFT($G1284,9)="Tranche 1","DELETE",$C1284="Sessions_Level_1_All_Sites","KEEP",ISNUMBER(--$C1284),"REVIEW — UA raw logs",$C1284="Emag_Reporting","KEEP",$C1284="Nutrition_Data_Archived_Tables","KEEP",$C1284="EU_Data","KEEP",TRUE,"REVIEW"),OR($A1284="thg-influencer",$A1284="thg-ingenuity",$A1284="thg-central-marketing",$A1284="thg-seoclarity"),"HOLD",TRUE,"")</f>
        <v>HOLD</v>
      </c>
      <c r="R1284" t="str" cm="1">
        <f t="array" ref="R1284">_xlfn.IFS(AND($A1284="thg-beauty",ISNUMBER(SEARCH("liveramp",$C1284))),"thg-beauty Liveramp dataset — confirmed safe to delete",$A1284="agile-bonbon-662",_xlfn.IFS(LEFT($G1284,9)="Tranche 1","Tranche 1: cleared",$C1284="Sessions_Level_1_All_Sites","Downstream aggregation of UA raw logs — keep if raw tables go",ISNUMBER(--$C1284),"UA raw site logs (account ID) — keep pending audit-retention check",$C1284="Emag_Reporting","Legacy but likely needed",$C1284="Nutrition_Data_Archived_Tables","Worth keeping",$C1284="EU_Data","Static lookup tables — scripts still reference (smoke-test risk)",TRUE,"Review"),OR($A1284="thg-influencer",$A1284="thg-ingenuity",$A1284="thg-central-marketing",$A1284="thg-seoclarity"),"HOLD — Charlie Stringer to review before deletion",TRUE,"")</f>
        <v>HOLD — Charlie Stringer to review before deletion</v>
      </c>
      <c r="S1284" t="s">
        <v>1624</v>
      </c>
    </row>
    <row r="1285" spans="1:19" hidden="1">
      <c r="A1285" t="s">
        <v>38</v>
      </c>
      <c r="B1285" t="s">
        <v>1619</v>
      </c>
      <c r="C1285" t="s">
        <v>3737</v>
      </c>
      <c r="D1285" s="2" t="s">
        <v>1621</v>
      </c>
      <c r="E1285">
        <v>0.74</v>
      </c>
      <c r="F1285">
        <v>0.01</v>
      </c>
      <c r="G1285" t="s">
        <v>3456</v>
      </c>
      <c r="H1285" t="s">
        <v>3457</v>
      </c>
      <c r="I1285">
        <v>723</v>
      </c>
      <c r="J1285">
        <v>723</v>
      </c>
      <c r="M1285" s="2" t="s">
        <v>1715</v>
      </c>
      <c r="N1285" s="2" t="s">
        <v>1701</v>
      </c>
      <c r="O1285" s="5">
        <v>45474.266379791668</v>
      </c>
      <c r="P1285" t="str">
        <f>IF($Q1285="DELETE",IF($S1285="CONFIRMED: NO MODS &gt; 1YR","CONFIRMED: NO MODS &gt; 1YR","DO NOT DELETE — not defensibly confirmed"),IF($Q1285="HOLD","DO NOT DELETE — HOLD (Charlie review)",IF($Q1285="KEEP","DO NOT DELETE — KEEP",IF(ISNUMBER(SEARCH("REVIEW",$Q1285)),"DO NOT DELETE — REVIEW pending",$S1285))))</f>
        <v>DO NOT DELETE — HOLD (Charlie review)</v>
      </c>
      <c r="Q1285" t="str" cm="1">
        <f t="array" ref="Q1285">_xlfn.IFS(AND($A1285="thg-beauty",ISNUMBER(SEARCH("liveramp",$C1285))),"DELETE",$A1285="agile-bonbon-662",_xlfn.IFS(LEFT($G1285,9)="Tranche 1","DELETE",$C1285="Sessions_Level_1_All_Sites","KEEP",ISNUMBER(--$C1285),"REVIEW — UA raw logs",$C1285="Emag_Reporting","KEEP",$C1285="Nutrition_Data_Archived_Tables","KEEP",$C1285="EU_Data","KEEP",TRUE,"REVIEW"),OR($A1285="thg-influencer",$A1285="thg-ingenuity",$A1285="thg-central-marketing",$A1285="thg-seoclarity"),"HOLD",TRUE,"")</f>
        <v>HOLD</v>
      </c>
      <c r="R1285" t="str" cm="1">
        <f t="array" ref="R1285">_xlfn.IFS(AND($A1285="thg-beauty",ISNUMBER(SEARCH("liveramp",$C1285))),"thg-beauty Liveramp dataset — confirmed safe to delete",$A1285="agile-bonbon-662",_xlfn.IFS(LEFT($G1285,9)="Tranche 1","Tranche 1: cleared",$C1285="Sessions_Level_1_All_Sites","Downstream aggregation of UA raw logs — keep if raw tables go",ISNUMBER(--$C1285),"UA raw site logs (account ID) — keep pending audit-retention check",$C1285="Emag_Reporting","Legacy but likely needed",$C1285="Nutrition_Data_Archived_Tables","Worth keeping",$C1285="EU_Data","Static lookup tables — scripts still reference (smoke-test risk)",TRUE,"Review"),OR($A1285="thg-influencer",$A1285="thg-ingenuity",$A1285="thg-central-marketing",$A1285="thg-seoclarity"),"HOLD — Charlie Stringer to review before deletion",TRUE,"")</f>
        <v>HOLD — Charlie Stringer to review before deletion</v>
      </c>
      <c r="S1285" t="s">
        <v>1624</v>
      </c>
    </row>
    <row r="1286" spans="1:19" hidden="1">
      <c r="A1286" t="s">
        <v>38</v>
      </c>
      <c r="B1286" t="s">
        <v>1619</v>
      </c>
      <c r="C1286" t="s">
        <v>3738</v>
      </c>
      <c r="D1286" s="2" t="s">
        <v>1621</v>
      </c>
      <c r="E1286">
        <v>0.74</v>
      </c>
      <c r="F1286">
        <v>0.01</v>
      </c>
      <c r="G1286" t="s">
        <v>3456</v>
      </c>
      <c r="H1286" t="s">
        <v>3457</v>
      </c>
      <c r="I1286">
        <v>723</v>
      </c>
      <c r="J1286">
        <v>723</v>
      </c>
      <c r="M1286" s="2" t="s">
        <v>1715</v>
      </c>
      <c r="N1286" s="2" t="s">
        <v>1701</v>
      </c>
      <c r="O1286" s="5">
        <v>45474.274981793977</v>
      </c>
      <c r="P1286" t="str">
        <f>IF($Q1286="DELETE",IF($S1286="CONFIRMED: NO MODS &gt; 1YR","CONFIRMED: NO MODS &gt; 1YR","DO NOT DELETE — not defensibly confirmed"),IF($Q1286="HOLD","DO NOT DELETE — HOLD (Charlie review)",IF($Q1286="KEEP","DO NOT DELETE — KEEP",IF(ISNUMBER(SEARCH("REVIEW",$Q1286)),"DO NOT DELETE — REVIEW pending",$S1286))))</f>
        <v>DO NOT DELETE — HOLD (Charlie review)</v>
      </c>
      <c r="Q1286" t="str" cm="1">
        <f t="array" ref="Q1286">_xlfn.IFS(AND($A1286="thg-beauty",ISNUMBER(SEARCH("liveramp",$C1286))),"DELETE",$A1286="agile-bonbon-662",_xlfn.IFS(LEFT($G1286,9)="Tranche 1","DELETE",$C1286="Sessions_Level_1_All_Sites","KEEP",ISNUMBER(--$C1286),"REVIEW — UA raw logs",$C1286="Emag_Reporting","KEEP",$C1286="Nutrition_Data_Archived_Tables","KEEP",$C1286="EU_Data","KEEP",TRUE,"REVIEW"),OR($A1286="thg-influencer",$A1286="thg-ingenuity",$A1286="thg-central-marketing",$A1286="thg-seoclarity"),"HOLD",TRUE,"")</f>
        <v>HOLD</v>
      </c>
      <c r="R1286" t="str" cm="1">
        <f t="array" ref="R1286">_xlfn.IFS(AND($A1286="thg-beauty",ISNUMBER(SEARCH("liveramp",$C1286))),"thg-beauty Liveramp dataset — confirmed safe to delete",$A1286="agile-bonbon-662",_xlfn.IFS(LEFT($G1286,9)="Tranche 1","Tranche 1: cleared",$C1286="Sessions_Level_1_All_Sites","Downstream aggregation of UA raw logs — keep if raw tables go",ISNUMBER(--$C1286),"UA raw site logs (account ID) — keep pending audit-retention check",$C1286="Emag_Reporting","Legacy but likely needed",$C1286="Nutrition_Data_Archived_Tables","Worth keeping",$C1286="EU_Data","Static lookup tables — scripts still reference (smoke-test risk)",TRUE,"Review"),OR($A1286="thg-influencer",$A1286="thg-ingenuity",$A1286="thg-central-marketing",$A1286="thg-seoclarity"),"HOLD — Charlie Stringer to review before deletion",TRUE,"")</f>
        <v>HOLD — Charlie Stringer to review before deletion</v>
      </c>
      <c r="S1286" t="s">
        <v>1624</v>
      </c>
    </row>
    <row r="1287" spans="1:19" hidden="1">
      <c r="A1287" t="s">
        <v>38</v>
      </c>
      <c r="B1287" t="s">
        <v>1619</v>
      </c>
      <c r="C1287" t="s">
        <v>3739</v>
      </c>
      <c r="D1287" s="2" t="s">
        <v>1621</v>
      </c>
      <c r="E1287">
        <v>0.72</v>
      </c>
      <c r="F1287">
        <v>0.01</v>
      </c>
      <c r="G1287" t="s">
        <v>3456</v>
      </c>
      <c r="H1287" t="s">
        <v>3457</v>
      </c>
      <c r="I1287">
        <v>723</v>
      </c>
      <c r="J1287">
        <v>723</v>
      </c>
      <c r="M1287" s="2" t="s">
        <v>1715</v>
      </c>
      <c r="N1287" s="2" t="s">
        <v>1701</v>
      </c>
      <c r="O1287" s="5">
        <v>45474.275329351847</v>
      </c>
      <c r="P1287" t="str">
        <f>IF($Q1287="DELETE",IF($S1287="CONFIRMED: NO MODS &gt; 1YR","CONFIRMED: NO MODS &gt; 1YR","DO NOT DELETE — not defensibly confirmed"),IF($Q1287="HOLD","DO NOT DELETE — HOLD (Charlie review)",IF($Q1287="KEEP","DO NOT DELETE — KEEP",IF(ISNUMBER(SEARCH("REVIEW",$Q1287)),"DO NOT DELETE — REVIEW pending",$S1287))))</f>
        <v>DO NOT DELETE — HOLD (Charlie review)</v>
      </c>
      <c r="Q1287" t="str" cm="1">
        <f t="array" ref="Q1287">_xlfn.IFS(AND($A1287="thg-beauty",ISNUMBER(SEARCH("liveramp",$C1287))),"DELETE",$A1287="agile-bonbon-662",_xlfn.IFS(LEFT($G1287,9)="Tranche 1","DELETE",$C1287="Sessions_Level_1_All_Sites","KEEP",ISNUMBER(--$C1287),"REVIEW — UA raw logs",$C1287="Emag_Reporting","KEEP",$C1287="Nutrition_Data_Archived_Tables","KEEP",$C1287="EU_Data","KEEP",TRUE,"REVIEW"),OR($A1287="thg-influencer",$A1287="thg-ingenuity",$A1287="thg-central-marketing",$A1287="thg-seoclarity"),"HOLD",TRUE,"")</f>
        <v>HOLD</v>
      </c>
      <c r="R1287" t="str" cm="1">
        <f t="array" ref="R1287">_xlfn.IFS(AND($A1287="thg-beauty",ISNUMBER(SEARCH("liveramp",$C1287))),"thg-beauty Liveramp dataset — confirmed safe to delete",$A1287="agile-bonbon-662",_xlfn.IFS(LEFT($G1287,9)="Tranche 1","Tranche 1: cleared",$C1287="Sessions_Level_1_All_Sites","Downstream aggregation of UA raw logs — keep if raw tables go",ISNUMBER(--$C1287),"UA raw site logs (account ID) — keep pending audit-retention check",$C1287="Emag_Reporting","Legacy but likely needed",$C1287="Nutrition_Data_Archived_Tables","Worth keeping",$C1287="EU_Data","Static lookup tables — scripts still reference (smoke-test risk)",TRUE,"Review"),OR($A1287="thg-influencer",$A1287="thg-ingenuity",$A1287="thg-central-marketing",$A1287="thg-seoclarity"),"HOLD — Charlie Stringer to review before deletion",TRUE,"")</f>
        <v>HOLD — Charlie Stringer to review before deletion</v>
      </c>
      <c r="S1287" t="s">
        <v>1624</v>
      </c>
    </row>
    <row r="1288" spans="1:19" hidden="1">
      <c r="A1288" t="s">
        <v>38</v>
      </c>
      <c r="B1288" t="s">
        <v>1619</v>
      </c>
      <c r="C1288" t="s">
        <v>3740</v>
      </c>
      <c r="D1288" s="2" t="s">
        <v>1621</v>
      </c>
      <c r="E1288">
        <v>0.67</v>
      </c>
      <c r="F1288">
        <v>0.01</v>
      </c>
      <c r="G1288" t="s">
        <v>3456</v>
      </c>
      <c r="H1288" t="s">
        <v>3457</v>
      </c>
      <c r="I1288">
        <v>723</v>
      </c>
      <c r="J1288">
        <v>723</v>
      </c>
      <c r="M1288" s="2" t="s">
        <v>1715</v>
      </c>
      <c r="N1288" s="2" t="s">
        <v>1701</v>
      </c>
      <c r="O1288" s="5">
        <v>45474.261870972223</v>
      </c>
      <c r="P1288" t="str">
        <f>IF($Q1288="DELETE",IF($S1288="CONFIRMED: NO MODS &gt; 1YR","CONFIRMED: NO MODS &gt; 1YR","DO NOT DELETE — not defensibly confirmed"),IF($Q1288="HOLD","DO NOT DELETE — HOLD (Charlie review)",IF($Q1288="KEEP","DO NOT DELETE — KEEP",IF(ISNUMBER(SEARCH("REVIEW",$Q1288)),"DO NOT DELETE — REVIEW pending",$S1288))))</f>
        <v>DO NOT DELETE — HOLD (Charlie review)</v>
      </c>
      <c r="Q1288" t="str" cm="1">
        <f t="array" ref="Q1288">_xlfn.IFS(AND($A1288="thg-beauty",ISNUMBER(SEARCH("liveramp",$C1288))),"DELETE",$A1288="agile-bonbon-662",_xlfn.IFS(LEFT($G1288,9)="Tranche 1","DELETE",$C1288="Sessions_Level_1_All_Sites","KEEP",ISNUMBER(--$C1288),"REVIEW — UA raw logs",$C1288="Emag_Reporting","KEEP",$C1288="Nutrition_Data_Archived_Tables","KEEP",$C1288="EU_Data","KEEP",TRUE,"REVIEW"),OR($A1288="thg-influencer",$A1288="thg-ingenuity",$A1288="thg-central-marketing",$A1288="thg-seoclarity"),"HOLD",TRUE,"")</f>
        <v>HOLD</v>
      </c>
      <c r="R1288" t="str" cm="1">
        <f t="array" ref="R1288">_xlfn.IFS(AND($A1288="thg-beauty",ISNUMBER(SEARCH("liveramp",$C1288))),"thg-beauty Liveramp dataset — confirmed safe to delete",$A1288="agile-bonbon-662",_xlfn.IFS(LEFT($G1288,9)="Tranche 1","Tranche 1: cleared",$C1288="Sessions_Level_1_All_Sites","Downstream aggregation of UA raw logs — keep if raw tables go",ISNUMBER(--$C1288),"UA raw site logs (account ID) — keep pending audit-retention check",$C1288="Emag_Reporting","Legacy but likely needed",$C1288="Nutrition_Data_Archived_Tables","Worth keeping",$C1288="EU_Data","Static lookup tables — scripts still reference (smoke-test risk)",TRUE,"Review"),OR($A1288="thg-influencer",$A1288="thg-ingenuity",$A1288="thg-central-marketing",$A1288="thg-seoclarity"),"HOLD — Charlie Stringer to review before deletion",TRUE,"")</f>
        <v>HOLD — Charlie Stringer to review before deletion</v>
      </c>
      <c r="S1288" t="s">
        <v>1624</v>
      </c>
    </row>
    <row r="1289" spans="1:19" hidden="1">
      <c r="A1289" t="s">
        <v>38</v>
      </c>
      <c r="B1289" t="s">
        <v>1619</v>
      </c>
      <c r="C1289" t="s">
        <v>3741</v>
      </c>
      <c r="D1289" s="2" t="s">
        <v>1621</v>
      </c>
      <c r="E1289">
        <v>0.64</v>
      </c>
      <c r="F1289">
        <v>0.01</v>
      </c>
      <c r="G1289" t="s">
        <v>3456</v>
      </c>
      <c r="H1289" t="s">
        <v>3457</v>
      </c>
      <c r="I1289">
        <v>723</v>
      </c>
      <c r="J1289">
        <v>723</v>
      </c>
      <c r="M1289" s="2" t="s">
        <v>1715</v>
      </c>
      <c r="N1289" s="2" t="s">
        <v>1701</v>
      </c>
      <c r="O1289" s="5">
        <v>45474.284348229157</v>
      </c>
      <c r="P1289" t="str">
        <f>IF($Q1289="DELETE",IF($S1289="CONFIRMED: NO MODS &gt; 1YR","CONFIRMED: NO MODS &gt; 1YR","DO NOT DELETE — not defensibly confirmed"),IF($Q1289="HOLD","DO NOT DELETE — HOLD (Charlie review)",IF($Q1289="KEEP","DO NOT DELETE — KEEP",IF(ISNUMBER(SEARCH("REVIEW",$Q1289)),"DO NOT DELETE — REVIEW pending",$S1289))))</f>
        <v>DO NOT DELETE — HOLD (Charlie review)</v>
      </c>
      <c r="Q1289" t="str" cm="1">
        <f t="array" ref="Q1289">_xlfn.IFS(AND($A1289="thg-beauty",ISNUMBER(SEARCH("liveramp",$C1289))),"DELETE",$A1289="agile-bonbon-662",_xlfn.IFS(LEFT($G1289,9)="Tranche 1","DELETE",$C1289="Sessions_Level_1_All_Sites","KEEP",ISNUMBER(--$C1289),"REVIEW — UA raw logs",$C1289="Emag_Reporting","KEEP",$C1289="Nutrition_Data_Archived_Tables","KEEP",$C1289="EU_Data","KEEP",TRUE,"REVIEW"),OR($A1289="thg-influencer",$A1289="thg-ingenuity",$A1289="thg-central-marketing",$A1289="thg-seoclarity"),"HOLD",TRUE,"")</f>
        <v>HOLD</v>
      </c>
      <c r="R1289" t="str" cm="1">
        <f t="array" ref="R1289">_xlfn.IFS(AND($A1289="thg-beauty",ISNUMBER(SEARCH("liveramp",$C1289))),"thg-beauty Liveramp dataset — confirmed safe to delete",$A1289="agile-bonbon-662",_xlfn.IFS(LEFT($G1289,9)="Tranche 1","Tranche 1: cleared",$C1289="Sessions_Level_1_All_Sites","Downstream aggregation of UA raw logs — keep if raw tables go",ISNUMBER(--$C1289),"UA raw site logs (account ID) — keep pending audit-retention check",$C1289="Emag_Reporting","Legacy but likely needed",$C1289="Nutrition_Data_Archived_Tables","Worth keeping",$C1289="EU_Data","Static lookup tables — scripts still reference (smoke-test risk)",TRUE,"Review"),OR($A1289="thg-influencer",$A1289="thg-ingenuity",$A1289="thg-central-marketing",$A1289="thg-seoclarity"),"HOLD — Charlie Stringer to review before deletion",TRUE,"")</f>
        <v>HOLD — Charlie Stringer to review before deletion</v>
      </c>
      <c r="S1289" t="s">
        <v>1624</v>
      </c>
    </row>
    <row r="1290" spans="1:19" hidden="1">
      <c r="A1290" t="s">
        <v>38</v>
      </c>
      <c r="B1290" t="s">
        <v>1619</v>
      </c>
      <c r="C1290" t="s">
        <v>3742</v>
      </c>
      <c r="D1290" s="2" t="s">
        <v>1621</v>
      </c>
      <c r="E1290">
        <v>0.6</v>
      </c>
      <c r="F1290">
        <v>0.01</v>
      </c>
      <c r="G1290" t="s">
        <v>3456</v>
      </c>
      <c r="H1290" t="s">
        <v>3457</v>
      </c>
      <c r="I1290">
        <v>723</v>
      </c>
      <c r="J1290">
        <v>723</v>
      </c>
      <c r="M1290" s="2" t="s">
        <v>1715</v>
      </c>
      <c r="N1290" s="2" t="s">
        <v>1701</v>
      </c>
      <c r="O1290" s="5">
        <v>45474.280747719909</v>
      </c>
      <c r="P1290" t="str">
        <f>IF($Q1290="DELETE",IF($S1290="CONFIRMED: NO MODS &gt; 1YR","CONFIRMED: NO MODS &gt; 1YR","DO NOT DELETE — not defensibly confirmed"),IF($Q1290="HOLD","DO NOT DELETE — HOLD (Charlie review)",IF($Q1290="KEEP","DO NOT DELETE — KEEP",IF(ISNUMBER(SEARCH("REVIEW",$Q1290)),"DO NOT DELETE — REVIEW pending",$S1290))))</f>
        <v>DO NOT DELETE — HOLD (Charlie review)</v>
      </c>
      <c r="Q1290" t="str" cm="1">
        <f t="array" ref="Q1290">_xlfn.IFS(AND($A1290="thg-beauty",ISNUMBER(SEARCH("liveramp",$C1290))),"DELETE",$A1290="agile-bonbon-662",_xlfn.IFS(LEFT($G1290,9)="Tranche 1","DELETE",$C1290="Sessions_Level_1_All_Sites","KEEP",ISNUMBER(--$C1290),"REVIEW — UA raw logs",$C1290="Emag_Reporting","KEEP",$C1290="Nutrition_Data_Archived_Tables","KEEP",$C1290="EU_Data","KEEP",TRUE,"REVIEW"),OR($A1290="thg-influencer",$A1290="thg-ingenuity",$A1290="thg-central-marketing",$A1290="thg-seoclarity"),"HOLD",TRUE,"")</f>
        <v>HOLD</v>
      </c>
      <c r="R1290" t="str" cm="1">
        <f t="array" ref="R1290">_xlfn.IFS(AND($A1290="thg-beauty",ISNUMBER(SEARCH("liveramp",$C1290))),"thg-beauty Liveramp dataset — confirmed safe to delete",$A1290="agile-bonbon-662",_xlfn.IFS(LEFT($G1290,9)="Tranche 1","Tranche 1: cleared",$C1290="Sessions_Level_1_All_Sites","Downstream aggregation of UA raw logs — keep if raw tables go",ISNUMBER(--$C1290),"UA raw site logs (account ID) — keep pending audit-retention check",$C1290="Emag_Reporting","Legacy but likely needed",$C1290="Nutrition_Data_Archived_Tables","Worth keeping",$C1290="EU_Data","Static lookup tables — scripts still reference (smoke-test risk)",TRUE,"Review"),OR($A1290="thg-influencer",$A1290="thg-ingenuity",$A1290="thg-central-marketing",$A1290="thg-seoclarity"),"HOLD — Charlie Stringer to review before deletion",TRUE,"")</f>
        <v>HOLD — Charlie Stringer to review before deletion</v>
      </c>
      <c r="S1290" t="s">
        <v>1624</v>
      </c>
    </row>
    <row r="1291" spans="1:19" hidden="1">
      <c r="A1291" t="s">
        <v>38</v>
      </c>
      <c r="B1291" t="s">
        <v>1619</v>
      </c>
      <c r="C1291" t="s">
        <v>3743</v>
      </c>
      <c r="D1291" s="2" t="s">
        <v>1621</v>
      </c>
      <c r="E1291">
        <v>0.51</v>
      </c>
      <c r="F1291">
        <v>0.01</v>
      </c>
      <c r="G1291" t="s">
        <v>3456</v>
      </c>
      <c r="H1291" t="s">
        <v>3457</v>
      </c>
      <c r="I1291">
        <v>723</v>
      </c>
      <c r="J1291">
        <v>723</v>
      </c>
      <c r="M1291" s="2" t="s">
        <v>1715</v>
      </c>
      <c r="N1291" s="2" t="s">
        <v>1701</v>
      </c>
      <c r="O1291" s="5">
        <v>45474.261885648149</v>
      </c>
      <c r="P1291" t="str">
        <f>IF($Q1291="DELETE",IF($S1291="CONFIRMED: NO MODS &gt; 1YR","CONFIRMED: NO MODS &gt; 1YR","DO NOT DELETE — not defensibly confirmed"),IF($Q1291="HOLD","DO NOT DELETE — HOLD (Charlie review)",IF($Q1291="KEEP","DO NOT DELETE — KEEP",IF(ISNUMBER(SEARCH("REVIEW",$Q1291)),"DO NOT DELETE — REVIEW pending",$S1291))))</f>
        <v>DO NOT DELETE — HOLD (Charlie review)</v>
      </c>
      <c r="Q1291" t="str" cm="1">
        <f t="array" ref="Q1291">_xlfn.IFS(AND($A1291="thg-beauty",ISNUMBER(SEARCH("liveramp",$C1291))),"DELETE",$A1291="agile-bonbon-662",_xlfn.IFS(LEFT($G1291,9)="Tranche 1","DELETE",$C1291="Sessions_Level_1_All_Sites","KEEP",ISNUMBER(--$C1291),"REVIEW — UA raw logs",$C1291="Emag_Reporting","KEEP",$C1291="Nutrition_Data_Archived_Tables","KEEP",$C1291="EU_Data","KEEP",TRUE,"REVIEW"),OR($A1291="thg-influencer",$A1291="thg-ingenuity",$A1291="thg-central-marketing",$A1291="thg-seoclarity"),"HOLD",TRUE,"")</f>
        <v>HOLD</v>
      </c>
      <c r="R1291" t="str" cm="1">
        <f t="array" ref="R1291">_xlfn.IFS(AND($A1291="thg-beauty",ISNUMBER(SEARCH("liveramp",$C1291))),"thg-beauty Liveramp dataset — confirmed safe to delete",$A1291="agile-bonbon-662",_xlfn.IFS(LEFT($G1291,9)="Tranche 1","Tranche 1: cleared",$C1291="Sessions_Level_1_All_Sites","Downstream aggregation of UA raw logs — keep if raw tables go",ISNUMBER(--$C1291),"UA raw site logs (account ID) — keep pending audit-retention check",$C1291="Emag_Reporting","Legacy but likely needed",$C1291="Nutrition_Data_Archived_Tables","Worth keeping",$C1291="EU_Data","Static lookup tables — scripts still reference (smoke-test risk)",TRUE,"Review"),OR($A1291="thg-influencer",$A1291="thg-ingenuity",$A1291="thg-central-marketing",$A1291="thg-seoclarity"),"HOLD — Charlie Stringer to review before deletion",TRUE,"")</f>
        <v>HOLD — Charlie Stringer to review before deletion</v>
      </c>
      <c r="S1291" t="s">
        <v>1624</v>
      </c>
    </row>
    <row r="1292" spans="1:19" hidden="1">
      <c r="A1292" t="s">
        <v>38</v>
      </c>
      <c r="B1292" t="s">
        <v>1619</v>
      </c>
      <c r="C1292" t="s">
        <v>3744</v>
      </c>
      <c r="D1292" s="2" t="s">
        <v>1621</v>
      </c>
      <c r="E1292">
        <v>0.49</v>
      </c>
      <c r="F1292">
        <v>0.01</v>
      </c>
      <c r="G1292" t="s">
        <v>3456</v>
      </c>
      <c r="H1292" t="s">
        <v>3457</v>
      </c>
      <c r="I1292">
        <v>723</v>
      </c>
      <c r="J1292">
        <v>723</v>
      </c>
      <c r="M1292" s="2" t="s">
        <v>1715</v>
      </c>
      <c r="N1292" s="2" t="s">
        <v>1701</v>
      </c>
      <c r="O1292" s="5">
        <v>45474.264492152783</v>
      </c>
      <c r="P1292" t="str">
        <f>IF($Q1292="DELETE",IF($S1292="CONFIRMED: NO MODS &gt; 1YR","CONFIRMED: NO MODS &gt; 1YR","DO NOT DELETE — not defensibly confirmed"),IF($Q1292="HOLD","DO NOT DELETE — HOLD (Charlie review)",IF($Q1292="KEEP","DO NOT DELETE — KEEP",IF(ISNUMBER(SEARCH("REVIEW",$Q1292)),"DO NOT DELETE — REVIEW pending",$S1292))))</f>
        <v>DO NOT DELETE — HOLD (Charlie review)</v>
      </c>
      <c r="Q1292" t="str" cm="1">
        <f t="array" ref="Q1292">_xlfn.IFS(AND($A1292="thg-beauty",ISNUMBER(SEARCH("liveramp",$C1292))),"DELETE",$A1292="agile-bonbon-662",_xlfn.IFS(LEFT($G1292,9)="Tranche 1","DELETE",$C1292="Sessions_Level_1_All_Sites","KEEP",ISNUMBER(--$C1292),"REVIEW — UA raw logs",$C1292="Emag_Reporting","KEEP",$C1292="Nutrition_Data_Archived_Tables","KEEP",$C1292="EU_Data","KEEP",TRUE,"REVIEW"),OR($A1292="thg-influencer",$A1292="thg-ingenuity",$A1292="thg-central-marketing",$A1292="thg-seoclarity"),"HOLD",TRUE,"")</f>
        <v>HOLD</v>
      </c>
      <c r="R1292" t="str" cm="1">
        <f t="array" ref="R1292">_xlfn.IFS(AND($A1292="thg-beauty",ISNUMBER(SEARCH("liveramp",$C1292))),"thg-beauty Liveramp dataset — confirmed safe to delete",$A1292="agile-bonbon-662",_xlfn.IFS(LEFT($G1292,9)="Tranche 1","Tranche 1: cleared",$C1292="Sessions_Level_1_All_Sites","Downstream aggregation of UA raw logs — keep if raw tables go",ISNUMBER(--$C1292),"UA raw site logs (account ID) — keep pending audit-retention check",$C1292="Emag_Reporting","Legacy but likely needed",$C1292="Nutrition_Data_Archived_Tables","Worth keeping",$C1292="EU_Data","Static lookup tables — scripts still reference (smoke-test risk)",TRUE,"Review"),OR($A1292="thg-influencer",$A1292="thg-ingenuity",$A1292="thg-central-marketing",$A1292="thg-seoclarity"),"HOLD — Charlie Stringer to review before deletion",TRUE,"")</f>
        <v>HOLD — Charlie Stringer to review before deletion</v>
      </c>
      <c r="S1292" t="s">
        <v>1624</v>
      </c>
    </row>
    <row r="1293" spans="1:19" hidden="1">
      <c r="A1293" t="s">
        <v>38</v>
      </c>
      <c r="B1293" t="s">
        <v>1619</v>
      </c>
      <c r="C1293" t="s">
        <v>3745</v>
      </c>
      <c r="D1293" s="2" t="s">
        <v>1621</v>
      </c>
      <c r="E1293">
        <v>0.42</v>
      </c>
      <c r="F1293">
        <v>0.01</v>
      </c>
      <c r="G1293" t="s">
        <v>3456</v>
      </c>
      <c r="H1293" t="s">
        <v>3457</v>
      </c>
      <c r="I1293">
        <v>723</v>
      </c>
      <c r="J1293">
        <v>723</v>
      </c>
      <c r="M1293" s="2" t="s">
        <v>1715</v>
      </c>
      <c r="N1293" s="2" t="s">
        <v>1701</v>
      </c>
      <c r="O1293" s="5">
        <v>45474.297463252318</v>
      </c>
      <c r="P1293" t="str">
        <f>IF($Q1293="DELETE",IF($S1293="CONFIRMED: NO MODS &gt; 1YR","CONFIRMED: NO MODS &gt; 1YR","DO NOT DELETE — not defensibly confirmed"),IF($Q1293="HOLD","DO NOT DELETE — HOLD (Charlie review)",IF($Q1293="KEEP","DO NOT DELETE — KEEP",IF(ISNUMBER(SEARCH("REVIEW",$Q1293)),"DO NOT DELETE — REVIEW pending",$S1293))))</f>
        <v>DO NOT DELETE — HOLD (Charlie review)</v>
      </c>
      <c r="Q1293" t="str" cm="1">
        <f t="array" ref="Q1293">_xlfn.IFS(AND($A1293="thg-beauty",ISNUMBER(SEARCH("liveramp",$C1293))),"DELETE",$A1293="agile-bonbon-662",_xlfn.IFS(LEFT($G1293,9)="Tranche 1","DELETE",$C1293="Sessions_Level_1_All_Sites","KEEP",ISNUMBER(--$C1293),"REVIEW — UA raw logs",$C1293="Emag_Reporting","KEEP",$C1293="Nutrition_Data_Archived_Tables","KEEP",$C1293="EU_Data","KEEP",TRUE,"REVIEW"),OR($A1293="thg-influencer",$A1293="thg-ingenuity",$A1293="thg-central-marketing",$A1293="thg-seoclarity"),"HOLD",TRUE,"")</f>
        <v>HOLD</v>
      </c>
      <c r="R1293" t="str" cm="1">
        <f t="array" ref="R1293">_xlfn.IFS(AND($A1293="thg-beauty",ISNUMBER(SEARCH("liveramp",$C1293))),"thg-beauty Liveramp dataset — confirmed safe to delete",$A1293="agile-bonbon-662",_xlfn.IFS(LEFT($G1293,9)="Tranche 1","Tranche 1: cleared",$C1293="Sessions_Level_1_All_Sites","Downstream aggregation of UA raw logs — keep if raw tables go",ISNUMBER(--$C1293),"UA raw site logs (account ID) — keep pending audit-retention check",$C1293="Emag_Reporting","Legacy but likely needed",$C1293="Nutrition_Data_Archived_Tables","Worth keeping",$C1293="EU_Data","Static lookup tables — scripts still reference (smoke-test risk)",TRUE,"Review"),OR($A1293="thg-influencer",$A1293="thg-ingenuity",$A1293="thg-central-marketing",$A1293="thg-seoclarity"),"HOLD — Charlie Stringer to review before deletion",TRUE,"")</f>
        <v>HOLD — Charlie Stringer to review before deletion</v>
      </c>
      <c r="S1293" t="s">
        <v>1624</v>
      </c>
    </row>
    <row r="1294" spans="1:19" hidden="1">
      <c r="A1294" t="s">
        <v>38</v>
      </c>
      <c r="B1294" t="s">
        <v>1619</v>
      </c>
      <c r="C1294" t="s">
        <v>3746</v>
      </c>
      <c r="D1294" s="2" t="s">
        <v>1621</v>
      </c>
      <c r="E1294">
        <v>0.4</v>
      </c>
      <c r="F1294">
        <v>0.01</v>
      </c>
      <c r="G1294" t="s">
        <v>3456</v>
      </c>
      <c r="H1294" t="s">
        <v>3457</v>
      </c>
      <c r="I1294">
        <v>723</v>
      </c>
      <c r="J1294">
        <v>723</v>
      </c>
      <c r="M1294" s="2" t="s">
        <v>1715</v>
      </c>
      <c r="N1294" s="2" t="s">
        <v>1701</v>
      </c>
      <c r="O1294" s="5">
        <v>45474.269630104172</v>
      </c>
      <c r="P1294" t="str">
        <f>IF($Q1294="DELETE",IF($S1294="CONFIRMED: NO MODS &gt; 1YR","CONFIRMED: NO MODS &gt; 1YR","DO NOT DELETE — not defensibly confirmed"),IF($Q1294="HOLD","DO NOT DELETE — HOLD (Charlie review)",IF($Q1294="KEEP","DO NOT DELETE — KEEP",IF(ISNUMBER(SEARCH("REVIEW",$Q1294)),"DO NOT DELETE — REVIEW pending",$S1294))))</f>
        <v>DO NOT DELETE — HOLD (Charlie review)</v>
      </c>
      <c r="Q1294" t="str" cm="1">
        <f t="array" ref="Q1294">_xlfn.IFS(AND($A1294="thg-beauty",ISNUMBER(SEARCH("liveramp",$C1294))),"DELETE",$A1294="agile-bonbon-662",_xlfn.IFS(LEFT($G1294,9)="Tranche 1","DELETE",$C1294="Sessions_Level_1_All_Sites","KEEP",ISNUMBER(--$C1294),"REVIEW — UA raw logs",$C1294="Emag_Reporting","KEEP",$C1294="Nutrition_Data_Archived_Tables","KEEP",$C1294="EU_Data","KEEP",TRUE,"REVIEW"),OR($A1294="thg-influencer",$A1294="thg-ingenuity",$A1294="thg-central-marketing",$A1294="thg-seoclarity"),"HOLD",TRUE,"")</f>
        <v>HOLD</v>
      </c>
      <c r="R1294" t="str" cm="1">
        <f t="array" ref="R1294">_xlfn.IFS(AND($A1294="thg-beauty",ISNUMBER(SEARCH("liveramp",$C1294))),"thg-beauty Liveramp dataset — confirmed safe to delete",$A1294="agile-bonbon-662",_xlfn.IFS(LEFT($G1294,9)="Tranche 1","Tranche 1: cleared",$C1294="Sessions_Level_1_All_Sites","Downstream aggregation of UA raw logs — keep if raw tables go",ISNUMBER(--$C1294),"UA raw site logs (account ID) — keep pending audit-retention check",$C1294="Emag_Reporting","Legacy but likely needed",$C1294="Nutrition_Data_Archived_Tables","Worth keeping",$C1294="EU_Data","Static lookup tables — scripts still reference (smoke-test risk)",TRUE,"Review"),OR($A1294="thg-influencer",$A1294="thg-ingenuity",$A1294="thg-central-marketing",$A1294="thg-seoclarity"),"HOLD — Charlie Stringer to review before deletion",TRUE,"")</f>
        <v>HOLD — Charlie Stringer to review before deletion</v>
      </c>
      <c r="S1294" t="s">
        <v>1624</v>
      </c>
    </row>
    <row r="1295" spans="1:19" hidden="1">
      <c r="A1295" t="s">
        <v>38</v>
      </c>
      <c r="B1295" t="s">
        <v>1619</v>
      </c>
      <c r="C1295" t="s">
        <v>3747</v>
      </c>
      <c r="D1295" s="2" t="s">
        <v>1621</v>
      </c>
      <c r="E1295">
        <v>0.36</v>
      </c>
      <c r="F1295">
        <v>0.01</v>
      </c>
      <c r="G1295" t="s">
        <v>3456</v>
      </c>
      <c r="H1295" t="s">
        <v>3457</v>
      </c>
      <c r="I1295">
        <v>723</v>
      </c>
      <c r="J1295">
        <v>723</v>
      </c>
      <c r="M1295" s="2" t="s">
        <v>1715</v>
      </c>
      <c r="N1295" s="2" t="s">
        <v>1701</v>
      </c>
      <c r="O1295" s="5">
        <v>45474.266234236107</v>
      </c>
      <c r="P1295" t="str">
        <f>IF($Q1295="DELETE",IF($S1295="CONFIRMED: NO MODS &gt; 1YR","CONFIRMED: NO MODS &gt; 1YR","DO NOT DELETE — not defensibly confirmed"),IF($Q1295="HOLD","DO NOT DELETE — HOLD (Charlie review)",IF($Q1295="KEEP","DO NOT DELETE — KEEP",IF(ISNUMBER(SEARCH("REVIEW",$Q1295)),"DO NOT DELETE — REVIEW pending",$S1295))))</f>
        <v>DO NOT DELETE — HOLD (Charlie review)</v>
      </c>
      <c r="Q1295" t="str" cm="1">
        <f t="array" ref="Q1295">_xlfn.IFS(AND($A1295="thg-beauty",ISNUMBER(SEARCH("liveramp",$C1295))),"DELETE",$A1295="agile-bonbon-662",_xlfn.IFS(LEFT($G1295,9)="Tranche 1","DELETE",$C1295="Sessions_Level_1_All_Sites","KEEP",ISNUMBER(--$C1295),"REVIEW — UA raw logs",$C1295="Emag_Reporting","KEEP",$C1295="Nutrition_Data_Archived_Tables","KEEP",$C1295="EU_Data","KEEP",TRUE,"REVIEW"),OR($A1295="thg-influencer",$A1295="thg-ingenuity",$A1295="thg-central-marketing",$A1295="thg-seoclarity"),"HOLD",TRUE,"")</f>
        <v>HOLD</v>
      </c>
      <c r="R1295" t="str" cm="1">
        <f t="array" ref="R1295">_xlfn.IFS(AND($A1295="thg-beauty",ISNUMBER(SEARCH("liveramp",$C1295))),"thg-beauty Liveramp dataset — confirmed safe to delete",$A1295="agile-bonbon-662",_xlfn.IFS(LEFT($G1295,9)="Tranche 1","Tranche 1: cleared",$C1295="Sessions_Level_1_All_Sites","Downstream aggregation of UA raw logs — keep if raw tables go",ISNUMBER(--$C1295),"UA raw site logs (account ID) — keep pending audit-retention check",$C1295="Emag_Reporting","Legacy but likely needed",$C1295="Nutrition_Data_Archived_Tables","Worth keeping",$C1295="EU_Data","Static lookup tables — scripts still reference (smoke-test risk)",TRUE,"Review"),OR($A1295="thg-influencer",$A1295="thg-ingenuity",$A1295="thg-central-marketing",$A1295="thg-seoclarity"),"HOLD — Charlie Stringer to review before deletion",TRUE,"")</f>
        <v>HOLD — Charlie Stringer to review before deletion</v>
      </c>
      <c r="S1295" t="s">
        <v>1624</v>
      </c>
    </row>
    <row r="1296" spans="1:19" hidden="1">
      <c r="A1296" t="s">
        <v>38</v>
      </c>
      <c r="B1296" t="s">
        <v>1619</v>
      </c>
      <c r="C1296" t="s">
        <v>3748</v>
      </c>
      <c r="D1296" s="2" t="s">
        <v>1621</v>
      </c>
      <c r="E1296">
        <v>0.31</v>
      </c>
      <c r="F1296">
        <v>0.01</v>
      </c>
      <c r="G1296" t="s">
        <v>3456</v>
      </c>
      <c r="H1296" t="s">
        <v>3457</v>
      </c>
      <c r="I1296">
        <v>723</v>
      </c>
      <c r="J1296">
        <v>723</v>
      </c>
      <c r="M1296" s="2" t="s">
        <v>1715</v>
      </c>
      <c r="N1296" s="2" t="s">
        <v>1701</v>
      </c>
      <c r="O1296" s="5">
        <v>45474.297600300917</v>
      </c>
      <c r="P1296" t="str">
        <f>IF($Q1296="DELETE",IF($S1296="CONFIRMED: NO MODS &gt; 1YR","CONFIRMED: NO MODS &gt; 1YR","DO NOT DELETE — not defensibly confirmed"),IF($Q1296="HOLD","DO NOT DELETE — HOLD (Charlie review)",IF($Q1296="KEEP","DO NOT DELETE — KEEP",IF(ISNUMBER(SEARCH("REVIEW",$Q1296)),"DO NOT DELETE — REVIEW pending",$S1296))))</f>
        <v>DO NOT DELETE — HOLD (Charlie review)</v>
      </c>
      <c r="Q1296" t="str" cm="1">
        <f t="array" ref="Q1296">_xlfn.IFS(AND($A1296="thg-beauty",ISNUMBER(SEARCH("liveramp",$C1296))),"DELETE",$A1296="agile-bonbon-662",_xlfn.IFS(LEFT($G1296,9)="Tranche 1","DELETE",$C1296="Sessions_Level_1_All_Sites","KEEP",ISNUMBER(--$C1296),"REVIEW — UA raw logs",$C1296="Emag_Reporting","KEEP",$C1296="Nutrition_Data_Archived_Tables","KEEP",$C1296="EU_Data","KEEP",TRUE,"REVIEW"),OR($A1296="thg-influencer",$A1296="thg-ingenuity",$A1296="thg-central-marketing",$A1296="thg-seoclarity"),"HOLD",TRUE,"")</f>
        <v>HOLD</v>
      </c>
      <c r="R1296" t="str" cm="1">
        <f t="array" ref="R1296">_xlfn.IFS(AND($A1296="thg-beauty",ISNUMBER(SEARCH("liveramp",$C1296))),"thg-beauty Liveramp dataset — confirmed safe to delete",$A1296="agile-bonbon-662",_xlfn.IFS(LEFT($G1296,9)="Tranche 1","Tranche 1: cleared",$C1296="Sessions_Level_1_All_Sites","Downstream aggregation of UA raw logs — keep if raw tables go",ISNUMBER(--$C1296),"UA raw site logs (account ID) — keep pending audit-retention check",$C1296="Emag_Reporting","Legacy but likely needed",$C1296="Nutrition_Data_Archived_Tables","Worth keeping",$C1296="EU_Data","Static lookup tables — scripts still reference (smoke-test risk)",TRUE,"Review"),OR($A1296="thg-influencer",$A1296="thg-ingenuity",$A1296="thg-central-marketing",$A1296="thg-seoclarity"),"HOLD — Charlie Stringer to review before deletion",TRUE,"")</f>
        <v>HOLD — Charlie Stringer to review before deletion</v>
      </c>
      <c r="S1296" t="s">
        <v>1624</v>
      </c>
    </row>
    <row r="1297" spans="1:19" hidden="1">
      <c r="A1297" t="s">
        <v>38</v>
      </c>
      <c r="B1297" t="s">
        <v>1619</v>
      </c>
      <c r="C1297" t="s">
        <v>3749</v>
      </c>
      <c r="D1297" s="2" t="s">
        <v>1621</v>
      </c>
      <c r="E1297">
        <v>0.28000000000000003</v>
      </c>
      <c r="F1297">
        <v>0.01</v>
      </c>
      <c r="G1297" t="s">
        <v>3456</v>
      </c>
      <c r="H1297" t="s">
        <v>3457</v>
      </c>
      <c r="I1297">
        <v>723</v>
      </c>
      <c r="J1297">
        <v>723</v>
      </c>
      <c r="M1297" s="2" t="s">
        <v>1715</v>
      </c>
      <c r="N1297" s="2" t="s">
        <v>1701</v>
      </c>
      <c r="O1297" s="5">
        <v>45474.296787812498</v>
      </c>
      <c r="P1297" t="str">
        <f>IF($Q1297="DELETE",IF($S1297="CONFIRMED: NO MODS &gt; 1YR","CONFIRMED: NO MODS &gt; 1YR","DO NOT DELETE — not defensibly confirmed"),IF($Q1297="HOLD","DO NOT DELETE — HOLD (Charlie review)",IF($Q1297="KEEP","DO NOT DELETE — KEEP",IF(ISNUMBER(SEARCH("REVIEW",$Q1297)),"DO NOT DELETE — REVIEW pending",$S1297))))</f>
        <v>DO NOT DELETE — HOLD (Charlie review)</v>
      </c>
      <c r="Q1297" t="str" cm="1">
        <f t="array" ref="Q1297">_xlfn.IFS(AND($A1297="thg-beauty",ISNUMBER(SEARCH("liveramp",$C1297))),"DELETE",$A1297="agile-bonbon-662",_xlfn.IFS(LEFT($G1297,9)="Tranche 1","DELETE",$C1297="Sessions_Level_1_All_Sites","KEEP",ISNUMBER(--$C1297),"REVIEW — UA raw logs",$C1297="Emag_Reporting","KEEP",$C1297="Nutrition_Data_Archived_Tables","KEEP",$C1297="EU_Data","KEEP",TRUE,"REVIEW"),OR($A1297="thg-influencer",$A1297="thg-ingenuity",$A1297="thg-central-marketing",$A1297="thg-seoclarity"),"HOLD",TRUE,"")</f>
        <v>HOLD</v>
      </c>
      <c r="R1297" t="str" cm="1">
        <f t="array" ref="R1297">_xlfn.IFS(AND($A1297="thg-beauty",ISNUMBER(SEARCH("liveramp",$C1297))),"thg-beauty Liveramp dataset — confirmed safe to delete",$A1297="agile-bonbon-662",_xlfn.IFS(LEFT($G1297,9)="Tranche 1","Tranche 1: cleared",$C1297="Sessions_Level_1_All_Sites","Downstream aggregation of UA raw logs — keep if raw tables go",ISNUMBER(--$C1297),"UA raw site logs (account ID) — keep pending audit-retention check",$C1297="Emag_Reporting","Legacy but likely needed",$C1297="Nutrition_Data_Archived_Tables","Worth keeping",$C1297="EU_Data","Static lookup tables — scripts still reference (smoke-test risk)",TRUE,"Review"),OR($A1297="thg-influencer",$A1297="thg-ingenuity",$A1297="thg-central-marketing",$A1297="thg-seoclarity"),"HOLD — Charlie Stringer to review before deletion",TRUE,"")</f>
        <v>HOLD — Charlie Stringer to review before deletion</v>
      </c>
      <c r="S1297" t="s">
        <v>1624</v>
      </c>
    </row>
    <row r="1298" spans="1:19" hidden="1">
      <c r="A1298" t="s">
        <v>38</v>
      </c>
      <c r="B1298" t="s">
        <v>1619</v>
      </c>
      <c r="C1298" t="s">
        <v>3750</v>
      </c>
      <c r="D1298" s="2" t="s">
        <v>1621</v>
      </c>
      <c r="E1298">
        <v>0.21</v>
      </c>
      <c r="F1298">
        <v>0</v>
      </c>
      <c r="G1298" t="s">
        <v>3456</v>
      </c>
      <c r="H1298" t="s">
        <v>3457</v>
      </c>
      <c r="I1298">
        <v>723</v>
      </c>
      <c r="J1298">
        <v>723</v>
      </c>
      <c r="M1298" s="2" t="s">
        <v>1715</v>
      </c>
      <c r="N1298" s="2" t="s">
        <v>1701</v>
      </c>
      <c r="O1298" s="5">
        <v>45474.271533449071</v>
      </c>
      <c r="P1298" t="str">
        <f>IF($Q1298="DELETE",IF($S1298="CONFIRMED: NO MODS &gt; 1YR","CONFIRMED: NO MODS &gt; 1YR","DO NOT DELETE — not defensibly confirmed"),IF($Q1298="HOLD","DO NOT DELETE — HOLD (Charlie review)",IF($Q1298="KEEP","DO NOT DELETE — KEEP",IF(ISNUMBER(SEARCH("REVIEW",$Q1298)),"DO NOT DELETE — REVIEW pending",$S1298))))</f>
        <v>DO NOT DELETE — HOLD (Charlie review)</v>
      </c>
      <c r="Q1298" t="str" cm="1">
        <f t="array" ref="Q1298">_xlfn.IFS(AND($A1298="thg-beauty",ISNUMBER(SEARCH("liveramp",$C1298))),"DELETE",$A1298="agile-bonbon-662",_xlfn.IFS(LEFT($G1298,9)="Tranche 1","DELETE",$C1298="Sessions_Level_1_All_Sites","KEEP",ISNUMBER(--$C1298),"REVIEW — UA raw logs",$C1298="Emag_Reporting","KEEP",$C1298="Nutrition_Data_Archived_Tables","KEEP",$C1298="EU_Data","KEEP",TRUE,"REVIEW"),OR($A1298="thg-influencer",$A1298="thg-ingenuity",$A1298="thg-central-marketing",$A1298="thg-seoclarity"),"HOLD",TRUE,"")</f>
        <v>HOLD</v>
      </c>
      <c r="R1298" t="str" cm="1">
        <f t="array" ref="R1298">_xlfn.IFS(AND($A1298="thg-beauty",ISNUMBER(SEARCH("liveramp",$C1298))),"thg-beauty Liveramp dataset — confirmed safe to delete",$A1298="agile-bonbon-662",_xlfn.IFS(LEFT($G1298,9)="Tranche 1","Tranche 1: cleared",$C1298="Sessions_Level_1_All_Sites","Downstream aggregation of UA raw logs — keep if raw tables go",ISNUMBER(--$C1298),"UA raw site logs (account ID) — keep pending audit-retention check",$C1298="Emag_Reporting","Legacy but likely needed",$C1298="Nutrition_Data_Archived_Tables","Worth keeping",$C1298="EU_Data","Static lookup tables — scripts still reference (smoke-test risk)",TRUE,"Review"),OR($A1298="thg-influencer",$A1298="thg-ingenuity",$A1298="thg-central-marketing",$A1298="thg-seoclarity"),"HOLD — Charlie Stringer to review before deletion",TRUE,"")</f>
        <v>HOLD — Charlie Stringer to review before deletion</v>
      </c>
      <c r="S1298" t="s">
        <v>1624</v>
      </c>
    </row>
    <row r="1299" spans="1:19" hidden="1">
      <c r="A1299" t="s">
        <v>38</v>
      </c>
      <c r="B1299" t="s">
        <v>1619</v>
      </c>
      <c r="C1299" t="s">
        <v>3751</v>
      </c>
      <c r="D1299" s="2" t="s">
        <v>1621</v>
      </c>
      <c r="E1299">
        <v>0.16</v>
      </c>
      <c r="F1299">
        <v>0</v>
      </c>
      <c r="G1299" t="s">
        <v>3456</v>
      </c>
      <c r="H1299" t="s">
        <v>3457</v>
      </c>
      <c r="I1299">
        <v>723</v>
      </c>
      <c r="J1299">
        <v>723</v>
      </c>
      <c r="M1299" s="2" t="s">
        <v>1715</v>
      </c>
      <c r="N1299" s="2" t="s">
        <v>1701</v>
      </c>
      <c r="O1299" s="5">
        <v>45474.279864953707</v>
      </c>
      <c r="P1299" t="str">
        <f>IF($Q1299="DELETE",IF($S1299="CONFIRMED: NO MODS &gt; 1YR","CONFIRMED: NO MODS &gt; 1YR","DO NOT DELETE — not defensibly confirmed"),IF($Q1299="HOLD","DO NOT DELETE — HOLD (Charlie review)",IF($Q1299="KEEP","DO NOT DELETE — KEEP",IF(ISNUMBER(SEARCH("REVIEW",$Q1299)),"DO NOT DELETE — REVIEW pending",$S1299))))</f>
        <v>DO NOT DELETE — HOLD (Charlie review)</v>
      </c>
      <c r="Q1299" t="str" cm="1">
        <f t="array" ref="Q1299">_xlfn.IFS(AND($A1299="thg-beauty",ISNUMBER(SEARCH("liveramp",$C1299))),"DELETE",$A1299="agile-bonbon-662",_xlfn.IFS(LEFT($G1299,9)="Tranche 1","DELETE",$C1299="Sessions_Level_1_All_Sites","KEEP",ISNUMBER(--$C1299),"REVIEW — UA raw logs",$C1299="Emag_Reporting","KEEP",$C1299="Nutrition_Data_Archived_Tables","KEEP",$C1299="EU_Data","KEEP",TRUE,"REVIEW"),OR($A1299="thg-influencer",$A1299="thg-ingenuity",$A1299="thg-central-marketing",$A1299="thg-seoclarity"),"HOLD",TRUE,"")</f>
        <v>HOLD</v>
      </c>
      <c r="R1299" t="str" cm="1">
        <f t="array" ref="R1299">_xlfn.IFS(AND($A1299="thg-beauty",ISNUMBER(SEARCH("liveramp",$C1299))),"thg-beauty Liveramp dataset — confirmed safe to delete",$A1299="agile-bonbon-662",_xlfn.IFS(LEFT($G1299,9)="Tranche 1","Tranche 1: cleared",$C1299="Sessions_Level_1_All_Sites","Downstream aggregation of UA raw logs — keep if raw tables go",ISNUMBER(--$C1299),"UA raw site logs (account ID) — keep pending audit-retention check",$C1299="Emag_Reporting","Legacy but likely needed",$C1299="Nutrition_Data_Archived_Tables","Worth keeping",$C1299="EU_Data","Static lookup tables — scripts still reference (smoke-test risk)",TRUE,"Review"),OR($A1299="thg-influencer",$A1299="thg-ingenuity",$A1299="thg-central-marketing",$A1299="thg-seoclarity"),"HOLD — Charlie Stringer to review before deletion",TRUE,"")</f>
        <v>HOLD — Charlie Stringer to review before deletion</v>
      </c>
      <c r="S1299" t="s">
        <v>1624</v>
      </c>
    </row>
    <row r="1300" spans="1:19" hidden="1">
      <c r="A1300" t="s">
        <v>38</v>
      </c>
      <c r="B1300" t="s">
        <v>1619</v>
      </c>
      <c r="C1300" t="s">
        <v>3752</v>
      </c>
      <c r="D1300" s="2" t="s">
        <v>1621</v>
      </c>
      <c r="E1300">
        <v>0.14000000000000001</v>
      </c>
      <c r="F1300">
        <v>0</v>
      </c>
      <c r="G1300" t="s">
        <v>3456</v>
      </c>
      <c r="H1300" t="s">
        <v>3457</v>
      </c>
      <c r="I1300">
        <v>723</v>
      </c>
      <c r="J1300">
        <v>723</v>
      </c>
      <c r="M1300" s="2" t="s">
        <v>1715</v>
      </c>
      <c r="N1300" s="2" t="s">
        <v>1701</v>
      </c>
      <c r="O1300" s="5">
        <v>45474.297576354169</v>
      </c>
      <c r="P1300" t="str">
        <f>IF($Q1300="DELETE",IF($S1300="CONFIRMED: NO MODS &gt; 1YR","CONFIRMED: NO MODS &gt; 1YR","DO NOT DELETE — not defensibly confirmed"),IF($Q1300="HOLD","DO NOT DELETE — HOLD (Charlie review)",IF($Q1300="KEEP","DO NOT DELETE — KEEP",IF(ISNUMBER(SEARCH("REVIEW",$Q1300)),"DO NOT DELETE — REVIEW pending",$S1300))))</f>
        <v>DO NOT DELETE — HOLD (Charlie review)</v>
      </c>
      <c r="Q1300" t="str" cm="1">
        <f t="array" ref="Q1300">_xlfn.IFS(AND($A1300="thg-beauty",ISNUMBER(SEARCH("liveramp",$C1300))),"DELETE",$A1300="agile-bonbon-662",_xlfn.IFS(LEFT($G1300,9)="Tranche 1","DELETE",$C1300="Sessions_Level_1_All_Sites","KEEP",ISNUMBER(--$C1300),"REVIEW — UA raw logs",$C1300="Emag_Reporting","KEEP",$C1300="Nutrition_Data_Archived_Tables","KEEP",$C1300="EU_Data","KEEP",TRUE,"REVIEW"),OR($A1300="thg-influencer",$A1300="thg-ingenuity",$A1300="thg-central-marketing",$A1300="thg-seoclarity"),"HOLD",TRUE,"")</f>
        <v>HOLD</v>
      </c>
      <c r="R1300" t="str" cm="1">
        <f t="array" ref="R1300">_xlfn.IFS(AND($A1300="thg-beauty",ISNUMBER(SEARCH("liveramp",$C1300))),"thg-beauty Liveramp dataset — confirmed safe to delete",$A1300="agile-bonbon-662",_xlfn.IFS(LEFT($G1300,9)="Tranche 1","Tranche 1: cleared",$C1300="Sessions_Level_1_All_Sites","Downstream aggregation of UA raw logs — keep if raw tables go",ISNUMBER(--$C1300),"UA raw site logs (account ID) — keep pending audit-retention check",$C1300="Emag_Reporting","Legacy but likely needed",$C1300="Nutrition_Data_Archived_Tables","Worth keeping",$C1300="EU_Data","Static lookup tables — scripts still reference (smoke-test risk)",TRUE,"Review"),OR($A1300="thg-influencer",$A1300="thg-ingenuity",$A1300="thg-central-marketing",$A1300="thg-seoclarity"),"HOLD — Charlie Stringer to review before deletion",TRUE,"")</f>
        <v>HOLD — Charlie Stringer to review before deletion</v>
      </c>
      <c r="S1300" t="s">
        <v>1624</v>
      </c>
    </row>
    <row r="1301" spans="1:19" hidden="1">
      <c r="A1301" t="s">
        <v>38</v>
      </c>
      <c r="B1301" t="s">
        <v>1619</v>
      </c>
      <c r="C1301" t="s">
        <v>3753</v>
      </c>
      <c r="D1301" s="2" t="s">
        <v>1621</v>
      </c>
      <c r="E1301">
        <v>0.02</v>
      </c>
      <c r="F1301">
        <v>0</v>
      </c>
      <c r="G1301" t="s">
        <v>3456</v>
      </c>
      <c r="H1301" t="s">
        <v>3457</v>
      </c>
      <c r="I1301">
        <v>723</v>
      </c>
      <c r="J1301">
        <v>723</v>
      </c>
      <c r="M1301" s="2" t="s">
        <v>1715</v>
      </c>
      <c r="N1301" s="2" t="s">
        <v>1701</v>
      </c>
      <c r="O1301" s="5">
        <v>45474.284137129631</v>
      </c>
      <c r="P1301" t="str">
        <f>IF($Q1301="DELETE",IF($S1301="CONFIRMED: NO MODS &gt; 1YR","CONFIRMED: NO MODS &gt; 1YR","DO NOT DELETE — not defensibly confirmed"),IF($Q1301="HOLD","DO NOT DELETE — HOLD (Charlie review)",IF($Q1301="KEEP","DO NOT DELETE — KEEP",IF(ISNUMBER(SEARCH("REVIEW",$Q1301)),"DO NOT DELETE — REVIEW pending",$S1301))))</f>
        <v>DO NOT DELETE — HOLD (Charlie review)</v>
      </c>
      <c r="Q1301" t="str" cm="1">
        <f t="array" ref="Q1301">_xlfn.IFS(AND($A1301="thg-beauty",ISNUMBER(SEARCH("liveramp",$C1301))),"DELETE",$A1301="agile-bonbon-662",_xlfn.IFS(LEFT($G1301,9)="Tranche 1","DELETE",$C1301="Sessions_Level_1_All_Sites","KEEP",ISNUMBER(--$C1301),"REVIEW — UA raw logs",$C1301="Emag_Reporting","KEEP",$C1301="Nutrition_Data_Archived_Tables","KEEP",$C1301="EU_Data","KEEP",TRUE,"REVIEW"),OR($A1301="thg-influencer",$A1301="thg-ingenuity",$A1301="thg-central-marketing",$A1301="thg-seoclarity"),"HOLD",TRUE,"")</f>
        <v>HOLD</v>
      </c>
      <c r="R1301" t="str" cm="1">
        <f t="array" ref="R1301">_xlfn.IFS(AND($A1301="thg-beauty",ISNUMBER(SEARCH("liveramp",$C1301))),"thg-beauty Liveramp dataset — confirmed safe to delete",$A1301="agile-bonbon-662",_xlfn.IFS(LEFT($G1301,9)="Tranche 1","Tranche 1: cleared",$C1301="Sessions_Level_1_All_Sites","Downstream aggregation of UA raw logs — keep if raw tables go",ISNUMBER(--$C1301),"UA raw site logs (account ID) — keep pending audit-retention check",$C1301="Emag_Reporting","Legacy but likely needed",$C1301="Nutrition_Data_Archived_Tables","Worth keeping",$C1301="EU_Data","Static lookup tables — scripts still reference (smoke-test risk)",TRUE,"Review"),OR($A1301="thg-influencer",$A1301="thg-ingenuity",$A1301="thg-central-marketing",$A1301="thg-seoclarity"),"HOLD — Charlie Stringer to review before deletion",TRUE,"")</f>
        <v>HOLD — Charlie Stringer to review before deletion</v>
      </c>
      <c r="S1301" t="s">
        <v>1624</v>
      </c>
    </row>
    <row r="1302" spans="1:19" hidden="1">
      <c r="A1302" t="s">
        <v>38</v>
      </c>
      <c r="B1302" t="s">
        <v>1619</v>
      </c>
      <c r="C1302" t="s">
        <v>3754</v>
      </c>
      <c r="D1302" s="2" t="s">
        <v>1621</v>
      </c>
      <c r="E1302">
        <v>0.02</v>
      </c>
      <c r="F1302">
        <v>0</v>
      </c>
      <c r="G1302" t="s">
        <v>3456</v>
      </c>
      <c r="H1302" t="s">
        <v>3457</v>
      </c>
      <c r="I1302">
        <v>723</v>
      </c>
      <c r="J1302">
        <v>723</v>
      </c>
      <c r="M1302" s="2" t="s">
        <v>1715</v>
      </c>
      <c r="N1302" s="2" t="s">
        <v>1701</v>
      </c>
      <c r="O1302" s="5">
        <v>45474.297413692133</v>
      </c>
      <c r="P1302" t="str">
        <f>IF($Q1302="DELETE",IF($S1302="CONFIRMED: NO MODS &gt; 1YR","CONFIRMED: NO MODS &gt; 1YR","DO NOT DELETE — not defensibly confirmed"),IF($Q1302="HOLD","DO NOT DELETE — HOLD (Charlie review)",IF($Q1302="KEEP","DO NOT DELETE — KEEP",IF(ISNUMBER(SEARCH("REVIEW",$Q1302)),"DO NOT DELETE — REVIEW pending",$S1302))))</f>
        <v>DO NOT DELETE — HOLD (Charlie review)</v>
      </c>
      <c r="Q1302" t="str" cm="1">
        <f t="array" ref="Q1302">_xlfn.IFS(AND($A1302="thg-beauty",ISNUMBER(SEARCH("liveramp",$C1302))),"DELETE",$A1302="agile-bonbon-662",_xlfn.IFS(LEFT($G1302,9)="Tranche 1","DELETE",$C1302="Sessions_Level_1_All_Sites","KEEP",ISNUMBER(--$C1302),"REVIEW — UA raw logs",$C1302="Emag_Reporting","KEEP",$C1302="Nutrition_Data_Archived_Tables","KEEP",$C1302="EU_Data","KEEP",TRUE,"REVIEW"),OR($A1302="thg-influencer",$A1302="thg-ingenuity",$A1302="thg-central-marketing",$A1302="thg-seoclarity"),"HOLD",TRUE,"")</f>
        <v>HOLD</v>
      </c>
      <c r="R1302" t="str" cm="1">
        <f t="array" ref="R1302">_xlfn.IFS(AND($A1302="thg-beauty",ISNUMBER(SEARCH("liveramp",$C1302))),"thg-beauty Liveramp dataset — confirmed safe to delete",$A1302="agile-bonbon-662",_xlfn.IFS(LEFT($G1302,9)="Tranche 1","Tranche 1: cleared",$C1302="Sessions_Level_1_All_Sites","Downstream aggregation of UA raw logs — keep if raw tables go",ISNUMBER(--$C1302),"UA raw site logs (account ID) — keep pending audit-retention check",$C1302="Emag_Reporting","Legacy but likely needed",$C1302="Nutrition_Data_Archived_Tables","Worth keeping",$C1302="EU_Data","Static lookup tables — scripts still reference (smoke-test risk)",TRUE,"Review"),OR($A1302="thg-influencer",$A1302="thg-ingenuity",$A1302="thg-central-marketing",$A1302="thg-seoclarity"),"HOLD — Charlie Stringer to review before deletion",TRUE,"")</f>
        <v>HOLD — Charlie Stringer to review before deletion</v>
      </c>
      <c r="S1302" t="s">
        <v>1624</v>
      </c>
    </row>
    <row r="1303" spans="1:19" hidden="1">
      <c r="A1303" t="s">
        <v>38</v>
      </c>
      <c r="B1303" t="s">
        <v>1619</v>
      </c>
      <c r="C1303" t="s">
        <v>3755</v>
      </c>
      <c r="D1303" s="2" t="s">
        <v>1621</v>
      </c>
      <c r="E1303">
        <v>0.01</v>
      </c>
      <c r="F1303">
        <v>0</v>
      </c>
      <c r="G1303" t="s">
        <v>3456</v>
      </c>
      <c r="H1303" t="s">
        <v>3457</v>
      </c>
      <c r="I1303">
        <v>723</v>
      </c>
      <c r="J1303">
        <v>723</v>
      </c>
      <c r="M1303" s="2" t="s">
        <v>1715</v>
      </c>
      <c r="N1303" s="2" t="s">
        <v>1701</v>
      </c>
      <c r="O1303" s="5">
        <v>45474.297594479169</v>
      </c>
      <c r="P1303" t="str">
        <f>IF($Q1303="DELETE",IF($S1303="CONFIRMED: NO MODS &gt; 1YR","CONFIRMED: NO MODS &gt; 1YR","DO NOT DELETE — not defensibly confirmed"),IF($Q1303="HOLD","DO NOT DELETE — HOLD (Charlie review)",IF($Q1303="KEEP","DO NOT DELETE — KEEP",IF(ISNUMBER(SEARCH("REVIEW",$Q1303)),"DO NOT DELETE — REVIEW pending",$S1303))))</f>
        <v>DO NOT DELETE — HOLD (Charlie review)</v>
      </c>
      <c r="Q1303" t="str" cm="1">
        <f t="array" ref="Q1303">_xlfn.IFS(AND($A1303="thg-beauty",ISNUMBER(SEARCH("liveramp",$C1303))),"DELETE",$A1303="agile-bonbon-662",_xlfn.IFS(LEFT($G1303,9)="Tranche 1","DELETE",$C1303="Sessions_Level_1_All_Sites","KEEP",ISNUMBER(--$C1303),"REVIEW — UA raw logs",$C1303="Emag_Reporting","KEEP",$C1303="Nutrition_Data_Archived_Tables","KEEP",$C1303="EU_Data","KEEP",TRUE,"REVIEW"),OR($A1303="thg-influencer",$A1303="thg-ingenuity",$A1303="thg-central-marketing",$A1303="thg-seoclarity"),"HOLD",TRUE,"")</f>
        <v>HOLD</v>
      </c>
      <c r="R1303" t="str" cm="1">
        <f t="array" ref="R1303">_xlfn.IFS(AND($A1303="thg-beauty",ISNUMBER(SEARCH("liveramp",$C1303))),"thg-beauty Liveramp dataset — confirmed safe to delete",$A1303="agile-bonbon-662",_xlfn.IFS(LEFT($G1303,9)="Tranche 1","Tranche 1: cleared",$C1303="Sessions_Level_1_All_Sites","Downstream aggregation of UA raw logs — keep if raw tables go",ISNUMBER(--$C1303),"UA raw site logs (account ID) — keep pending audit-retention check",$C1303="Emag_Reporting","Legacy but likely needed",$C1303="Nutrition_Data_Archived_Tables","Worth keeping",$C1303="EU_Data","Static lookup tables — scripts still reference (smoke-test risk)",TRUE,"Review"),OR($A1303="thg-influencer",$A1303="thg-ingenuity",$A1303="thg-central-marketing",$A1303="thg-seoclarity"),"HOLD — Charlie Stringer to review before deletion",TRUE,"")</f>
        <v>HOLD — Charlie Stringer to review before deletion</v>
      </c>
      <c r="S1303" t="s">
        <v>1624</v>
      </c>
    </row>
    <row r="1304" spans="1:19" hidden="1">
      <c r="A1304" t="s">
        <v>38</v>
      </c>
      <c r="B1304" t="s">
        <v>1619</v>
      </c>
      <c r="C1304" t="s">
        <v>3756</v>
      </c>
      <c r="D1304" s="2" t="s">
        <v>1621</v>
      </c>
      <c r="E1304">
        <v>0.2</v>
      </c>
      <c r="F1304">
        <v>0</v>
      </c>
      <c r="G1304" t="s">
        <v>3456</v>
      </c>
      <c r="H1304" t="s">
        <v>3457</v>
      </c>
      <c r="I1304">
        <v>720</v>
      </c>
      <c r="J1304">
        <v>720</v>
      </c>
      <c r="M1304" s="2" t="s">
        <v>1715</v>
      </c>
      <c r="N1304" s="2" t="s">
        <v>1701</v>
      </c>
      <c r="O1304" s="5">
        <v>45477.36664108796</v>
      </c>
      <c r="P1304" t="str">
        <f>IF($Q1304="DELETE",IF($S1304="CONFIRMED: NO MODS &gt; 1YR","CONFIRMED: NO MODS &gt; 1YR","DO NOT DELETE — not defensibly confirmed"),IF($Q1304="HOLD","DO NOT DELETE — HOLD (Charlie review)",IF($Q1304="KEEP","DO NOT DELETE — KEEP",IF(ISNUMBER(SEARCH("REVIEW",$Q1304)),"DO NOT DELETE — REVIEW pending",$S1304))))</f>
        <v>DO NOT DELETE — HOLD (Charlie review)</v>
      </c>
      <c r="Q1304" t="str" cm="1">
        <f t="array" ref="Q1304">_xlfn.IFS(AND($A1304="thg-beauty",ISNUMBER(SEARCH("liveramp",$C1304))),"DELETE",$A1304="agile-bonbon-662",_xlfn.IFS(LEFT($G1304,9)="Tranche 1","DELETE",$C1304="Sessions_Level_1_All_Sites","KEEP",ISNUMBER(--$C1304),"REVIEW — UA raw logs",$C1304="Emag_Reporting","KEEP",$C1304="Nutrition_Data_Archived_Tables","KEEP",$C1304="EU_Data","KEEP",TRUE,"REVIEW"),OR($A1304="thg-influencer",$A1304="thg-ingenuity",$A1304="thg-central-marketing",$A1304="thg-seoclarity"),"HOLD",TRUE,"")</f>
        <v>HOLD</v>
      </c>
      <c r="R1304" t="str" cm="1">
        <f t="array" ref="R1304">_xlfn.IFS(AND($A1304="thg-beauty",ISNUMBER(SEARCH("liveramp",$C1304))),"thg-beauty Liveramp dataset — confirmed safe to delete",$A1304="agile-bonbon-662",_xlfn.IFS(LEFT($G1304,9)="Tranche 1","Tranche 1: cleared",$C1304="Sessions_Level_1_All_Sites","Downstream aggregation of UA raw logs — keep if raw tables go",ISNUMBER(--$C1304),"UA raw site logs (account ID) — keep pending audit-retention check",$C1304="Emag_Reporting","Legacy but likely needed",$C1304="Nutrition_Data_Archived_Tables","Worth keeping",$C1304="EU_Data","Static lookup tables — scripts still reference (smoke-test risk)",TRUE,"Review"),OR($A1304="thg-influencer",$A1304="thg-ingenuity",$A1304="thg-central-marketing",$A1304="thg-seoclarity"),"HOLD — Charlie Stringer to review before deletion",TRUE,"")</f>
        <v>HOLD — Charlie Stringer to review before deletion</v>
      </c>
      <c r="S1304" t="s">
        <v>1624</v>
      </c>
    </row>
    <row r="1305" spans="1:19" hidden="1">
      <c r="A1305" t="s">
        <v>38</v>
      </c>
      <c r="B1305" t="s">
        <v>1619</v>
      </c>
      <c r="C1305" t="s">
        <v>192</v>
      </c>
      <c r="D1305" s="2" t="s">
        <v>1621</v>
      </c>
      <c r="E1305">
        <v>341.54</v>
      </c>
      <c r="F1305">
        <v>6.83</v>
      </c>
      <c r="G1305" t="s">
        <v>3456</v>
      </c>
      <c r="H1305" t="s">
        <v>3328</v>
      </c>
      <c r="I1305">
        <v>718</v>
      </c>
      <c r="J1305">
        <v>718</v>
      </c>
      <c r="M1305" s="2" t="s">
        <v>1715</v>
      </c>
      <c r="N1305" s="2" t="s">
        <v>1701</v>
      </c>
      <c r="O1305" s="5">
        <v>45478.918287465283</v>
      </c>
      <c r="P1305" t="str">
        <f>IF($Q1305="DELETE",IF($S1305="CONFIRMED: NO MODS &gt; 1YR","CONFIRMED: NO MODS &gt; 1YR","DO NOT DELETE — not defensibly confirmed"),IF($Q1305="HOLD","DO NOT DELETE — HOLD (Charlie review)",IF($Q1305="KEEP","DO NOT DELETE — KEEP",IF(ISNUMBER(SEARCH("REVIEW",$Q1305)),"DO NOT DELETE — REVIEW pending",$S1305))))</f>
        <v>DO NOT DELETE — HOLD (Charlie review)</v>
      </c>
      <c r="Q1305" t="str" cm="1">
        <f t="array" ref="Q1305">_xlfn.IFS(AND($A1305="thg-beauty",ISNUMBER(SEARCH("liveramp",$C1305))),"DELETE",$A1305="agile-bonbon-662",_xlfn.IFS(LEFT($G1305,9)="Tranche 1","DELETE",$C1305="Sessions_Level_1_All_Sites","KEEP",ISNUMBER(--$C1305),"REVIEW — UA raw logs",$C1305="Emag_Reporting","KEEP",$C1305="Nutrition_Data_Archived_Tables","KEEP",$C1305="EU_Data","KEEP",TRUE,"REVIEW"),OR($A1305="thg-influencer",$A1305="thg-ingenuity",$A1305="thg-central-marketing",$A1305="thg-seoclarity"),"HOLD",TRUE,"")</f>
        <v>HOLD</v>
      </c>
      <c r="R1305" t="str" cm="1">
        <f t="array" ref="R1305">_xlfn.IFS(AND($A1305="thg-beauty",ISNUMBER(SEARCH("liveramp",$C1305))),"thg-beauty Liveramp dataset — confirmed safe to delete",$A1305="agile-bonbon-662",_xlfn.IFS(LEFT($G1305,9)="Tranche 1","Tranche 1: cleared",$C1305="Sessions_Level_1_All_Sites","Downstream aggregation of UA raw logs — keep if raw tables go",ISNUMBER(--$C1305),"UA raw site logs (account ID) — keep pending audit-retention check",$C1305="Emag_Reporting","Legacy but likely needed",$C1305="Nutrition_Data_Archived_Tables","Worth keeping",$C1305="EU_Data","Static lookup tables — scripts still reference (smoke-test risk)",TRUE,"Review"),OR($A1305="thg-influencer",$A1305="thg-ingenuity",$A1305="thg-central-marketing",$A1305="thg-seoclarity"),"HOLD — Charlie Stringer to review before deletion",TRUE,"")</f>
        <v>HOLD — Charlie Stringer to review before deletion</v>
      </c>
      <c r="S1305" t="s">
        <v>1624</v>
      </c>
    </row>
    <row r="1306" spans="1:19" hidden="1">
      <c r="A1306" t="s">
        <v>38</v>
      </c>
      <c r="B1306" t="s">
        <v>1619</v>
      </c>
      <c r="C1306" t="s">
        <v>3757</v>
      </c>
      <c r="D1306" s="2" t="s">
        <v>1621</v>
      </c>
      <c r="E1306">
        <v>6.53</v>
      </c>
      <c r="F1306">
        <v>0.13</v>
      </c>
      <c r="G1306" t="s">
        <v>3456</v>
      </c>
      <c r="H1306" t="s">
        <v>3457</v>
      </c>
      <c r="I1306">
        <v>709</v>
      </c>
      <c r="J1306">
        <v>709</v>
      </c>
      <c r="M1306" s="2" t="s">
        <v>1715</v>
      </c>
      <c r="N1306" s="2" t="s">
        <v>1701</v>
      </c>
      <c r="O1306" s="5">
        <v>45487.630434548613</v>
      </c>
      <c r="P1306" t="str">
        <f>IF($Q1306="DELETE",IF($S1306="CONFIRMED: NO MODS &gt; 1YR","CONFIRMED: NO MODS &gt; 1YR","DO NOT DELETE — not defensibly confirmed"),IF($Q1306="HOLD","DO NOT DELETE — HOLD (Charlie review)",IF($Q1306="KEEP","DO NOT DELETE — KEEP",IF(ISNUMBER(SEARCH("REVIEW",$Q1306)),"DO NOT DELETE — REVIEW pending",$S1306))))</f>
        <v>DO NOT DELETE — HOLD (Charlie review)</v>
      </c>
      <c r="Q1306" t="str" cm="1">
        <f t="array" ref="Q1306">_xlfn.IFS(AND($A1306="thg-beauty",ISNUMBER(SEARCH("liveramp",$C1306))),"DELETE",$A1306="agile-bonbon-662",_xlfn.IFS(LEFT($G1306,9)="Tranche 1","DELETE",$C1306="Sessions_Level_1_All_Sites","KEEP",ISNUMBER(--$C1306),"REVIEW — UA raw logs",$C1306="Emag_Reporting","KEEP",$C1306="Nutrition_Data_Archived_Tables","KEEP",$C1306="EU_Data","KEEP",TRUE,"REVIEW"),OR($A1306="thg-influencer",$A1306="thg-ingenuity",$A1306="thg-central-marketing",$A1306="thg-seoclarity"),"HOLD",TRUE,"")</f>
        <v>HOLD</v>
      </c>
      <c r="R1306" t="str" cm="1">
        <f t="array" ref="R1306">_xlfn.IFS(AND($A1306="thg-beauty",ISNUMBER(SEARCH("liveramp",$C1306))),"thg-beauty Liveramp dataset — confirmed safe to delete",$A1306="agile-bonbon-662",_xlfn.IFS(LEFT($G1306,9)="Tranche 1","Tranche 1: cleared",$C1306="Sessions_Level_1_All_Sites","Downstream aggregation of UA raw logs — keep if raw tables go",ISNUMBER(--$C1306),"UA raw site logs (account ID) — keep pending audit-retention check",$C1306="Emag_Reporting","Legacy but likely needed",$C1306="Nutrition_Data_Archived_Tables","Worth keeping",$C1306="EU_Data","Static lookup tables — scripts still reference (smoke-test risk)",TRUE,"Review"),OR($A1306="thg-influencer",$A1306="thg-ingenuity",$A1306="thg-central-marketing",$A1306="thg-seoclarity"),"HOLD — Charlie Stringer to review before deletion",TRUE,"")</f>
        <v>HOLD — Charlie Stringer to review before deletion</v>
      </c>
      <c r="S1306" t="s">
        <v>1624</v>
      </c>
    </row>
    <row r="1307" spans="1:19" hidden="1">
      <c r="A1307" t="s">
        <v>38</v>
      </c>
      <c r="B1307" t="s">
        <v>1619</v>
      </c>
      <c r="C1307" t="s">
        <v>3758</v>
      </c>
      <c r="D1307" s="2" t="s">
        <v>1621</v>
      </c>
      <c r="E1307">
        <v>24.44</v>
      </c>
      <c r="F1307">
        <v>0.49</v>
      </c>
      <c r="G1307" t="s">
        <v>3456</v>
      </c>
      <c r="H1307" t="s">
        <v>3457</v>
      </c>
      <c r="I1307">
        <v>706</v>
      </c>
      <c r="J1307">
        <v>706</v>
      </c>
      <c r="M1307" s="2" t="s">
        <v>1715</v>
      </c>
      <c r="N1307" s="2" t="s">
        <v>1701</v>
      </c>
      <c r="O1307" s="5">
        <v>45491.33971886574</v>
      </c>
      <c r="P1307" t="str">
        <f>IF($Q1307="DELETE",IF($S1307="CONFIRMED: NO MODS &gt; 1YR","CONFIRMED: NO MODS &gt; 1YR","DO NOT DELETE — not defensibly confirmed"),IF($Q1307="HOLD","DO NOT DELETE — HOLD (Charlie review)",IF($Q1307="KEEP","DO NOT DELETE — KEEP",IF(ISNUMBER(SEARCH("REVIEW",$Q1307)),"DO NOT DELETE — REVIEW pending",$S1307))))</f>
        <v>DO NOT DELETE — HOLD (Charlie review)</v>
      </c>
      <c r="Q1307" t="str" cm="1">
        <f t="array" ref="Q1307">_xlfn.IFS(AND($A1307="thg-beauty",ISNUMBER(SEARCH("liveramp",$C1307))),"DELETE",$A1307="agile-bonbon-662",_xlfn.IFS(LEFT($G1307,9)="Tranche 1","DELETE",$C1307="Sessions_Level_1_All_Sites","KEEP",ISNUMBER(--$C1307),"REVIEW — UA raw logs",$C1307="Emag_Reporting","KEEP",$C1307="Nutrition_Data_Archived_Tables","KEEP",$C1307="EU_Data","KEEP",TRUE,"REVIEW"),OR($A1307="thg-influencer",$A1307="thg-ingenuity",$A1307="thg-central-marketing",$A1307="thg-seoclarity"),"HOLD",TRUE,"")</f>
        <v>HOLD</v>
      </c>
      <c r="R1307" t="str" cm="1">
        <f t="array" ref="R1307">_xlfn.IFS(AND($A1307="thg-beauty",ISNUMBER(SEARCH("liveramp",$C1307))),"thg-beauty Liveramp dataset — confirmed safe to delete",$A1307="agile-bonbon-662",_xlfn.IFS(LEFT($G1307,9)="Tranche 1","Tranche 1: cleared",$C1307="Sessions_Level_1_All_Sites","Downstream aggregation of UA raw logs — keep if raw tables go",ISNUMBER(--$C1307),"UA raw site logs (account ID) — keep pending audit-retention check",$C1307="Emag_Reporting","Legacy but likely needed",$C1307="Nutrition_Data_Archived_Tables","Worth keeping",$C1307="EU_Data","Static lookup tables — scripts still reference (smoke-test risk)",TRUE,"Review"),OR($A1307="thg-influencer",$A1307="thg-ingenuity",$A1307="thg-central-marketing",$A1307="thg-seoclarity"),"HOLD — Charlie Stringer to review before deletion",TRUE,"")</f>
        <v>HOLD — Charlie Stringer to review before deletion</v>
      </c>
      <c r="S1307" t="s">
        <v>1624</v>
      </c>
    </row>
    <row r="1308" spans="1:19" hidden="1">
      <c r="A1308" t="s">
        <v>38</v>
      </c>
      <c r="B1308" t="s">
        <v>1619</v>
      </c>
      <c r="C1308" t="s">
        <v>3759</v>
      </c>
      <c r="D1308" s="2" t="s">
        <v>1621</v>
      </c>
      <c r="E1308">
        <v>0.78</v>
      </c>
      <c r="F1308">
        <v>0.02</v>
      </c>
      <c r="G1308" t="s">
        <v>3456</v>
      </c>
      <c r="H1308" t="s">
        <v>3457</v>
      </c>
      <c r="I1308">
        <v>701</v>
      </c>
      <c r="J1308">
        <v>701</v>
      </c>
      <c r="M1308" s="2" t="s">
        <v>1715</v>
      </c>
      <c r="N1308" s="2" t="s">
        <v>1701</v>
      </c>
      <c r="O1308" s="5">
        <v>45496.342103761577</v>
      </c>
      <c r="P1308" t="str">
        <f>IF($Q1308="DELETE",IF($S1308="CONFIRMED: NO MODS &gt; 1YR","CONFIRMED: NO MODS &gt; 1YR","DO NOT DELETE — not defensibly confirmed"),IF($Q1308="HOLD","DO NOT DELETE — HOLD (Charlie review)",IF($Q1308="KEEP","DO NOT DELETE — KEEP",IF(ISNUMBER(SEARCH("REVIEW",$Q1308)),"DO NOT DELETE — REVIEW pending",$S1308))))</f>
        <v>DO NOT DELETE — HOLD (Charlie review)</v>
      </c>
      <c r="Q1308" t="str" cm="1">
        <f t="array" ref="Q1308">_xlfn.IFS(AND($A1308="thg-beauty",ISNUMBER(SEARCH("liveramp",$C1308))),"DELETE",$A1308="agile-bonbon-662",_xlfn.IFS(LEFT($G1308,9)="Tranche 1","DELETE",$C1308="Sessions_Level_1_All_Sites","KEEP",ISNUMBER(--$C1308),"REVIEW — UA raw logs",$C1308="Emag_Reporting","KEEP",$C1308="Nutrition_Data_Archived_Tables","KEEP",$C1308="EU_Data","KEEP",TRUE,"REVIEW"),OR($A1308="thg-influencer",$A1308="thg-ingenuity",$A1308="thg-central-marketing",$A1308="thg-seoclarity"),"HOLD",TRUE,"")</f>
        <v>HOLD</v>
      </c>
      <c r="R1308" t="str" cm="1">
        <f t="array" ref="R1308">_xlfn.IFS(AND($A1308="thg-beauty",ISNUMBER(SEARCH("liveramp",$C1308))),"thg-beauty Liveramp dataset — confirmed safe to delete",$A1308="agile-bonbon-662",_xlfn.IFS(LEFT($G1308,9)="Tranche 1","Tranche 1: cleared",$C1308="Sessions_Level_1_All_Sites","Downstream aggregation of UA raw logs — keep if raw tables go",ISNUMBER(--$C1308),"UA raw site logs (account ID) — keep pending audit-retention check",$C1308="Emag_Reporting","Legacy but likely needed",$C1308="Nutrition_Data_Archived_Tables","Worth keeping",$C1308="EU_Data","Static lookup tables — scripts still reference (smoke-test risk)",TRUE,"Review"),OR($A1308="thg-influencer",$A1308="thg-ingenuity",$A1308="thg-central-marketing",$A1308="thg-seoclarity"),"HOLD — Charlie Stringer to review before deletion",TRUE,"")</f>
        <v>HOLD — Charlie Stringer to review before deletion</v>
      </c>
      <c r="S1308" t="s">
        <v>1624</v>
      </c>
    </row>
    <row r="1309" spans="1:19" hidden="1">
      <c r="A1309" t="s">
        <v>38</v>
      </c>
      <c r="B1309" t="s">
        <v>1619</v>
      </c>
      <c r="C1309" t="s">
        <v>3760</v>
      </c>
      <c r="D1309" s="2" t="s">
        <v>1621</v>
      </c>
      <c r="E1309">
        <v>2.35</v>
      </c>
      <c r="F1309">
        <v>0.05</v>
      </c>
      <c r="G1309" t="s">
        <v>3456</v>
      </c>
      <c r="H1309" t="s">
        <v>3457</v>
      </c>
      <c r="I1309">
        <v>694</v>
      </c>
      <c r="J1309">
        <v>694</v>
      </c>
      <c r="M1309" s="2" t="s">
        <v>1715</v>
      </c>
      <c r="N1309" s="2" t="s">
        <v>1701</v>
      </c>
      <c r="O1309" s="5">
        <v>45503.358606203707</v>
      </c>
      <c r="P1309" t="str">
        <f>IF($Q1309="DELETE",IF($S1309="CONFIRMED: NO MODS &gt; 1YR","CONFIRMED: NO MODS &gt; 1YR","DO NOT DELETE — not defensibly confirmed"),IF($Q1309="HOLD","DO NOT DELETE — HOLD (Charlie review)",IF($Q1309="KEEP","DO NOT DELETE — KEEP",IF(ISNUMBER(SEARCH("REVIEW",$Q1309)),"DO NOT DELETE — REVIEW pending",$S1309))))</f>
        <v>DO NOT DELETE — HOLD (Charlie review)</v>
      </c>
      <c r="Q1309" t="str" cm="1">
        <f t="array" ref="Q1309">_xlfn.IFS(AND($A1309="thg-beauty",ISNUMBER(SEARCH("liveramp",$C1309))),"DELETE",$A1309="agile-bonbon-662",_xlfn.IFS(LEFT($G1309,9)="Tranche 1","DELETE",$C1309="Sessions_Level_1_All_Sites","KEEP",ISNUMBER(--$C1309),"REVIEW — UA raw logs",$C1309="Emag_Reporting","KEEP",$C1309="Nutrition_Data_Archived_Tables","KEEP",$C1309="EU_Data","KEEP",TRUE,"REVIEW"),OR($A1309="thg-influencer",$A1309="thg-ingenuity",$A1309="thg-central-marketing",$A1309="thg-seoclarity"),"HOLD",TRUE,"")</f>
        <v>HOLD</v>
      </c>
      <c r="R1309" t="str" cm="1">
        <f t="array" ref="R1309">_xlfn.IFS(AND($A1309="thg-beauty",ISNUMBER(SEARCH("liveramp",$C1309))),"thg-beauty Liveramp dataset — confirmed safe to delete",$A1309="agile-bonbon-662",_xlfn.IFS(LEFT($G1309,9)="Tranche 1","Tranche 1: cleared",$C1309="Sessions_Level_1_All_Sites","Downstream aggregation of UA raw logs — keep if raw tables go",ISNUMBER(--$C1309),"UA raw site logs (account ID) — keep pending audit-retention check",$C1309="Emag_Reporting","Legacy but likely needed",$C1309="Nutrition_Data_Archived_Tables","Worth keeping",$C1309="EU_Data","Static lookup tables — scripts still reference (smoke-test risk)",TRUE,"Review"),OR($A1309="thg-influencer",$A1309="thg-ingenuity",$A1309="thg-central-marketing",$A1309="thg-seoclarity"),"HOLD — Charlie Stringer to review before deletion",TRUE,"")</f>
        <v>HOLD — Charlie Stringer to review before deletion</v>
      </c>
      <c r="S1309" t="s">
        <v>1624</v>
      </c>
    </row>
    <row r="1310" spans="1:19" hidden="1">
      <c r="A1310" t="s">
        <v>38</v>
      </c>
      <c r="B1310" t="s">
        <v>1619</v>
      </c>
      <c r="C1310" t="s">
        <v>3761</v>
      </c>
      <c r="D1310" s="2" t="s">
        <v>1621</v>
      </c>
      <c r="E1310">
        <v>1.78</v>
      </c>
      <c r="F1310">
        <v>0.04</v>
      </c>
      <c r="G1310" t="s">
        <v>3456</v>
      </c>
      <c r="H1310" t="s">
        <v>3457</v>
      </c>
      <c r="I1310">
        <v>686</v>
      </c>
      <c r="J1310">
        <v>686</v>
      </c>
      <c r="M1310" s="2" t="s">
        <v>1715</v>
      </c>
      <c r="N1310" s="2" t="s">
        <v>1701</v>
      </c>
      <c r="O1310" s="5">
        <v>45511.356422094897</v>
      </c>
      <c r="P1310" t="str">
        <f>IF($Q1310="DELETE",IF($S1310="CONFIRMED: NO MODS &gt; 1YR","CONFIRMED: NO MODS &gt; 1YR","DO NOT DELETE — not defensibly confirmed"),IF($Q1310="HOLD","DO NOT DELETE — HOLD (Charlie review)",IF($Q1310="KEEP","DO NOT DELETE — KEEP",IF(ISNUMBER(SEARCH("REVIEW",$Q1310)),"DO NOT DELETE — REVIEW pending",$S1310))))</f>
        <v>DO NOT DELETE — HOLD (Charlie review)</v>
      </c>
      <c r="Q1310" t="str" cm="1">
        <f t="array" ref="Q1310">_xlfn.IFS(AND($A1310="thg-beauty",ISNUMBER(SEARCH("liveramp",$C1310))),"DELETE",$A1310="agile-bonbon-662",_xlfn.IFS(LEFT($G1310,9)="Tranche 1","DELETE",$C1310="Sessions_Level_1_All_Sites","KEEP",ISNUMBER(--$C1310),"REVIEW — UA raw logs",$C1310="Emag_Reporting","KEEP",$C1310="Nutrition_Data_Archived_Tables","KEEP",$C1310="EU_Data","KEEP",TRUE,"REVIEW"),OR($A1310="thg-influencer",$A1310="thg-ingenuity",$A1310="thg-central-marketing",$A1310="thg-seoclarity"),"HOLD",TRUE,"")</f>
        <v>HOLD</v>
      </c>
      <c r="R1310" t="str" cm="1">
        <f t="array" ref="R1310">_xlfn.IFS(AND($A1310="thg-beauty",ISNUMBER(SEARCH("liveramp",$C1310))),"thg-beauty Liveramp dataset — confirmed safe to delete",$A1310="agile-bonbon-662",_xlfn.IFS(LEFT($G1310,9)="Tranche 1","Tranche 1: cleared",$C1310="Sessions_Level_1_All_Sites","Downstream aggregation of UA raw logs — keep if raw tables go",ISNUMBER(--$C1310),"UA raw site logs (account ID) — keep pending audit-retention check",$C1310="Emag_Reporting","Legacy but likely needed",$C1310="Nutrition_Data_Archived_Tables","Worth keeping",$C1310="EU_Data","Static lookup tables — scripts still reference (smoke-test risk)",TRUE,"Review"),OR($A1310="thg-influencer",$A1310="thg-ingenuity",$A1310="thg-central-marketing",$A1310="thg-seoclarity"),"HOLD — Charlie Stringer to review before deletion",TRUE,"")</f>
        <v>HOLD — Charlie Stringer to review before deletion</v>
      </c>
      <c r="S1310" t="s">
        <v>1624</v>
      </c>
    </row>
    <row r="1311" spans="1:19" hidden="1">
      <c r="A1311" t="s">
        <v>38</v>
      </c>
      <c r="B1311" t="s">
        <v>1619</v>
      </c>
      <c r="C1311" t="s">
        <v>3762</v>
      </c>
      <c r="D1311" s="2" t="s">
        <v>1621</v>
      </c>
      <c r="E1311">
        <v>3.71</v>
      </c>
      <c r="F1311">
        <v>7.0000000000000007E-2</v>
      </c>
      <c r="G1311" t="s">
        <v>3456</v>
      </c>
      <c r="H1311" t="s">
        <v>3457</v>
      </c>
      <c r="I1311">
        <v>680</v>
      </c>
      <c r="J1311">
        <v>680</v>
      </c>
      <c r="M1311" s="2" t="s">
        <v>1715</v>
      </c>
      <c r="N1311" s="2" t="s">
        <v>1701</v>
      </c>
      <c r="O1311" s="5">
        <v>45517.321426342591</v>
      </c>
      <c r="P1311" t="str">
        <f>IF($Q1311="DELETE",IF($S1311="CONFIRMED: NO MODS &gt; 1YR","CONFIRMED: NO MODS &gt; 1YR","DO NOT DELETE — not defensibly confirmed"),IF($Q1311="HOLD","DO NOT DELETE — HOLD (Charlie review)",IF($Q1311="KEEP","DO NOT DELETE — KEEP",IF(ISNUMBER(SEARCH("REVIEW",$Q1311)),"DO NOT DELETE — REVIEW pending",$S1311))))</f>
        <v>DO NOT DELETE — HOLD (Charlie review)</v>
      </c>
      <c r="Q1311" t="str" cm="1">
        <f t="array" ref="Q1311">_xlfn.IFS(AND($A1311="thg-beauty",ISNUMBER(SEARCH("liveramp",$C1311))),"DELETE",$A1311="agile-bonbon-662",_xlfn.IFS(LEFT($G1311,9)="Tranche 1","DELETE",$C1311="Sessions_Level_1_All_Sites","KEEP",ISNUMBER(--$C1311),"REVIEW — UA raw logs",$C1311="Emag_Reporting","KEEP",$C1311="Nutrition_Data_Archived_Tables","KEEP",$C1311="EU_Data","KEEP",TRUE,"REVIEW"),OR($A1311="thg-influencer",$A1311="thg-ingenuity",$A1311="thg-central-marketing",$A1311="thg-seoclarity"),"HOLD",TRUE,"")</f>
        <v>HOLD</v>
      </c>
      <c r="R1311" t="str" cm="1">
        <f t="array" ref="R1311">_xlfn.IFS(AND($A1311="thg-beauty",ISNUMBER(SEARCH("liveramp",$C1311))),"thg-beauty Liveramp dataset — confirmed safe to delete",$A1311="agile-bonbon-662",_xlfn.IFS(LEFT($G1311,9)="Tranche 1","Tranche 1: cleared",$C1311="Sessions_Level_1_All_Sites","Downstream aggregation of UA raw logs — keep if raw tables go",ISNUMBER(--$C1311),"UA raw site logs (account ID) — keep pending audit-retention check",$C1311="Emag_Reporting","Legacy but likely needed",$C1311="Nutrition_Data_Archived_Tables","Worth keeping",$C1311="EU_Data","Static lookup tables — scripts still reference (smoke-test risk)",TRUE,"Review"),OR($A1311="thg-influencer",$A1311="thg-ingenuity",$A1311="thg-central-marketing",$A1311="thg-seoclarity"),"HOLD — Charlie Stringer to review before deletion",TRUE,"")</f>
        <v>HOLD — Charlie Stringer to review before deletion</v>
      </c>
      <c r="S1311" t="s">
        <v>1624</v>
      </c>
    </row>
    <row r="1312" spans="1:19" hidden="1">
      <c r="A1312" t="s">
        <v>38</v>
      </c>
      <c r="B1312" t="s">
        <v>1619</v>
      </c>
      <c r="C1312" t="s">
        <v>3763</v>
      </c>
      <c r="D1312" s="2" t="s">
        <v>1621</v>
      </c>
      <c r="E1312">
        <v>2.5499999999999998</v>
      </c>
      <c r="F1312">
        <v>0.05</v>
      </c>
      <c r="G1312" t="s">
        <v>3456</v>
      </c>
      <c r="H1312" t="s">
        <v>3457</v>
      </c>
      <c r="I1312">
        <v>680</v>
      </c>
      <c r="J1312">
        <v>680</v>
      </c>
      <c r="M1312" s="2" t="s">
        <v>1715</v>
      </c>
      <c r="N1312" s="2" t="s">
        <v>1701</v>
      </c>
      <c r="O1312" s="5">
        <v>45517.377650902781</v>
      </c>
      <c r="P1312" t="str">
        <f>IF($Q1312="DELETE",IF($S1312="CONFIRMED: NO MODS &gt; 1YR","CONFIRMED: NO MODS &gt; 1YR","DO NOT DELETE — not defensibly confirmed"),IF($Q1312="HOLD","DO NOT DELETE — HOLD (Charlie review)",IF($Q1312="KEEP","DO NOT DELETE — KEEP",IF(ISNUMBER(SEARCH("REVIEW",$Q1312)),"DO NOT DELETE — REVIEW pending",$S1312))))</f>
        <v>DO NOT DELETE — HOLD (Charlie review)</v>
      </c>
      <c r="Q1312" t="str" cm="1">
        <f t="array" ref="Q1312">_xlfn.IFS(AND($A1312="thg-beauty",ISNUMBER(SEARCH("liveramp",$C1312))),"DELETE",$A1312="agile-bonbon-662",_xlfn.IFS(LEFT($G1312,9)="Tranche 1","DELETE",$C1312="Sessions_Level_1_All_Sites","KEEP",ISNUMBER(--$C1312),"REVIEW — UA raw logs",$C1312="Emag_Reporting","KEEP",$C1312="Nutrition_Data_Archived_Tables","KEEP",$C1312="EU_Data","KEEP",TRUE,"REVIEW"),OR($A1312="thg-influencer",$A1312="thg-ingenuity",$A1312="thg-central-marketing",$A1312="thg-seoclarity"),"HOLD",TRUE,"")</f>
        <v>HOLD</v>
      </c>
      <c r="R1312" t="str" cm="1">
        <f t="array" ref="R1312">_xlfn.IFS(AND($A1312="thg-beauty",ISNUMBER(SEARCH("liveramp",$C1312))),"thg-beauty Liveramp dataset — confirmed safe to delete",$A1312="agile-bonbon-662",_xlfn.IFS(LEFT($G1312,9)="Tranche 1","Tranche 1: cleared",$C1312="Sessions_Level_1_All_Sites","Downstream aggregation of UA raw logs — keep if raw tables go",ISNUMBER(--$C1312),"UA raw site logs (account ID) — keep pending audit-retention check",$C1312="Emag_Reporting","Legacy but likely needed",$C1312="Nutrition_Data_Archived_Tables","Worth keeping",$C1312="EU_Data","Static lookup tables — scripts still reference (smoke-test risk)",TRUE,"Review"),OR($A1312="thg-influencer",$A1312="thg-ingenuity",$A1312="thg-central-marketing",$A1312="thg-seoclarity"),"HOLD — Charlie Stringer to review before deletion",TRUE,"")</f>
        <v>HOLD — Charlie Stringer to review before deletion</v>
      </c>
      <c r="S1312" t="s">
        <v>1624</v>
      </c>
    </row>
    <row r="1313" spans="1:19" hidden="1">
      <c r="A1313" t="s">
        <v>38</v>
      </c>
      <c r="B1313" t="s">
        <v>1619</v>
      </c>
      <c r="C1313" t="s">
        <v>3764</v>
      </c>
      <c r="D1313" s="2" t="s">
        <v>1621</v>
      </c>
      <c r="E1313">
        <v>0.31</v>
      </c>
      <c r="F1313">
        <v>0.01</v>
      </c>
      <c r="G1313" t="s">
        <v>3456</v>
      </c>
      <c r="H1313" t="s">
        <v>3457</v>
      </c>
      <c r="I1313">
        <v>680</v>
      </c>
      <c r="J1313">
        <v>680</v>
      </c>
      <c r="M1313" s="2" t="s">
        <v>1715</v>
      </c>
      <c r="N1313" s="2" t="s">
        <v>1701</v>
      </c>
      <c r="O1313" s="5">
        <v>45516.540276238433</v>
      </c>
      <c r="P1313" t="str">
        <f>IF($Q1313="DELETE",IF($S1313="CONFIRMED: NO MODS &gt; 1YR","CONFIRMED: NO MODS &gt; 1YR","DO NOT DELETE — not defensibly confirmed"),IF($Q1313="HOLD","DO NOT DELETE — HOLD (Charlie review)",IF($Q1313="KEEP","DO NOT DELETE — KEEP",IF(ISNUMBER(SEARCH("REVIEW",$Q1313)),"DO NOT DELETE — REVIEW pending",$S1313))))</f>
        <v>DO NOT DELETE — HOLD (Charlie review)</v>
      </c>
      <c r="Q1313" t="str" cm="1">
        <f t="array" ref="Q1313">_xlfn.IFS(AND($A1313="thg-beauty",ISNUMBER(SEARCH("liveramp",$C1313))),"DELETE",$A1313="agile-bonbon-662",_xlfn.IFS(LEFT($G1313,9)="Tranche 1","DELETE",$C1313="Sessions_Level_1_All_Sites","KEEP",ISNUMBER(--$C1313),"REVIEW — UA raw logs",$C1313="Emag_Reporting","KEEP",$C1313="Nutrition_Data_Archived_Tables","KEEP",$C1313="EU_Data","KEEP",TRUE,"REVIEW"),OR($A1313="thg-influencer",$A1313="thg-ingenuity",$A1313="thg-central-marketing",$A1313="thg-seoclarity"),"HOLD",TRUE,"")</f>
        <v>HOLD</v>
      </c>
      <c r="R1313" t="str" cm="1">
        <f t="array" ref="R1313">_xlfn.IFS(AND($A1313="thg-beauty",ISNUMBER(SEARCH("liveramp",$C1313))),"thg-beauty Liveramp dataset — confirmed safe to delete",$A1313="agile-bonbon-662",_xlfn.IFS(LEFT($G1313,9)="Tranche 1","Tranche 1: cleared",$C1313="Sessions_Level_1_All_Sites","Downstream aggregation of UA raw logs — keep if raw tables go",ISNUMBER(--$C1313),"UA raw site logs (account ID) — keep pending audit-retention check",$C1313="Emag_Reporting","Legacy but likely needed",$C1313="Nutrition_Data_Archived_Tables","Worth keeping",$C1313="EU_Data","Static lookup tables — scripts still reference (smoke-test risk)",TRUE,"Review"),OR($A1313="thg-influencer",$A1313="thg-ingenuity",$A1313="thg-central-marketing",$A1313="thg-seoclarity"),"HOLD — Charlie Stringer to review before deletion",TRUE,"")</f>
        <v>HOLD — Charlie Stringer to review before deletion</v>
      </c>
      <c r="S1313" t="s">
        <v>1624</v>
      </c>
    </row>
    <row r="1314" spans="1:19" hidden="1">
      <c r="A1314" t="s">
        <v>38</v>
      </c>
      <c r="B1314" t="s">
        <v>1619</v>
      </c>
      <c r="C1314" t="s">
        <v>3765</v>
      </c>
      <c r="D1314" s="2" t="s">
        <v>1621</v>
      </c>
      <c r="E1314">
        <v>3.79</v>
      </c>
      <c r="F1314">
        <v>0.08</v>
      </c>
      <c r="G1314" t="s">
        <v>3456</v>
      </c>
      <c r="H1314" t="s">
        <v>3457</v>
      </c>
      <c r="I1314">
        <v>677</v>
      </c>
      <c r="J1314">
        <v>677</v>
      </c>
      <c r="M1314" s="2" t="s">
        <v>1715</v>
      </c>
      <c r="N1314" s="2" t="s">
        <v>1701</v>
      </c>
      <c r="O1314" s="5">
        <v>45520.042052638892</v>
      </c>
      <c r="P1314" t="str">
        <f>IF($Q1314="DELETE",IF($S1314="CONFIRMED: NO MODS &gt; 1YR","CONFIRMED: NO MODS &gt; 1YR","DO NOT DELETE — not defensibly confirmed"),IF($Q1314="HOLD","DO NOT DELETE — HOLD (Charlie review)",IF($Q1314="KEEP","DO NOT DELETE — KEEP",IF(ISNUMBER(SEARCH("REVIEW",$Q1314)),"DO NOT DELETE — REVIEW pending",$S1314))))</f>
        <v>DO NOT DELETE — HOLD (Charlie review)</v>
      </c>
      <c r="Q1314" t="str" cm="1">
        <f t="array" ref="Q1314">_xlfn.IFS(AND($A1314="thg-beauty",ISNUMBER(SEARCH("liveramp",$C1314))),"DELETE",$A1314="agile-bonbon-662",_xlfn.IFS(LEFT($G1314,9)="Tranche 1","DELETE",$C1314="Sessions_Level_1_All_Sites","KEEP",ISNUMBER(--$C1314),"REVIEW — UA raw logs",$C1314="Emag_Reporting","KEEP",$C1314="Nutrition_Data_Archived_Tables","KEEP",$C1314="EU_Data","KEEP",TRUE,"REVIEW"),OR($A1314="thg-influencer",$A1314="thg-ingenuity",$A1314="thg-central-marketing",$A1314="thg-seoclarity"),"HOLD",TRUE,"")</f>
        <v>HOLD</v>
      </c>
      <c r="R1314" t="str" cm="1">
        <f t="array" ref="R1314">_xlfn.IFS(AND($A1314="thg-beauty",ISNUMBER(SEARCH("liveramp",$C1314))),"thg-beauty Liveramp dataset — confirmed safe to delete",$A1314="agile-bonbon-662",_xlfn.IFS(LEFT($G1314,9)="Tranche 1","Tranche 1: cleared",$C1314="Sessions_Level_1_All_Sites","Downstream aggregation of UA raw logs — keep if raw tables go",ISNUMBER(--$C1314),"UA raw site logs (account ID) — keep pending audit-retention check",$C1314="Emag_Reporting","Legacy but likely needed",$C1314="Nutrition_Data_Archived_Tables","Worth keeping",$C1314="EU_Data","Static lookup tables — scripts still reference (smoke-test risk)",TRUE,"Review"),OR($A1314="thg-influencer",$A1314="thg-ingenuity",$A1314="thg-central-marketing",$A1314="thg-seoclarity"),"HOLD — Charlie Stringer to review before deletion",TRUE,"")</f>
        <v>HOLD — Charlie Stringer to review before deletion</v>
      </c>
      <c r="S1314" t="s">
        <v>1624</v>
      </c>
    </row>
    <row r="1315" spans="1:19" hidden="1">
      <c r="A1315" t="s">
        <v>38</v>
      </c>
      <c r="B1315" t="s">
        <v>1619</v>
      </c>
      <c r="C1315" t="s">
        <v>3766</v>
      </c>
      <c r="D1315" s="2" t="s">
        <v>1621</v>
      </c>
      <c r="E1315">
        <v>43.59</v>
      </c>
      <c r="F1315">
        <v>0.87</v>
      </c>
      <c r="G1315" t="s">
        <v>3456</v>
      </c>
      <c r="H1315" t="s">
        <v>3457</v>
      </c>
      <c r="I1315">
        <v>652</v>
      </c>
      <c r="J1315">
        <v>652</v>
      </c>
      <c r="M1315" s="2" t="s">
        <v>1715</v>
      </c>
      <c r="N1315" s="2" t="s">
        <v>1701</v>
      </c>
      <c r="O1315" s="5">
        <v>45545.338136134262</v>
      </c>
      <c r="P1315" t="str">
        <f>IF($Q1315="DELETE",IF($S1315="CONFIRMED: NO MODS &gt; 1YR","CONFIRMED: NO MODS &gt; 1YR","DO NOT DELETE — not defensibly confirmed"),IF($Q1315="HOLD","DO NOT DELETE — HOLD (Charlie review)",IF($Q1315="KEEP","DO NOT DELETE — KEEP",IF(ISNUMBER(SEARCH("REVIEW",$Q1315)),"DO NOT DELETE — REVIEW pending",$S1315))))</f>
        <v>DO NOT DELETE — HOLD (Charlie review)</v>
      </c>
      <c r="Q1315" t="str" cm="1">
        <f t="array" ref="Q1315">_xlfn.IFS(AND($A1315="thg-beauty",ISNUMBER(SEARCH("liveramp",$C1315))),"DELETE",$A1315="agile-bonbon-662",_xlfn.IFS(LEFT($G1315,9)="Tranche 1","DELETE",$C1315="Sessions_Level_1_All_Sites","KEEP",ISNUMBER(--$C1315),"REVIEW — UA raw logs",$C1315="Emag_Reporting","KEEP",$C1315="Nutrition_Data_Archived_Tables","KEEP",$C1315="EU_Data","KEEP",TRUE,"REVIEW"),OR($A1315="thg-influencer",$A1315="thg-ingenuity",$A1315="thg-central-marketing",$A1315="thg-seoclarity"),"HOLD",TRUE,"")</f>
        <v>HOLD</v>
      </c>
      <c r="R1315" t="str" cm="1">
        <f t="array" ref="R1315">_xlfn.IFS(AND($A1315="thg-beauty",ISNUMBER(SEARCH("liveramp",$C1315))),"thg-beauty Liveramp dataset — confirmed safe to delete",$A1315="agile-bonbon-662",_xlfn.IFS(LEFT($G1315,9)="Tranche 1","Tranche 1: cleared",$C1315="Sessions_Level_1_All_Sites","Downstream aggregation of UA raw logs — keep if raw tables go",ISNUMBER(--$C1315),"UA raw site logs (account ID) — keep pending audit-retention check",$C1315="Emag_Reporting","Legacy but likely needed",$C1315="Nutrition_Data_Archived_Tables","Worth keeping",$C1315="EU_Data","Static lookup tables — scripts still reference (smoke-test risk)",TRUE,"Review"),OR($A1315="thg-influencer",$A1315="thg-ingenuity",$A1315="thg-central-marketing",$A1315="thg-seoclarity"),"HOLD — Charlie Stringer to review before deletion",TRUE,"")</f>
        <v>HOLD — Charlie Stringer to review before deletion</v>
      </c>
      <c r="S1315" t="s">
        <v>1624</v>
      </c>
    </row>
    <row r="1316" spans="1:19" hidden="1">
      <c r="A1316" t="s">
        <v>38</v>
      </c>
      <c r="B1316" t="s">
        <v>1619</v>
      </c>
      <c r="C1316" t="s">
        <v>3767</v>
      </c>
      <c r="D1316" s="2" t="s">
        <v>1621</v>
      </c>
      <c r="E1316">
        <v>2.81</v>
      </c>
      <c r="F1316">
        <v>0.06</v>
      </c>
      <c r="G1316" t="s">
        <v>3456</v>
      </c>
      <c r="H1316" t="s">
        <v>3457</v>
      </c>
      <c r="I1316">
        <v>638</v>
      </c>
      <c r="J1316">
        <v>638</v>
      </c>
      <c r="M1316" s="2" t="s">
        <v>1715</v>
      </c>
      <c r="N1316" s="2" t="s">
        <v>1701</v>
      </c>
      <c r="O1316" s="5">
        <v>45559.01411167824</v>
      </c>
      <c r="P1316" t="str">
        <f>IF($Q1316="DELETE",IF($S1316="CONFIRMED: NO MODS &gt; 1YR","CONFIRMED: NO MODS &gt; 1YR","DO NOT DELETE — not defensibly confirmed"),IF($Q1316="HOLD","DO NOT DELETE — HOLD (Charlie review)",IF($Q1316="KEEP","DO NOT DELETE — KEEP",IF(ISNUMBER(SEARCH("REVIEW",$Q1316)),"DO NOT DELETE — REVIEW pending",$S1316))))</f>
        <v>DO NOT DELETE — HOLD (Charlie review)</v>
      </c>
      <c r="Q1316" t="str" cm="1">
        <f t="array" ref="Q1316">_xlfn.IFS(AND($A1316="thg-beauty",ISNUMBER(SEARCH("liveramp",$C1316))),"DELETE",$A1316="agile-bonbon-662",_xlfn.IFS(LEFT($G1316,9)="Tranche 1","DELETE",$C1316="Sessions_Level_1_All_Sites","KEEP",ISNUMBER(--$C1316),"REVIEW — UA raw logs",$C1316="Emag_Reporting","KEEP",$C1316="Nutrition_Data_Archived_Tables","KEEP",$C1316="EU_Data","KEEP",TRUE,"REVIEW"),OR($A1316="thg-influencer",$A1316="thg-ingenuity",$A1316="thg-central-marketing",$A1316="thg-seoclarity"),"HOLD",TRUE,"")</f>
        <v>HOLD</v>
      </c>
      <c r="R1316" t="str" cm="1">
        <f t="array" ref="R1316">_xlfn.IFS(AND($A1316="thg-beauty",ISNUMBER(SEARCH("liveramp",$C1316))),"thg-beauty Liveramp dataset — confirmed safe to delete",$A1316="agile-bonbon-662",_xlfn.IFS(LEFT($G1316,9)="Tranche 1","Tranche 1: cleared",$C1316="Sessions_Level_1_All_Sites","Downstream aggregation of UA raw logs — keep if raw tables go",ISNUMBER(--$C1316),"UA raw site logs (account ID) — keep pending audit-retention check",$C1316="Emag_Reporting","Legacy but likely needed",$C1316="Nutrition_Data_Archived_Tables","Worth keeping",$C1316="EU_Data","Static lookup tables — scripts still reference (smoke-test risk)",TRUE,"Review"),OR($A1316="thg-influencer",$A1316="thg-ingenuity",$A1316="thg-central-marketing",$A1316="thg-seoclarity"),"HOLD — Charlie Stringer to review before deletion",TRUE,"")</f>
        <v>HOLD — Charlie Stringer to review before deletion</v>
      </c>
      <c r="S1316" t="s">
        <v>1624</v>
      </c>
    </row>
    <row r="1317" spans="1:19" hidden="1">
      <c r="A1317" t="s">
        <v>38</v>
      </c>
      <c r="B1317" t="s">
        <v>1619</v>
      </c>
      <c r="C1317" t="s">
        <v>3768</v>
      </c>
      <c r="D1317" s="2" t="s">
        <v>1621</v>
      </c>
      <c r="E1317">
        <v>4.6900000000000004</v>
      </c>
      <c r="F1317">
        <v>0.09</v>
      </c>
      <c r="G1317" t="s">
        <v>3456</v>
      </c>
      <c r="H1317" t="s">
        <v>3457</v>
      </c>
      <c r="I1317">
        <v>633</v>
      </c>
      <c r="J1317">
        <v>633</v>
      </c>
      <c r="M1317" s="2" t="s">
        <v>1715</v>
      </c>
      <c r="N1317" s="2" t="s">
        <v>1701</v>
      </c>
      <c r="O1317" s="5">
        <v>45564.376356458342</v>
      </c>
      <c r="P1317" t="str">
        <f>IF($Q1317="DELETE",IF($S1317="CONFIRMED: NO MODS &gt; 1YR","CONFIRMED: NO MODS &gt; 1YR","DO NOT DELETE — not defensibly confirmed"),IF($Q1317="HOLD","DO NOT DELETE — HOLD (Charlie review)",IF($Q1317="KEEP","DO NOT DELETE — KEEP",IF(ISNUMBER(SEARCH("REVIEW",$Q1317)),"DO NOT DELETE — REVIEW pending",$S1317))))</f>
        <v>DO NOT DELETE — HOLD (Charlie review)</v>
      </c>
      <c r="Q1317" t="str" cm="1">
        <f t="array" ref="Q1317">_xlfn.IFS(AND($A1317="thg-beauty",ISNUMBER(SEARCH("liveramp",$C1317))),"DELETE",$A1317="agile-bonbon-662",_xlfn.IFS(LEFT($G1317,9)="Tranche 1","DELETE",$C1317="Sessions_Level_1_All_Sites","KEEP",ISNUMBER(--$C1317),"REVIEW — UA raw logs",$C1317="Emag_Reporting","KEEP",$C1317="Nutrition_Data_Archived_Tables","KEEP",$C1317="EU_Data","KEEP",TRUE,"REVIEW"),OR($A1317="thg-influencer",$A1317="thg-ingenuity",$A1317="thg-central-marketing",$A1317="thg-seoclarity"),"HOLD",TRUE,"")</f>
        <v>HOLD</v>
      </c>
      <c r="R1317" t="str" cm="1">
        <f t="array" ref="R1317">_xlfn.IFS(AND($A1317="thg-beauty",ISNUMBER(SEARCH("liveramp",$C1317))),"thg-beauty Liveramp dataset — confirmed safe to delete",$A1317="agile-bonbon-662",_xlfn.IFS(LEFT($G1317,9)="Tranche 1","Tranche 1: cleared",$C1317="Sessions_Level_1_All_Sites","Downstream aggregation of UA raw logs — keep if raw tables go",ISNUMBER(--$C1317),"UA raw site logs (account ID) — keep pending audit-retention check",$C1317="Emag_Reporting","Legacy but likely needed",$C1317="Nutrition_Data_Archived_Tables","Worth keeping",$C1317="EU_Data","Static lookup tables — scripts still reference (smoke-test risk)",TRUE,"Review"),OR($A1317="thg-influencer",$A1317="thg-ingenuity",$A1317="thg-central-marketing",$A1317="thg-seoclarity"),"HOLD — Charlie Stringer to review before deletion",TRUE,"")</f>
        <v>HOLD — Charlie Stringer to review before deletion</v>
      </c>
      <c r="S1317" t="s">
        <v>1624</v>
      </c>
    </row>
    <row r="1318" spans="1:19" hidden="1">
      <c r="A1318" t="s">
        <v>38</v>
      </c>
      <c r="B1318" t="s">
        <v>1619</v>
      </c>
      <c r="C1318" t="s">
        <v>3769</v>
      </c>
      <c r="D1318" s="2" t="s">
        <v>1621</v>
      </c>
      <c r="E1318">
        <v>5.0999999999999996</v>
      </c>
      <c r="F1318">
        <v>0.1</v>
      </c>
      <c r="G1318" t="s">
        <v>3456</v>
      </c>
      <c r="H1318" t="s">
        <v>3457</v>
      </c>
      <c r="I1318">
        <v>623</v>
      </c>
      <c r="J1318">
        <v>623</v>
      </c>
      <c r="M1318" s="2" t="s">
        <v>1715</v>
      </c>
      <c r="N1318" s="2" t="s">
        <v>1701</v>
      </c>
      <c r="O1318" s="5">
        <v>45574.400905925933</v>
      </c>
      <c r="P1318" t="str">
        <f>IF($Q1318="DELETE",IF($S1318="CONFIRMED: NO MODS &gt; 1YR","CONFIRMED: NO MODS &gt; 1YR","DO NOT DELETE — not defensibly confirmed"),IF($Q1318="HOLD","DO NOT DELETE — HOLD (Charlie review)",IF($Q1318="KEEP","DO NOT DELETE — KEEP",IF(ISNUMBER(SEARCH("REVIEW",$Q1318)),"DO NOT DELETE — REVIEW pending",$S1318))))</f>
        <v>DO NOT DELETE — HOLD (Charlie review)</v>
      </c>
      <c r="Q1318" t="str" cm="1">
        <f t="array" ref="Q1318">_xlfn.IFS(AND($A1318="thg-beauty",ISNUMBER(SEARCH("liveramp",$C1318))),"DELETE",$A1318="agile-bonbon-662",_xlfn.IFS(LEFT($G1318,9)="Tranche 1","DELETE",$C1318="Sessions_Level_1_All_Sites","KEEP",ISNUMBER(--$C1318),"REVIEW — UA raw logs",$C1318="Emag_Reporting","KEEP",$C1318="Nutrition_Data_Archived_Tables","KEEP",$C1318="EU_Data","KEEP",TRUE,"REVIEW"),OR($A1318="thg-influencer",$A1318="thg-ingenuity",$A1318="thg-central-marketing",$A1318="thg-seoclarity"),"HOLD",TRUE,"")</f>
        <v>HOLD</v>
      </c>
      <c r="R1318" t="str" cm="1">
        <f t="array" ref="R1318">_xlfn.IFS(AND($A1318="thg-beauty",ISNUMBER(SEARCH("liveramp",$C1318))),"thg-beauty Liveramp dataset — confirmed safe to delete",$A1318="agile-bonbon-662",_xlfn.IFS(LEFT($G1318,9)="Tranche 1","Tranche 1: cleared",$C1318="Sessions_Level_1_All_Sites","Downstream aggregation of UA raw logs — keep if raw tables go",ISNUMBER(--$C1318),"UA raw site logs (account ID) — keep pending audit-retention check",$C1318="Emag_Reporting","Legacy but likely needed",$C1318="Nutrition_Data_Archived_Tables","Worth keeping",$C1318="EU_Data","Static lookup tables — scripts still reference (smoke-test risk)",TRUE,"Review"),OR($A1318="thg-influencer",$A1318="thg-ingenuity",$A1318="thg-central-marketing",$A1318="thg-seoclarity"),"HOLD — Charlie Stringer to review before deletion",TRUE,"")</f>
        <v>HOLD — Charlie Stringer to review before deletion</v>
      </c>
      <c r="S1318" t="s">
        <v>1624</v>
      </c>
    </row>
    <row r="1319" spans="1:19" hidden="1">
      <c r="A1319" t="s">
        <v>38</v>
      </c>
      <c r="B1319" t="s">
        <v>1619</v>
      </c>
      <c r="C1319" t="s">
        <v>3770</v>
      </c>
      <c r="D1319" s="2" t="s">
        <v>1621</v>
      </c>
      <c r="E1319">
        <v>0</v>
      </c>
      <c r="F1319">
        <v>0</v>
      </c>
      <c r="G1319" t="s">
        <v>3456</v>
      </c>
      <c r="H1319" t="s">
        <v>3457</v>
      </c>
      <c r="I1319">
        <v>621</v>
      </c>
      <c r="J1319">
        <v>621</v>
      </c>
      <c r="M1319" s="2" t="s">
        <v>1715</v>
      </c>
      <c r="N1319" s="2" t="s">
        <v>1701</v>
      </c>
      <c r="O1319" s="5">
        <v>45575.789757962957</v>
      </c>
      <c r="P1319" t="str">
        <f>IF($Q1319="DELETE",IF($S1319="CONFIRMED: NO MODS &gt; 1YR","CONFIRMED: NO MODS &gt; 1YR","DO NOT DELETE — not defensibly confirmed"),IF($Q1319="HOLD","DO NOT DELETE — HOLD (Charlie review)",IF($Q1319="KEEP","DO NOT DELETE — KEEP",IF(ISNUMBER(SEARCH("REVIEW",$Q1319)),"DO NOT DELETE — REVIEW pending",$S1319))))</f>
        <v>DO NOT DELETE — HOLD (Charlie review)</v>
      </c>
      <c r="Q1319" t="str" cm="1">
        <f t="array" ref="Q1319">_xlfn.IFS(AND($A1319="thg-beauty",ISNUMBER(SEARCH("liveramp",$C1319))),"DELETE",$A1319="agile-bonbon-662",_xlfn.IFS(LEFT($G1319,9)="Tranche 1","DELETE",$C1319="Sessions_Level_1_All_Sites","KEEP",ISNUMBER(--$C1319),"REVIEW — UA raw logs",$C1319="Emag_Reporting","KEEP",$C1319="Nutrition_Data_Archived_Tables","KEEP",$C1319="EU_Data","KEEP",TRUE,"REVIEW"),OR($A1319="thg-influencer",$A1319="thg-ingenuity",$A1319="thg-central-marketing",$A1319="thg-seoclarity"),"HOLD",TRUE,"")</f>
        <v>HOLD</v>
      </c>
      <c r="R1319" t="str" cm="1">
        <f t="array" ref="R1319">_xlfn.IFS(AND($A1319="thg-beauty",ISNUMBER(SEARCH("liveramp",$C1319))),"thg-beauty Liveramp dataset — confirmed safe to delete",$A1319="agile-bonbon-662",_xlfn.IFS(LEFT($G1319,9)="Tranche 1","Tranche 1: cleared",$C1319="Sessions_Level_1_All_Sites","Downstream aggregation of UA raw logs — keep if raw tables go",ISNUMBER(--$C1319),"UA raw site logs (account ID) — keep pending audit-retention check",$C1319="Emag_Reporting","Legacy but likely needed",$C1319="Nutrition_Data_Archived_Tables","Worth keeping",$C1319="EU_Data","Static lookup tables — scripts still reference (smoke-test risk)",TRUE,"Review"),OR($A1319="thg-influencer",$A1319="thg-ingenuity",$A1319="thg-central-marketing",$A1319="thg-seoclarity"),"HOLD — Charlie Stringer to review before deletion",TRUE,"")</f>
        <v>HOLD — Charlie Stringer to review before deletion</v>
      </c>
      <c r="S1319" t="s">
        <v>1624</v>
      </c>
    </row>
    <row r="1320" spans="1:19" hidden="1">
      <c r="A1320" t="s">
        <v>38</v>
      </c>
      <c r="B1320" t="s">
        <v>1619</v>
      </c>
      <c r="C1320" t="s">
        <v>3771</v>
      </c>
      <c r="D1320" s="2" t="s">
        <v>1621</v>
      </c>
      <c r="E1320">
        <v>24.3</v>
      </c>
      <c r="F1320">
        <v>0.49</v>
      </c>
      <c r="G1320" t="s">
        <v>3456</v>
      </c>
      <c r="H1320" t="s">
        <v>3457</v>
      </c>
      <c r="I1320">
        <v>614</v>
      </c>
      <c r="J1320">
        <v>614</v>
      </c>
      <c r="M1320" s="2" t="s">
        <v>1715</v>
      </c>
      <c r="N1320" s="2" t="s">
        <v>1701</v>
      </c>
      <c r="O1320" s="5">
        <v>45582.473985972218</v>
      </c>
      <c r="P1320" t="str">
        <f>IF($Q1320="DELETE",IF($S1320="CONFIRMED: NO MODS &gt; 1YR","CONFIRMED: NO MODS &gt; 1YR","DO NOT DELETE — not defensibly confirmed"),IF($Q1320="HOLD","DO NOT DELETE — HOLD (Charlie review)",IF($Q1320="KEEP","DO NOT DELETE — KEEP",IF(ISNUMBER(SEARCH("REVIEW",$Q1320)),"DO NOT DELETE — REVIEW pending",$S1320))))</f>
        <v>DO NOT DELETE — HOLD (Charlie review)</v>
      </c>
      <c r="Q1320" t="str" cm="1">
        <f t="array" ref="Q1320">_xlfn.IFS(AND($A1320="thg-beauty",ISNUMBER(SEARCH("liveramp",$C1320))),"DELETE",$A1320="agile-bonbon-662",_xlfn.IFS(LEFT($G1320,9)="Tranche 1","DELETE",$C1320="Sessions_Level_1_All_Sites","KEEP",ISNUMBER(--$C1320),"REVIEW — UA raw logs",$C1320="Emag_Reporting","KEEP",$C1320="Nutrition_Data_Archived_Tables","KEEP",$C1320="EU_Data","KEEP",TRUE,"REVIEW"),OR($A1320="thg-influencer",$A1320="thg-ingenuity",$A1320="thg-central-marketing",$A1320="thg-seoclarity"),"HOLD",TRUE,"")</f>
        <v>HOLD</v>
      </c>
      <c r="R1320" t="str" cm="1">
        <f t="array" ref="R1320">_xlfn.IFS(AND($A1320="thg-beauty",ISNUMBER(SEARCH("liveramp",$C1320))),"thg-beauty Liveramp dataset — confirmed safe to delete",$A1320="agile-bonbon-662",_xlfn.IFS(LEFT($G1320,9)="Tranche 1","Tranche 1: cleared",$C1320="Sessions_Level_1_All_Sites","Downstream aggregation of UA raw logs — keep if raw tables go",ISNUMBER(--$C1320),"UA raw site logs (account ID) — keep pending audit-retention check",$C1320="Emag_Reporting","Legacy but likely needed",$C1320="Nutrition_Data_Archived_Tables","Worth keeping",$C1320="EU_Data","Static lookup tables — scripts still reference (smoke-test risk)",TRUE,"Review"),OR($A1320="thg-influencer",$A1320="thg-ingenuity",$A1320="thg-central-marketing",$A1320="thg-seoclarity"),"HOLD — Charlie Stringer to review before deletion",TRUE,"")</f>
        <v>HOLD — Charlie Stringer to review before deletion</v>
      </c>
      <c r="S1320" t="s">
        <v>1624</v>
      </c>
    </row>
    <row r="1321" spans="1:19" hidden="1">
      <c r="A1321" t="s">
        <v>38</v>
      </c>
      <c r="B1321" t="s">
        <v>1619</v>
      </c>
      <c r="C1321" t="s">
        <v>3772</v>
      </c>
      <c r="D1321" s="2" t="s">
        <v>1621</v>
      </c>
      <c r="E1321">
        <v>2.36</v>
      </c>
      <c r="F1321">
        <v>0.05</v>
      </c>
      <c r="G1321" t="s">
        <v>3456</v>
      </c>
      <c r="H1321" t="s">
        <v>3457</v>
      </c>
      <c r="I1321">
        <v>612</v>
      </c>
      <c r="J1321">
        <v>612</v>
      </c>
      <c r="M1321" s="2" t="s">
        <v>1715</v>
      </c>
      <c r="N1321" s="2" t="s">
        <v>1701</v>
      </c>
      <c r="O1321" s="5">
        <v>45585.378110520833</v>
      </c>
      <c r="P1321" t="str">
        <f>IF($Q1321="DELETE",IF($S1321="CONFIRMED: NO MODS &gt; 1YR","CONFIRMED: NO MODS &gt; 1YR","DO NOT DELETE — not defensibly confirmed"),IF($Q1321="HOLD","DO NOT DELETE — HOLD (Charlie review)",IF($Q1321="KEEP","DO NOT DELETE — KEEP",IF(ISNUMBER(SEARCH("REVIEW",$Q1321)),"DO NOT DELETE — REVIEW pending",$S1321))))</f>
        <v>DO NOT DELETE — HOLD (Charlie review)</v>
      </c>
      <c r="Q1321" t="str" cm="1">
        <f t="array" ref="Q1321">_xlfn.IFS(AND($A1321="thg-beauty",ISNUMBER(SEARCH("liveramp",$C1321))),"DELETE",$A1321="agile-bonbon-662",_xlfn.IFS(LEFT($G1321,9)="Tranche 1","DELETE",$C1321="Sessions_Level_1_All_Sites","KEEP",ISNUMBER(--$C1321),"REVIEW — UA raw logs",$C1321="Emag_Reporting","KEEP",$C1321="Nutrition_Data_Archived_Tables","KEEP",$C1321="EU_Data","KEEP",TRUE,"REVIEW"),OR($A1321="thg-influencer",$A1321="thg-ingenuity",$A1321="thg-central-marketing",$A1321="thg-seoclarity"),"HOLD",TRUE,"")</f>
        <v>HOLD</v>
      </c>
      <c r="R1321" t="str" cm="1">
        <f t="array" ref="R1321">_xlfn.IFS(AND($A1321="thg-beauty",ISNUMBER(SEARCH("liveramp",$C1321))),"thg-beauty Liveramp dataset — confirmed safe to delete",$A1321="agile-bonbon-662",_xlfn.IFS(LEFT($G1321,9)="Tranche 1","Tranche 1: cleared",$C1321="Sessions_Level_1_All_Sites","Downstream aggregation of UA raw logs — keep if raw tables go",ISNUMBER(--$C1321),"UA raw site logs (account ID) — keep pending audit-retention check",$C1321="Emag_Reporting","Legacy but likely needed",$C1321="Nutrition_Data_Archived_Tables","Worth keeping",$C1321="EU_Data","Static lookup tables — scripts still reference (smoke-test risk)",TRUE,"Review"),OR($A1321="thg-influencer",$A1321="thg-ingenuity",$A1321="thg-central-marketing",$A1321="thg-seoclarity"),"HOLD — Charlie Stringer to review before deletion",TRUE,"")</f>
        <v>HOLD — Charlie Stringer to review before deletion</v>
      </c>
      <c r="S1321" t="s">
        <v>1624</v>
      </c>
    </row>
    <row r="1322" spans="1:19" hidden="1">
      <c r="A1322" t="s">
        <v>38</v>
      </c>
      <c r="B1322" t="s">
        <v>1619</v>
      </c>
      <c r="C1322" t="s">
        <v>3773</v>
      </c>
      <c r="D1322" s="2" t="s">
        <v>1621</v>
      </c>
      <c r="E1322">
        <v>6.43</v>
      </c>
      <c r="F1322">
        <v>0.13</v>
      </c>
      <c r="G1322" t="s">
        <v>3456</v>
      </c>
      <c r="H1322" t="s">
        <v>3457</v>
      </c>
      <c r="I1322">
        <v>609</v>
      </c>
      <c r="J1322">
        <v>609</v>
      </c>
      <c r="M1322" s="2" t="s">
        <v>1715</v>
      </c>
      <c r="N1322" s="2" t="s">
        <v>1701</v>
      </c>
      <c r="O1322" s="5">
        <v>45588.411086307868</v>
      </c>
      <c r="P1322" t="str">
        <f>IF($Q1322="DELETE",IF($S1322="CONFIRMED: NO MODS &gt; 1YR","CONFIRMED: NO MODS &gt; 1YR","DO NOT DELETE — not defensibly confirmed"),IF($Q1322="HOLD","DO NOT DELETE — HOLD (Charlie review)",IF($Q1322="KEEP","DO NOT DELETE — KEEP",IF(ISNUMBER(SEARCH("REVIEW",$Q1322)),"DO NOT DELETE — REVIEW pending",$S1322))))</f>
        <v>DO NOT DELETE — HOLD (Charlie review)</v>
      </c>
      <c r="Q1322" t="str" cm="1">
        <f t="array" ref="Q1322">_xlfn.IFS(AND($A1322="thg-beauty",ISNUMBER(SEARCH("liveramp",$C1322))),"DELETE",$A1322="agile-bonbon-662",_xlfn.IFS(LEFT($G1322,9)="Tranche 1","DELETE",$C1322="Sessions_Level_1_All_Sites","KEEP",ISNUMBER(--$C1322),"REVIEW — UA raw logs",$C1322="Emag_Reporting","KEEP",$C1322="Nutrition_Data_Archived_Tables","KEEP",$C1322="EU_Data","KEEP",TRUE,"REVIEW"),OR($A1322="thg-influencer",$A1322="thg-ingenuity",$A1322="thg-central-marketing",$A1322="thg-seoclarity"),"HOLD",TRUE,"")</f>
        <v>HOLD</v>
      </c>
      <c r="R1322" t="str" cm="1">
        <f t="array" ref="R1322">_xlfn.IFS(AND($A1322="thg-beauty",ISNUMBER(SEARCH("liveramp",$C1322))),"thg-beauty Liveramp dataset — confirmed safe to delete",$A1322="agile-bonbon-662",_xlfn.IFS(LEFT($G1322,9)="Tranche 1","Tranche 1: cleared",$C1322="Sessions_Level_1_All_Sites","Downstream aggregation of UA raw logs — keep if raw tables go",ISNUMBER(--$C1322),"UA raw site logs (account ID) — keep pending audit-retention check",$C1322="Emag_Reporting","Legacy but likely needed",$C1322="Nutrition_Data_Archived_Tables","Worth keeping",$C1322="EU_Data","Static lookup tables — scripts still reference (smoke-test risk)",TRUE,"Review"),OR($A1322="thg-influencer",$A1322="thg-ingenuity",$A1322="thg-central-marketing",$A1322="thg-seoclarity"),"HOLD — Charlie Stringer to review before deletion",TRUE,"")</f>
        <v>HOLD — Charlie Stringer to review before deletion</v>
      </c>
      <c r="S1322" t="s">
        <v>1624</v>
      </c>
    </row>
    <row r="1323" spans="1:19" hidden="1">
      <c r="A1323" t="s">
        <v>38</v>
      </c>
      <c r="B1323" t="s">
        <v>1619</v>
      </c>
      <c r="C1323" t="s">
        <v>1049</v>
      </c>
      <c r="D1323" s="2" t="s">
        <v>1621</v>
      </c>
      <c r="E1323">
        <v>4.8899999999999997</v>
      </c>
      <c r="F1323">
        <v>0.1</v>
      </c>
      <c r="G1323" t="s">
        <v>3456</v>
      </c>
      <c r="H1323" t="s">
        <v>3457</v>
      </c>
      <c r="I1323">
        <v>602</v>
      </c>
      <c r="J1323">
        <v>602</v>
      </c>
      <c r="M1323" s="2" t="s">
        <v>1715</v>
      </c>
      <c r="N1323" s="2" t="s">
        <v>1701</v>
      </c>
      <c r="O1323" s="5">
        <v>45594.626589583328</v>
      </c>
      <c r="P1323" t="str">
        <f>IF($Q1323="DELETE",IF($S1323="CONFIRMED: NO MODS &gt; 1YR","CONFIRMED: NO MODS &gt; 1YR","DO NOT DELETE — not defensibly confirmed"),IF($Q1323="HOLD","DO NOT DELETE — HOLD (Charlie review)",IF($Q1323="KEEP","DO NOT DELETE — KEEP",IF(ISNUMBER(SEARCH("REVIEW",$Q1323)),"DO NOT DELETE — REVIEW pending",$S1323))))</f>
        <v>DO NOT DELETE — HOLD (Charlie review)</v>
      </c>
      <c r="Q1323" t="str" cm="1">
        <f t="array" ref="Q1323">_xlfn.IFS(AND($A1323="thg-beauty",ISNUMBER(SEARCH("liveramp",$C1323))),"DELETE",$A1323="agile-bonbon-662",_xlfn.IFS(LEFT($G1323,9)="Tranche 1","DELETE",$C1323="Sessions_Level_1_All_Sites","KEEP",ISNUMBER(--$C1323),"REVIEW — UA raw logs",$C1323="Emag_Reporting","KEEP",$C1323="Nutrition_Data_Archived_Tables","KEEP",$C1323="EU_Data","KEEP",TRUE,"REVIEW"),OR($A1323="thg-influencer",$A1323="thg-ingenuity",$A1323="thg-central-marketing",$A1323="thg-seoclarity"),"HOLD",TRUE,"")</f>
        <v>HOLD</v>
      </c>
      <c r="R1323" t="str" cm="1">
        <f t="array" ref="R1323">_xlfn.IFS(AND($A1323="thg-beauty",ISNUMBER(SEARCH("liveramp",$C1323))),"thg-beauty Liveramp dataset — confirmed safe to delete",$A1323="agile-bonbon-662",_xlfn.IFS(LEFT($G1323,9)="Tranche 1","Tranche 1: cleared",$C1323="Sessions_Level_1_All_Sites","Downstream aggregation of UA raw logs — keep if raw tables go",ISNUMBER(--$C1323),"UA raw site logs (account ID) — keep pending audit-retention check",$C1323="Emag_Reporting","Legacy but likely needed",$C1323="Nutrition_Data_Archived_Tables","Worth keeping",$C1323="EU_Data","Static lookup tables — scripts still reference (smoke-test risk)",TRUE,"Review"),OR($A1323="thg-influencer",$A1323="thg-ingenuity",$A1323="thg-central-marketing",$A1323="thg-seoclarity"),"HOLD — Charlie Stringer to review before deletion",TRUE,"")</f>
        <v>HOLD — Charlie Stringer to review before deletion</v>
      </c>
      <c r="S1323" t="s">
        <v>1624</v>
      </c>
    </row>
    <row r="1324" spans="1:19" hidden="1">
      <c r="A1324" t="s">
        <v>38</v>
      </c>
      <c r="B1324" t="s">
        <v>1619</v>
      </c>
      <c r="C1324" t="s">
        <v>3774</v>
      </c>
      <c r="D1324" s="2" t="s">
        <v>1621</v>
      </c>
      <c r="E1324">
        <v>0.01</v>
      </c>
      <c r="F1324">
        <v>0</v>
      </c>
      <c r="G1324" t="s">
        <v>3456</v>
      </c>
      <c r="H1324" t="s">
        <v>3457</v>
      </c>
      <c r="I1324">
        <v>602</v>
      </c>
      <c r="J1324">
        <v>602</v>
      </c>
      <c r="M1324" s="2" t="s">
        <v>1715</v>
      </c>
      <c r="N1324" s="2" t="s">
        <v>1701</v>
      </c>
      <c r="O1324" s="5">
        <v>45595.360206863428</v>
      </c>
      <c r="P1324" t="str">
        <f>IF($Q1324="DELETE",IF($S1324="CONFIRMED: NO MODS &gt; 1YR","CONFIRMED: NO MODS &gt; 1YR","DO NOT DELETE — not defensibly confirmed"),IF($Q1324="HOLD","DO NOT DELETE — HOLD (Charlie review)",IF($Q1324="KEEP","DO NOT DELETE — KEEP",IF(ISNUMBER(SEARCH("REVIEW",$Q1324)),"DO NOT DELETE — REVIEW pending",$S1324))))</f>
        <v>DO NOT DELETE — HOLD (Charlie review)</v>
      </c>
      <c r="Q1324" t="str" cm="1">
        <f t="array" ref="Q1324">_xlfn.IFS(AND($A1324="thg-beauty",ISNUMBER(SEARCH("liveramp",$C1324))),"DELETE",$A1324="agile-bonbon-662",_xlfn.IFS(LEFT($G1324,9)="Tranche 1","DELETE",$C1324="Sessions_Level_1_All_Sites","KEEP",ISNUMBER(--$C1324),"REVIEW — UA raw logs",$C1324="Emag_Reporting","KEEP",$C1324="Nutrition_Data_Archived_Tables","KEEP",$C1324="EU_Data","KEEP",TRUE,"REVIEW"),OR($A1324="thg-influencer",$A1324="thg-ingenuity",$A1324="thg-central-marketing",$A1324="thg-seoclarity"),"HOLD",TRUE,"")</f>
        <v>HOLD</v>
      </c>
      <c r="R1324" t="str" cm="1">
        <f t="array" ref="R1324">_xlfn.IFS(AND($A1324="thg-beauty",ISNUMBER(SEARCH("liveramp",$C1324))),"thg-beauty Liveramp dataset — confirmed safe to delete",$A1324="agile-bonbon-662",_xlfn.IFS(LEFT($G1324,9)="Tranche 1","Tranche 1: cleared",$C1324="Sessions_Level_1_All_Sites","Downstream aggregation of UA raw logs — keep if raw tables go",ISNUMBER(--$C1324),"UA raw site logs (account ID) — keep pending audit-retention check",$C1324="Emag_Reporting","Legacy but likely needed",$C1324="Nutrition_Data_Archived_Tables","Worth keeping",$C1324="EU_Data","Static lookup tables — scripts still reference (smoke-test risk)",TRUE,"Review"),OR($A1324="thg-influencer",$A1324="thg-ingenuity",$A1324="thg-central-marketing",$A1324="thg-seoclarity"),"HOLD — Charlie Stringer to review before deletion",TRUE,"")</f>
        <v>HOLD — Charlie Stringer to review before deletion</v>
      </c>
      <c r="S1324" t="s">
        <v>1624</v>
      </c>
    </row>
    <row r="1325" spans="1:19" hidden="1">
      <c r="A1325" t="s">
        <v>38</v>
      </c>
      <c r="B1325" t="s">
        <v>1619</v>
      </c>
      <c r="C1325" t="s">
        <v>3775</v>
      </c>
      <c r="D1325" s="2" t="s">
        <v>1621</v>
      </c>
      <c r="E1325">
        <v>1.37</v>
      </c>
      <c r="F1325">
        <v>0.03</v>
      </c>
      <c r="G1325" t="s">
        <v>3456</v>
      </c>
      <c r="H1325" t="s">
        <v>3457</v>
      </c>
      <c r="I1325">
        <v>601</v>
      </c>
      <c r="J1325">
        <v>601</v>
      </c>
      <c r="M1325" s="2" t="s">
        <v>1715</v>
      </c>
      <c r="N1325" s="2" t="s">
        <v>1701</v>
      </c>
      <c r="O1325" s="5">
        <v>45596.383313958337</v>
      </c>
      <c r="P1325" t="str">
        <f>IF($Q1325="DELETE",IF($S1325="CONFIRMED: NO MODS &gt; 1YR","CONFIRMED: NO MODS &gt; 1YR","DO NOT DELETE — not defensibly confirmed"),IF($Q1325="HOLD","DO NOT DELETE — HOLD (Charlie review)",IF($Q1325="KEEP","DO NOT DELETE — KEEP",IF(ISNUMBER(SEARCH("REVIEW",$Q1325)),"DO NOT DELETE — REVIEW pending",$S1325))))</f>
        <v>DO NOT DELETE — HOLD (Charlie review)</v>
      </c>
      <c r="Q1325" t="str" cm="1">
        <f t="array" ref="Q1325">_xlfn.IFS(AND($A1325="thg-beauty",ISNUMBER(SEARCH("liveramp",$C1325))),"DELETE",$A1325="agile-bonbon-662",_xlfn.IFS(LEFT($G1325,9)="Tranche 1","DELETE",$C1325="Sessions_Level_1_All_Sites","KEEP",ISNUMBER(--$C1325),"REVIEW — UA raw logs",$C1325="Emag_Reporting","KEEP",$C1325="Nutrition_Data_Archived_Tables","KEEP",$C1325="EU_Data","KEEP",TRUE,"REVIEW"),OR($A1325="thg-influencer",$A1325="thg-ingenuity",$A1325="thg-central-marketing",$A1325="thg-seoclarity"),"HOLD",TRUE,"")</f>
        <v>HOLD</v>
      </c>
      <c r="R1325" t="str" cm="1">
        <f t="array" ref="R1325">_xlfn.IFS(AND($A1325="thg-beauty",ISNUMBER(SEARCH("liveramp",$C1325))),"thg-beauty Liveramp dataset — confirmed safe to delete",$A1325="agile-bonbon-662",_xlfn.IFS(LEFT($G1325,9)="Tranche 1","Tranche 1: cleared",$C1325="Sessions_Level_1_All_Sites","Downstream aggregation of UA raw logs — keep if raw tables go",ISNUMBER(--$C1325),"UA raw site logs (account ID) — keep pending audit-retention check",$C1325="Emag_Reporting","Legacy but likely needed",$C1325="Nutrition_Data_Archived_Tables","Worth keeping",$C1325="EU_Data","Static lookup tables — scripts still reference (smoke-test risk)",TRUE,"Review"),OR($A1325="thg-influencer",$A1325="thg-ingenuity",$A1325="thg-central-marketing",$A1325="thg-seoclarity"),"HOLD — Charlie Stringer to review before deletion",TRUE,"")</f>
        <v>HOLD — Charlie Stringer to review before deletion</v>
      </c>
      <c r="S1325" t="s">
        <v>1624</v>
      </c>
    </row>
    <row r="1326" spans="1:19" hidden="1">
      <c r="A1326" t="s">
        <v>38</v>
      </c>
      <c r="B1326" t="s">
        <v>1619</v>
      </c>
      <c r="C1326" t="s">
        <v>3776</v>
      </c>
      <c r="D1326" s="2" t="s">
        <v>1621</v>
      </c>
      <c r="E1326">
        <v>16.82</v>
      </c>
      <c r="F1326">
        <v>0.34</v>
      </c>
      <c r="G1326" t="s">
        <v>3456</v>
      </c>
      <c r="H1326" t="s">
        <v>3457</v>
      </c>
      <c r="I1326">
        <v>598</v>
      </c>
      <c r="J1326">
        <v>598</v>
      </c>
      <c r="M1326" s="2" t="s">
        <v>1715</v>
      </c>
      <c r="N1326" s="2" t="s">
        <v>1701</v>
      </c>
      <c r="O1326" s="5">
        <v>45599.438705208333</v>
      </c>
      <c r="P1326" t="str">
        <f>IF($Q1326="DELETE",IF($S1326="CONFIRMED: NO MODS &gt; 1YR","CONFIRMED: NO MODS &gt; 1YR","DO NOT DELETE — not defensibly confirmed"),IF($Q1326="HOLD","DO NOT DELETE — HOLD (Charlie review)",IF($Q1326="KEEP","DO NOT DELETE — KEEP",IF(ISNUMBER(SEARCH("REVIEW",$Q1326)),"DO NOT DELETE — REVIEW pending",$S1326))))</f>
        <v>DO NOT DELETE — HOLD (Charlie review)</v>
      </c>
      <c r="Q1326" t="str" cm="1">
        <f t="array" ref="Q1326">_xlfn.IFS(AND($A1326="thg-beauty",ISNUMBER(SEARCH("liveramp",$C1326))),"DELETE",$A1326="agile-bonbon-662",_xlfn.IFS(LEFT($G1326,9)="Tranche 1","DELETE",$C1326="Sessions_Level_1_All_Sites","KEEP",ISNUMBER(--$C1326),"REVIEW — UA raw logs",$C1326="Emag_Reporting","KEEP",$C1326="Nutrition_Data_Archived_Tables","KEEP",$C1326="EU_Data","KEEP",TRUE,"REVIEW"),OR($A1326="thg-influencer",$A1326="thg-ingenuity",$A1326="thg-central-marketing",$A1326="thg-seoclarity"),"HOLD",TRUE,"")</f>
        <v>HOLD</v>
      </c>
      <c r="R1326" t="str" cm="1">
        <f t="array" ref="R1326">_xlfn.IFS(AND($A1326="thg-beauty",ISNUMBER(SEARCH("liveramp",$C1326))),"thg-beauty Liveramp dataset — confirmed safe to delete",$A1326="agile-bonbon-662",_xlfn.IFS(LEFT($G1326,9)="Tranche 1","Tranche 1: cleared",$C1326="Sessions_Level_1_All_Sites","Downstream aggregation of UA raw logs — keep if raw tables go",ISNUMBER(--$C1326),"UA raw site logs (account ID) — keep pending audit-retention check",$C1326="Emag_Reporting","Legacy but likely needed",$C1326="Nutrition_Data_Archived_Tables","Worth keeping",$C1326="EU_Data","Static lookup tables — scripts still reference (smoke-test risk)",TRUE,"Review"),OR($A1326="thg-influencer",$A1326="thg-ingenuity",$A1326="thg-central-marketing",$A1326="thg-seoclarity"),"HOLD — Charlie Stringer to review before deletion",TRUE,"")</f>
        <v>HOLD — Charlie Stringer to review before deletion</v>
      </c>
      <c r="S1326" t="s">
        <v>1624</v>
      </c>
    </row>
    <row r="1327" spans="1:19" hidden="1">
      <c r="A1327" t="s">
        <v>38</v>
      </c>
      <c r="B1327" t="s">
        <v>1619</v>
      </c>
      <c r="C1327" t="s">
        <v>3777</v>
      </c>
      <c r="D1327" s="2" t="s">
        <v>1621</v>
      </c>
      <c r="E1327">
        <v>0.69</v>
      </c>
      <c r="F1327">
        <v>0.01</v>
      </c>
      <c r="G1327" t="s">
        <v>3456</v>
      </c>
      <c r="H1327" t="s">
        <v>3457</v>
      </c>
      <c r="I1327">
        <v>594</v>
      </c>
      <c r="J1327">
        <v>594</v>
      </c>
      <c r="M1327" s="2" t="s">
        <v>1715</v>
      </c>
      <c r="N1327" s="2" t="s">
        <v>1701</v>
      </c>
      <c r="O1327" s="5">
        <v>45602.485518553243</v>
      </c>
      <c r="P1327" t="str">
        <f>IF($Q1327="DELETE",IF($S1327="CONFIRMED: NO MODS &gt; 1YR","CONFIRMED: NO MODS &gt; 1YR","DO NOT DELETE — not defensibly confirmed"),IF($Q1327="HOLD","DO NOT DELETE — HOLD (Charlie review)",IF($Q1327="KEEP","DO NOT DELETE — KEEP",IF(ISNUMBER(SEARCH("REVIEW",$Q1327)),"DO NOT DELETE — REVIEW pending",$S1327))))</f>
        <v>DO NOT DELETE — HOLD (Charlie review)</v>
      </c>
      <c r="Q1327" t="str" cm="1">
        <f t="array" ref="Q1327">_xlfn.IFS(AND($A1327="thg-beauty",ISNUMBER(SEARCH("liveramp",$C1327))),"DELETE",$A1327="agile-bonbon-662",_xlfn.IFS(LEFT($G1327,9)="Tranche 1","DELETE",$C1327="Sessions_Level_1_All_Sites","KEEP",ISNUMBER(--$C1327),"REVIEW — UA raw logs",$C1327="Emag_Reporting","KEEP",$C1327="Nutrition_Data_Archived_Tables","KEEP",$C1327="EU_Data","KEEP",TRUE,"REVIEW"),OR($A1327="thg-influencer",$A1327="thg-ingenuity",$A1327="thg-central-marketing",$A1327="thg-seoclarity"),"HOLD",TRUE,"")</f>
        <v>HOLD</v>
      </c>
      <c r="R1327" t="str" cm="1">
        <f t="array" ref="R1327">_xlfn.IFS(AND($A1327="thg-beauty",ISNUMBER(SEARCH("liveramp",$C1327))),"thg-beauty Liveramp dataset — confirmed safe to delete",$A1327="agile-bonbon-662",_xlfn.IFS(LEFT($G1327,9)="Tranche 1","Tranche 1: cleared",$C1327="Sessions_Level_1_All_Sites","Downstream aggregation of UA raw logs — keep if raw tables go",ISNUMBER(--$C1327),"UA raw site logs (account ID) — keep pending audit-retention check",$C1327="Emag_Reporting","Legacy but likely needed",$C1327="Nutrition_Data_Archived_Tables","Worth keeping",$C1327="EU_Data","Static lookup tables — scripts still reference (smoke-test risk)",TRUE,"Review"),OR($A1327="thg-influencer",$A1327="thg-ingenuity",$A1327="thg-central-marketing",$A1327="thg-seoclarity"),"HOLD — Charlie Stringer to review before deletion",TRUE,"")</f>
        <v>HOLD — Charlie Stringer to review before deletion</v>
      </c>
      <c r="S1327" t="s">
        <v>1624</v>
      </c>
    </row>
    <row r="1328" spans="1:19" hidden="1">
      <c r="A1328" t="s">
        <v>38</v>
      </c>
      <c r="B1328" t="s">
        <v>1619</v>
      </c>
      <c r="C1328" t="s">
        <v>3778</v>
      </c>
      <c r="D1328" s="2" t="s">
        <v>1621</v>
      </c>
      <c r="E1328">
        <v>7.54</v>
      </c>
      <c r="F1328">
        <v>0.15</v>
      </c>
      <c r="G1328" t="s">
        <v>3456</v>
      </c>
      <c r="H1328" t="s">
        <v>3457</v>
      </c>
      <c r="I1328">
        <v>581</v>
      </c>
      <c r="J1328">
        <v>581</v>
      </c>
      <c r="M1328" s="2" t="s">
        <v>1715</v>
      </c>
      <c r="N1328" s="2" t="s">
        <v>1701</v>
      </c>
      <c r="O1328" s="5">
        <v>45616.353465486107</v>
      </c>
      <c r="P1328" t="str">
        <f>IF($Q1328="DELETE",IF($S1328="CONFIRMED: NO MODS &gt; 1YR","CONFIRMED: NO MODS &gt; 1YR","DO NOT DELETE — not defensibly confirmed"),IF($Q1328="HOLD","DO NOT DELETE — HOLD (Charlie review)",IF($Q1328="KEEP","DO NOT DELETE — KEEP",IF(ISNUMBER(SEARCH("REVIEW",$Q1328)),"DO NOT DELETE — REVIEW pending",$S1328))))</f>
        <v>DO NOT DELETE — HOLD (Charlie review)</v>
      </c>
      <c r="Q1328" t="str" cm="1">
        <f t="array" ref="Q1328">_xlfn.IFS(AND($A1328="thg-beauty",ISNUMBER(SEARCH("liveramp",$C1328))),"DELETE",$A1328="agile-bonbon-662",_xlfn.IFS(LEFT($G1328,9)="Tranche 1","DELETE",$C1328="Sessions_Level_1_All_Sites","KEEP",ISNUMBER(--$C1328),"REVIEW — UA raw logs",$C1328="Emag_Reporting","KEEP",$C1328="Nutrition_Data_Archived_Tables","KEEP",$C1328="EU_Data","KEEP",TRUE,"REVIEW"),OR($A1328="thg-influencer",$A1328="thg-ingenuity",$A1328="thg-central-marketing",$A1328="thg-seoclarity"),"HOLD",TRUE,"")</f>
        <v>HOLD</v>
      </c>
      <c r="R1328" t="str" cm="1">
        <f t="array" ref="R1328">_xlfn.IFS(AND($A1328="thg-beauty",ISNUMBER(SEARCH("liveramp",$C1328))),"thg-beauty Liveramp dataset — confirmed safe to delete",$A1328="agile-bonbon-662",_xlfn.IFS(LEFT($G1328,9)="Tranche 1","Tranche 1: cleared",$C1328="Sessions_Level_1_All_Sites","Downstream aggregation of UA raw logs — keep if raw tables go",ISNUMBER(--$C1328),"UA raw site logs (account ID) — keep pending audit-retention check",$C1328="Emag_Reporting","Legacy but likely needed",$C1328="Nutrition_Data_Archived_Tables","Worth keeping",$C1328="EU_Data","Static lookup tables — scripts still reference (smoke-test risk)",TRUE,"Review"),OR($A1328="thg-influencer",$A1328="thg-ingenuity",$A1328="thg-central-marketing",$A1328="thg-seoclarity"),"HOLD — Charlie Stringer to review before deletion",TRUE,"")</f>
        <v>HOLD — Charlie Stringer to review before deletion</v>
      </c>
      <c r="S1328" t="s">
        <v>1624</v>
      </c>
    </row>
    <row r="1329" spans="1:19" hidden="1">
      <c r="A1329" t="s">
        <v>38</v>
      </c>
      <c r="B1329" t="s">
        <v>1619</v>
      </c>
      <c r="C1329" t="s">
        <v>3779</v>
      </c>
      <c r="D1329" s="2" t="s">
        <v>1621</v>
      </c>
      <c r="E1329">
        <v>0.01</v>
      </c>
      <c r="F1329">
        <v>0</v>
      </c>
      <c r="G1329" t="s">
        <v>3456</v>
      </c>
      <c r="H1329" t="s">
        <v>3457</v>
      </c>
      <c r="I1329">
        <v>579</v>
      </c>
      <c r="J1329">
        <v>579</v>
      </c>
      <c r="M1329" s="2" t="s">
        <v>1715</v>
      </c>
      <c r="N1329" s="2" t="s">
        <v>1701</v>
      </c>
      <c r="O1329" s="5">
        <v>45618.43146634259</v>
      </c>
      <c r="P1329" t="str">
        <f>IF($Q1329="DELETE",IF($S1329="CONFIRMED: NO MODS &gt; 1YR","CONFIRMED: NO MODS &gt; 1YR","DO NOT DELETE — not defensibly confirmed"),IF($Q1329="HOLD","DO NOT DELETE — HOLD (Charlie review)",IF($Q1329="KEEP","DO NOT DELETE — KEEP",IF(ISNUMBER(SEARCH("REVIEW",$Q1329)),"DO NOT DELETE — REVIEW pending",$S1329))))</f>
        <v>DO NOT DELETE — HOLD (Charlie review)</v>
      </c>
      <c r="Q1329" t="str" cm="1">
        <f t="array" ref="Q1329">_xlfn.IFS(AND($A1329="thg-beauty",ISNUMBER(SEARCH("liveramp",$C1329))),"DELETE",$A1329="agile-bonbon-662",_xlfn.IFS(LEFT($G1329,9)="Tranche 1","DELETE",$C1329="Sessions_Level_1_All_Sites","KEEP",ISNUMBER(--$C1329),"REVIEW — UA raw logs",$C1329="Emag_Reporting","KEEP",$C1329="Nutrition_Data_Archived_Tables","KEEP",$C1329="EU_Data","KEEP",TRUE,"REVIEW"),OR($A1329="thg-influencer",$A1329="thg-ingenuity",$A1329="thg-central-marketing",$A1329="thg-seoclarity"),"HOLD",TRUE,"")</f>
        <v>HOLD</v>
      </c>
      <c r="R1329" t="str" cm="1">
        <f t="array" ref="R1329">_xlfn.IFS(AND($A1329="thg-beauty",ISNUMBER(SEARCH("liveramp",$C1329))),"thg-beauty Liveramp dataset — confirmed safe to delete",$A1329="agile-bonbon-662",_xlfn.IFS(LEFT($G1329,9)="Tranche 1","Tranche 1: cleared",$C1329="Sessions_Level_1_All_Sites","Downstream aggregation of UA raw logs — keep if raw tables go",ISNUMBER(--$C1329),"UA raw site logs (account ID) — keep pending audit-retention check",$C1329="Emag_Reporting","Legacy but likely needed",$C1329="Nutrition_Data_Archived_Tables","Worth keeping",$C1329="EU_Data","Static lookup tables — scripts still reference (smoke-test risk)",TRUE,"Review"),OR($A1329="thg-influencer",$A1329="thg-ingenuity",$A1329="thg-central-marketing",$A1329="thg-seoclarity"),"HOLD — Charlie Stringer to review before deletion",TRUE,"")</f>
        <v>HOLD — Charlie Stringer to review before deletion</v>
      </c>
      <c r="S1329" t="s">
        <v>1624</v>
      </c>
    </row>
    <row r="1330" spans="1:19" hidden="1">
      <c r="A1330" t="s">
        <v>38</v>
      </c>
      <c r="B1330" t="s">
        <v>1619</v>
      </c>
      <c r="C1330" t="s">
        <v>3780</v>
      </c>
      <c r="D1330" s="2" t="s">
        <v>1621</v>
      </c>
      <c r="E1330">
        <v>1.7</v>
      </c>
      <c r="F1330">
        <v>0.03</v>
      </c>
      <c r="G1330" t="s">
        <v>3456</v>
      </c>
      <c r="H1330" t="s">
        <v>3457</v>
      </c>
      <c r="I1330">
        <v>575</v>
      </c>
      <c r="J1330">
        <v>575</v>
      </c>
      <c r="M1330" s="2" t="s">
        <v>1715</v>
      </c>
      <c r="N1330" s="2" t="s">
        <v>1701</v>
      </c>
      <c r="O1330" s="5">
        <v>45622.428787372693</v>
      </c>
      <c r="P1330" t="str">
        <f>IF($Q1330="DELETE",IF($S1330="CONFIRMED: NO MODS &gt; 1YR","CONFIRMED: NO MODS &gt; 1YR","DO NOT DELETE — not defensibly confirmed"),IF($Q1330="HOLD","DO NOT DELETE — HOLD (Charlie review)",IF($Q1330="KEEP","DO NOT DELETE — KEEP",IF(ISNUMBER(SEARCH("REVIEW",$Q1330)),"DO NOT DELETE — REVIEW pending",$S1330))))</f>
        <v>DO NOT DELETE — HOLD (Charlie review)</v>
      </c>
      <c r="Q1330" t="str" cm="1">
        <f t="array" ref="Q1330">_xlfn.IFS(AND($A1330="thg-beauty",ISNUMBER(SEARCH("liveramp",$C1330))),"DELETE",$A1330="agile-bonbon-662",_xlfn.IFS(LEFT($G1330,9)="Tranche 1","DELETE",$C1330="Sessions_Level_1_All_Sites","KEEP",ISNUMBER(--$C1330),"REVIEW — UA raw logs",$C1330="Emag_Reporting","KEEP",$C1330="Nutrition_Data_Archived_Tables","KEEP",$C1330="EU_Data","KEEP",TRUE,"REVIEW"),OR($A1330="thg-influencer",$A1330="thg-ingenuity",$A1330="thg-central-marketing",$A1330="thg-seoclarity"),"HOLD",TRUE,"")</f>
        <v>HOLD</v>
      </c>
      <c r="R1330" t="str" cm="1">
        <f t="array" ref="R1330">_xlfn.IFS(AND($A1330="thg-beauty",ISNUMBER(SEARCH("liveramp",$C1330))),"thg-beauty Liveramp dataset — confirmed safe to delete",$A1330="agile-bonbon-662",_xlfn.IFS(LEFT($G1330,9)="Tranche 1","Tranche 1: cleared",$C1330="Sessions_Level_1_All_Sites","Downstream aggregation of UA raw logs — keep if raw tables go",ISNUMBER(--$C1330),"UA raw site logs (account ID) — keep pending audit-retention check",$C1330="Emag_Reporting","Legacy but likely needed",$C1330="Nutrition_Data_Archived_Tables","Worth keeping",$C1330="EU_Data","Static lookup tables — scripts still reference (smoke-test risk)",TRUE,"Review"),OR($A1330="thg-influencer",$A1330="thg-ingenuity",$A1330="thg-central-marketing",$A1330="thg-seoclarity"),"HOLD — Charlie Stringer to review before deletion",TRUE,"")</f>
        <v>HOLD — Charlie Stringer to review before deletion</v>
      </c>
      <c r="S1330" t="s">
        <v>1624</v>
      </c>
    </row>
    <row r="1331" spans="1:19" hidden="1">
      <c r="A1331" t="s">
        <v>38</v>
      </c>
      <c r="B1331" t="s">
        <v>1619</v>
      </c>
      <c r="C1331" t="s">
        <v>3781</v>
      </c>
      <c r="D1331" s="2" t="s">
        <v>1621</v>
      </c>
      <c r="E1331">
        <v>7.0000000000000007E-2</v>
      </c>
      <c r="F1331">
        <v>0</v>
      </c>
      <c r="G1331" t="s">
        <v>3456</v>
      </c>
      <c r="H1331" t="s">
        <v>3457</v>
      </c>
      <c r="I1331">
        <v>574</v>
      </c>
      <c r="J1331">
        <v>574</v>
      </c>
      <c r="M1331" s="2" t="s">
        <v>1715</v>
      </c>
      <c r="N1331" s="2" t="s">
        <v>1701</v>
      </c>
      <c r="O1331" s="5">
        <v>45623.427733020842</v>
      </c>
      <c r="P1331" t="str">
        <f>IF($Q1331="DELETE",IF($S1331="CONFIRMED: NO MODS &gt; 1YR","CONFIRMED: NO MODS &gt; 1YR","DO NOT DELETE — not defensibly confirmed"),IF($Q1331="HOLD","DO NOT DELETE — HOLD (Charlie review)",IF($Q1331="KEEP","DO NOT DELETE — KEEP",IF(ISNUMBER(SEARCH("REVIEW",$Q1331)),"DO NOT DELETE — REVIEW pending",$S1331))))</f>
        <v>DO NOT DELETE — HOLD (Charlie review)</v>
      </c>
      <c r="Q1331" t="str" cm="1">
        <f t="array" ref="Q1331">_xlfn.IFS(AND($A1331="thg-beauty",ISNUMBER(SEARCH("liveramp",$C1331))),"DELETE",$A1331="agile-bonbon-662",_xlfn.IFS(LEFT($G1331,9)="Tranche 1","DELETE",$C1331="Sessions_Level_1_All_Sites","KEEP",ISNUMBER(--$C1331),"REVIEW — UA raw logs",$C1331="Emag_Reporting","KEEP",$C1331="Nutrition_Data_Archived_Tables","KEEP",$C1331="EU_Data","KEEP",TRUE,"REVIEW"),OR($A1331="thg-influencer",$A1331="thg-ingenuity",$A1331="thg-central-marketing",$A1331="thg-seoclarity"),"HOLD",TRUE,"")</f>
        <v>HOLD</v>
      </c>
      <c r="R1331" t="str" cm="1">
        <f t="array" ref="R1331">_xlfn.IFS(AND($A1331="thg-beauty",ISNUMBER(SEARCH("liveramp",$C1331))),"thg-beauty Liveramp dataset — confirmed safe to delete",$A1331="agile-bonbon-662",_xlfn.IFS(LEFT($G1331,9)="Tranche 1","Tranche 1: cleared",$C1331="Sessions_Level_1_All_Sites","Downstream aggregation of UA raw logs — keep if raw tables go",ISNUMBER(--$C1331),"UA raw site logs (account ID) — keep pending audit-retention check",$C1331="Emag_Reporting","Legacy but likely needed",$C1331="Nutrition_Data_Archived_Tables","Worth keeping",$C1331="EU_Data","Static lookup tables — scripts still reference (smoke-test risk)",TRUE,"Review"),OR($A1331="thg-influencer",$A1331="thg-ingenuity",$A1331="thg-central-marketing",$A1331="thg-seoclarity"),"HOLD — Charlie Stringer to review before deletion",TRUE,"")</f>
        <v>HOLD — Charlie Stringer to review before deletion</v>
      </c>
      <c r="S1331" t="s">
        <v>1624</v>
      </c>
    </row>
    <row r="1332" spans="1:19" hidden="1">
      <c r="A1332" t="s">
        <v>38</v>
      </c>
      <c r="B1332" t="s">
        <v>1619</v>
      </c>
      <c r="C1332" t="s">
        <v>3782</v>
      </c>
      <c r="D1332" s="2" t="s">
        <v>1621</v>
      </c>
      <c r="E1332">
        <v>29.47</v>
      </c>
      <c r="F1332">
        <v>0.59</v>
      </c>
      <c r="G1332" t="s">
        <v>3456</v>
      </c>
      <c r="H1332" t="s">
        <v>3457</v>
      </c>
      <c r="I1332">
        <v>572</v>
      </c>
      <c r="J1332">
        <v>572</v>
      </c>
      <c r="M1332" s="2" t="s">
        <v>1715</v>
      </c>
      <c r="N1332" s="2" t="s">
        <v>1701</v>
      </c>
      <c r="O1332" s="5">
        <v>45625.432957534722</v>
      </c>
      <c r="P1332" t="str">
        <f>IF($Q1332="DELETE",IF($S1332="CONFIRMED: NO MODS &gt; 1YR","CONFIRMED: NO MODS &gt; 1YR","DO NOT DELETE — not defensibly confirmed"),IF($Q1332="HOLD","DO NOT DELETE — HOLD (Charlie review)",IF($Q1332="KEEP","DO NOT DELETE — KEEP",IF(ISNUMBER(SEARCH("REVIEW",$Q1332)),"DO NOT DELETE — REVIEW pending",$S1332))))</f>
        <v>DO NOT DELETE — HOLD (Charlie review)</v>
      </c>
      <c r="Q1332" t="str" cm="1">
        <f t="array" ref="Q1332">_xlfn.IFS(AND($A1332="thg-beauty",ISNUMBER(SEARCH("liveramp",$C1332))),"DELETE",$A1332="agile-bonbon-662",_xlfn.IFS(LEFT($G1332,9)="Tranche 1","DELETE",$C1332="Sessions_Level_1_All_Sites","KEEP",ISNUMBER(--$C1332),"REVIEW — UA raw logs",$C1332="Emag_Reporting","KEEP",$C1332="Nutrition_Data_Archived_Tables","KEEP",$C1332="EU_Data","KEEP",TRUE,"REVIEW"),OR($A1332="thg-influencer",$A1332="thg-ingenuity",$A1332="thg-central-marketing",$A1332="thg-seoclarity"),"HOLD",TRUE,"")</f>
        <v>HOLD</v>
      </c>
      <c r="R1332" t="str" cm="1">
        <f t="array" ref="R1332">_xlfn.IFS(AND($A1332="thg-beauty",ISNUMBER(SEARCH("liveramp",$C1332))),"thg-beauty Liveramp dataset — confirmed safe to delete",$A1332="agile-bonbon-662",_xlfn.IFS(LEFT($G1332,9)="Tranche 1","Tranche 1: cleared",$C1332="Sessions_Level_1_All_Sites","Downstream aggregation of UA raw logs — keep if raw tables go",ISNUMBER(--$C1332),"UA raw site logs (account ID) — keep pending audit-retention check",$C1332="Emag_Reporting","Legacy but likely needed",$C1332="Nutrition_Data_Archived_Tables","Worth keeping",$C1332="EU_Data","Static lookup tables — scripts still reference (smoke-test risk)",TRUE,"Review"),OR($A1332="thg-influencer",$A1332="thg-ingenuity",$A1332="thg-central-marketing",$A1332="thg-seoclarity"),"HOLD — Charlie Stringer to review before deletion",TRUE,"")</f>
        <v>HOLD — Charlie Stringer to review before deletion</v>
      </c>
      <c r="S1332" t="s">
        <v>1624</v>
      </c>
    </row>
    <row r="1333" spans="1:19" hidden="1">
      <c r="A1333" t="s">
        <v>38</v>
      </c>
      <c r="B1333" t="s">
        <v>1619</v>
      </c>
      <c r="C1333" t="s">
        <v>3783</v>
      </c>
      <c r="D1333" s="2" t="s">
        <v>1621</v>
      </c>
      <c r="E1333">
        <v>15.81</v>
      </c>
      <c r="F1333">
        <v>0.32</v>
      </c>
      <c r="G1333" t="s">
        <v>3456</v>
      </c>
      <c r="H1333" t="s">
        <v>3457</v>
      </c>
      <c r="I1333">
        <v>562</v>
      </c>
      <c r="J1333">
        <v>562</v>
      </c>
      <c r="M1333" s="2" t="s">
        <v>1715</v>
      </c>
      <c r="N1333" s="2" t="s">
        <v>1701</v>
      </c>
      <c r="O1333" s="5">
        <v>45635.380750335651</v>
      </c>
      <c r="P1333" t="str">
        <f>IF($Q1333="DELETE",IF($S1333="CONFIRMED: NO MODS &gt; 1YR","CONFIRMED: NO MODS &gt; 1YR","DO NOT DELETE — not defensibly confirmed"),IF($Q1333="HOLD","DO NOT DELETE — HOLD (Charlie review)",IF($Q1333="KEEP","DO NOT DELETE — KEEP",IF(ISNUMBER(SEARCH("REVIEW",$Q1333)),"DO NOT DELETE — REVIEW pending",$S1333))))</f>
        <v>DO NOT DELETE — HOLD (Charlie review)</v>
      </c>
      <c r="Q1333" t="str" cm="1">
        <f t="array" ref="Q1333">_xlfn.IFS(AND($A1333="thg-beauty",ISNUMBER(SEARCH("liveramp",$C1333))),"DELETE",$A1333="agile-bonbon-662",_xlfn.IFS(LEFT($G1333,9)="Tranche 1","DELETE",$C1333="Sessions_Level_1_All_Sites","KEEP",ISNUMBER(--$C1333),"REVIEW — UA raw logs",$C1333="Emag_Reporting","KEEP",$C1333="Nutrition_Data_Archived_Tables","KEEP",$C1333="EU_Data","KEEP",TRUE,"REVIEW"),OR($A1333="thg-influencer",$A1333="thg-ingenuity",$A1333="thg-central-marketing",$A1333="thg-seoclarity"),"HOLD",TRUE,"")</f>
        <v>HOLD</v>
      </c>
      <c r="R1333" t="str" cm="1">
        <f t="array" ref="R1333">_xlfn.IFS(AND($A1333="thg-beauty",ISNUMBER(SEARCH("liveramp",$C1333))),"thg-beauty Liveramp dataset — confirmed safe to delete",$A1333="agile-bonbon-662",_xlfn.IFS(LEFT($G1333,9)="Tranche 1","Tranche 1: cleared",$C1333="Sessions_Level_1_All_Sites","Downstream aggregation of UA raw logs — keep if raw tables go",ISNUMBER(--$C1333),"UA raw site logs (account ID) — keep pending audit-retention check",$C1333="Emag_Reporting","Legacy but likely needed",$C1333="Nutrition_Data_Archived_Tables","Worth keeping",$C1333="EU_Data","Static lookup tables — scripts still reference (smoke-test risk)",TRUE,"Review"),OR($A1333="thg-influencer",$A1333="thg-ingenuity",$A1333="thg-central-marketing",$A1333="thg-seoclarity"),"HOLD — Charlie Stringer to review before deletion",TRUE,"")</f>
        <v>HOLD — Charlie Stringer to review before deletion</v>
      </c>
      <c r="S1333" t="s">
        <v>1624</v>
      </c>
    </row>
    <row r="1334" spans="1:19" hidden="1">
      <c r="A1334" t="s">
        <v>38</v>
      </c>
      <c r="B1334" t="s">
        <v>1619</v>
      </c>
      <c r="C1334" t="s">
        <v>3784</v>
      </c>
      <c r="D1334" s="2" t="s">
        <v>1621</v>
      </c>
      <c r="E1334">
        <v>8.44</v>
      </c>
      <c r="F1334">
        <v>0.17</v>
      </c>
      <c r="G1334" t="s">
        <v>3456</v>
      </c>
      <c r="H1334" t="s">
        <v>3457</v>
      </c>
      <c r="I1334">
        <v>512</v>
      </c>
      <c r="J1334">
        <v>512</v>
      </c>
      <c r="M1334" s="2" t="s">
        <v>1715</v>
      </c>
      <c r="N1334" s="2" t="s">
        <v>1701</v>
      </c>
      <c r="O1334" s="5">
        <v>45685.434368229173</v>
      </c>
      <c r="P1334" t="str">
        <f>IF($Q1334="DELETE",IF($S1334="CONFIRMED: NO MODS &gt; 1YR","CONFIRMED: NO MODS &gt; 1YR","DO NOT DELETE — not defensibly confirmed"),IF($Q1334="HOLD","DO NOT DELETE — HOLD (Charlie review)",IF($Q1334="KEEP","DO NOT DELETE — KEEP",IF(ISNUMBER(SEARCH("REVIEW",$Q1334)),"DO NOT DELETE — REVIEW pending",$S1334))))</f>
        <v>DO NOT DELETE — HOLD (Charlie review)</v>
      </c>
      <c r="Q1334" t="str" cm="1">
        <f t="array" ref="Q1334">_xlfn.IFS(AND($A1334="thg-beauty",ISNUMBER(SEARCH("liveramp",$C1334))),"DELETE",$A1334="agile-bonbon-662",_xlfn.IFS(LEFT($G1334,9)="Tranche 1","DELETE",$C1334="Sessions_Level_1_All_Sites","KEEP",ISNUMBER(--$C1334),"REVIEW — UA raw logs",$C1334="Emag_Reporting","KEEP",$C1334="Nutrition_Data_Archived_Tables","KEEP",$C1334="EU_Data","KEEP",TRUE,"REVIEW"),OR($A1334="thg-influencer",$A1334="thg-ingenuity",$A1334="thg-central-marketing",$A1334="thg-seoclarity"),"HOLD",TRUE,"")</f>
        <v>HOLD</v>
      </c>
      <c r="R1334" t="str" cm="1">
        <f t="array" ref="R1334">_xlfn.IFS(AND($A1334="thg-beauty",ISNUMBER(SEARCH("liveramp",$C1334))),"thg-beauty Liveramp dataset — confirmed safe to delete",$A1334="agile-bonbon-662",_xlfn.IFS(LEFT($G1334,9)="Tranche 1","Tranche 1: cleared",$C1334="Sessions_Level_1_All_Sites","Downstream aggregation of UA raw logs — keep if raw tables go",ISNUMBER(--$C1334),"UA raw site logs (account ID) — keep pending audit-retention check",$C1334="Emag_Reporting","Legacy but likely needed",$C1334="Nutrition_Data_Archived_Tables","Worth keeping",$C1334="EU_Data","Static lookup tables — scripts still reference (smoke-test risk)",TRUE,"Review"),OR($A1334="thg-influencer",$A1334="thg-ingenuity",$A1334="thg-central-marketing",$A1334="thg-seoclarity"),"HOLD — Charlie Stringer to review before deletion",TRUE,"")</f>
        <v>HOLD — Charlie Stringer to review before deletion</v>
      </c>
      <c r="S1334" t="s">
        <v>1624</v>
      </c>
    </row>
    <row r="1335" spans="1:19" hidden="1">
      <c r="A1335" t="s">
        <v>38</v>
      </c>
      <c r="B1335" t="s">
        <v>1619</v>
      </c>
      <c r="C1335" t="s">
        <v>3785</v>
      </c>
      <c r="D1335" s="2" t="s">
        <v>1621</v>
      </c>
      <c r="E1335">
        <v>40.19</v>
      </c>
      <c r="F1335">
        <v>0.8</v>
      </c>
      <c r="G1335" t="s">
        <v>3456</v>
      </c>
      <c r="H1335" t="s">
        <v>3457</v>
      </c>
      <c r="I1335">
        <v>503</v>
      </c>
      <c r="J1335">
        <v>503</v>
      </c>
      <c r="M1335" s="2" t="s">
        <v>1715</v>
      </c>
      <c r="N1335" s="2" t="s">
        <v>1701</v>
      </c>
      <c r="O1335" s="5">
        <v>45694.251497500001</v>
      </c>
      <c r="P1335" t="str">
        <f>IF($Q1335="DELETE",IF($S1335="CONFIRMED: NO MODS &gt; 1YR","CONFIRMED: NO MODS &gt; 1YR","DO NOT DELETE — not defensibly confirmed"),IF($Q1335="HOLD","DO NOT DELETE — HOLD (Charlie review)",IF($Q1335="KEEP","DO NOT DELETE — KEEP",IF(ISNUMBER(SEARCH("REVIEW",$Q1335)),"DO NOT DELETE — REVIEW pending",$S1335))))</f>
        <v>DO NOT DELETE — HOLD (Charlie review)</v>
      </c>
      <c r="Q1335" t="str" cm="1">
        <f t="array" ref="Q1335">_xlfn.IFS(AND($A1335="thg-beauty",ISNUMBER(SEARCH("liveramp",$C1335))),"DELETE",$A1335="agile-bonbon-662",_xlfn.IFS(LEFT($G1335,9)="Tranche 1","DELETE",$C1335="Sessions_Level_1_All_Sites","KEEP",ISNUMBER(--$C1335),"REVIEW — UA raw logs",$C1335="Emag_Reporting","KEEP",$C1335="Nutrition_Data_Archived_Tables","KEEP",$C1335="EU_Data","KEEP",TRUE,"REVIEW"),OR($A1335="thg-influencer",$A1335="thg-ingenuity",$A1335="thg-central-marketing",$A1335="thg-seoclarity"),"HOLD",TRUE,"")</f>
        <v>HOLD</v>
      </c>
      <c r="R1335" t="str" cm="1">
        <f t="array" ref="R1335">_xlfn.IFS(AND($A1335="thg-beauty",ISNUMBER(SEARCH("liveramp",$C1335))),"thg-beauty Liveramp dataset — confirmed safe to delete",$A1335="agile-bonbon-662",_xlfn.IFS(LEFT($G1335,9)="Tranche 1","Tranche 1: cleared",$C1335="Sessions_Level_1_All_Sites","Downstream aggregation of UA raw logs — keep if raw tables go",ISNUMBER(--$C1335),"UA raw site logs (account ID) — keep pending audit-retention check",$C1335="Emag_Reporting","Legacy but likely needed",$C1335="Nutrition_Data_Archived_Tables","Worth keeping",$C1335="EU_Data","Static lookup tables — scripts still reference (smoke-test risk)",TRUE,"Review"),OR($A1335="thg-influencer",$A1335="thg-ingenuity",$A1335="thg-central-marketing",$A1335="thg-seoclarity"),"HOLD — Charlie Stringer to review before deletion",TRUE,"")</f>
        <v>HOLD — Charlie Stringer to review before deletion</v>
      </c>
      <c r="S1335" t="s">
        <v>1624</v>
      </c>
    </row>
    <row r="1336" spans="1:19" hidden="1">
      <c r="A1336" t="s">
        <v>38</v>
      </c>
      <c r="B1336" t="s">
        <v>1619</v>
      </c>
      <c r="C1336" t="s">
        <v>3786</v>
      </c>
      <c r="D1336" s="2" t="s">
        <v>1621</v>
      </c>
      <c r="E1336">
        <v>6.59</v>
      </c>
      <c r="F1336">
        <v>0.13</v>
      </c>
      <c r="G1336" t="s">
        <v>3456</v>
      </c>
      <c r="H1336" t="s">
        <v>3457</v>
      </c>
      <c r="I1336">
        <v>498</v>
      </c>
      <c r="J1336">
        <v>498</v>
      </c>
      <c r="M1336" s="2" t="s">
        <v>1715</v>
      </c>
      <c r="N1336" s="2" t="s">
        <v>1701</v>
      </c>
      <c r="O1336" s="5">
        <v>45699.425698356477</v>
      </c>
      <c r="P1336" t="str">
        <f>IF($Q1336="DELETE",IF($S1336="CONFIRMED: NO MODS &gt; 1YR","CONFIRMED: NO MODS &gt; 1YR","DO NOT DELETE — not defensibly confirmed"),IF($Q1336="HOLD","DO NOT DELETE — HOLD (Charlie review)",IF($Q1336="KEEP","DO NOT DELETE — KEEP",IF(ISNUMBER(SEARCH("REVIEW",$Q1336)),"DO NOT DELETE — REVIEW pending",$S1336))))</f>
        <v>DO NOT DELETE — HOLD (Charlie review)</v>
      </c>
      <c r="Q1336" t="str" cm="1">
        <f t="array" ref="Q1336">_xlfn.IFS(AND($A1336="thg-beauty",ISNUMBER(SEARCH("liveramp",$C1336))),"DELETE",$A1336="agile-bonbon-662",_xlfn.IFS(LEFT($G1336,9)="Tranche 1","DELETE",$C1336="Sessions_Level_1_All_Sites","KEEP",ISNUMBER(--$C1336),"REVIEW — UA raw logs",$C1336="Emag_Reporting","KEEP",$C1336="Nutrition_Data_Archived_Tables","KEEP",$C1336="EU_Data","KEEP",TRUE,"REVIEW"),OR($A1336="thg-influencer",$A1336="thg-ingenuity",$A1336="thg-central-marketing",$A1336="thg-seoclarity"),"HOLD",TRUE,"")</f>
        <v>HOLD</v>
      </c>
      <c r="R1336" t="str" cm="1">
        <f t="array" ref="R1336">_xlfn.IFS(AND($A1336="thg-beauty",ISNUMBER(SEARCH("liveramp",$C1336))),"thg-beauty Liveramp dataset — confirmed safe to delete",$A1336="agile-bonbon-662",_xlfn.IFS(LEFT($G1336,9)="Tranche 1","Tranche 1: cleared",$C1336="Sessions_Level_1_All_Sites","Downstream aggregation of UA raw logs — keep if raw tables go",ISNUMBER(--$C1336),"UA raw site logs (account ID) — keep pending audit-retention check",$C1336="Emag_Reporting","Legacy but likely needed",$C1336="Nutrition_Data_Archived_Tables","Worth keeping",$C1336="EU_Data","Static lookup tables — scripts still reference (smoke-test risk)",TRUE,"Review"),OR($A1336="thg-influencer",$A1336="thg-ingenuity",$A1336="thg-central-marketing",$A1336="thg-seoclarity"),"HOLD — Charlie Stringer to review before deletion",TRUE,"")</f>
        <v>HOLD — Charlie Stringer to review before deletion</v>
      </c>
      <c r="S1336" t="s">
        <v>1624</v>
      </c>
    </row>
    <row r="1337" spans="1:19" hidden="1">
      <c r="A1337" t="s">
        <v>38</v>
      </c>
      <c r="B1337" t="s">
        <v>1619</v>
      </c>
      <c r="C1337" t="s">
        <v>3787</v>
      </c>
      <c r="D1337" s="2" t="s">
        <v>1621</v>
      </c>
      <c r="E1337">
        <v>0.04</v>
      </c>
      <c r="F1337">
        <v>0</v>
      </c>
      <c r="G1337" t="s">
        <v>3456</v>
      </c>
      <c r="H1337" t="s">
        <v>3457</v>
      </c>
      <c r="I1337">
        <v>495</v>
      </c>
      <c r="J1337">
        <v>495</v>
      </c>
      <c r="M1337" s="2" t="s">
        <v>1715</v>
      </c>
      <c r="N1337" s="2" t="s">
        <v>1701</v>
      </c>
      <c r="O1337" s="5">
        <v>45702.420805532412</v>
      </c>
      <c r="P1337" t="str">
        <f>IF($Q1337="DELETE",IF($S1337="CONFIRMED: NO MODS &gt; 1YR","CONFIRMED: NO MODS &gt; 1YR","DO NOT DELETE — not defensibly confirmed"),IF($Q1337="HOLD","DO NOT DELETE — HOLD (Charlie review)",IF($Q1337="KEEP","DO NOT DELETE — KEEP",IF(ISNUMBER(SEARCH("REVIEW",$Q1337)),"DO NOT DELETE — REVIEW pending",$S1337))))</f>
        <v>DO NOT DELETE — HOLD (Charlie review)</v>
      </c>
      <c r="Q1337" t="str" cm="1">
        <f t="array" ref="Q1337">_xlfn.IFS(AND($A1337="thg-beauty",ISNUMBER(SEARCH("liveramp",$C1337))),"DELETE",$A1337="agile-bonbon-662",_xlfn.IFS(LEFT($G1337,9)="Tranche 1","DELETE",$C1337="Sessions_Level_1_All_Sites","KEEP",ISNUMBER(--$C1337),"REVIEW — UA raw logs",$C1337="Emag_Reporting","KEEP",$C1337="Nutrition_Data_Archived_Tables","KEEP",$C1337="EU_Data","KEEP",TRUE,"REVIEW"),OR($A1337="thg-influencer",$A1337="thg-ingenuity",$A1337="thg-central-marketing",$A1337="thg-seoclarity"),"HOLD",TRUE,"")</f>
        <v>HOLD</v>
      </c>
      <c r="R1337" t="str" cm="1">
        <f t="array" ref="R1337">_xlfn.IFS(AND($A1337="thg-beauty",ISNUMBER(SEARCH("liveramp",$C1337))),"thg-beauty Liveramp dataset — confirmed safe to delete",$A1337="agile-bonbon-662",_xlfn.IFS(LEFT($G1337,9)="Tranche 1","Tranche 1: cleared",$C1337="Sessions_Level_1_All_Sites","Downstream aggregation of UA raw logs — keep if raw tables go",ISNUMBER(--$C1337),"UA raw site logs (account ID) — keep pending audit-retention check",$C1337="Emag_Reporting","Legacy but likely needed",$C1337="Nutrition_Data_Archived_Tables","Worth keeping",$C1337="EU_Data","Static lookup tables — scripts still reference (smoke-test risk)",TRUE,"Review"),OR($A1337="thg-influencer",$A1337="thg-ingenuity",$A1337="thg-central-marketing",$A1337="thg-seoclarity"),"HOLD — Charlie Stringer to review before deletion",TRUE,"")</f>
        <v>HOLD — Charlie Stringer to review before deletion</v>
      </c>
      <c r="S1337" t="s">
        <v>1624</v>
      </c>
    </row>
    <row r="1338" spans="1:19" hidden="1">
      <c r="A1338" t="s">
        <v>38</v>
      </c>
      <c r="B1338" t="s">
        <v>1619</v>
      </c>
      <c r="C1338" t="s">
        <v>3788</v>
      </c>
      <c r="D1338" s="2" t="s">
        <v>1621</v>
      </c>
      <c r="E1338">
        <v>25.86</v>
      </c>
      <c r="F1338">
        <v>0.52</v>
      </c>
      <c r="G1338" t="s">
        <v>3456</v>
      </c>
      <c r="H1338" t="s">
        <v>3457</v>
      </c>
      <c r="I1338">
        <v>494</v>
      </c>
      <c r="J1338">
        <v>494</v>
      </c>
      <c r="M1338" s="2" t="s">
        <v>1715</v>
      </c>
      <c r="N1338" s="2" t="s">
        <v>1701</v>
      </c>
      <c r="O1338" s="5">
        <v>45703.388981331023</v>
      </c>
      <c r="P1338" t="str">
        <f>IF($Q1338="DELETE",IF($S1338="CONFIRMED: NO MODS &gt; 1YR","CONFIRMED: NO MODS &gt; 1YR","DO NOT DELETE — not defensibly confirmed"),IF($Q1338="HOLD","DO NOT DELETE — HOLD (Charlie review)",IF($Q1338="KEEP","DO NOT DELETE — KEEP",IF(ISNUMBER(SEARCH("REVIEW",$Q1338)),"DO NOT DELETE — REVIEW pending",$S1338))))</f>
        <v>DO NOT DELETE — HOLD (Charlie review)</v>
      </c>
      <c r="Q1338" t="str" cm="1">
        <f t="array" ref="Q1338">_xlfn.IFS(AND($A1338="thg-beauty",ISNUMBER(SEARCH("liveramp",$C1338))),"DELETE",$A1338="agile-bonbon-662",_xlfn.IFS(LEFT($G1338,9)="Tranche 1","DELETE",$C1338="Sessions_Level_1_All_Sites","KEEP",ISNUMBER(--$C1338),"REVIEW — UA raw logs",$C1338="Emag_Reporting","KEEP",$C1338="Nutrition_Data_Archived_Tables","KEEP",$C1338="EU_Data","KEEP",TRUE,"REVIEW"),OR($A1338="thg-influencer",$A1338="thg-ingenuity",$A1338="thg-central-marketing",$A1338="thg-seoclarity"),"HOLD",TRUE,"")</f>
        <v>HOLD</v>
      </c>
      <c r="R1338" t="str" cm="1">
        <f t="array" ref="R1338">_xlfn.IFS(AND($A1338="thg-beauty",ISNUMBER(SEARCH("liveramp",$C1338))),"thg-beauty Liveramp dataset — confirmed safe to delete",$A1338="agile-bonbon-662",_xlfn.IFS(LEFT($G1338,9)="Tranche 1","Tranche 1: cleared",$C1338="Sessions_Level_1_All_Sites","Downstream aggregation of UA raw logs — keep if raw tables go",ISNUMBER(--$C1338),"UA raw site logs (account ID) — keep pending audit-retention check",$C1338="Emag_Reporting","Legacy but likely needed",$C1338="Nutrition_Data_Archived_Tables","Worth keeping",$C1338="EU_Data","Static lookup tables — scripts still reference (smoke-test risk)",TRUE,"Review"),OR($A1338="thg-influencer",$A1338="thg-ingenuity",$A1338="thg-central-marketing",$A1338="thg-seoclarity"),"HOLD — Charlie Stringer to review before deletion",TRUE,"")</f>
        <v>HOLD — Charlie Stringer to review before deletion</v>
      </c>
      <c r="S1338" t="s">
        <v>1624</v>
      </c>
    </row>
    <row r="1339" spans="1:19" hidden="1">
      <c r="A1339" t="s">
        <v>38</v>
      </c>
      <c r="B1339" t="s">
        <v>1619</v>
      </c>
      <c r="C1339" t="s">
        <v>3789</v>
      </c>
      <c r="D1339" s="2" t="s">
        <v>1621</v>
      </c>
      <c r="E1339">
        <v>4.8099999999999996</v>
      </c>
      <c r="F1339">
        <v>0.1</v>
      </c>
      <c r="G1339" t="s">
        <v>3456</v>
      </c>
      <c r="H1339" t="s">
        <v>3457</v>
      </c>
      <c r="I1339">
        <v>494</v>
      </c>
      <c r="J1339">
        <v>494</v>
      </c>
      <c r="M1339" s="2" t="s">
        <v>1715</v>
      </c>
      <c r="N1339" s="2" t="s">
        <v>1701</v>
      </c>
      <c r="O1339" s="5">
        <v>45702.477241840279</v>
      </c>
      <c r="P1339" t="str">
        <f>IF($Q1339="DELETE",IF($S1339="CONFIRMED: NO MODS &gt; 1YR","CONFIRMED: NO MODS &gt; 1YR","DO NOT DELETE — not defensibly confirmed"),IF($Q1339="HOLD","DO NOT DELETE — HOLD (Charlie review)",IF($Q1339="KEEP","DO NOT DELETE — KEEP",IF(ISNUMBER(SEARCH("REVIEW",$Q1339)),"DO NOT DELETE — REVIEW pending",$S1339))))</f>
        <v>DO NOT DELETE — HOLD (Charlie review)</v>
      </c>
      <c r="Q1339" t="str" cm="1">
        <f t="array" ref="Q1339">_xlfn.IFS(AND($A1339="thg-beauty",ISNUMBER(SEARCH("liveramp",$C1339))),"DELETE",$A1339="agile-bonbon-662",_xlfn.IFS(LEFT($G1339,9)="Tranche 1","DELETE",$C1339="Sessions_Level_1_All_Sites","KEEP",ISNUMBER(--$C1339),"REVIEW — UA raw logs",$C1339="Emag_Reporting","KEEP",$C1339="Nutrition_Data_Archived_Tables","KEEP",$C1339="EU_Data","KEEP",TRUE,"REVIEW"),OR($A1339="thg-influencer",$A1339="thg-ingenuity",$A1339="thg-central-marketing",$A1339="thg-seoclarity"),"HOLD",TRUE,"")</f>
        <v>HOLD</v>
      </c>
      <c r="R1339" t="str" cm="1">
        <f t="array" ref="R1339">_xlfn.IFS(AND($A1339="thg-beauty",ISNUMBER(SEARCH("liveramp",$C1339))),"thg-beauty Liveramp dataset — confirmed safe to delete",$A1339="agile-bonbon-662",_xlfn.IFS(LEFT($G1339,9)="Tranche 1","Tranche 1: cleared",$C1339="Sessions_Level_1_All_Sites","Downstream aggregation of UA raw logs — keep if raw tables go",ISNUMBER(--$C1339),"UA raw site logs (account ID) — keep pending audit-retention check",$C1339="Emag_Reporting","Legacy but likely needed",$C1339="Nutrition_Data_Archived_Tables","Worth keeping",$C1339="EU_Data","Static lookup tables — scripts still reference (smoke-test risk)",TRUE,"Review"),OR($A1339="thg-influencer",$A1339="thg-ingenuity",$A1339="thg-central-marketing",$A1339="thg-seoclarity"),"HOLD — Charlie Stringer to review before deletion",TRUE,"")</f>
        <v>HOLD — Charlie Stringer to review before deletion</v>
      </c>
      <c r="S1339" t="s">
        <v>1624</v>
      </c>
    </row>
    <row r="1340" spans="1:19" hidden="1">
      <c r="A1340" t="s">
        <v>38</v>
      </c>
      <c r="B1340" t="s">
        <v>1619</v>
      </c>
      <c r="C1340" t="s">
        <v>3790</v>
      </c>
      <c r="D1340" s="2" t="s">
        <v>1621</v>
      </c>
      <c r="E1340">
        <v>3.73</v>
      </c>
      <c r="F1340">
        <v>7.0000000000000007E-2</v>
      </c>
      <c r="G1340" t="s">
        <v>3456</v>
      </c>
      <c r="H1340" t="s">
        <v>3457</v>
      </c>
      <c r="I1340">
        <v>487</v>
      </c>
      <c r="J1340">
        <v>487</v>
      </c>
      <c r="M1340" s="2" t="s">
        <v>1715</v>
      </c>
      <c r="N1340" s="2" t="s">
        <v>1701</v>
      </c>
      <c r="O1340" s="5">
        <v>45709.463012106477</v>
      </c>
      <c r="P1340" t="str">
        <f>IF($Q1340="DELETE",IF($S1340="CONFIRMED: NO MODS &gt; 1YR","CONFIRMED: NO MODS &gt; 1YR","DO NOT DELETE — not defensibly confirmed"),IF($Q1340="HOLD","DO NOT DELETE — HOLD (Charlie review)",IF($Q1340="KEEP","DO NOT DELETE — KEEP",IF(ISNUMBER(SEARCH("REVIEW",$Q1340)),"DO NOT DELETE — REVIEW pending",$S1340))))</f>
        <v>DO NOT DELETE — HOLD (Charlie review)</v>
      </c>
      <c r="Q1340" t="str" cm="1">
        <f t="array" ref="Q1340">_xlfn.IFS(AND($A1340="thg-beauty",ISNUMBER(SEARCH("liveramp",$C1340))),"DELETE",$A1340="agile-bonbon-662",_xlfn.IFS(LEFT($G1340,9)="Tranche 1","DELETE",$C1340="Sessions_Level_1_All_Sites","KEEP",ISNUMBER(--$C1340),"REVIEW — UA raw logs",$C1340="Emag_Reporting","KEEP",$C1340="Nutrition_Data_Archived_Tables","KEEP",$C1340="EU_Data","KEEP",TRUE,"REVIEW"),OR($A1340="thg-influencer",$A1340="thg-ingenuity",$A1340="thg-central-marketing",$A1340="thg-seoclarity"),"HOLD",TRUE,"")</f>
        <v>HOLD</v>
      </c>
      <c r="R1340" t="str" cm="1">
        <f t="array" ref="R1340">_xlfn.IFS(AND($A1340="thg-beauty",ISNUMBER(SEARCH("liveramp",$C1340))),"thg-beauty Liveramp dataset — confirmed safe to delete",$A1340="agile-bonbon-662",_xlfn.IFS(LEFT($G1340,9)="Tranche 1","Tranche 1: cleared",$C1340="Sessions_Level_1_All_Sites","Downstream aggregation of UA raw logs — keep if raw tables go",ISNUMBER(--$C1340),"UA raw site logs (account ID) — keep pending audit-retention check",$C1340="Emag_Reporting","Legacy but likely needed",$C1340="Nutrition_Data_Archived_Tables","Worth keeping",$C1340="EU_Data","Static lookup tables — scripts still reference (smoke-test risk)",TRUE,"Review"),OR($A1340="thg-influencer",$A1340="thg-ingenuity",$A1340="thg-central-marketing",$A1340="thg-seoclarity"),"HOLD — Charlie Stringer to review before deletion",TRUE,"")</f>
        <v>HOLD — Charlie Stringer to review before deletion</v>
      </c>
      <c r="S1340" t="s">
        <v>1624</v>
      </c>
    </row>
    <row r="1341" spans="1:19" hidden="1">
      <c r="A1341" t="s">
        <v>38</v>
      </c>
      <c r="B1341" t="s">
        <v>1619</v>
      </c>
      <c r="C1341" t="s">
        <v>3791</v>
      </c>
      <c r="D1341" s="2" t="s">
        <v>1621</v>
      </c>
      <c r="E1341">
        <v>99.28</v>
      </c>
      <c r="F1341">
        <v>1.99</v>
      </c>
      <c r="G1341" t="s">
        <v>3456</v>
      </c>
      <c r="H1341" t="s">
        <v>3457</v>
      </c>
      <c r="I1341">
        <v>471</v>
      </c>
      <c r="J1341">
        <v>471</v>
      </c>
      <c r="M1341" s="2" t="s">
        <v>1715</v>
      </c>
      <c r="N1341" s="2" t="s">
        <v>1701</v>
      </c>
      <c r="O1341" s="5">
        <v>45725.782202465278</v>
      </c>
      <c r="P1341" t="str">
        <f>IF($Q1341="DELETE",IF($S1341="CONFIRMED: NO MODS &gt; 1YR","CONFIRMED: NO MODS &gt; 1YR","DO NOT DELETE — not defensibly confirmed"),IF($Q1341="HOLD","DO NOT DELETE — HOLD (Charlie review)",IF($Q1341="KEEP","DO NOT DELETE — KEEP",IF(ISNUMBER(SEARCH("REVIEW",$Q1341)),"DO NOT DELETE — REVIEW pending",$S1341))))</f>
        <v>DO NOT DELETE — HOLD (Charlie review)</v>
      </c>
      <c r="Q1341" t="str" cm="1">
        <f t="array" ref="Q1341">_xlfn.IFS(AND($A1341="thg-beauty",ISNUMBER(SEARCH("liveramp",$C1341))),"DELETE",$A1341="agile-bonbon-662",_xlfn.IFS(LEFT($G1341,9)="Tranche 1","DELETE",$C1341="Sessions_Level_1_All_Sites","KEEP",ISNUMBER(--$C1341),"REVIEW — UA raw logs",$C1341="Emag_Reporting","KEEP",$C1341="Nutrition_Data_Archived_Tables","KEEP",$C1341="EU_Data","KEEP",TRUE,"REVIEW"),OR($A1341="thg-influencer",$A1341="thg-ingenuity",$A1341="thg-central-marketing",$A1341="thg-seoclarity"),"HOLD",TRUE,"")</f>
        <v>HOLD</v>
      </c>
      <c r="R1341" t="str" cm="1">
        <f t="array" ref="R1341">_xlfn.IFS(AND($A1341="thg-beauty",ISNUMBER(SEARCH("liveramp",$C1341))),"thg-beauty Liveramp dataset — confirmed safe to delete",$A1341="agile-bonbon-662",_xlfn.IFS(LEFT($G1341,9)="Tranche 1","Tranche 1: cleared",$C1341="Sessions_Level_1_All_Sites","Downstream aggregation of UA raw logs — keep if raw tables go",ISNUMBER(--$C1341),"UA raw site logs (account ID) — keep pending audit-retention check",$C1341="Emag_Reporting","Legacy but likely needed",$C1341="Nutrition_Data_Archived_Tables","Worth keeping",$C1341="EU_Data","Static lookup tables — scripts still reference (smoke-test risk)",TRUE,"Review"),OR($A1341="thg-influencer",$A1341="thg-ingenuity",$A1341="thg-central-marketing",$A1341="thg-seoclarity"),"HOLD — Charlie Stringer to review before deletion",TRUE,"")</f>
        <v>HOLD — Charlie Stringer to review before deletion</v>
      </c>
      <c r="S1341" t="s">
        <v>1624</v>
      </c>
    </row>
    <row r="1342" spans="1:19" hidden="1">
      <c r="A1342" t="s">
        <v>38</v>
      </c>
      <c r="B1342" t="s">
        <v>1619</v>
      </c>
      <c r="C1342" t="s">
        <v>3792</v>
      </c>
      <c r="D1342" s="2" t="s">
        <v>1621</v>
      </c>
      <c r="E1342">
        <v>80.28</v>
      </c>
      <c r="F1342">
        <v>1.61</v>
      </c>
      <c r="G1342" t="s">
        <v>3456</v>
      </c>
      <c r="H1342" t="s">
        <v>3457</v>
      </c>
      <c r="I1342">
        <v>471</v>
      </c>
      <c r="J1342">
        <v>471</v>
      </c>
      <c r="M1342" s="2" t="s">
        <v>1715</v>
      </c>
      <c r="N1342" s="2" t="s">
        <v>1701</v>
      </c>
      <c r="O1342" s="5">
        <v>45726.439371539353</v>
      </c>
      <c r="P1342" t="str">
        <f>IF($Q1342="DELETE",IF($S1342="CONFIRMED: NO MODS &gt; 1YR","CONFIRMED: NO MODS &gt; 1YR","DO NOT DELETE — not defensibly confirmed"),IF($Q1342="HOLD","DO NOT DELETE — HOLD (Charlie review)",IF($Q1342="KEEP","DO NOT DELETE — KEEP",IF(ISNUMBER(SEARCH("REVIEW",$Q1342)),"DO NOT DELETE — REVIEW pending",$S1342))))</f>
        <v>DO NOT DELETE — HOLD (Charlie review)</v>
      </c>
      <c r="Q1342" t="str" cm="1">
        <f t="array" ref="Q1342">_xlfn.IFS(AND($A1342="thg-beauty",ISNUMBER(SEARCH("liveramp",$C1342))),"DELETE",$A1342="agile-bonbon-662",_xlfn.IFS(LEFT($G1342,9)="Tranche 1","DELETE",$C1342="Sessions_Level_1_All_Sites","KEEP",ISNUMBER(--$C1342),"REVIEW — UA raw logs",$C1342="Emag_Reporting","KEEP",$C1342="Nutrition_Data_Archived_Tables","KEEP",$C1342="EU_Data","KEEP",TRUE,"REVIEW"),OR($A1342="thg-influencer",$A1342="thg-ingenuity",$A1342="thg-central-marketing",$A1342="thg-seoclarity"),"HOLD",TRUE,"")</f>
        <v>HOLD</v>
      </c>
      <c r="R1342" t="str" cm="1">
        <f t="array" ref="R1342">_xlfn.IFS(AND($A1342="thg-beauty",ISNUMBER(SEARCH("liveramp",$C1342))),"thg-beauty Liveramp dataset — confirmed safe to delete",$A1342="agile-bonbon-662",_xlfn.IFS(LEFT($G1342,9)="Tranche 1","Tranche 1: cleared",$C1342="Sessions_Level_1_All_Sites","Downstream aggregation of UA raw logs — keep if raw tables go",ISNUMBER(--$C1342),"UA raw site logs (account ID) — keep pending audit-retention check",$C1342="Emag_Reporting","Legacy but likely needed",$C1342="Nutrition_Data_Archived_Tables","Worth keeping",$C1342="EU_Data","Static lookup tables — scripts still reference (smoke-test risk)",TRUE,"Review"),OR($A1342="thg-influencer",$A1342="thg-ingenuity",$A1342="thg-central-marketing",$A1342="thg-seoclarity"),"HOLD — Charlie Stringer to review before deletion",TRUE,"")</f>
        <v>HOLD — Charlie Stringer to review before deletion</v>
      </c>
      <c r="S1342" t="s">
        <v>1624</v>
      </c>
    </row>
    <row r="1343" spans="1:19" hidden="1">
      <c r="A1343" t="s">
        <v>38</v>
      </c>
      <c r="B1343" t="s">
        <v>1619</v>
      </c>
      <c r="C1343" t="s">
        <v>3793</v>
      </c>
      <c r="D1343" s="2" t="s">
        <v>1621</v>
      </c>
      <c r="E1343">
        <v>4.99</v>
      </c>
      <c r="F1343">
        <v>0.1</v>
      </c>
      <c r="G1343" t="s">
        <v>3456</v>
      </c>
      <c r="H1343" t="s">
        <v>3457</v>
      </c>
      <c r="I1343">
        <v>471</v>
      </c>
      <c r="J1343">
        <v>471</v>
      </c>
      <c r="M1343" s="2" t="s">
        <v>1715</v>
      </c>
      <c r="N1343" s="2" t="s">
        <v>1701</v>
      </c>
      <c r="O1343" s="5">
        <v>45725.747786979169</v>
      </c>
      <c r="P1343" t="str">
        <f>IF($Q1343="DELETE",IF($S1343="CONFIRMED: NO MODS &gt; 1YR","CONFIRMED: NO MODS &gt; 1YR","DO NOT DELETE — not defensibly confirmed"),IF($Q1343="HOLD","DO NOT DELETE — HOLD (Charlie review)",IF($Q1343="KEEP","DO NOT DELETE — KEEP",IF(ISNUMBER(SEARCH("REVIEW",$Q1343)),"DO NOT DELETE — REVIEW pending",$S1343))))</f>
        <v>DO NOT DELETE — HOLD (Charlie review)</v>
      </c>
      <c r="Q1343" t="str" cm="1">
        <f t="array" ref="Q1343">_xlfn.IFS(AND($A1343="thg-beauty",ISNUMBER(SEARCH("liveramp",$C1343))),"DELETE",$A1343="agile-bonbon-662",_xlfn.IFS(LEFT($G1343,9)="Tranche 1","DELETE",$C1343="Sessions_Level_1_All_Sites","KEEP",ISNUMBER(--$C1343),"REVIEW — UA raw logs",$C1343="Emag_Reporting","KEEP",$C1343="Nutrition_Data_Archived_Tables","KEEP",$C1343="EU_Data","KEEP",TRUE,"REVIEW"),OR($A1343="thg-influencer",$A1343="thg-ingenuity",$A1343="thg-central-marketing",$A1343="thg-seoclarity"),"HOLD",TRUE,"")</f>
        <v>HOLD</v>
      </c>
      <c r="R1343" t="str" cm="1">
        <f t="array" ref="R1343">_xlfn.IFS(AND($A1343="thg-beauty",ISNUMBER(SEARCH("liveramp",$C1343))),"thg-beauty Liveramp dataset — confirmed safe to delete",$A1343="agile-bonbon-662",_xlfn.IFS(LEFT($G1343,9)="Tranche 1","Tranche 1: cleared",$C1343="Sessions_Level_1_All_Sites","Downstream aggregation of UA raw logs — keep if raw tables go",ISNUMBER(--$C1343),"UA raw site logs (account ID) — keep pending audit-retention check",$C1343="Emag_Reporting","Legacy but likely needed",$C1343="Nutrition_Data_Archived_Tables","Worth keeping",$C1343="EU_Data","Static lookup tables — scripts still reference (smoke-test risk)",TRUE,"Review"),OR($A1343="thg-influencer",$A1343="thg-ingenuity",$A1343="thg-central-marketing",$A1343="thg-seoclarity"),"HOLD — Charlie Stringer to review before deletion",TRUE,"")</f>
        <v>HOLD — Charlie Stringer to review before deletion</v>
      </c>
      <c r="S1343" t="s">
        <v>1624</v>
      </c>
    </row>
    <row r="1344" spans="1:19" hidden="1">
      <c r="A1344" t="s">
        <v>38</v>
      </c>
      <c r="B1344" t="s">
        <v>1619</v>
      </c>
      <c r="C1344" t="s">
        <v>3794</v>
      </c>
      <c r="D1344" s="2" t="s">
        <v>1621</v>
      </c>
      <c r="E1344">
        <v>56.5</v>
      </c>
      <c r="F1344">
        <v>1.1299999999999999</v>
      </c>
      <c r="G1344" t="s">
        <v>3456</v>
      </c>
      <c r="H1344" t="s">
        <v>3457</v>
      </c>
      <c r="I1344">
        <v>467</v>
      </c>
      <c r="J1344">
        <v>467</v>
      </c>
      <c r="M1344" s="2" t="s">
        <v>1715</v>
      </c>
      <c r="N1344" s="2" t="s">
        <v>1701</v>
      </c>
      <c r="O1344" s="5">
        <v>45729.751062997682</v>
      </c>
      <c r="P1344" t="str">
        <f>IF($Q1344="DELETE",IF($S1344="CONFIRMED: NO MODS &gt; 1YR","CONFIRMED: NO MODS &gt; 1YR","DO NOT DELETE — not defensibly confirmed"),IF($Q1344="HOLD","DO NOT DELETE — HOLD (Charlie review)",IF($Q1344="KEEP","DO NOT DELETE — KEEP",IF(ISNUMBER(SEARCH("REVIEW",$Q1344)),"DO NOT DELETE — REVIEW pending",$S1344))))</f>
        <v>DO NOT DELETE — HOLD (Charlie review)</v>
      </c>
      <c r="Q1344" t="str" cm="1">
        <f t="array" ref="Q1344">_xlfn.IFS(AND($A1344="thg-beauty",ISNUMBER(SEARCH("liveramp",$C1344))),"DELETE",$A1344="agile-bonbon-662",_xlfn.IFS(LEFT($G1344,9)="Tranche 1","DELETE",$C1344="Sessions_Level_1_All_Sites","KEEP",ISNUMBER(--$C1344),"REVIEW — UA raw logs",$C1344="Emag_Reporting","KEEP",$C1344="Nutrition_Data_Archived_Tables","KEEP",$C1344="EU_Data","KEEP",TRUE,"REVIEW"),OR($A1344="thg-influencer",$A1344="thg-ingenuity",$A1344="thg-central-marketing",$A1344="thg-seoclarity"),"HOLD",TRUE,"")</f>
        <v>HOLD</v>
      </c>
      <c r="R1344" t="str" cm="1">
        <f t="array" ref="R1344">_xlfn.IFS(AND($A1344="thg-beauty",ISNUMBER(SEARCH("liveramp",$C1344))),"thg-beauty Liveramp dataset — confirmed safe to delete",$A1344="agile-bonbon-662",_xlfn.IFS(LEFT($G1344,9)="Tranche 1","Tranche 1: cleared",$C1344="Sessions_Level_1_All_Sites","Downstream aggregation of UA raw logs — keep if raw tables go",ISNUMBER(--$C1344),"UA raw site logs (account ID) — keep pending audit-retention check",$C1344="Emag_Reporting","Legacy but likely needed",$C1344="Nutrition_Data_Archived_Tables","Worth keeping",$C1344="EU_Data","Static lookup tables — scripts still reference (smoke-test risk)",TRUE,"Review"),OR($A1344="thg-influencer",$A1344="thg-ingenuity",$A1344="thg-central-marketing",$A1344="thg-seoclarity"),"HOLD — Charlie Stringer to review before deletion",TRUE,"")</f>
        <v>HOLD — Charlie Stringer to review before deletion</v>
      </c>
      <c r="S1344" t="s">
        <v>1624</v>
      </c>
    </row>
    <row r="1345" spans="1:19" hidden="1">
      <c r="A1345" t="s">
        <v>38</v>
      </c>
      <c r="B1345" t="s">
        <v>1619</v>
      </c>
      <c r="C1345" t="s">
        <v>3795</v>
      </c>
      <c r="D1345" s="2" t="s">
        <v>1621</v>
      </c>
      <c r="E1345">
        <v>32.71</v>
      </c>
      <c r="F1345">
        <v>0.65</v>
      </c>
      <c r="G1345" t="s">
        <v>3456</v>
      </c>
      <c r="H1345" t="s">
        <v>3457</v>
      </c>
      <c r="I1345">
        <v>467</v>
      </c>
      <c r="J1345">
        <v>467</v>
      </c>
      <c r="M1345" s="2" t="s">
        <v>1715</v>
      </c>
      <c r="N1345" s="2" t="s">
        <v>1701</v>
      </c>
      <c r="O1345" s="5">
        <v>45729.677288217586</v>
      </c>
      <c r="P1345" t="str">
        <f>IF($Q1345="DELETE",IF($S1345="CONFIRMED: NO MODS &gt; 1YR","CONFIRMED: NO MODS &gt; 1YR","DO NOT DELETE — not defensibly confirmed"),IF($Q1345="HOLD","DO NOT DELETE — HOLD (Charlie review)",IF($Q1345="KEEP","DO NOT DELETE — KEEP",IF(ISNUMBER(SEARCH("REVIEW",$Q1345)),"DO NOT DELETE — REVIEW pending",$S1345))))</f>
        <v>DO NOT DELETE — HOLD (Charlie review)</v>
      </c>
      <c r="Q1345" t="str" cm="1">
        <f t="array" ref="Q1345">_xlfn.IFS(AND($A1345="thg-beauty",ISNUMBER(SEARCH("liveramp",$C1345))),"DELETE",$A1345="agile-bonbon-662",_xlfn.IFS(LEFT($G1345,9)="Tranche 1","DELETE",$C1345="Sessions_Level_1_All_Sites","KEEP",ISNUMBER(--$C1345),"REVIEW — UA raw logs",$C1345="Emag_Reporting","KEEP",$C1345="Nutrition_Data_Archived_Tables","KEEP",$C1345="EU_Data","KEEP",TRUE,"REVIEW"),OR($A1345="thg-influencer",$A1345="thg-ingenuity",$A1345="thg-central-marketing",$A1345="thg-seoclarity"),"HOLD",TRUE,"")</f>
        <v>HOLD</v>
      </c>
      <c r="R1345" t="str" cm="1">
        <f t="array" ref="R1345">_xlfn.IFS(AND($A1345="thg-beauty",ISNUMBER(SEARCH("liveramp",$C1345))),"thg-beauty Liveramp dataset — confirmed safe to delete",$A1345="agile-bonbon-662",_xlfn.IFS(LEFT($G1345,9)="Tranche 1","Tranche 1: cleared",$C1345="Sessions_Level_1_All_Sites","Downstream aggregation of UA raw logs — keep if raw tables go",ISNUMBER(--$C1345),"UA raw site logs (account ID) — keep pending audit-retention check",$C1345="Emag_Reporting","Legacy but likely needed",$C1345="Nutrition_Data_Archived_Tables","Worth keeping",$C1345="EU_Data","Static lookup tables — scripts still reference (smoke-test risk)",TRUE,"Review"),OR($A1345="thg-influencer",$A1345="thg-ingenuity",$A1345="thg-central-marketing",$A1345="thg-seoclarity"),"HOLD — Charlie Stringer to review before deletion",TRUE,"")</f>
        <v>HOLD — Charlie Stringer to review before deletion</v>
      </c>
      <c r="S1345" t="s">
        <v>1624</v>
      </c>
    </row>
    <row r="1346" spans="1:19" hidden="1">
      <c r="A1346" t="s">
        <v>38</v>
      </c>
      <c r="B1346" t="s">
        <v>1619</v>
      </c>
      <c r="C1346" t="s">
        <v>3796</v>
      </c>
      <c r="D1346" s="2" t="s">
        <v>1621</v>
      </c>
      <c r="E1346">
        <v>31.72</v>
      </c>
      <c r="F1346">
        <v>0.63</v>
      </c>
      <c r="G1346" t="s">
        <v>3456</v>
      </c>
      <c r="H1346" t="s">
        <v>3457</v>
      </c>
      <c r="I1346">
        <v>467</v>
      </c>
      <c r="J1346">
        <v>467</v>
      </c>
      <c r="M1346" s="2" t="s">
        <v>1715</v>
      </c>
      <c r="N1346" s="2" t="s">
        <v>1701</v>
      </c>
      <c r="O1346" s="5">
        <v>45729.752131284717</v>
      </c>
      <c r="P1346" t="str">
        <f>IF($Q1346="DELETE",IF($S1346="CONFIRMED: NO MODS &gt; 1YR","CONFIRMED: NO MODS &gt; 1YR","DO NOT DELETE — not defensibly confirmed"),IF($Q1346="HOLD","DO NOT DELETE — HOLD (Charlie review)",IF($Q1346="KEEP","DO NOT DELETE — KEEP",IF(ISNUMBER(SEARCH("REVIEW",$Q1346)),"DO NOT DELETE — REVIEW pending",$S1346))))</f>
        <v>DO NOT DELETE — HOLD (Charlie review)</v>
      </c>
      <c r="Q1346" t="str" cm="1">
        <f t="array" ref="Q1346">_xlfn.IFS(AND($A1346="thg-beauty",ISNUMBER(SEARCH("liveramp",$C1346))),"DELETE",$A1346="agile-bonbon-662",_xlfn.IFS(LEFT($G1346,9)="Tranche 1","DELETE",$C1346="Sessions_Level_1_All_Sites","KEEP",ISNUMBER(--$C1346),"REVIEW — UA raw logs",$C1346="Emag_Reporting","KEEP",$C1346="Nutrition_Data_Archived_Tables","KEEP",$C1346="EU_Data","KEEP",TRUE,"REVIEW"),OR($A1346="thg-influencer",$A1346="thg-ingenuity",$A1346="thg-central-marketing",$A1346="thg-seoclarity"),"HOLD",TRUE,"")</f>
        <v>HOLD</v>
      </c>
      <c r="R1346" t="str" cm="1">
        <f t="array" ref="R1346">_xlfn.IFS(AND($A1346="thg-beauty",ISNUMBER(SEARCH("liveramp",$C1346))),"thg-beauty Liveramp dataset — confirmed safe to delete",$A1346="agile-bonbon-662",_xlfn.IFS(LEFT($G1346,9)="Tranche 1","Tranche 1: cleared",$C1346="Sessions_Level_1_All_Sites","Downstream aggregation of UA raw logs — keep if raw tables go",ISNUMBER(--$C1346),"UA raw site logs (account ID) — keep pending audit-retention check",$C1346="Emag_Reporting","Legacy but likely needed",$C1346="Nutrition_Data_Archived_Tables","Worth keeping",$C1346="EU_Data","Static lookup tables — scripts still reference (smoke-test risk)",TRUE,"Review"),OR($A1346="thg-influencer",$A1346="thg-ingenuity",$A1346="thg-central-marketing",$A1346="thg-seoclarity"),"HOLD — Charlie Stringer to review before deletion",TRUE,"")</f>
        <v>HOLD — Charlie Stringer to review before deletion</v>
      </c>
      <c r="S1346" t="s">
        <v>1624</v>
      </c>
    </row>
    <row r="1347" spans="1:19" hidden="1">
      <c r="A1347" t="s">
        <v>38</v>
      </c>
      <c r="B1347" t="s">
        <v>1619</v>
      </c>
      <c r="C1347" t="s">
        <v>3797</v>
      </c>
      <c r="D1347" s="2" t="s">
        <v>1621</v>
      </c>
      <c r="E1347">
        <v>30.59</v>
      </c>
      <c r="F1347">
        <v>0.61</v>
      </c>
      <c r="G1347" t="s">
        <v>3456</v>
      </c>
      <c r="H1347" t="s">
        <v>3457</v>
      </c>
      <c r="I1347">
        <v>467</v>
      </c>
      <c r="J1347">
        <v>467</v>
      </c>
      <c r="M1347" s="2" t="s">
        <v>1715</v>
      </c>
      <c r="N1347" s="2" t="s">
        <v>1701</v>
      </c>
      <c r="O1347" s="5">
        <v>45729.576697222219</v>
      </c>
      <c r="P1347" t="str">
        <f>IF($Q1347="DELETE",IF($S1347="CONFIRMED: NO MODS &gt; 1YR","CONFIRMED: NO MODS &gt; 1YR","DO NOT DELETE — not defensibly confirmed"),IF($Q1347="HOLD","DO NOT DELETE — HOLD (Charlie review)",IF($Q1347="KEEP","DO NOT DELETE — KEEP",IF(ISNUMBER(SEARCH("REVIEW",$Q1347)),"DO NOT DELETE — REVIEW pending",$S1347))))</f>
        <v>DO NOT DELETE — HOLD (Charlie review)</v>
      </c>
      <c r="Q1347" t="str" cm="1">
        <f t="array" ref="Q1347">_xlfn.IFS(AND($A1347="thg-beauty",ISNUMBER(SEARCH("liveramp",$C1347))),"DELETE",$A1347="agile-bonbon-662",_xlfn.IFS(LEFT($G1347,9)="Tranche 1","DELETE",$C1347="Sessions_Level_1_All_Sites","KEEP",ISNUMBER(--$C1347),"REVIEW — UA raw logs",$C1347="Emag_Reporting","KEEP",$C1347="Nutrition_Data_Archived_Tables","KEEP",$C1347="EU_Data","KEEP",TRUE,"REVIEW"),OR($A1347="thg-influencer",$A1347="thg-ingenuity",$A1347="thg-central-marketing",$A1347="thg-seoclarity"),"HOLD",TRUE,"")</f>
        <v>HOLD</v>
      </c>
      <c r="R1347" t="str" cm="1">
        <f t="array" ref="R1347">_xlfn.IFS(AND($A1347="thg-beauty",ISNUMBER(SEARCH("liveramp",$C1347))),"thg-beauty Liveramp dataset — confirmed safe to delete",$A1347="agile-bonbon-662",_xlfn.IFS(LEFT($G1347,9)="Tranche 1","Tranche 1: cleared",$C1347="Sessions_Level_1_All_Sites","Downstream aggregation of UA raw logs — keep if raw tables go",ISNUMBER(--$C1347),"UA raw site logs (account ID) — keep pending audit-retention check",$C1347="Emag_Reporting","Legacy but likely needed",$C1347="Nutrition_Data_Archived_Tables","Worth keeping",$C1347="EU_Data","Static lookup tables — scripts still reference (smoke-test risk)",TRUE,"Review"),OR($A1347="thg-influencer",$A1347="thg-ingenuity",$A1347="thg-central-marketing",$A1347="thg-seoclarity"),"HOLD — Charlie Stringer to review before deletion",TRUE,"")</f>
        <v>HOLD — Charlie Stringer to review before deletion</v>
      </c>
      <c r="S1347" t="s">
        <v>1624</v>
      </c>
    </row>
    <row r="1348" spans="1:19" hidden="1">
      <c r="A1348" t="s">
        <v>38</v>
      </c>
      <c r="B1348" t="s">
        <v>1619</v>
      </c>
      <c r="C1348" t="s">
        <v>3798</v>
      </c>
      <c r="D1348" s="2" t="s">
        <v>1621</v>
      </c>
      <c r="E1348">
        <v>10.85</v>
      </c>
      <c r="F1348">
        <v>0.22</v>
      </c>
      <c r="G1348" t="s">
        <v>3456</v>
      </c>
      <c r="H1348" t="s">
        <v>3457</v>
      </c>
      <c r="I1348">
        <v>467</v>
      </c>
      <c r="J1348">
        <v>467</v>
      </c>
      <c r="M1348" s="2" t="s">
        <v>1715</v>
      </c>
      <c r="N1348" s="2" t="s">
        <v>1701</v>
      </c>
      <c r="O1348" s="5">
        <v>45729.550205983804</v>
      </c>
      <c r="P1348" t="str">
        <f>IF($Q1348="DELETE",IF($S1348="CONFIRMED: NO MODS &gt; 1YR","CONFIRMED: NO MODS &gt; 1YR","DO NOT DELETE — not defensibly confirmed"),IF($Q1348="HOLD","DO NOT DELETE — HOLD (Charlie review)",IF($Q1348="KEEP","DO NOT DELETE — KEEP",IF(ISNUMBER(SEARCH("REVIEW",$Q1348)),"DO NOT DELETE — REVIEW pending",$S1348))))</f>
        <v>DO NOT DELETE — HOLD (Charlie review)</v>
      </c>
      <c r="Q1348" t="str" cm="1">
        <f t="array" ref="Q1348">_xlfn.IFS(AND($A1348="thg-beauty",ISNUMBER(SEARCH("liveramp",$C1348))),"DELETE",$A1348="agile-bonbon-662",_xlfn.IFS(LEFT($G1348,9)="Tranche 1","DELETE",$C1348="Sessions_Level_1_All_Sites","KEEP",ISNUMBER(--$C1348),"REVIEW — UA raw logs",$C1348="Emag_Reporting","KEEP",$C1348="Nutrition_Data_Archived_Tables","KEEP",$C1348="EU_Data","KEEP",TRUE,"REVIEW"),OR($A1348="thg-influencer",$A1348="thg-ingenuity",$A1348="thg-central-marketing",$A1348="thg-seoclarity"),"HOLD",TRUE,"")</f>
        <v>HOLD</v>
      </c>
      <c r="R1348" t="str" cm="1">
        <f t="array" ref="R1348">_xlfn.IFS(AND($A1348="thg-beauty",ISNUMBER(SEARCH("liveramp",$C1348))),"thg-beauty Liveramp dataset — confirmed safe to delete",$A1348="agile-bonbon-662",_xlfn.IFS(LEFT($G1348,9)="Tranche 1","Tranche 1: cleared",$C1348="Sessions_Level_1_All_Sites","Downstream aggregation of UA raw logs — keep if raw tables go",ISNUMBER(--$C1348),"UA raw site logs (account ID) — keep pending audit-retention check",$C1348="Emag_Reporting","Legacy but likely needed",$C1348="Nutrition_Data_Archived_Tables","Worth keeping",$C1348="EU_Data","Static lookup tables — scripts still reference (smoke-test risk)",TRUE,"Review"),OR($A1348="thg-influencer",$A1348="thg-ingenuity",$A1348="thg-central-marketing",$A1348="thg-seoclarity"),"HOLD — Charlie Stringer to review before deletion",TRUE,"")</f>
        <v>HOLD — Charlie Stringer to review before deletion</v>
      </c>
      <c r="S1348" t="s">
        <v>1624</v>
      </c>
    </row>
    <row r="1349" spans="1:19" hidden="1">
      <c r="A1349" t="s">
        <v>38</v>
      </c>
      <c r="B1349" t="s">
        <v>1619</v>
      </c>
      <c r="C1349" t="s">
        <v>3799</v>
      </c>
      <c r="D1349" s="2" t="s">
        <v>1621</v>
      </c>
      <c r="E1349">
        <v>44.04</v>
      </c>
      <c r="F1349">
        <v>0.88</v>
      </c>
      <c r="G1349" t="s">
        <v>3456</v>
      </c>
      <c r="H1349" t="s">
        <v>3457</v>
      </c>
      <c r="I1349">
        <v>461</v>
      </c>
      <c r="J1349">
        <v>461</v>
      </c>
      <c r="M1349" s="2" t="s">
        <v>1715</v>
      </c>
      <c r="N1349" s="2" t="s">
        <v>1701</v>
      </c>
      <c r="O1349" s="5">
        <v>45735.654980266198</v>
      </c>
      <c r="P1349" t="str">
        <f>IF($Q1349="DELETE",IF($S1349="CONFIRMED: NO MODS &gt; 1YR","CONFIRMED: NO MODS &gt; 1YR","DO NOT DELETE — not defensibly confirmed"),IF($Q1349="HOLD","DO NOT DELETE — HOLD (Charlie review)",IF($Q1349="KEEP","DO NOT DELETE — KEEP",IF(ISNUMBER(SEARCH("REVIEW",$Q1349)),"DO NOT DELETE — REVIEW pending",$S1349))))</f>
        <v>DO NOT DELETE — HOLD (Charlie review)</v>
      </c>
      <c r="Q1349" t="str" cm="1">
        <f t="array" ref="Q1349">_xlfn.IFS(AND($A1349="thg-beauty",ISNUMBER(SEARCH("liveramp",$C1349))),"DELETE",$A1349="agile-bonbon-662",_xlfn.IFS(LEFT($G1349,9)="Tranche 1","DELETE",$C1349="Sessions_Level_1_All_Sites","KEEP",ISNUMBER(--$C1349),"REVIEW — UA raw logs",$C1349="Emag_Reporting","KEEP",$C1349="Nutrition_Data_Archived_Tables","KEEP",$C1349="EU_Data","KEEP",TRUE,"REVIEW"),OR($A1349="thg-influencer",$A1349="thg-ingenuity",$A1349="thg-central-marketing",$A1349="thg-seoclarity"),"HOLD",TRUE,"")</f>
        <v>HOLD</v>
      </c>
      <c r="R1349" t="str" cm="1">
        <f t="array" ref="R1349">_xlfn.IFS(AND($A1349="thg-beauty",ISNUMBER(SEARCH("liveramp",$C1349))),"thg-beauty Liveramp dataset — confirmed safe to delete",$A1349="agile-bonbon-662",_xlfn.IFS(LEFT($G1349,9)="Tranche 1","Tranche 1: cleared",$C1349="Sessions_Level_1_All_Sites","Downstream aggregation of UA raw logs — keep if raw tables go",ISNUMBER(--$C1349),"UA raw site logs (account ID) — keep pending audit-retention check",$C1349="Emag_Reporting","Legacy but likely needed",$C1349="Nutrition_Data_Archived_Tables","Worth keeping",$C1349="EU_Data","Static lookup tables — scripts still reference (smoke-test risk)",TRUE,"Review"),OR($A1349="thg-influencer",$A1349="thg-ingenuity",$A1349="thg-central-marketing",$A1349="thg-seoclarity"),"HOLD — Charlie Stringer to review before deletion",TRUE,"")</f>
        <v>HOLD — Charlie Stringer to review before deletion</v>
      </c>
      <c r="S1349" t="s">
        <v>1624</v>
      </c>
    </row>
    <row r="1350" spans="1:19" hidden="1">
      <c r="A1350" t="s">
        <v>38</v>
      </c>
      <c r="B1350" t="s">
        <v>1619</v>
      </c>
      <c r="C1350" t="s">
        <v>3800</v>
      </c>
      <c r="D1350" s="2" t="s">
        <v>1621</v>
      </c>
      <c r="E1350">
        <v>17.47</v>
      </c>
      <c r="F1350">
        <v>0.35</v>
      </c>
      <c r="G1350" t="s">
        <v>3456</v>
      </c>
      <c r="H1350" t="s">
        <v>3457</v>
      </c>
      <c r="I1350">
        <v>458</v>
      </c>
      <c r="J1350">
        <v>458</v>
      </c>
      <c r="M1350" s="2" t="s">
        <v>1715</v>
      </c>
      <c r="N1350" s="2" t="s">
        <v>1701</v>
      </c>
      <c r="O1350" s="5">
        <v>45739.417240439812</v>
      </c>
      <c r="P1350" t="str">
        <f>IF($Q1350="DELETE",IF($S1350="CONFIRMED: NO MODS &gt; 1YR","CONFIRMED: NO MODS &gt; 1YR","DO NOT DELETE — not defensibly confirmed"),IF($Q1350="HOLD","DO NOT DELETE — HOLD (Charlie review)",IF($Q1350="KEEP","DO NOT DELETE — KEEP",IF(ISNUMBER(SEARCH("REVIEW",$Q1350)),"DO NOT DELETE — REVIEW pending",$S1350))))</f>
        <v>DO NOT DELETE — HOLD (Charlie review)</v>
      </c>
      <c r="Q1350" t="str" cm="1">
        <f t="array" ref="Q1350">_xlfn.IFS(AND($A1350="thg-beauty",ISNUMBER(SEARCH("liveramp",$C1350))),"DELETE",$A1350="agile-bonbon-662",_xlfn.IFS(LEFT($G1350,9)="Tranche 1","DELETE",$C1350="Sessions_Level_1_All_Sites","KEEP",ISNUMBER(--$C1350),"REVIEW — UA raw logs",$C1350="Emag_Reporting","KEEP",$C1350="Nutrition_Data_Archived_Tables","KEEP",$C1350="EU_Data","KEEP",TRUE,"REVIEW"),OR($A1350="thg-influencer",$A1350="thg-ingenuity",$A1350="thg-central-marketing",$A1350="thg-seoclarity"),"HOLD",TRUE,"")</f>
        <v>HOLD</v>
      </c>
      <c r="R1350" t="str" cm="1">
        <f t="array" ref="R1350">_xlfn.IFS(AND($A1350="thg-beauty",ISNUMBER(SEARCH("liveramp",$C1350))),"thg-beauty Liveramp dataset — confirmed safe to delete",$A1350="agile-bonbon-662",_xlfn.IFS(LEFT($G1350,9)="Tranche 1","Tranche 1: cleared",$C1350="Sessions_Level_1_All_Sites","Downstream aggregation of UA raw logs — keep if raw tables go",ISNUMBER(--$C1350),"UA raw site logs (account ID) — keep pending audit-retention check",$C1350="Emag_Reporting","Legacy but likely needed",$C1350="Nutrition_Data_Archived_Tables","Worth keeping",$C1350="EU_Data","Static lookup tables — scripts still reference (smoke-test risk)",TRUE,"Review"),OR($A1350="thg-influencer",$A1350="thg-ingenuity",$A1350="thg-central-marketing",$A1350="thg-seoclarity"),"HOLD — Charlie Stringer to review before deletion",TRUE,"")</f>
        <v>HOLD — Charlie Stringer to review before deletion</v>
      </c>
      <c r="S1350" t="s">
        <v>1624</v>
      </c>
    </row>
    <row r="1351" spans="1:19" hidden="1">
      <c r="A1351" t="s">
        <v>38</v>
      </c>
      <c r="B1351" t="s">
        <v>1619</v>
      </c>
      <c r="C1351" t="s">
        <v>3801</v>
      </c>
      <c r="D1351" s="2" t="s">
        <v>1621</v>
      </c>
      <c r="E1351">
        <v>9.49</v>
      </c>
      <c r="F1351">
        <v>0.19</v>
      </c>
      <c r="G1351" t="s">
        <v>3456</v>
      </c>
      <c r="H1351" t="s">
        <v>3457</v>
      </c>
      <c r="I1351">
        <v>456</v>
      </c>
      <c r="J1351">
        <v>456</v>
      </c>
      <c r="M1351" s="2" t="s">
        <v>1715</v>
      </c>
      <c r="N1351" s="2" t="s">
        <v>1701</v>
      </c>
      <c r="O1351" s="5">
        <v>45740.479215439816</v>
      </c>
      <c r="P1351" t="str">
        <f>IF($Q1351="DELETE",IF($S1351="CONFIRMED: NO MODS &gt; 1YR","CONFIRMED: NO MODS &gt; 1YR","DO NOT DELETE — not defensibly confirmed"),IF($Q1351="HOLD","DO NOT DELETE — HOLD (Charlie review)",IF($Q1351="KEEP","DO NOT DELETE — KEEP",IF(ISNUMBER(SEARCH("REVIEW",$Q1351)),"DO NOT DELETE — REVIEW pending",$S1351))))</f>
        <v>DO NOT DELETE — HOLD (Charlie review)</v>
      </c>
      <c r="Q1351" t="str" cm="1">
        <f t="array" ref="Q1351">_xlfn.IFS(AND($A1351="thg-beauty",ISNUMBER(SEARCH("liveramp",$C1351))),"DELETE",$A1351="agile-bonbon-662",_xlfn.IFS(LEFT($G1351,9)="Tranche 1","DELETE",$C1351="Sessions_Level_1_All_Sites","KEEP",ISNUMBER(--$C1351),"REVIEW — UA raw logs",$C1351="Emag_Reporting","KEEP",$C1351="Nutrition_Data_Archived_Tables","KEEP",$C1351="EU_Data","KEEP",TRUE,"REVIEW"),OR($A1351="thg-influencer",$A1351="thg-ingenuity",$A1351="thg-central-marketing",$A1351="thg-seoclarity"),"HOLD",TRUE,"")</f>
        <v>HOLD</v>
      </c>
      <c r="R1351" t="str" cm="1">
        <f t="array" ref="R1351">_xlfn.IFS(AND($A1351="thg-beauty",ISNUMBER(SEARCH("liveramp",$C1351))),"thg-beauty Liveramp dataset — confirmed safe to delete",$A1351="agile-bonbon-662",_xlfn.IFS(LEFT($G1351,9)="Tranche 1","Tranche 1: cleared",$C1351="Sessions_Level_1_All_Sites","Downstream aggregation of UA raw logs — keep if raw tables go",ISNUMBER(--$C1351),"UA raw site logs (account ID) — keep pending audit-retention check",$C1351="Emag_Reporting","Legacy but likely needed",$C1351="Nutrition_Data_Archived_Tables","Worth keeping",$C1351="EU_Data","Static lookup tables — scripts still reference (smoke-test risk)",TRUE,"Review"),OR($A1351="thg-influencer",$A1351="thg-ingenuity",$A1351="thg-central-marketing",$A1351="thg-seoclarity"),"HOLD — Charlie Stringer to review before deletion",TRUE,"")</f>
        <v>HOLD — Charlie Stringer to review before deletion</v>
      </c>
      <c r="S1351" t="s">
        <v>1624</v>
      </c>
    </row>
    <row r="1352" spans="1:19" hidden="1">
      <c r="A1352" t="s">
        <v>38</v>
      </c>
      <c r="B1352" t="s">
        <v>1619</v>
      </c>
      <c r="C1352" t="s">
        <v>3802</v>
      </c>
      <c r="D1352" s="2" t="s">
        <v>1621</v>
      </c>
      <c r="E1352">
        <v>0.05</v>
      </c>
      <c r="F1352">
        <v>0</v>
      </c>
      <c r="G1352" t="s">
        <v>3456</v>
      </c>
      <c r="H1352" t="s">
        <v>3457</v>
      </c>
      <c r="I1352">
        <v>453</v>
      </c>
      <c r="J1352">
        <v>453</v>
      </c>
      <c r="M1352" s="2" t="s">
        <v>1715</v>
      </c>
      <c r="N1352" s="2" t="s">
        <v>1701</v>
      </c>
      <c r="O1352" s="5">
        <v>45744.083923148151</v>
      </c>
      <c r="P1352" t="str">
        <f>IF($Q1352="DELETE",IF($S1352="CONFIRMED: NO MODS &gt; 1YR","CONFIRMED: NO MODS &gt; 1YR","DO NOT DELETE — not defensibly confirmed"),IF($Q1352="HOLD","DO NOT DELETE — HOLD (Charlie review)",IF($Q1352="KEEP","DO NOT DELETE — KEEP",IF(ISNUMBER(SEARCH("REVIEW",$Q1352)),"DO NOT DELETE — REVIEW pending",$S1352))))</f>
        <v>DO NOT DELETE — HOLD (Charlie review)</v>
      </c>
      <c r="Q1352" t="str" cm="1">
        <f t="array" ref="Q1352">_xlfn.IFS(AND($A1352="thg-beauty",ISNUMBER(SEARCH("liveramp",$C1352))),"DELETE",$A1352="agile-bonbon-662",_xlfn.IFS(LEFT($G1352,9)="Tranche 1","DELETE",$C1352="Sessions_Level_1_All_Sites","KEEP",ISNUMBER(--$C1352),"REVIEW — UA raw logs",$C1352="Emag_Reporting","KEEP",$C1352="Nutrition_Data_Archived_Tables","KEEP",$C1352="EU_Data","KEEP",TRUE,"REVIEW"),OR($A1352="thg-influencer",$A1352="thg-ingenuity",$A1352="thg-central-marketing",$A1352="thg-seoclarity"),"HOLD",TRUE,"")</f>
        <v>HOLD</v>
      </c>
      <c r="R1352" t="str" cm="1">
        <f t="array" ref="R1352">_xlfn.IFS(AND($A1352="thg-beauty",ISNUMBER(SEARCH("liveramp",$C1352))),"thg-beauty Liveramp dataset — confirmed safe to delete",$A1352="agile-bonbon-662",_xlfn.IFS(LEFT($G1352,9)="Tranche 1","Tranche 1: cleared",$C1352="Sessions_Level_1_All_Sites","Downstream aggregation of UA raw logs — keep if raw tables go",ISNUMBER(--$C1352),"UA raw site logs (account ID) — keep pending audit-retention check",$C1352="Emag_Reporting","Legacy but likely needed",$C1352="Nutrition_Data_Archived_Tables","Worth keeping",$C1352="EU_Data","Static lookup tables — scripts still reference (smoke-test risk)",TRUE,"Review"),OR($A1352="thg-influencer",$A1352="thg-ingenuity",$A1352="thg-central-marketing",$A1352="thg-seoclarity"),"HOLD — Charlie Stringer to review before deletion",TRUE,"")</f>
        <v>HOLD — Charlie Stringer to review before deletion</v>
      </c>
      <c r="S1352" t="s">
        <v>1624</v>
      </c>
    </row>
    <row r="1353" spans="1:19" hidden="1">
      <c r="A1353" t="s">
        <v>38</v>
      </c>
      <c r="B1353" t="s">
        <v>1619</v>
      </c>
      <c r="C1353" t="s">
        <v>3803</v>
      </c>
      <c r="D1353" s="2" t="s">
        <v>1621</v>
      </c>
      <c r="E1353">
        <v>3.27</v>
      </c>
      <c r="F1353">
        <v>7.0000000000000007E-2</v>
      </c>
      <c r="G1353" t="s">
        <v>3456</v>
      </c>
      <c r="H1353" t="s">
        <v>3457</v>
      </c>
      <c r="I1353">
        <v>447</v>
      </c>
      <c r="J1353">
        <v>447</v>
      </c>
      <c r="M1353" s="2" t="s">
        <v>1715</v>
      </c>
      <c r="N1353" s="2" t="s">
        <v>1701</v>
      </c>
      <c r="O1353" s="5">
        <v>45749.60317829861</v>
      </c>
      <c r="P1353" t="str">
        <f>IF($Q1353="DELETE",IF($S1353="CONFIRMED: NO MODS &gt; 1YR","CONFIRMED: NO MODS &gt; 1YR","DO NOT DELETE — not defensibly confirmed"),IF($Q1353="HOLD","DO NOT DELETE — HOLD (Charlie review)",IF($Q1353="KEEP","DO NOT DELETE — KEEP",IF(ISNUMBER(SEARCH("REVIEW",$Q1353)),"DO NOT DELETE — REVIEW pending",$S1353))))</f>
        <v>DO NOT DELETE — HOLD (Charlie review)</v>
      </c>
      <c r="Q1353" t="str" cm="1">
        <f t="array" ref="Q1353">_xlfn.IFS(AND($A1353="thg-beauty",ISNUMBER(SEARCH("liveramp",$C1353))),"DELETE",$A1353="agile-bonbon-662",_xlfn.IFS(LEFT($G1353,9)="Tranche 1","DELETE",$C1353="Sessions_Level_1_All_Sites","KEEP",ISNUMBER(--$C1353),"REVIEW — UA raw logs",$C1353="Emag_Reporting","KEEP",$C1353="Nutrition_Data_Archived_Tables","KEEP",$C1353="EU_Data","KEEP",TRUE,"REVIEW"),OR($A1353="thg-influencer",$A1353="thg-ingenuity",$A1353="thg-central-marketing",$A1353="thg-seoclarity"),"HOLD",TRUE,"")</f>
        <v>HOLD</v>
      </c>
      <c r="R1353" t="str" cm="1">
        <f t="array" ref="R1353">_xlfn.IFS(AND($A1353="thg-beauty",ISNUMBER(SEARCH("liveramp",$C1353))),"thg-beauty Liveramp dataset — confirmed safe to delete",$A1353="agile-bonbon-662",_xlfn.IFS(LEFT($G1353,9)="Tranche 1","Tranche 1: cleared",$C1353="Sessions_Level_1_All_Sites","Downstream aggregation of UA raw logs — keep if raw tables go",ISNUMBER(--$C1353),"UA raw site logs (account ID) — keep pending audit-retention check",$C1353="Emag_Reporting","Legacy but likely needed",$C1353="Nutrition_Data_Archived_Tables","Worth keeping",$C1353="EU_Data","Static lookup tables — scripts still reference (smoke-test risk)",TRUE,"Review"),OR($A1353="thg-influencer",$A1353="thg-ingenuity",$A1353="thg-central-marketing",$A1353="thg-seoclarity"),"HOLD — Charlie Stringer to review before deletion",TRUE,"")</f>
        <v>HOLD — Charlie Stringer to review before deletion</v>
      </c>
      <c r="S1353" t="s">
        <v>1624</v>
      </c>
    </row>
    <row r="1354" spans="1:19" hidden="1">
      <c r="A1354" t="s">
        <v>38</v>
      </c>
      <c r="B1354" t="s">
        <v>1619</v>
      </c>
      <c r="C1354" t="s">
        <v>3804</v>
      </c>
      <c r="D1354" s="2" t="s">
        <v>1621</v>
      </c>
      <c r="E1354">
        <v>64.95</v>
      </c>
      <c r="F1354">
        <v>1.3</v>
      </c>
      <c r="G1354" t="s">
        <v>3456</v>
      </c>
      <c r="H1354" t="s">
        <v>3457</v>
      </c>
      <c r="I1354">
        <v>438</v>
      </c>
      <c r="J1354">
        <v>438</v>
      </c>
      <c r="M1354" s="2" t="s">
        <v>1715</v>
      </c>
      <c r="N1354" s="2" t="s">
        <v>1701</v>
      </c>
      <c r="O1354" s="5">
        <v>45759.359937303241</v>
      </c>
      <c r="P1354" t="str">
        <f>IF($Q1354="DELETE",IF($S1354="CONFIRMED: NO MODS &gt; 1YR","CONFIRMED: NO MODS &gt; 1YR","DO NOT DELETE — not defensibly confirmed"),IF($Q1354="HOLD","DO NOT DELETE — HOLD (Charlie review)",IF($Q1354="KEEP","DO NOT DELETE — KEEP",IF(ISNUMBER(SEARCH("REVIEW",$Q1354)),"DO NOT DELETE — REVIEW pending",$S1354))))</f>
        <v>DO NOT DELETE — HOLD (Charlie review)</v>
      </c>
      <c r="Q1354" t="str" cm="1">
        <f t="array" ref="Q1354">_xlfn.IFS(AND($A1354="thg-beauty",ISNUMBER(SEARCH("liveramp",$C1354))),"DELETE",$A1354="agile-bonbon-662",_xlfn.IFS(LEFT($G1354,9)="Tranche 1","DELETE",$C1354="Sessions_Level_1_All_Sites","KEEP",ISNUMBER(--$C1354),"REVIEW — UA raw logs",$C1354="Emag_Reporting","KEEP",$C1354="Nutrition_Data_Archived_Tables","KEEP",$C1354="EU_Data","KEEP",TRUE,"REVIEW"),OR($A1354="thg-influencer",$A1354="thg-ingenuity",$A1354="thg-central-marketing",$A1354="thg-seoclarity"),"HOLD",TRUE,"")</f>
        <v>HOLD</v>
      </c>
      <c r="R1354" t="str" cm="1">
        <f t="array" ref="R1354">_xlfn.IFS(AND($A1354="thg-beauty",ISNUMBER(SEARCH("liveramp",$C1354))),"thg-beauty Liveramp dataset — confirmed safe to delete",$A1354="agile-bonbon-662",_xlfn.IFS(LEFT($G1354,9)="Tranche 1","Tranche 1: cleared",$C1354="Sessions_Level_1_All_Sites","Downstream aggregation of UA raw logs — keep if raw tables go",ISNUMBER(--$C1354),"UA raw site logs (account ID) — keep pending audit-retention check",$C1354="Emag_Reporting","Legacy but likely needed",$C1354="Nutrition_Data_Archived_Tables","Worth keeping",$C1354="EU_Data","Static lookup tables — scripts still reference (smoke-test risk)",TRUE,"Review"),OR($A1354="thg-influencer",$A1354="thg-ingenuity",$A1354="thg-central-marketing",$A1354="thg-seoclarity"),"HOLD — Charlie Stringer to review before deletion",TRUE,"")</f>
        <v>HOLD — Charlie Stringer to review before deletion</v>
      </c>
      <c r="S1354" t="s">
        <v>1624</v>
      </c>
    </row>
    <row r="1355" spans="1:19" hidden="1">
      <c r="A1355" t="s">
        <v>38</v>
      </c>
      <c r="B1355" t="s">
        <v>1619</v>
      </c>
      <c r="C1355" t="s">
        <v>3805</v>
      </c>
      <c r="D1355" s="2" t="s">
        <v>1621</v>
      </c>
      <c r="E1355">
        <v>13.22</v>
      </c>
      <c r="F1355">
        <v>0.26</v>
      </c>
      <c r="G1355" t="s">
        <v>3456</v>
      </c>
      <c r="H1355" t="s">
        <v>3457</v>
      </c>
      <c r="I1355">
        <v>432</v>
      </c>
      <c r="J1355">
        <v>432</v>
      </c>
      <c r="M1355" s="2" t="s">
        <v>1715</v>
      </c>
      <c r="N1355" s="2" t="s">
        <v>1701</v>
      </c>
      <c r="O1355" s="5">
        <v>45765.376927928242</v>
      </c>
      <c r="P1355" t="str">
        <f>IF($Q1355="DELETE",IF($S1355="CONFIRMED: NO MODS &gt; 1YR","CONFIRMED: NO MODS &gt; 1YR","DO NOT DELETE — not defensibly confirmed"),IF($Q1355="HOLD","DO NOT DELETE — HOLD (Charlie review)",IF($Q1355="KEEP","DO NOT DELETE — KEEP",IF(ISNUMBER(SEARCH("REVIEW",$Q1355)),"DO NOT DELETE — REVIEW pending",$S1355))))</f>
        <v>DO NOT DELETE — HOLD (Charlie review)</v>
      </c>
      <c r="Q1355" t="str" cm="1">
        <f t="array" ref="Q1355">_xlfn.IFS(AND($A1355="thg-beauty",ISNUMBER(SEARCH("liveramp",$C1355))),"DELETE",$A1355="agile-bonbon-662",_xlfn.IFS(LEFT($G1355,9)="Tranche 1","DELETE",$C1355="Sessions_Level_1_All_Sites","KEEP",ISNUMBER(--$C1355),"REVIEW — UA raw logs",$C1355="Emag_Reporting","KEEP",$C1355="Nutrition_Data_Archived_Tables","KEEP",$C1355="EU_Data","KEEP",TRUE,"REVIEW"),OR($A1355="thg-influencer",$A1355="thg-ingenuity",$A1355="thg-central-marketing",$A1355="thg-seoclarity"),"HOLD",TRUE,"")</f>
        <v>HOLD</v>
      </c>
      <c r="R1355" t="str" cm="1">
        <f t="array" ref="R1355">_xlfn.IFS(AND($A1355="thg-beauty",ISNUMBER(SEARCH("liveramp",$C1355))),"thg-beauty Liveramp dataset — confirmed safe to delete",$A1355="agile-bonbon-662",_xlfn.IFS(LEFT($G1355,9)="Tranche 1","Tranche 1: cleared",$C1355="Sessions_Level_1_All_Sites","Downstream aggregation of UA raw logs — keep if raw tables go",ISNUMBER(--$C1355),"UA raw site logs (account ID) — keep pending audit-retention check",$C1355="Emag_Reporting","Legacy but likely needed",$C1355="Nutrition_Data_Archived_Tables","Worth keeping",$C1355="EU_Data","Static lookup tables — scripts still reference (smoke-test risk)",TRUE,"Review"),OR($A1355="thg-influencer",$A1355="thg-ingenuity",$A1355="thg-central-marketing",$A1355="thg-seoclarity"),"HOLD — Charlie Stringer to review before deletion",TRUE,"")</f>
        <v>HOLD — Charlie Stringer to review before deletion</v>
      </c>
      <c r="S1355" t="s">
        <v>1624</v>
      </c>
    </row>
    <row r="1356" spans="1:19" hidden="1">
      <c r="A1356" t="s">
        <v>38</v>
      </c>
      <c r="B1356" t="s">
        <v>1619</v>
      </c>
      <c r="C1356" t="s">
        <v>3806</v>
      </c>
      <c r="D1356" s="2" t="s">
        <v>1621</v>
      </c>
      <c r="E1356">
        <v>25.93</v>
      </c>
      <c r="F1356">
        <v>0.52</v>
      </c>
      <c r="G1356" t="s">
        <v>3456</v>
      </c>
      <c r="H1356" t="s">
        <v>3457</v>
      </c>
      <c r="I1356">
        <v>409</v>
      </c>
      <c r="J1356">
        <v>409</v>
      </c>
      <c r="M1356" s="2" t="s">
        <v>1715</v>
      </c>
      <c r="N1356" s="2" t="s">
        <v>1701</v>
      </c>
      <c r="O1356" s="5">
        <v>45787.711520069453</v>
      </c>
      <c r="P1356" t="str">
        <f>IF($Q1356="DELETE",IF($S1356="CONFIRMED: NO MODS &gt; 1YR","CONFIRMED: NO MODS &gt; 1YR","DO NOT DELETE — not defensibly confirmed"),IF($Q1356="HOLD","DO NOT DELETE — HOLD (Charlie review)",IF($Q1356="KEEP","DO NOT DELETE — KEEP",IF(ISNUMBER(SEARCH("REVIEW",$Q1356)),"DO NOT DELETE — REVIEW pending",$S1356))))</f>
        <v>DO NOT DELETE — HOLD (Charlie review)</v>
      </c>
      <c r="Q1356" t="str" cm="1">
        <f t="array" ref="Q1356">_xlfn.IFS(AND($A1356="thg-beauty",ISNUMBER(SEARCH("liveramp",$C1356))),"DELETE",$A1356="agile-bonbon-662",_xlfn.IFS(LEFT($G1356,9)="Tranche 1","DELETE",$C1356="Sessions_Level_1_All_Sites","KEEP",ISNUMBER(--$C1356),"REVIEW — UA raw logs",$C1356="Emag_Reporting","KEEP",$C1356="Nutrition_Data_Archived_Tables","KEEP",$C1356="EU_Data","KEEP",TRUE,"REVIEW"),OR($A1356="thg-influencer",$A1356="thg-ingenuity",$A1356="thg-central-marketing",$A1356="thg-seoclarity"),"HOLD",TRUE,"")</f>
        <v>HOLD</v>
      </c>
      <c r="R1356" t="str" cm="1">
        <f t="array" ref="R1356">_xlfn.IFS(AND($A1356="thg-beauty",ISNUMBER(SEARCH("liveramp",$C1356))),"thg-beauty Liveramp dataset — confirmed safe to delete",$A1356="agile-bonbon-662",_xlfn.IFS(LEFT($G1356,9)="Tranche 1","Tranche 1: cleared",$C1356="Sessions_Level_1_All_Sites","Downstream aggregation of UA raw logs — keep if raw tables go",ISNUMBER(--$C1356),"UA raw site logs (account ID) — keep pending audit-retention check",$C1356="Emag_Reporting","Legacy but likely needed",$C1356="Nutrition_Data_Archived_Tables","Worth keeping",$C1356="EU_Data","Static lookup tables — scripts still reference (smoke-test risk)",TRUE,"Review"),OR($A1356="thg-influencer",$A1356="thg-ingenuity",$A1356="thg-central-marketing",$A1356="thg-seoclarity"),"HOLD — Charlie Stringer to review before deletion",TRUE,"")</f>
        <v>HOLD — Charlie Stringer to review before deletion</v>
      </c>
      <c r="S1356" t="s">
        <v>1624</v>
      </c>
    </row>
    <row r="1357" spans="1:19" hidden="1">
      <c r="A1357" t="s">
        <v>38</v>
      </c>
      <c r="B1357" t="s">
        <v>1619</v>
      </c>
      <c r="C1357" t="s">
        <v>3807</v>
      </c>
      <c r="D1357" s="2" t="s">
        <v>1621</v>
      </c>
      <c r="E1357">
        <v>9.6300000000000008</v>
      </c>
      <c r="F1357">
        <v>0.19</v>
      </c>
      <c r="G1357" t="s">
        <v>3456</v>
      </c>
      <c r="H1357" t="s">
        <v>3457</v>
      </c>
      <c r="I1357">
        <v>405</v>
      </c>
      <c r="J1357">
        <v>405</v>
      </c>
      <c r="M1357" s="2" t="s">
        <v>1715</v>
      </c>
      <c r="N1357" s="2" t="s">
        <v>1701</v>
      </c>
      <c r="O1357" s="5">
        <v>45792.36615480324</v>
      </c>
      <c r="P1357" t="str">
        <f>IF($Q1357="DELETE",IF($S1357="CONFIRMED: NO MODS &gt; 1YR","CONFIRMED: NO MODS &gt; 1YR","DO NOT DELETE — not defensibly confirmed"),IF($Q1357="HOLD","DO NOT DELETE — HOLD (Charlie review)",IF($Q1357="KEEP","DO NOT DELETE — KEEP",IF(ISNUMBER(SEARCH("REVIEW",$Q1357)),"DO NOT DELETE — REVIEW pending",$S1357))))</f>
        <v>DO NOT DELETE — HOLD (Charlie review)</v>
      </c>
      <c r="Q1357" t="str" cm="1">
        <f t="array" ref="Q1357">_xlfn.IFS(AND($A1357="thg-beauty",ISNUMBER(SEARCH("liveramp",$C1357))),"DELETE",$A1357="agile-bonbon-662",_xlfn.IFS(LEFT($G1357,9)="Tranche 1","DELETE",$C1357="Sessions_Level_1_All_Sites","KEEP",ISNUMBER(--$C1357),"REVIEW — UA raw logs",$C1357="Emag_Reporting","KEEP",$C1357="Nutrition_Data_Archived_Tables","KEEP",$C1357="EU_Data","KEEP",TRUE,"REVIEW"),OR($A1357="thg-influencer",$A1357="thg-ingenuity",$A1357="thg-central-marketing",$A1357="thg-seoclarity"),"HOLD",TRUE,"")</f>
        <v>HOLD</v>
      </c>
      <c r="R1357" t="str" cm="1">
        <f t="array" ref="R1357">_xlfn.IFS(AND($A1357="thg-beauty",ISNUMBER(SEARCH("liveramp",$C1357))),"thg-beauty Liveramp dataset — confirmed safe to delete",$A1357="agile-bonbon-662",_xlfn.IFS(LEFT($G1357,9)="Tranche 1","Tranche 1: cleared",$C1357="Sessions_Level_1_All_Sites","Downstream aggregation of UA raw logs — keep if raw tables go",ISNUMBER(--$C1357),"UA raw site logs (account ID) — keep pending audit-retention check",$C1357="Emag_Reporting","Legacy but likely needed",$C1357="Nutrition_Data_Archived_Tables","Worth keeping",$C1357="EU_Data","Static lookup tables — scripts still reference (smoke-test risk)",TRUE,"Review"),OR($A1357="thg-influencer",$A1357="thg-ingenuity",$A1357="thg-central-marketing",$A1357="thg-seoclarity"),"HOLD — Charlie Stringer to review before deletion",TRUE,"")</f>
        <v>HOLD — Charlie Stringer to review before deletion</v>
      </c>
      <c r="S1357" t="s">
        <v>1624</v>
      </c>
    </row>
    <row r="1358" spans="1:19" hidden="1">
      <c r="A1358" t="s">
        <v>38</v>
      </c>
      <c r="B1358" t="s">
        <v>1619</v>
      </c>
      <c r="C1358" t="s">
        <v>3808</v>
      </c>
      <c r="D1358" s="2" t="s">
        <v>1621</v>
      </c>
      <c r="E1358">
        <v>0.32</v>
      </c>
      <c r="F1358">
        <v>0.01</v>
      </c>
      <c r="G1358" t="s">
        <v>3456</v>
      </c>
      <c r="H1358" t="s">
        <v>3457</v>
      </c>
      <c r="I1358">
        <v>404</v>
      </c>
      <c r="J1358">
        <v>404</v>
      </c>
      <c r="M1358" s="2" t="s">
        <v>1715</v>
      </c>
      <c r="N1358" s="2" t="s">
        <v>1701</v>
      </c>
      <c r="O1358" s="5">
        <v>45793.429030150473</v>
      </c>
      <c r="P1358" t="str">
        <f>IF($Q1358="DELETE",IF($S1358="CONFIRMED: NO MODS &gt; 1YR","CONFIRMED: NO MODS &gt; 1YR","DO NOT DELETE — not defensibly confirmed"),IF($Q1358="HOLD","DO NOT DELETE — HOLD (Charlie review)",IF($Q1358="KEEP","DO NOT DELETE — KEEP",IF(ISNUMBER(SEARCH("REVIEW",$Q1358)),"DO NOT DELETE — REVIEW pending",$S1358))))</f>
        <v>DO NOT DELETE — HOLD (Charlie review)</v>
      </c>
      <c r="Q1358" t="str" cm="1">
        <f t="array" ref="Q1358">_xlfn.IFS(AND($A1358="thg-beauty",ISNUMBER(SEARCH("liveramp",$C1358))),"DELETE",$A1358="agile-bonbon-662",_xlfn.IFS(LEFT($G1358,9)="Tranche 1","DELETE",$C1358="Sessions_Level_1_All_Sites","KEEP",ISNUMBER(--$C1358),"REVIEW — UA raw logs",$C1358="Emag_Reporting","KEEP",$C1358="Nutrition_Data_Archived_Tables","KEEP",$C1358="EU_Data","KEEP",TRUE,"REVIEW"),OR($A1358="thg-influencer",$A1358="thg-ingenuity",$A1358="thg-central-marketing",$A1358="thg-seoclarity"),"HOLD",TRUE,"")</f>
        <v>HOLD</v>
      </c>
      <c r="R1358" t="str" cm="1">
        <f t="array" ref="R1358">_xlfn.IFS(AND($A1358="thg-beauty",ISNUMBER(SEARCH("liveramp",$C1358))),"thg-beauty Liveramp dataset — confirmed safe to delete",$A1358="agile-bonbon-662",_xlfn.IFS(LEFT($G1358,9)="Tranche 1","Tranche 1: cleared",$C1358="Sessions_Level_1_All_Sites","Downstream aggregation of UA raw logs — keep if raw tables go",ISNUMBER(--$C1358),"UA raw site logs (account ID) — keep pending audit-retention check",$C1358="Emag_Reporting","Legacy but likely needed",$C1358="Nutrition_Data_Archived_Tables","Worth keeping",$C1358="EU_Data","Static lookup tables — scripts still reference (smoke-test risk)",TRUE,"Review"),OR($A1358="thg-influencer",$A1358="thg-ingenuity",$A1358="thg-central-marketing",$A1358="thg-seoclarity"),"HOLD — Charlie Stringer to review before deletion",TRUE,"")</f>
        <v>HOLD — Charlie Stringer to review before deletion</v>
      </c>
      <c r="S1358" t="s">
        <v>1624</v>
      </c>
    </row>
    <row r="1359" spans="1:19" hidden="1">
      <c r="A1359" t="s">
        <v>38</v>
      </c>
      <c r="B1359" t="s">
        <v>1619</v>
      </c>
      <c r="C1359" t="s">
        <v>3809</v>
      </c>
      <c r="D1359" s="2" t="s">
        <v>1621</v>
      </c>
      <c r="E1359">
        <v>42.81</v>
      </c>
      <c r="F1359">
        <v>0.86</v>
      </c>
      <c r="G1359" t="s">
        <v>3456</v>
      </c>
      <c r="H1359" t="s">
        <v>3457</v>
      </c>
      <c r="I1359">
        <v>387</v>
      </c>
      <c r="J1359">
        <v>387</v>
      </c>
      <c r="M1359" s="2" t="s">
        <v>1715</v>
      </c>
      <c r="N1359" s="2" t="s">
        <v>1701</v>
      </c>
      <c r="O1359" s="5">
        <v>45810.361134942134</v>
      </c>
      <c r="P1359" t="str">
        <f>IF($Q1359="DELETE",IF($S1359="CONFIRMED: NO MODS &gt; 1YR","CONFIRMED: NO MODS &gt; 1YR","DO NOT DELETE — not defensibly confirmed"),IF($Q1359="HOLD","DO NOT DELETE — HOLD (Charlie review)",IF($Q1359="KEEP","DO NOT DELETE — KEEP",IF(ISNUMBER(SEARCH("REVIEW",$Q1359)),"DO NOT DELETE — REVIEW pending",$S1359))))</f>
        <v>DO NOT DELETE — HOLD (Charlie review)</v>
      </c>
      <c r="Q1359" t="str" cm="1">
        <f t="array" ref="Q1359">_xlfn.IFS(AND($A1359="thg-beauty",ISNUMBER(SEARCH("liveramp",$C1359))),"DELETE",$A1359="agile-bonbon-662",_xlfn.IFS(LEFT($G1359,9)="Tranche 1","DELETE",$C1359="Sessions_Level_1_All_Sites","KEEP",ISNUMBER(--$C1359),"REVIEW — UA raw logs",$C1359="Emag_Reporting","KEEP",$C1359="Nutrition_Data_Archived_Tables","KEEP",$C1359="EU_Data","KEEP",TRUE,"REVIEW"),OR($A1359="thg-influencer",$A1359="thg-ingenuity",$A1359="thg-central-marketing",$A1359="thg-seoclarity"),"HOLD",TRUE,"")</f>
        <v>HOLD</v>
      </c>
      <c r="R1359" t="str" cm="1">
        <f t="array" ref="R1359">_xlfn.IFS(AND($A1359="thg-beauty",ISNUMBER(SEARCH("liveramp",$C1359))),"thg-beauty Liveramp dataset — confirmed safe to delete",$A1359="agile-bonbon-662",_xlfn.IFS(LEFT($G1359,9)="Tranche 1","Tranche 1: cleared",$C1359="Sessions_Level_1_All_Sites","Downstream aggregation of UA raw logs — keep if raw tables go",ISNUMBER(--$C1359),"UA raw site logs (account ID) — keep pending audit-retention check",$C1359="Emag_Reporting","Legacy but likely needed",$C1359="Nutrition_Data_Archived_Tables","Worth keeping",$C1359="EU_Data","Static lookup tables — scripts still reference (smoke-test risk)",TRUE,"Review"),OR($A1359="thg-influencer",$A1359="thg-ingenuity",$A1359="thg-central-marketing",$A1359="thg-seoclarity"),"HOLD — Charlie Stringer to review before deletion",TRUE,"")</f>
        <v>HOLD — Charlie Stringer to review before deletion</v>
      </c>
      <c r="S1359" t="s">
        <v>1624</v>
      </c>
    </row>
    <row r="1360" spans="1:19" hidden="1">
      <c r="A1360" t="s">
        <v>38</v>
      </c>
      <c r="B1360" t="s">
        <v>1619</v>
      </c>
      <c r="C1360" t="s">
        <v>3810</v>
      </c>
      <c r="D1360" s="2" t="s">
        <v>1621</v>
      </c>
      <c r="E1360">
        <v>33.03</v>
      </c>
      <c r="F1360">
        <v>0.66</v>
      </c>
      <c r="G1360" t="s">
        <v>3456</v>
      </c>
      <c r="H1360" t="s">
        <v>3457</v>
      </c>
      <c r="I1360">
        <v>373</v>
      </c>
      <c r="J1360">
        <v>373</v>
      </c>
      <c r="M1360" s="2" t="s">
        <v>1715</v>
      </c>
      <c r="N1360" s="2" t="s">
        <v>1701</v>
      </c>
      <c r="O1360" s="5">
        <v>45824.419779328702</v>
      </c>
      <c r="P1360" t="str">
        <f>IF($Q1360="DELETE",IF($S1360="CONFIRMED: NO MODS &gt; 1YR","CONFIRMED: NO MODS &gt; 1YR","DO NOT DELETE — not defensibly confirmed"),IF($Q1360="HOLD","DO NOT DELETE — HOLD (Charlie review)",IF($Q1360="KEEP","DO NOT DELETE — KEEP",IF(ISNUMBER(SEARCH("REVIEW",$Q1360)),"DO NOT DELETE — REVIEW pending",$S1360))))</f>
        <v>DO NOT DELETE — HOLD (Charlie review)</v>
      </c>
      <c r="Q1360" t="str" cm="1">
        <f t="array" ref="Q1360">_xlfn.IFS(AND($A1360="thg-beauty",ISNUMBER(SEARCH("liveramp",$C1360))),"DELETE",$A1360="agile-bonbon-662",_xlfn.IFS(LEFT($G1360,9)="Tranche 1","DELETE",$C1360="Sessions_Level_1_All_Sites","KEEP",ISNUMBER(--$C1360),"REVIEW — UA raw logs",$C1360="Emag_Reporting","KEEP",$C1360="Nutrition_Data_Archived_Tables","KEEP",$C1360="EU_Data","KEEP",TRUE,"REVIEW"),OR($A1360="thg-influencer",$A1360="thg-ingenuity",$A1360="thg-central-marketing",$A1360="thg-seoclarity"),"HOLD",TRUE,"")</f>
        <v>HOLD</v>
      </c>
      <c r="R1360" t="str" cm="1">
        <f t="array" ref="R1360">_xlfn.IFS(AND($A1360="thg-beauty",ISNUMBER(SEARCH("liveramp",$C1360))),"thg-beauty Liveramp dataset — confirmed safe to delete",$A1360="agile-bonbon-662",_xlfn.IFS(LEFT($G1360,9)="Tranche 1","Tranche 1: cleared",$C1360="Sessions_Level_1_All_Sites","Downstream aggregation of UA raw logs — keep if raw tables go",ISNUMBER(--$C1360),"UA raw site logs (account ID) — keep pending audit-retention check",$C1360="Emag_Reporting","Legacy but likely needed",$C1360="Nutrition_Data_Archived_Tables","Worth keeping",$C1360="EU_Data","Static lookup tables — scripts still reference (smoke-test risk)",TRUE,"Review"),OR($A1360="thg-influencer",$A1360="thg-ingenuity",$A1360="thg-central-marketing",$A1360="thg-seoclarity"),"HOLD — Charlie Stringer to review before deletion",TRUE,"")</f>
        <v>HOLD — Charlie Stringer to review before deletion</v>
      </c>
      <c r="S1360" t="s">
        <v>1624</v>
      </c>
    </row>
    <row r="1361" spans="1:19" ht="76.5" hidden="1">
      <c r="A1361" t="s">
        <v>39</v>
      </c>
      <c r="B1361" t="s">
        <v>1619</v>
      </c>
      <c r="C1361" t="s">
        <v>3811</v>
      </c>
      <c r="D1361" s="2" t="s">
        <v>1621</v>
      </c>
      <c r="E1361">
        <v>0.63</v>
      </c>
      <c r="F1361">
        <v>0.01</v>
      </c>
      <c r="G1361" t="s">
        <v>3456</v>
      </c>
      <c r="H1361" t="s">
        <v>3457</v>
      </c>
      <c r="I1361">
        <v>169</v>
      </c>
      <c r="J1361">
        <v>834</v>
      </c>
      <c r="K1361" s="5">
        <v>46027.531621655093</v>
      </c>
      <c r="M1361" s="2" t="s">
        <v>2431</v>
      </c>
      <c r="N1361" s="2" t="s">
        <v>1701</v>
      </c>
      <c r="O1361" s="5">
        <v>45363.041904212972</v>
      </c>
      <c r="P1361" t="str">
        <f>IF($Q1361="DELETE",IF($S1361="CONFIRMED: NO MODS &gt; 1YR","CONFIRMED: NO MODS &gt; 1YR","DO NOT DELETE — not defensibly confirmed"),IF($Q1361="HOLD","DO NOT DELETE — HOLD (Charlie review)",IF($Q1361="KEEP","DO NOT DELETE — KEEP",IF(ISNUMBER(SEARCH("REVIEW",$Q1361)),"DO NOT DELETE — REVIEW pending",$S1361))))</f>
        <v>DO NOT DELETE — HOLD (Charlie review)</v>
      </c>
      <c r="Q1361" t="str" cm="1">
        <f t="array" ref="Q1361">_xlfn.IFS(AND($A1361="thg-beauty",ISNUMBER(SEARCH("liveramp",$C1361))),"DELETE",$A1361="agile-bonbon-662",_xlfn.IFS(LEFT($G1361,9)="Tranche 1","DELETE",$C1361="Sessions_Level_1_All_Sites","KEEP",ISNUMBER(--$C1361),"REVIEW — UA raw logs",$C1361="Emag_Reporting","KEEP",$C1361="Nutrition_Data_Archived_Tables","KEEP",$C1361="EU_Data","KEEP",TRUE,"REVIEW"),OR($A1361="thg-influencer",$A1361="thg-ingenuity",$A1361="thg-central-marketing",$A1361="thg-seoclarity"),"HOLD",TRUE,"")</f>
        <v>HOLD</v>
      </c>
      <c r="R1361" t="str" cm="1">
        <f t="array" ref="R1361">_xlfn.IFS(AND($A1361="thg-beauty",ISNUMBER(SEARCH("liveramp",$C1361))),"thg-beauty Liveramp dataset — confirmed safe to delete",$A1361="agile-bonbon-662",_xlfn.IFS(LEFT($G1361,9)="Tranche 1","Tranche 1: cleared",$C1361="Sessions_Level_1_All_Sites","Downstream aggregation of UA raw logs — keep if raw tables go",ISNUMBER(--$C1361),"UA raw site logs (account ID) — keep pending audit-retention check",$C1361="Emag_Reporting","Legacy but likely needed",$C1361="Nutrition_Data_Archived_Tables","Worth keeping",$C1361="EU_Data","Static lookup tables — scripts still reference (smoke-test risk)",TRUE,"Review"),OR($A1361="thg-influencer",$A1361="thg-ingenuity",$A1361="thg-central-marketing",$A1361="thg-seoclarity"),"HOLD — Charlie Stringer to review before deletion",TRUE,"")</f>
        <v>HOLD — Charlie Stringer to review before deletion</v>
      </c>
      <c r="S1361" t="s">
        <v>1624</v>
      </c>
    </row>
    <row r="1362" spans="1:19" ht="76.5" hidden="1">
      <c r="A1362" t="s">
        <v>39</v>
      </c>
      <c r="B1362" t="s">
        <v>1619</v>
      </c>
      <c r="C1362" t="s">
        <v>3812</v>
      </c>
      <c r="D1362" s="2" t="s">
        <v>1621</v>
      </c>
      <c r="E1362">
        <v>0.03</v>
      </c>
      <c r="F1362">
        <v>0</v>
      </c>
      <c r="G1362" t="s">
        <v>3456</v>
      </c>
      <c r="H1362" t="s">
        <v>3457</v>
      </c>
      <c r="I1362">
        <v>169</v>
      </c>
      <c r="J1362">
        <v>399</v>
      </c>
      <c r="K1362" s="5">
        <v>46027.531621655093</v>
      </c>
      <c r="M1362" s="2" t="s">
        <v>2431</v>
      </c>
      <c r="N1362" s="2" t="s">
        <v>1701</v>
      </c>
      <c r="O1362" s="5">
        <v>45798.411997523152</v>
      </c>
      <c r="P1362" t="str">
        <f>IF($Q1362="DELETE",IF($S1362="CONFIRMED: NO MODS &gt; 1YR","CONFIRMED: NO MODS &gt; 1YR","DO NOT DELETE — not defensibly confirmed"),IF($Q1362="HOLD","DO NOT DELETE — HOLD (Charlie review)",IF($Q1362="KEEP","DO NOT DELETE — KEEP",IF(ISNUMBER(SEARCH("REVIEW",$Q1362)),"DO NOT DELETE — REVIEW pending",$S1362))))</f>
        <v>DO NOT DELETE — HOLD (Charlie review)</v>
      </c>
      <c r="Q1362" t="str" cm="1">
        <f t="array" ref="Q1362">_xlfn.IFS(AND($A1362="thg-beauty",ISNUMBER(SEARCH("liveramp",$C1362))),"DELETE",$A1362="agile-bonbon-662",_xlfn.IFS(LEFT($G1362,9)="Tranche 1","DELETE",$C1362="Sessions_Level_1_All_Sites","KEEP",ISNUMBER(--$C1362),"REVIEW — UA raw logs",$C1362="Emag_Reporting","KEEP",$C1362="Nutrition_Data_Archived_Tables","KEEP",$C1362="EU_Data","KEEP",TRUE,"REVIEW"),OR($A1362="thg-influencer",$A1362="thg-ingenuity",$A1362="thg-central-marketing",$A1362="thg-seoclarity"),"HOLD",TRUE,"")</f>
        <v>HOLD</v>
      </c>
      <c r="R1362" t="str" cm="1">
        <f t="array" ref="R1362">_xlfn.IFS(AND($A1362="thg-beauty",ISNUMBER(SEARCH("liveramp",$C1362))),"thg-beauty Liveramp dataset — confirmed safe to delete",$A1362="agile-bonbon-662",_xlfn.IFS(LEFT($G1362,9)="Tranche 1","Tranche 1: cleared",$C1362="Sessions_Level_1_All_Sites","Downstream aggregation of UA raw logs — keep if raw tables go",ISNUMBER(--$C1362),"UA raw site logs (account ID) — keep pending audit-retention check",$C1362="Emag_Reporting","Legacy but likely needed",$C1362="Nutrition_Data_Archived_Tables","Worth keeping",$C1362="EU_Data","Static lookup tables — scripts still reference (smoke-test risk)",TRUE,"Review"),OR($A1362="thg-influencer",$A1362="thg-ingenuity",$A1362="thg-central-marketing",$A1362="thg-seoclarity"),"HOLD — Charlie Stringer to review before deletion",TRUE,"")</f>
        <v>HOLD — Charlie Stringer to review before deletion</v>
      </c>
      <c r="S1362" t="s">
        <v>1624</v>
      </c>
    </row>
    <row r="1363" spans="1:19" ht="76.5" hidden="1">
      <c r="A1363" t="s">
        <v>39</v>
      </c>
      <c r="B1363" t="s">
        <v>1619</v>
      </c>
      <c r="C1363" t="s">
        <v>3813</v>
      </c>
      <c r="D1363" s="2" t="s">
        <v>1621</v>
      </c>
      <c r="E1363">
        <v>0</v>
      </c>
      <c r="F1363">
        <v>0</v>
      </c>
      <c r="G1363" t="s">
        <v>3456</v>
      </c>
      <c r="H1363" t="s">
        <v>3457</v>
      </c>
      <c r="I1363">
        <v>169</v>
      </c>
      <c r="J1363">
        <v>841</v>
      </c>
      <c r="K1363" s="5">
        <v>46027.531621655093</v>
      </c>
      <c r="M1363" s="2" t="s">
        <v>2431</v>
      </c>
      <c r="N1363" s="2" t="s">
        <v>1701</v>
      </c>
      <c r="O1363" s="5">
        <v>45355.58989221065</v>
      </c>
      <c r="P1363" t="str">
        <f>IF($Q1363="DELETE",IF($S1363="CONFIRMED: NO MODS &gt; 1YR","CONFIRMED: NO MODS &gt; 1YR","DO NOT DELETE — not defensibly confirmed"),IF($Q1363="HOLD","DO NOT DELETE — HOLD (Charlie review)",IF($Q1363="KEEP","DO NOT DELETE — KEEP",IF(ISNUMBER(SEARCH("REVIEW",$Q1363)),"DO NOT DELETE — REVIEW pending",$S1363))))</f>
        <v>DO NOT DELETE — HOLD (Charlie review)</v>
      </c>
      <c r="Q1363" t="str" cm="1">
        <f t="array" ref="Q1363">_xlfn.IFS(AND($A1363="thg-beauty",ISNUMBER(SEARCH("liveramp",$C1363))),"DELETE",$A1363="agile-bonbon-662",_xlfn.IFS(LEFT($G1363,9)="Tranche 1","DELETE",$C1363="Sessions_Level_1_All_Sites","KEEP",ISNUMBER(--$C1363),"REVIEW — UA raw logs",$C1363="Emag_Reporting","KEEP",$C1363="Nutrition_Data_Archived_Tables","KEEP",$C1363="EU_Data","KEEP",TRUE,"REVIEW"),OR($A1363="thg-influencer",$A1363="thg-ingenuity",$A1363="thg-central-marketing",$A1363="thg-seoclarity"),"HOLD",TRUE,"")</f>
        <v>HOLD</v>
      </c>
      <c r="R1363" t="str" cm="1">
        <f t="array" ref="R1363">_xlfn.IFS(AND($A1363="thg-beauty",ISNUMBER(SEARCH("liveramp",$C1363))),"thg-beauty Liveramp dataset — confirmed safe to delete",$A1363="agile-bonbon-662",_xlfn.IFS(LEFT($G1363,9)="Tranche 1","Tranche 1: cleared",$C1363="Sessions_Level_1_All_Sites","Downstream aggregation of UA raw logs — keep if raw tables go",ISNUMBER(--$C1363),"UA raw site logs (account ID) — keep pending audit-retention check",$C1363="Emag_Reporting","Legacy but likely needed",$C1363="Nutrition_Data_Archived_Tables","Worth keeping",$C1363="EU_Data","Static lookup tables — scripts still reference (smoke-test risk)",TRUE,"Review"),OR($A1363="thg-influencer",$A1363="thg-ingenuity",$A1363="thg-central-marketing",$A1363="thg-seoclarity"),"HOLD — Charlie Stringer to review before deletion",TRUE,"")</f>
        <v>HOLD — Charlie Stringer to review before deletion</v>
      </c>
      <c r="S1363" t="s">
        <v>1624</v>
      </c>
    </row>
    <row r="1364" spans="1:19" ht="76.5" hidden="1">
      <c r="A1364" t="s">
        <v>38</v>
      </c>
      <c r="B1364" t="s">
        <v>1619</v>
      </c>
      <c r="C1364" t="s">
        <v>3814</v>
      </c>
      <c r="D1364" s="2" t="s">
        <v>1621</v>
      </c>
      <c r="E1364">
        <v>0.72</v>
      </c>
      <c r="F1364">
        <v>0.01</v>
      </c>
      <c r="G1364" t="s">
        <v>3456</v>
      </c>
      <c r="H1364" t="s">
        <v>3457</v>
      </c>
      <c r="I1364">
        <v>162</v>
      </c>
      <c r="J1364">
        <v>488</v>
      </c>
      <c r="K1364" s="5">
        <v>46035.177684479168</v>
      </c>
      <c r="M1364" s="2" t="s">
        <v>3815</v>
      </c>
      <c r="N1364" s="2" t="s">
        <v>1701</v>
      </c>
      <c r="O1364" s="5">
        <v>45708.476492268521</v>
      </c>
      <c r="P1364" t="str">
        <f>IF($Q1364="DELETE",IF($S1364="CONFIRMED: NO MODS &gt; 1YR","CONFIRMED: NO MODS &gt; 1YR","DO NOT DELETE — not defensibly confirmed"),IF($Q1364="HOLD","DO NOT DELETE — HOLD (Charlie review)",IF($Q1364="KEEP","DO NOT DELETE — KEEP",IF(ISNUMBER(SEARCH("REVIEW",$Q1364)),"DO NOT DELETE — REVIEW pending",$S1364))))</f>
        <v>DO NOT DELETE — HOLD (Charlie review)</v>
      </c>
      <c r="Q1364" t="str" cm="1">
        <f t="array" ref="Q1364">_xlfn.IFS(AND($A1364="thg-beauty",ISNUMBER(SEARCH("liveramp",$C1364))),"DELETE",$A1364="agile-bonbon-662",_xlfn.IFS(LEFT($G1364,9)="Tranche 1","DELETE",$C1364="Sessions_Level_1_All_Sites","KEEP",ISNUMBER(--$C1364),"REVIEW — UA raw logs",$C1364="Emag_Reporting","KEEP",$C1364="Nutrition_Data_Archived_Tables","KEEP",$C1364="EU_Data","KEEP",TRUE,"REVIEW"),OR($A1364="thg-influencer",$A1364="thg-ingenuity",$A1364="thg-central-marketing",$A1364="thg-seoclarity"),"HOLD",TRUE,"")</f>
        <v>HOLD</v>
      </c>
      <c r="R1364" t="str" cm="1">
        <f t="array" ref="R1364">_xlfn.IFS(AND($A1364="thg-beauty",ISNUMBER(SEARCH("liveramp",$C1364))),"thg-beauty Liveramp dataset — confirmed safe to delete",$A1364="agile-bonbon-662",_xlfn.IFS(LEFT($G1364,9)="Tranche 1","Tranche 1: cleared",$C1364="Sessions_Level_1_All_Sites","Downstream aggregation of UA raw logs — keep if raw tables go",ISNUMBER(--$C1364),"UA raw site logs (account ID) — keep pending audit-retention check",$C1364="Emag_Reporting","Legacy but likely needed",$C1364="Nutrition_Data_Archived_Tables","Worth keeping",$C1364="EU_Data","Static lookup tables — scripts still reference (smoke-test risk)",TRUE,"Review"),OR($A1364="thg-influencer",$A1364="thg-ingenuity",$A1364="thg-central-marketing",$A1364="thg-seoclarity"),"HOLD — Charlie Stringer to review before deletion",TRUE,"")</f>
        <v>HOLD — Charlie Stringer to review before deletion</v>
      </c>
      <c r="S1364" t="s">
        <v>1624</v>
      </c>
    </row>
    <row r="1365" spans="1:19" ht="76.5" hidden="1">
      <c r="A1365" t="s">
        <v>35</v>
      </c>
      <c r="B1365" t="s">
        <v>1619</v>
      </c>
      <c r="C1365" t="s">
        <v>2421</v>
      </c>
      <c r="D1365" s="2" t="s">
        <v>1621</v>
      </c>
      <c r="E1365">
        <v>22.16</v>
      </c>
      <c r="F1365">
        <v>0.44</v>
      </c>
      <c r="G1365" t="s">
        <v>3456</v>
      </c>
      <c r="H1365" t="s">
        <v>3457</v>
      </c>
      <c r="I1365">
        <v>50</v>
      </c>
      <c r="J1365">
        <v>572</v>
      </c>
      <c r="K1365" s="5">
        <v>46147.19287658565</v>
      </c>
      <c r="M1365" s="2" t="s">
        <v>3816</v>
      </c>
      <c r="N1365" s="2" t="s">
        <v>1701</v>
      </c>
      <c r="O1365" s="5">
        <v>45625.28284028935</v>
      </c>
      <c r="P1365" t="str">
        <f>IF($Q1365="DELETE",IF($S1365="CONFIRMED: NO MODS &gt; 1YR","CONFIRMED: NO MODS &gt; 1YR","DO NOT DELETE — not defensibly confirmed"),IF($Q1365="HOLD","DO NOT DELETE — HOLD (Charlie review)",IF($Q1365="KEEP","DO NOT DELETE — KEEP",IF(ISNUMBER(SEARCH("REVIEW",$Q1365)),"DO NOT DELETE — REVIEW pending",$S1365))))</f>
        <v>DO NOT DELETE — HOLD (Charlie review)</v>
      </c>
      <c r="Q1365" t="str" cm="1">
        <f t="array" ref="Q1365">_xlfn.IFS(AND($A1365="thg-beauty",ISNUMBER(SEARCH("liveramp",$C1365))),"DELETE",$A1365="agile-bonbon-662",_xlfn.IFS(LEFT($G1365,9)="Tranche 1","DELETE",$C1365="Sessions_Level_1_All_Sites","KEEP",ISNUMBER(--$C1365),"REVIEW — UA raw logs",$C1365="Emag_Reporting","KEEP",$C1365="Nutrition_Data_Archived_Tables","KEEP",$C1365="EU_Data","KEEP",TRUE,"REVIEW"),OR($A1365="thg-influencer",$A1365="thg-ingenuity",$A1365="thg-central-marketing",$A1365="thg-seoclarity"),"HOLD",TRUE,"")</f>
        <v>HOLD</v>
      </c>
      <c r="R1365" t="str" cm="1">
        <f t="array" ref="R1365">_xlfn.IFS(AND($A1365="thg-beauty",ISNUMBER(SEARCH("liveramp",$C1365))),"thg-beauty Liveramp dataset — confirmed safe to delete",$A1365="agile-bonbon-662",_xlfn.IFS(LEFT($G1365,9)="Tranche 1","Tranche 1: cleared",$C1365="Sessions_Level_1_All_Sites","Downstream aggregation of UA raw logs — keep if raw tables go",ISNUMBER(--$C1365),"UA raw site logs (account ID) — keep pending audit-retention check",$C1365="Emag_Reporting","Legacy but likely needed",$C1365="Nutrition_Data_Archived_Tables","Worth keeping",$C1365="EU_Data","Static lookup tables — scripts still reference (smoke-test risk)",TRUE,"Review"),OR($A1365="thg-influencer",$A1365="thg-ingenuity",$A1365="thg-central-marketing",$A1365="thg-seoclarity"),"HOLD — Charlie Stringer to review before deletion",TRUE,"")</f>
        <v>HOLD — Charlie Stringer to review before deletion</v>
      </c>
      <c r="S1365" t="s">
        <v>1624</v>
      </c>
    </row>
    <row r="1366" spans="1:19" ht="76.5" hidden="1">
      <c r="A1366" t="s">
        <v>35</v>
      </c>
      <c r="B1366" t="s">
        <v>1619</v>
      </c>
      <c r="C1366" t="s">
        <v>3817</v>
      </c>
      <c r="D1366" s="2" t="s">
        <v>1621</v>
      </c>
      <c r="E1366">
        <v>2.69</v>
      </c>
      <c r="F1366">
        <v>0.05</v>
      </c>
      <c r="G1366" t="s">
        <v>3456</v>
      </c>
      <c r="H1366" t="s">
        <v>3457</v>
      </c>
      <c r="I1366">
        <v>0</v>
      </c>
      <c r="J1366">
        <v>568</v>
      </c>
      <c r="K1366" s="5">
        <v>46197.416932245367</v>
      </c>
      <c r="M1366" s="2" t="s">
        <v>2782</v>
      </c>
      <c r="N1366" s="2" t="s">
        <v>1701</v>
      </c>
      <c r="O1366" s="5">
        <v>45629.421901701389</v>
      </c>
      <c r="P1366" t="str">
        <f>IF($Q1366="DELETE",IF($S1366="CONFIRMED: NO MODS &gt; 1YR","CONFIRMED: NO MODS &gt; 1YR","DO NOT DELETE — not defensibly confirmed"),IF($Q1366="HOLD","DO NOT DELETE — HOLD (Charlie review)",IF($Q1366="KEEP","DO NOT DELETE — KEEP",IF(ISNUMBER(SEARCH("REVIEW",$Q1366)),"DO NOT DELETE — REVIEW pending",$S1366))))</f>
        <v>DO NOT DELETE — HOLD (Charlie review)</v>
      </c>
      <c r="Q1366" t="str" cm="1">
        <f t="array" ref="Q1366">_xlfn.IFS(AND($A1366="thg-beauty",ISNUMBER(SEARCH("liveramp",$C1366))),"DELETE",$A1366="agile-bonbon-662",_xlfn.IFS(LEFT($G1366,9)="Tranche 1","DELETE",$C1366="Sessions_Level_1_All_Sites","KEEP",ISNUMBER(--$C1366),"REVIEW — UA raw logs",$C1366="Emag_Reporting","KEEP",$C1366="Nutrition_Data_Archived_Tables","KEEP",$C1366="EU_Data","KEEP",TRUE,"REVIEW"),OR($A1366="thg-influencer",$A1366="thg-ingenuity",$A1366="thg-central-marketing",$A1366="thg-seoclarity"),"HOLD",TRUE,"")</f>
        <v>HOLD</v>
      </c>
      <c r="R1366" t="str" cm="1">
        <f t="array" ref="R1366">_xlfn.IFS(AND($A1366="thg-beauty",ISNUMBER(SEARCH("liveramp",$C1366))),"thg-beauty Liveramp dataset — confirmed safe to delete",$A1366="agile-bonbon-662",_xlfn.IFS(LEFT($G1366,9)="Tranche 1","Tranche 1: cleared",$C1366="Sessions_Level_1_All_Sites","Downstream aggregation of UA raw logs — keep if raw tables go",ISNUMBER(--$C1366),"UA raw site logs (account ID) — keep pending audit-retention check",$C1366="Emag_Reporting","Legacy but likely needed",$C1366="Nutrition_Data_Archived_Tables","Worth keeping",$C1366="EU_Data","Static lookup tables — scripts still reference (smoke-test risk)",TRUE,"Review"),OR($A1366="thg-influencer",$A1366="thg-ingenuity",$A1366="thg-central-marketing",$A1366="thg-seoclarity"),"HOLD — Charlie Stringer to review before deletion",TRUE,"")</f>
        <v>HOLD — Charlie Stringer to review before deletion</v>
      </c>
      <c r="S1366" t="s">
        <v>1624</v>
      </c>
    </row>
    <row r="1367" spans="1:19" ht="76.5" hidden="1">
      <c r="A1367" t="s">
        <v>39</v>
      </c>
      <c r="B1367" t="s">
        <v>1619</v>
      </c>
      <c r="C1367" t="s">
        <v>3138</v>
      </c>
      <c r="D1367" s="2" t="s">
        <v>1621</v>
      </c>
      <c r="E1367">
        <v>0.05</v>
      </c>
      <c r="F1367">
        <v>0</v>
      </c>
      <c r="G1367" t="s">
        <v>3456</v>
      </c>
      <c r="H1367" t="s">
        <v>3457</v>
      </c>
      <c r="I1367">
        <v>0</v>
      </c>
      <c r="J1367">
        <v>855</v>
      </c>
      <c r="K1367" s="5">
        <v>46197.434883796297</v>
      </c>
      <c r="M1367" s="2" t="s">
        <v>3818</v>
      </c>
      <c r="N1367" s="2" t="s">
        <v>1701</v>
      </c>
      <c r="O1367" s="5">
        <v>45341.468753981477</v>
      </c>
      <c r="P1367" t="str">
        <f>IF($Q1367="DELETE",IF($S1367="CONFIRMED: NO MODS &gt; 1YR","CONFIRMED: NO MODS &gt; 1YR","DO NOT DELETE — not defensibly confirmed"),IF($Q1367="HOLD","DO NOT DELETE — HOLD (Charlie review)",IF($Q1367="KEEP","DO NOT DELETE — KEEP",IF(ISNUMBER(SEARCH("REVIEW",$Q1367)),"DO NOT DELETE — REVIEW pending",$S1367))))</f>
        <v>DO NOT DELETE — HOLD (Charlie review)</v>
      </c>
      <c r="Q1367" t="str" cm="1">
        <f t="array" ref="Q1367">_xlfn.IFS(AND($A1367="thg-beauty",ISNUMBER(SEARCH("liveramp",$C1367))),"DELETE",$A1367="agile-bonbon-662",_xlfn.IFS(LEFT($G1367,9)="Tranche 1","DELETE",$C1367="Sessions_Level_1_All_Sites","KEEP",ISNUMBER(--$C1367),"REVIEW — UA raw logs",$C1367="Emag_Reporting","KEEP",$C1367="Nutrition_Data_Archived_Tables","KEEP",$C1367="EU_Data","KEEP",TRUE,"REVIEW"),OR($A1367="thg-influencer",$A1367="thg-ingenuity",$A1367="thg-central-marketing",$A1367="thg-seoclarity"),"HOLD",TRUE,"")</f>
        <v>HOLD</v>
      </c>
      <c r="R1367" t="str" cm="1">
        <f t="array" ref="R1367">_xlfn.IFS(AND($A1367="thg-beauty",ISNUMBER(SEARCH("liveramp",$C1367))),"thg-beauty Liveramp dataset — confirmed safe to delete",$A1367="agile-bonbon-662",_xlfn.IFS(LEFT($G1367,9)="Tranche 1","Tranche 1: cleared",$C1367="Sessions_Level_1_All_Sites","Downstream aggregation of UA raw logs — keep if raw tables go",ISNUMBER(--$C1367),"UA raw site logs (account ID) — keep pending audit-retention check",$C1367="Emag_Reporting","Legacy but likely needed",$C1367="Nutrition_Data_Archived_Tables","Worth keeping",$C1367="EU_Data","Static lookup tables — scripts still reference (smoke-test risk)",TRUE,"Review"),OR($A1367="thg-influencer",$A1367="thg-ingenuity",$A1367="thg-central-marketing",$A1367="thg-seoclarity"),"HOLD — Charlie Stringer to review before deletion",TRUE,"")</f>
        <v>HOLD — Charlie Stringer to review before deletion</v>
      </c>
      <c r="S1367" t="s">
        <v>1624</v>
      </c>
    </row>
    <row r="1368" spans="1:19" hidden="1">
      <c r="A1368" t="s">
        <v>38</v>
      </c>
      <c r="B1368" t="s">
        <v>1619</v>
      </c>
      <c r="C1368" t="s">
        <v>3819</v>
      </c>
      <c r="D1368" s="2" t="s">
        <v>1621</v>
      </c>
      <c r="E1368">
        <v>0</v>
      </c>
      <c r="F1368">
        <v>0</v>
      </c>
      <c r="G1368" t="s">
        <v>72</v>
      </c>
      <c r="H1368" t="s">
        <v>3457</v>
      </c>
      <c r="I1368">
        <v>1448</v>
      </c>
      <c r="J1368">
        <v>1448</v>
      </c>
      <c r="M1368" s="2" t="s">
        <v>1715</v>
      </c>
      <c r="N1368" s="2" t="s">
        <v>1701</v>
      </c>
      <c r="O1368" s="5">
        <v>44749.12723917824</v>
      </c>
      <c r="P1368" t="str">
        <f>IF($Q1368="DELETE",IF($S1368="CONFIRMED: NO MODS &gt; 1YR","CONFIRMED: NO MODS &gt; 1YR","DO NOT DELETE — not defensibly confirmed"),IF($Q1368="HOLD","DO NOT DELETE — HOLD (Charlie review)",IF($Q1368="KEEP","DO NOT DELETE — KEEP",IF(ISNUMBER(SEARCH("REVIEW",$Q1368)),"DO NOT DELETE — REVIEW pending",$S1368))))</f>
        <v>DO NOT DELETE — HOLD (Charlie review)</v>
      </c>
      <c r="Q1368" t="str" cm="1">
        <f t="array" ref="Q1368">_xlfn.IFS(AND($A1368="thg-beauty",ISNUMBER(SEARCH("liveramp",$C1368))),"DELETE",$A1368="agile-bonbon-662",_xlfn.IFS(LEFT($G1368,9)="Tranche 1","DELETE",$C1368="Sessions_Level_1_All_Sites","KEEP",ISNUMBER(--$C1368),"REVIEW — UA raw logs",$C1368="Emag_Reporting","KEEP",$C1368="Nutrition_Data_Archived_Tables","KEEP",$C1368="EU_Data","KEEP",TRUE,"REVIEW"),OR($A1368="thg-influencer",$A1368="thg-ingenuity",$A1368="thg-central-marketing",$A1368="thg-seoclarity"),"HOLD",TRUE,"")</f>
        <v>HOLD</v>
      </c>
      <c r="R1368" t="str" cm="1">
        <f t="array" ref="R1368">_xlfn.IFS(AND($A1368="thg-beauty",ISNUMBER(SEARCH("liveramp",$C1368))),"thg-beauty Liveramp dataset — confirmed safe to delete",$A1368="agile-bonbon-662",_xlfn.IFS(LEFT($G1368,9)="Tranche 1","Tranche 1: cleared",$C1368="Sessions_Level_1_All_Sites","Downstream aggregation of UA raw logs — keep if raw tables go",ISNUMBER(--$C1368),"UA raw site logs (account ID) — keep pending audit-retention check",$C1368="Emag_Reporting","Legacy but likely needed",$C1368="Nutrition_Data_Archived_Tables","Worth keeping",$C1368="EU_Data","Static lookup tables — scripts still reference (smoke-test risk)",TRUE,"Review"),OR($A1368="thg-influencer",$A1368="thg-ingenuity",$A1368="thg-central-marketing",$A1368="thg-seoclarity"),"HOLD — Charlie Stringer to review before deletion",TRUE,"")</f>
        <v>HOLD — Charlie Stringer to review before deletion</v>
      </c>
      <c r="S1368" t="s">
        <v>1624</v>
      </c>
    </row>
    <row r="1369" spans="1:19" hidden="1">
      <c r="A1369" t="s">
        <v>96</v>
      </c>
      <c r="B1369" t="s">
        <v>1619</v>
      </c>
      <c r="C1369" t="s">
        <v>3820</v>
      </c>
      <c r="D1369" s="2" t="s">
        <v>1621</v>
      </c>
      <c r="E1369">
        <v>409.93</v>
      </c>
      <c r="F1369">
        <v>8.1999999999999993</v>
      </c>
      <c r="G1369" t="s">
        <v>72</v>
      </c>
      <c r="H1369" t="s">
        <v>3328</v>
      </c>
      <c r="I1369">
        <v>1400</v>
      </c>
      <c r="J1369">
        <v>1400</v>
      </c>
      <c r="M1369" s="2" t="s">
        <v>1715</v>
      </c>
      <c r="N1369" s="2" t="s">
        <v>1701</v>
      </c>
      <c r="O1369" s="5">
        <v>44796.605428888892</v>
      </c>
      <c r="P1369" t="str">
        <f>IF($Q1369="DELETE",IF($S1369="CONFIRMED: NO MODS &gt; 1YR","CONFIRMED: NO MODS &gt; 1YR","DO NOT DELETE — not defensibly confirmed"),IF($Q1369="HOLD","DO NOT DELETE — HOLD (Charlie review)",IF($Q1369="KEEP","DO NOT DELETE — KEEP",IF(ISNUMBER(SEARCH("REVIEW",$Q1369)),"DO NOT DELETE — REVIEW pending",$S1369))))</f>
        <v>DO NOT DELETE — HOLD (Charlie review)</v>
      </c>
      <c r="Q1369" t="str" cm="1">
        <f t="array" ref="Q1369">_xlfn.IFS(AND($A1369="thg-beauty",ISNUMBER(SEARCH("liveramp",$C1369))),"DELETE",$A1369="agile-bonbon-662",_xlfn.IFS(LEFT($G1369,9)="Tranche 1","DELETE",$C1369="Sessions_Level_1_All_Sites","KEEP",ISNUMBER(--$C1369),"REVIEW — UA raw logs",$C1369="Emag_Reporting","KEEP",$C1369="Nutrition_Data_Archived_Tables","KEEP",$C1369="EU_Data","KEEP",TRUE,"REVIEW"),OR($A1369="thg-influencer",$A1369="thg-ingenuity",$A1369="thg-central-marketing",$A1369="thg-seoclarity"),"HOLD",TRUE,"")</f>
        <v>HOLD</v>
      </c>
      <c r="R1369" t="str" cm="1">
        <f t="array" ref="R1369">_xlfn.IFS(AND($A1369="thg-beauty",ISNUMBER(SEARCH("liveramp",$C1369))),"thg-beauty Liveramp dataset — confirmed safe to delete",$A1369="agile-bonbon-662",_xlfn.IFS(LEFT($G1369,9)="Tranche 1","Tranche 1: cleared",$C1369="Sessions_Level_1_All_Sites","Downstream aggregation of UA raw logs — keep if raw tables go",ISNUMBER(--$C1369),"UA raw site logs (account ID) — keep pending audit-retention check",$C1369="Emag_Reporting","Legacy but likely needed",$C1369="Nutrition_Data_Archived_Tables","Worth keeping",$C1369="EU_Data","Static lookup tables — scripts still reference (smoke-test risk)",TRUE,"Review"),OR($A1369="thg-influencer",$A1369="thg-ingenuity",$A1369="thg-central-marketing",$A1369="thg-seoclarity"),"HOLD — Charlie Stringer to review before deletion",TRUE,"")</f>
        <v>HOLD — Charlie Stringer to review before deletion</v>
      </c>
      <c r="S1369" t="s">
        <v>1624</v>
      </c>
    </row>
    <row r="1370" spans="1:19" hidden="1">
      <c r="A1370" t="s">
        <v>38</v>
      </c>
      <c r="B1370" t="s">
        <v>1619</v>
      </c>
      <c r="C1370" t="s">
        <v>3821</v>
      </c>
      <c r="D1370" s="2" t="s">
        <v>1621</v>
      </c>
      <c r="E1370">
        <v>63.93</v>
      </c>
      <c r="F1370">
        <v>1.28</v>
      </c>
      <c r="G1370" t="s">
        <v>72</v>
      </c>
      <c r="H1370" t="s">
        <v>3457</v>
      </c>
      <c r="I1370">
        <v>1373</v>
      </c>
      <c r="J1370">
        <v>1373</v>
      </c>
      <c r="M1370" s="2" t="s">
        <v>1715</v>
      </c>
      <c r="N1370" s="2" t="s">
        <v>1701</v>
      </c>
      <c r="O1370" s="5">
        <v>44823.71800375</v>
      </c>
      <c r="P1370" t="str">
        <f>IF($Q1370="DELETE",IF($S1370="CONFIRMED: NO MODS &gt; 1YR","CONFIRMED: NO MODS &gt; 1YR","DO NOT DELETE — not defensibly confirmed"),IF($Q1370="HOLD","DO NOT DELETE — HOLD (Charlie review)",IF($Q1370="KEEP","DO NOT DELETE — KEEP",IF(ISNUMBER(SEARCH("REVIEW",$Q1370)),"DO NOT DELETE — REVIEW pending",$S1370))))</f>
        <v>DO NOT DELETE — HOLD (Charlie review)</v>
      </c>
      <c r="Q1370" t="str" cm="1">
        <f t="array" ref="Q1370">_xlfn.IFS(AND($A1370="thg-beauty",ISNUMBER(SEARCH("liveramp",$C1370))),"DELETE",$A1370="agile-bonbon-662",_xlfn.IFS(LEFT($G1370,9)="Tranche 1","DELETE",$C1370="Sessions_Level_1_All_Sites","KEEP",ISNUMBER(--$C1370),"REVIEW — UA raw logs",$C1370="Emag_Reporting","KEEP",$C1370="Nutrition_Data_Archived_Tables","KEEP",$C1370="EU_Data","KEEP",TRUE,"REVIEW"),OR($A1370="thg-influencer",$A1370="thg-ingenuity",$A1370="thg-central-marketing",$A1370="thg-seoclarity"),"HOLD",TRUE,"")</f>
        <v>HOLD</v>
      </c>
      <c r="R1370" t="str" cm="1">
        <f t="array" ref="R1370">_xlfn.IFS(AND($A1370="thg-beauty",ISNUMBER(SEARCH("liveramp",$C1370))),"thg-beauty Liveramp dataset — confirmed safe to delete",$A1370="agile-bonbon-662",_xlfn.IFS(LEFT($G1370,9)="Tranche 1","Tranche 1: cleared",$C1370="Sessions_Level_1_All_Sites","Downstream aggregation of UA raw logs — keep if raw tables go",ISNUMBER(--$C1370),"UA raw site logs (account ID) — keep pending audit-retention check",$C1370="Emag_Reporting","Legacy but likely needed",$C1370="Nutrition_Data_Archived_Tables","Worth keeping",$C1370="EU_Data","Static lookup tables — scripts still reference (smoke-test risk)",TRUE,"Review"),OR($A1370="thg-influencer",$A1370="thg-ingenuity",$A1370="thg-central-marketing",$A1370="thg-seoclarity"),"HOLD — Charlie Stringer to review before deletion",TRUE,"")</f>
        <v>HOLD — Charlie Stringer to review before deletion</v>
      </c>
      <c r="S1370" t="s">
        <v>1624</v>
      </c>
    </row>
    <row r="1371" spans="1:19" hidden="1">
      <c r="A1371" t="s">
        <v>2513</v>
      </c>
      <c r="B1371" t="s">
        <v>1619</v>
      </c>
      <c r="C1371" t="s">
        <v>3822</v>
      </c>
      <c r="D1371" s="2" t="s">
        <v>1621</v>
      </c>
      <c r="E1371">
        <v>0.01</v>
      </c>
      <c r="F1371">
        <v>0</v>
      </c>
      <c r="G1371" t="s">
        <v>72</v>
      </c>
      <c r="H1371" t="s">
        <v>3457</v>
      </c>
      <c r="I1371">
        <v>1216</v>
      </c>
      <c r="J1371">
        <v>1216</v>
      </c>
      <c r="M1371" s="2" t="s">
        <v>1715</v>
      </c>
      <c r="N1371" s="2" t="s">
        <v>1701</v>
      </c>
      <c r="O1371" s="5">
        <v>44980.582506423612</v>
      </c>
      <c r="P1371" t="str">
        <f>IF($Q1371="DELETE",IF($S1371="CONFIRMED: NO MODS &gt; 1YR","CONFIRMED: NO MODS &gt; 1YR","DO NOT DELETE — not defensibly confirmed"),IF($Q1371="HOLD","DO NOT DELETE — HOLD (Charlie review)",IF($Q1371="KEEP","DO NOT DELETE — KEEP",IF(ISNUMBER(SEARCH("REVIEW",$Q1371)),"DO NOT DELETE — REVIEW pending",$S1371))))</f>
        <v>CONFIRMED: NO MODS &gt; 1YR</v>
      </c>
      <c r="Q1371" t="str" cm="1">
        <f t="array" ref="Q1371">_xlfn.IFS(AND($A1371="thg-beauty",ISNUMBER(SEARCH("liveramp",$C1371))),"DELETE",$A1371="agile-bonbon-662",_xlfn.IFS(LEFT($G1371,9)="Tranche 1","DELETE",$C1371="Sessions_Level_1_All_Sites","KEEP",ISNUMBER(--$C1371),"REVIEW — UA raw logs",$C1371="Emag_Reporting","KEEP",$C1371="Nutrition_Data_Archived_Tables","KEEP",$C1371="EU_Data","KEEP",TRUE,"REVIEW"),OR($A1371="thg-influencer",$A1371="thg-ingenuity",$A1371="thg-central-marketing",$A1371="thg-seoclarity"),"HOLD",TRUE,"")</f>
        <v/>
      </c>
      <c r="R1371" t="str" cm="1">
        <f t="array" ref="R1371">_xlfn.IFS(AND($A1371="thg-beauty",ISNUMBER(SEARCH("liveramp",$C1371))),"thg-beauty Liveramp dataset — confirmed safe to delete",$A1371="agile-bonbon-662",_xlfn.IFS(LEFT($G1371,9)="Tranche 1","Tranche 1: cleared",$C1371="Sessions_Level_1_All_Sites","Downstream aggregation of UA raw logs — keep if raw tables go",ISNUMBER(--$C1371),"UA raw site logs (account ID) — keep pending audit-retention check",$C1371="Emag_Reporting","Legacy but likely needed",$C1371="Nutrition_Data_Archived_Tables","Worth keeping",$C1371="EU_Data","Static lookup tables — scripts still reference (smoke-test risk)",TRUE,"Review"),OR($A1371="thg-influencer",$A1371="thg-ingenuity",$A1371="thg-central-marketing",$A1371="thg-seoclarity"),"HOLD — Charlie Stringer to review before deletion",TRUE,"")</f>
        <v/>
      </c>
      <c r="S1371" t="s">
        <v>1624</v>
      </c>
    </row>
    <row r="1372" spans="1:19" hidden="1">
      <c r="A1372" t="s">
        <v>2513</v>
      </c>
      <c r="B1372" t="s">
        <v>1619</v>
      </c>
      <c r="C1372" t="s">
        <v>3823</v>
      </c>
      <c r="D1372" s="2" t="s">
        <v>1621</v>
      </c>
      <c r="E1372">
        <v>0.28000000000000003</v>
      </c>
      <c r="F1372">
        <v>0.01</v>
      </c>
      <c r="G1372" t="s">
        <v>72</v>
      </c>
      <c r="H1372" t="s">
        <v>3457</v>
      </c>
      <c r="I1372">
        <v>1140</v>
      </c>
      <c r="J1372">
        <v>1140</v>
      </c>
      <c r="M1372" s="2" t="s">
        <v>1715</v>
      </c>
      <c r="N1372" s="2" t="s">
        <v>1701</v>
      </c>
      <c r="O1372" s="5">
        <v>45057.418908368047</v>
      </c>
      <c r="P1372" t="str">
        <f>IF($Q1372="DELETE",IF($S1372="CONFIRMED: NO MODS &gt; 1YR","CONFIRMED: NO MODS &gt; 1YR","DO NOT DELETE — not defensibly confirmed"),IF($Q1372="HOLD","DO NOT DELETE — HOLD (Charlie review)",IF($Q1372="KEEP","DO NOT DELETE — KEEP",IF(ISNUMBER(SEARCH("REVIEW",$Q1372)),"DO NOT DELETE — REVIEW pending",$S1372))))</f>
        <v>CONFIRMED: NO MODS &gt; 1YR</v>
      </c>
      <c r="Q1372" t="str" cm="1">
        <f t="array" ref="Q1372">_xlfn.IFS(AND($A1372="thg-beauty",ISNUMBER(SEARCH("liveramp",$C1372))),"DELETE",$A1372="agile-bonbon-662",_xlfn.IFS(LEFT($G1372,9)="Tranche 1","DELETE",$C1372="Sessions_Level_1_All_Sites","KEEP",ISNUMBER(--$C1372),"REVIEW — UA raw logs",$C1372="Emag_Reporting","KEEP",$C1372="Nutrition_Data_Archived_Tables","KEEP",$C1372="EU_Data","KEEP",TRUE,"REVIEW"),OR($A1372="thg-influencer",$A1372="thg-ingenuity",$A1372="thg-central-marketing",$A1372="thg-seoclarity"),"HOLD",TRUE,"")</f>
        <v/>
      </c>
      <c r="R1372" t="str" cm="1">
        <f t="array" ref="R1372">_xlfn.IFS(AND($A1372="thg-beauty",ISNUMBER(SEARCH("liveramp",$C1372))),"thg-beauty Liveramp dataset — confirmed safe to delete",$A1372="agile-bonbon-662",_xlfn.IFS(LEFT($G1372,9)="Tranche 1","Tranche 1: cleared",$C1372="Sessions_Level_1_All_Sites","Downstream aggregation of UA raw logs — keep if raw tables go",ISNUMBER(--$C1372),"UA raw site logs (account ID) — keep pending audit-retention check",$C1372="Emag_Reporting","Legacy but likely needed",$C1372="Nutrition_Data_Archived_Tables","Worth keeping",$C1372="EU_Data","Static lookup tables — scripts still reference (smoke-test risk)",TRUE,"Review"),OR($A1372="thg-influencer",$A1372="thg-ingenuity",$A1372="thg-central-marketing",$A1372="thg-seoclarity"),"HOLD — Charlie Stringer to review before deletion",TRUE,"")</f>
        <v/>
      </c>
      <c r="S1372" t="s">
        <v>1624</v>
      </c>
    </row>
    <row r="1373" spans="1:19" hidden="1">
      <c r="A1373" t="s">
        <v>93</v>
      </c>
      <c r="B1373" t="s">
        <v>1619</v>
      </c>
      <c r="C1373" t="s">
        <v>3824</v>
      </c>
      <c r="D1373" s="2" t="s">
        <v>1621</v>
      </c>
      <c r="E1373">
        <v>0</v>
      </c>
      <c r="F1373">
        <v>0</v>
      </c>
      <c r="G1373" t="s">
        <v>72</v>
      </c>
      <c r="H1373" t="s">
        <v>3457</v>
      </c>
      <c r="I1373">
        <v>1107</v>
      </c>
      <c r="J1373">
        <v>1107</v>
      </c>
      <c r="M1373" s="2" t="s">
        <v>1715</v>
      </c>
      <c r="N1373" s="2" t="s">
        <v>1701</v>
      </c>
      <c r="O1373" s="5">
        <v>45089.56070371528</v>
      </c>
      <c r="P1373" t="str">
        <f>IF($Q1373="DELETE",IF($S1373="CONFIRMED: NO MODS &gt; 1YR","CONFIRMED: NO MODS &gt; 1YR","DO NOT DELETE — not defensibly confirmed"),IF($Q1373="HOLD","DO NOT DELETE — HOLD (Charlie review)",IF($Q1373="KEEP","DO NOT DELETE — KEEP",IF(ISNUMBER(SEARCH("REVIEW",$Q1373)),"DO NOT DELETE — REVIEW pending",$S1373))))</f>
        <v>CONFIRMED: NO MODS &gt; 1YR</v>
      </c>
      <c r="Q1373" t="str" cm="1">
        <f t="array" ref="Q1373">_xlfn.IFS(AND($A1373="thg-beauty",ISNUMBER(SEARCH("liveramp",$C1373))),"DELETE",$A1373="agile-bonbon-662",_xlfn.IFS(LEFT($G1373,9)="Tranche 1","DELETE",$C1373="Sessions_Level_1_All_Sites","KEEP",ISNUMBER(--$C1373),"REVIEW — UA raw logs",$C1373="Emag_Reporting","KEEP",$C1373="Nutrition_Data_Archived_Tables","KEEP",$C1373="EU_Data","KEEP",TRUE,"REVIEW"),OR($A1373="thg-influencer",$A1373="thg-ingenuity",$A1373="thg-central-marketing",$A1373="thg-seoclarity"),"HOLD",TRUE,"")</f>
        <v/>
      </c>
      <c r="R1373" t="str" cm="1">
        <f t="array" ref="R1373">_xlfn.IFS(AND($A1373="thg-beauty",ISNUMBER(SEARCH("liveramp",$C1373))),"thg-beauty Liveramp dataset — confirmed safe to delete",$A1373="agile-bonbon-662",_xlfn.IFS(LEFT($G1373,9)="Tranche 1","Tranche 1: cleared",$C1373="Sessions_Level_1_All_Sites","Downstream aggregation of UA raw logs — keep if raw tables go",ISNUMBER(--$C1373),"UA raw site logs (account ID) — keep pending audit-retention check",$C1373="Emag_Reporting","Legacy but likely needed",$C1373="Nutrition_Data_Archived_Tables","Worth keeping",$C1373="EU_Data","Static lookup tables — scripts still reference (smoke-test risk)",TRUE,"Review"),OR($A1373="thg-influencer",$A1373="thg-ingenuity",$A1373="thg-central-marketing",$A1373="thg-seoclarity"),"HOLD — Charlie Stringer to review before deletion",TRUE,"")</f>
        <v/>
      </c>
      <c r="S1373" t="s">
        <v>1624</v>
      </c>
    </row>
    <row r="1374" spans="1:19" hidden="1">
      <c r="A1374" t="s">
        <v>2513</v>
      </c>
      <c r="B1374" t="s">
        <v>1619</v>
      </c>
      <c r="C1374" t="s">
        <v>3825</v>
      </c>
      <c r="D1374" s="2" t="s">
        <v>1621</v>
      </c>
      <c r="E1374">
        <v>0.08</v>
      </c>
      <c r="F1374">
        <v>0</v>
      </c>
      <c r="G1374" t="s">
        <v>72</v>
      </c>
      <c r="H1374" t="s">
        <v>3457</v>
      </c>
      <c r="I1374">
        <v>1075</v>
      </c>
      <c r="J1374">
        <v>1075</v>
      </c>
      <c r="M1374" s="2" t="s">
        <v>1715</v>
      </c>
      <c r="N1374" s="2" t="s">
        <v>1701</v>
      </c>
      <c r="O1374" s="5">
        <v>45122.382931817127</v>
      </c>
      <c r="P1374" t="str">
        <f>IF($Q1374="DELETE",IF($S1374="CONFIRMED: NO MODS &gt; 1YR","CONFIRMED: NO MODS &gt; 1YR","DO NOT DELETE — not defensibly confirmed"),IF($Q1374="HOLD","DO NOT DELETE — HOLD (Charlie review)",IF($Q1374="KEEP","DO NOT DELETE — KEEP",IF(ISNUMBER(SEARCH("REVIEW",$Q1374)),"DO NOT DELETE — REVIEW pending",$S1374))))</f>
        <v>CONFIRMED: NO MODS &gt; 1YR</v>
      </c>
      <c r="Q1374" t="str" cm="1">
        <f t="array" ref="Q1374">_xlfn.IFS(AND($A1374="thg-beauty",ISNUMBER(SEARCH("liveramp",$C1374))),"DELETE",$A1374="agile-bonbon-662",_xlfn.IFS(LEFT($G1374,9)="Tranche 1","DELETE",$C1374="Sessions_Level_1_All_Sites","KEEP",ISNUMBER(--$C1374),"REVIEW — UA raw logs",$C1374="Emag_Reporting","KEEP",$C1374="Nutrition_Data_Archived_Tables","KEEP",$C1374="EU_Data","KEEP",TRUE,"REVIEW"),OR($A1374="thg-influencer",$A1374="thg-ingenuity",$A1374="thg-central-marketing",$A1374="thg-seoclarity"),"HOLD",TRUE,"")</f>
        <v/>
      </c>
      <c r="R1374" t="str" cm="1">
        <f t="array" ref="R1374">_xlfn.IFS(AND($A1374="thg-beauty",ISNUMBER(SEARCH("liveramp",$C1374))),"thg-beauty Liveramp dataset — confirmed safe to delete",$A1374="agile-bonbon-662",_xlfn.IFS(LEFT($G1374,9)="Tranche 1","Tranche 1: cleared",$C1374="Sessions_Level_1_All_Sites","Downstream aggregation of UA raw logs — keep if raw tables go",ISNUMBER(--$C1374),"UA raw site logs (account ID) — keep pending audit-retention check",$C1374="Emag_Reporting","Legacy but likely needed",$C1374="Nutrition_Data_Archived_Tables","Worth keeping",$C1374="EU_Data","Static lookup tables — scripts still reference (smoke-test risk)",TRUE,"Review"),OR($A1374="thg-influencer",$A1374="thg-ingenuity",$A1374="thg-central-marketing",$A1374="thg-seoclarity"),"HOLD — Charlie Stringer to review before deletion",TRUE,"")</f>
        <v/>
      </c>
      <c r="S1374" t="s">
        <v>1624</v>
      </c>
    </row>
    <row r="1375" spans="1:19" hidden="1">
      <c r="A1375" t="s">
        <v>2513</v>
      </c>
      <c r="B1375" t="s">
        <v>1619</v>
      </c>
      <c r="C1375" t="s">
        <v>3826</v>
      </c>
      <c r="D1375" s="2" t="s">
        <v>1621</v>
      </c>
      <c r="E1375">
        <v>14.7</v>
      </c>
      <c r="F1375">
        <v>0.28999999999999998</v>
      </c>
      <c r="G1375" t="s">
        <v>72</v>
      </c>
      <c r="H1375" t="s">
        <v>3457</v>
      </c>
      <c r="I1375">
        <v>1045</v>
      </c>
      <c r="J1375">
        <v>1045</v>
      </c>
      <c r="M1375" s="2" t="s">
        <v>1715</v>
      </c>
      <c r="N1375" s="2" t="s">
        <v>1701</v>
      </c>
      <c r="O1375" s="5">
        <v>45152.170995856482</v>
      </c>
      <c r="P1375" t="str">
        <f>IF($Q1375="DELETE",IF($S1375="CONFIRMED: NO MODS &gt; 1YR","CONFIRMED: NO MODS &gt; 1YR","DO NOT DELETE — not defensibly confirmed"),IF($Q1375="HOLD","DO NOT DELETE — HOLD (Charlie review)",IF($Q1375="KEEP","DO NOT DELETE — KEEP",IF(ISNUMBER(SEARCH("REVIEW",$Q1375)),"DO NOT DELETE — REVIEW pending",$S1375))))</f>
        <v>CONFIRMED: NO MODS &gt; 1YR</v>
      </c>
      <c r="Q1375" t="str" cm="1">
        <f t="array" ref="Q1375">_xlfn.IFS(AND($A1375="thg-beauty",ISNUMBER(SEARCH("liveramp",$C1375))),"DELETE",$A1375="agile-bonbon-662",_xlfn.IFS(LEFT($G1375,9)="Tranche 1","DELETE",$C1375="Sessions_Level_1_All_Sites","KEEP",ISNUMBER(--$C1375),"REVIEW — UA raw logs",$C1375="Emag_Reporting","KEEP",$C1375="Nutrition_Data_Archived_Tables","KEEP",$C1375="EU_Data","KEEP",TRUE,"REVIEW"),OR($A1375="thg-influencer",$A1375="thg-ingenuity",$A1375="thg-central-marketing",$A1375="thg-seoclarity"),"HOLD",TRUE,"")</f>
        <v/>
      </c>
      <c r="R1375" t="str" cm="1">
        <f t="array" ref="R1375">_xlfn.IFS(AND($A1375="thg-beauty",ISNUMBER(SEARCH("liveramp",$C1375))),"thg-beauty Liveramp dataset — confirmed safe to delete",$A1375="agile-bonbon-662",_xlfn.IFS(LEFT($G1375,9)="Tranche 1","Tranche 1: cleared",$C1375="Sessions_Level_1_All_Sites","Downstream aggregation of UA raw logs — keep if raw tables go",ISNUMBER(--$C1375),"UA raw site logs (account ID) — keep pending audit-retention check",$C1375="Emag_Reporting","Legacy but likely needed",$C1375="Nutrition_Data_Archived_Tables","Worth keeping",$C1375="EU_Data","Static lookup tables — scripts still reference (smoke-test risk)",TRUE,"Review"),OR($A1375="thg-influencer",$A1375="thg-ingenuity",$A1375="thg-central-marketing",$A1375="thg-seoclarity"),"HOLD — Charlie Stringer to review before deletion",TRUE,"")</f>
        <v/>
      </c>
      <c r="S1375" t="s">
        <v>1624</v>
      </c>
    </row>
    <row r="1376" spans="1:19" hidden="1">
      <c r="A1376" t="s">
        <v>2513</v>
      </c>
      <c r="B1376" t="s">
        <v>1619</v>
      </c>
      <c r="C1376" t="s">
        <v>3827</v>
      </c>
      <c r="D1376" s="2" t="s">
        <v>1621</v>
      </c>
      <c r="E1376">
        <v>0</v>
      </c>
      <c r="F1376">
        <v>0</v>
      </c>
      <c r="G1376" t="s">
        <v>72</v>
      </c>
      <c r="H1376" t="s">
        <v>3457</v>
      </c>
      <c r="I1376">
        <v>1045</v>
      </c>
      <c r="J1376">
        <v>1045</v>
      </c>
      <c r="M1376" s="2" t="s">
        <v>1715</v>
      </c>
      <c r="N1376" s="2" t="s">
        <v>1701</v>
      </c>
      <c r="O1376" s="5">
        <v>45152.014677083331</v>
      </c>
      <c r="P1376" t="str">
        <f>IF($Q1376="DELETE",IF($S1376="CONFIRMED: NO MODS &gt; 1YR","CONFIRMED: NO MODS &gt; 1YR","DO NOT DELETE — not defensibly confirmed"),IF($Q1376="HOLD","DO NOT DELETE — HOLD (Charlie review)",IF($Q1376="KEEP","DO NOT DELETE — KEEP",IF(ISNUMBER(SEARCH("REVIEW",$Q1376)),"DO NOT DELETE — REVIEW pending",$S1376))))</f>
        <v>CONFIRMED: NO MODS &gt; 1YR</v>
      </c>
      <c r="Q1376" t="str" cm="1">
        <f t="array" ref="Q1376">_xlfn.IFS(AND($A1376="thg-beauty",ISNUMBER(SEARCH("liveramp",$C1376))),"DELETE",$A1376="agile-bonbon-662",_xlfn.IFS(LEFT($G1376,9)="Tranche 1","DELETE",$C1376="Sessions_Level_1_All_Sites","KEEP",ISNUMBER(--$C1376),"REVIEW — UA raw logs",$C1376="Emag_Reporting","KEEP",$C1376="Nutrition_Data_Archived_Tables","KEEP",$C1376="EU_Data","KEEP",TRUE,"REVIEW"),OR($A1376="thg-influencer",$A1376="thg-ingenuity",$A1376="thg-central-marketing",$A1376="thg-seoclarity"),"HOLD",TRUE,"")</f>
        <v/>
      </c>
      <c r="R1376" t="str" cm="1">
        <f t="array" ref="R1376">_xlfn.IFS(AND($A1376="thg-beauty",ISNUMBER(SEARCH("liveramp",$C1376))),"thg-beauty Liveramp dataset — confirmed safe to delete",$A1376="agile-bonbon-662",_xlfn.IFS(LEFT($G1376,9)="Tranche 1","Tranche 1: cleared",$C1376="Sessions_Level_1_All_Sites","Downstream aggregation of UA raw logs — keep if raw tables go",ISNUMBER(--$C1376),"UA raw site logs (account ID) — keep pending audit-retention check",$C1376="Emag_Reporting","Legacy but likely needed",$C1376="Nutrition_Data_Archived_Tables","Worth keeping",$C1376="EU_Data","Static lookup tables — scripts still reference (smoke-test risk)",TRUE,"Review"),OR($A1376="thg-influencer",$A1376="thg-ingenuity",$A1376="thg-central-marketing",$A1376="thg-seoclarity"),"HOLD — Charlie Stringer to review before deletion",TRUE,"")</f>
        <v/>
      </c>
      <c r="S1376" t="s">
        <v>1624</v>
      </c>
    </row>
    <row r="1377" spans="1:19" hidden="1">
      <c r="A1377" t="s">
        <v>93</v>
      </c>
      <c r="B1377" t="s">
        <v>1619</v>
      </c>
      <c r="C1377" t="s">
        <v>3828</v>
      </c>
      <c r="D1377" s="2" t="s">
        <v>1621</v>
      </c>
      <c r="E1377">
        <v>0</v>
      </c>
      <c r="F1377">
        <v>0</v>
      </c>
      <c r="G1377" t="s">
        <v>72</v>
      </c>
      <c r="H1377" t="s">
        <v>3457</v>
      </c>
      <c r="I1377">
        <v>1001</v>
      </c>
      <c r="J1377">
        <v>1001</v>
      </c>
      <c r="M1377" s="2" t="s">
        <v>1715</v>
      </c>
      <c r="N1377" s="2" t="s">
        <v>1701</v>
      </c>
      <c r="O1377" s="5">
        <v>45196.419686516201</v>
      </c>
      <c r="P1377" t="str">
        <f>IF($Q1377="DELETE",IF($S1377="CONFIRMED: NO MODS &gt; 1YR","CONFIRMED: NO MODS &gt; 1YR","DO NOT DELETE — not defensibly confirmed"),IF($Q1377="HOLD","DO NOT DELETE — HOLD (Charlie review)",IF($Q1377="KEEP","DO NOT DELETE — KEEP",IF(ISNUMBER(SEARCH("REVIEW",$Q1377)),"DO NOT DELETE — REVIEW pending",$S1377))))</f>
        <v>CONFIRMED: NO MODS &gt; 1YR</v>
      </c>
      <c r="Q1377" t="str" cm="1">
        <f t="array" ref="Q1377">_xlfn.IFS(AND($A1377="thg-beauty",ISNUMBER(SEARCH("liveramp",$C1377))),"DELETE",$A1377="agile-bonbon-662",_xlfn.IFS(LEFT($G1377,9)="Tranche 1","DELETE",$C1377="Sessions_Level_1_All_Sites","KEEP",ISNUMBER(--$C1377),"REVIEW — UA raw logs",$C1377="Emag_Reporting","KEEP",$C1377="Nutrition_Data_Archived_Tables","KEEP",$C1377="EU_Data","KEEP",TRUE,"REVIEW"),OR($A1377="thg-influencer",$A1377="thg-ingenuity",$A1377="thg-central-marketing",$A1377="thg-seoclarity"),"HOLD",TRUE,"")</f>
        <v/>
      </c>
      <c r="R1377" t="str" cm="1">
        <f t="array" ref="R1377">_xlfn.IFS(AND($A1377="thg-beauty",ISNUMBER(SEARCH("liveramp",$C1377))),"thg-beauty Liveramp dataset — confirmed safe to delete",$A1377="agile-bonbon-662",_xlfn.IFS(LEFT($G1377,9)="Tranche 1","Tranche 1: cleared",$C1377="Sessions_Level_1_All_Sites","Downstream aggregation of UA raw logs — keep if raw tables go",ISNUMBER(--$C1377),"UA raw site logs (account ID) — keep pending audit-retention check",$C1377="Emag_Reporting","Legacy but likely needed",$C1377="Nutrition_Data_Archived_Tables","Worth keeping",$C1377="EU_Data","Static lookup tables — scripts still reference (smoke-test risk)",TRUE,"Review"),OR($A1377="thg-influencer",$A1377="thg-ingenuity",$A1377="thg-central-marketing",$A1377="thg-seoclarity"),"HOLD — Charlie Stringer to review before deletion",TRUE,"")</f>
        <v/>
      </c>
      <c r="S1377" t="s">
        <v>1624</v>
      </c>
    </row>
    <row r="1378" spans="1:19" hidden="1">
      <c r="A1378" t="s">
        <v>93</v>
      </c>
      <c r="B1378" t="s">
        <v>1619</v>
      </c>
      <c r="C1378" t="s">
        <v>3829</v>
      </c>
      <c r="D1378" s="2" t="s">
        <v>1621</v>
      </c>
      <c r="E1378">
        <v>0</v>
      </c>
      <c r="F1378">
        <v>0</v>
      </c>
      <c r="G1378" t="s">
        <v>72</v>
      </c>
      <c r="H1378" t="s">
        <v>3457</v>
      </c>
      <c r="I1378">
        <v>1001</v>
      </c>
      <c r="J1378">
        <v>1001</v>
      </c>
      <c r="M1378" s="2" t="s">
        <v>1715</v>
      </c>
      <c r="N1378" s="2" t="s">
        <v>1701</v>
      </c>
      <c r="O1378" s="5">
        <v>45195.712326076391</v>
      </c>
      <c r="P1378" t="str">
        <f>IF($Q1378="DELETE",IF($S1378="CONFIRMED: NO MODS &gt; 1YR","CONFIRMED: NO MODS &gt; 1YR","DO NOT DELETE — not defensibly confirmed"),IF($Q1378="HOLD","DO NOT DELETE — HOLD (Charlie review)",IF($Q1378="KEEP","DO NOT DELETE — KEEP",IF(ISNUMBER(SEARCH("REVIEW",$Q1378)),"DO NOT DELETE — REVIEW pending",$S1378))))</f>
        <v>CONFIRMED: NO MODS &gt; 1YR</v>
      </c>
      <c r="Q1378" t="str" cm="1">
        <f t="array" ref="Q1378">_xlfn.IFS(AND($A1378="thg-beauty",ISNUMBER(SEARCH("liveramp",$C1378))),"DELETE",$A1378="agile-bonbon-662",_xlfn.IFS(LEFT($G1378,9)="Tranche 1","DELETE",$C1378="Sessions_Level_1_All_Sites","KEEP",ISNUMBER(--$C1378),"REVIEW — UA raw logs",$C1378="Emag_Reporting","KEEP",$C1378="Nutrition_Data_Archived_Tables","KEEP",$C1378="EU_Data","KEEP",TRUE,"REVIEW"),OR($A1378="thg-influencer",$A1378="thg-ingenuity",$A1378="thg-central-marketing",$A1378="thg-seoclarity"),"HOLD",TRUE,"")</f>
        <v/>
      </c>
      <c r="R1378" t="str" cm="1">
        <f t="array" ref="R1378">_xlfn.IFS(AND($A1378="thg-beauty",ISNUMBER(SEARCH("liveramp",$C1378))),"thg-beauty Liveramp dataset — confirmed safe to delete",$A1378="agile-bonbon-662",_xlfn.IFS(LEFT($G1378,9)="Tranche 1","Tranche 1: cleared",$C1378="Sessions_Level_1_All_Sites","Downstream aggregation of UA raw logs — keep if raw tables go",ISNUMBER(--$C1378),"UA raw site logs (account ID) — keep pending audit-retention check",$C1378="Emag_Reporting","Legacy but likely needed",$C1378="Nutrition_Data_Archived_Tables","Worth keeping",$C1378="EU_Data","Static lookup tables — scripts still reference (smoke-test risk)",TRUE,"Review"),OR($A1378="thg-influencer",$A1378="thg-ingenuity",$A1378="thg-central-marketing",$A1378="thg-seoclarity"),"HOLD — Charlie Stringer to review before deletion",TRUE,"")</f>
        <v/>
      </c>
      <c r="S1378" t="s">
        <v>1624</v>
      </c>
    </row>
    <row r="1379" spans="1:19" hidden="1">
      <c r="A1379" t="s">
        <v>93</v>
      </c>
      <c r="B1379" t="s">
        <v>1619</v>
      </c>
      <c r="C1379" t="s">
        <v>3830</v>
      </c>
      <c r="D1379" s="2" t="s">
        <v>1621</v>
      </c>
      <c r="E1379">
        <v>0.11</v>
      </c>
      <c r="F1379">
        <v>0</v>
      </c>
      <c r="G1379" t="s">
        <v>72</v>
      </c>
      <c r="H1379" t="s">
        <v>3457</v>
      </c>
      <c r="I1379">
        <v>989</v>
      </c>
      <c r="J1379">
        <v>989</v>
      </c>
      <c r="M1379" s="2" t="s">
        <v>1715</v>
      </c>
      <c r="N1379" s="2" t="s">
        <v>1701</v>
      </c>
      <c r="O1379" s="5">
        <v>45207.643809930552</v>
      </c>
      <c r="P1379" t="str">
        <f>IF($Q1379="DELETE",IF($S1379="CONFIRMED: NO MODS &gt; 1YR","CONFIRMED: NO MODS &gt; 1YR","DO NOT DELETE — not defensibly confirmed"),IF($Q1379="HOLD","DO NOT DELETE — HOLD (Charlie review)",IF($Q1379="KEEP","DO NOT DELETE — KEEP",IF(ISNUMBER(SEARCH("REVIEW",$Q1379)),"DO NOT DELETE — REVIEW pending",$S1379))))</f>
        <v>CONFIRMED: NO MODS &gt; 1YR</v>
      </c>
      <c r="Q1379" t="str" cm="1">
        <f t="array" ref="Q1379">_xlfn.IFS(AND($A1379="thg-beauty",ISNUMBER(SEARCH("liveramp",$C1379))),"DELETE",$A1379="agile-bonbon-662",_xlfn.IFS(LEFT($G1379,9)="Tranche 1","DELETE",$C1379="Sessions_Level_1_All_Sites","KEEP",ISNUMBER(--$C1379),"REVIEW — UA raw logs",$C1379="Emag_Reporting","KEEP",$C1379="Nutrition_Data_Archived_Tables","KEEP",$C1379="EU_Data","KEEP",TRUE,"REVIEW"),OR($A1379="thg-influencer",$A1379="thg-ingenuity",$A1379="thg-central-marketing",$A1379="thg-seoclarity"),"HOLD",TRUE,"")</f>
        <v/>
      </c>
      <c r="R1379" t="str" cm="1">
        <f t="array" ref="R1379">_xlfn.IFS(AND($A1379="thg-beauty",ISNUMBER(SEARCH("liveramp",$C1379))),"thg-beauty Liveramp dataset — confirmed safe to delete",$A1379="agile-bonbon-662",_xlfn.IFS(LEFT($G1379,9)="Tranche 1","Tranche 1: cleared",$C1379="Sessions_Level_1_All_Sites","Downstream aggregation of UA raw logs — keep if raw tables go",ISNUMBER(--$C1379),"UA raw site logs (account ID) — keep pending audit-retention check",$C1379="Emag_Reporting","Legacy but likely needed",$C1379="Nutrition_Data_Archived_Tables","Worth keeping",$C1379="EU_Data","Static lookup tables — scripts still reference (smoke-test risk)",TRUE,"Review"),OR($A1379="thg-influencer",$A1379="thg-ingenuity",$A1379="thg-central-marketing",$A1379="thg-seoclarity"),"HOLD — Charlie Stringer to review before deletion",TRUE,"")</f>
        <v/>
      </c>
      <c r="S1379" t="s">
        <v>1624</v>
      </c>
    </row>
    <row r="1380" spans="1:19" hidden="1">
      <c r="A1380" t="s">
        <v>1768</v>
      </c>
      <c r="B1380" t="s">
        <v>1619</v>
      </c>
      <c r="C1380" t="s">
        <v>3831</v>
      </c>
      <c r="D1380" s="2" t="s">
        <v>1621</v>
      </c>
      <c r="E1380">
        <v>0.02</v>
      </c>
      <c r="F1380">
        <v>0</v>
      </c>
      <c r="G1380" t="s">
        <v>72</v>
      </c>
      <c r="H1380" t="s">
        <v>3457</v>
      </c>
      <c r="I1380">
        <v>952</v>
      </c>
      <c r="J1380">
        <v>952</v>
      </c>
      <c r="M1380" s="2" t="s">
        <v>1715</v>
      </c>
      <c r="N1380" s="2" t="s">
        <v>1701</v>
      </c>
      <c r="O1380" s="5">
        <v>45244.711131724544</v>
      </c>
      <c r="P1380" t="str">
        <f>IF($Q1380="DELETE",IF($S1380="CONFIRMED: NO MODS &gt; 1YR","CONFIRMED: NO MODS &gt; 1YR","DO NOT DELETE — not defensibly confirmed"),IF($Q1380="HOLD","DO NOT DELETE — HOLD (Charlie review)",IF($Q1380="KEEP","DO NOT DELETE — KEEP",IF(ISNUMBER(SEARCH("REVIEW",$Q1380)),"DO NOT DELETE — REVIEW pending",$S1380))))</f>
        <v>CONFIRMED: NO MODS &gt; 1YR</v>
      </c>
      <c r="Q1380" t="str" cm="1">
        <f t="array" ref="Q1380">_xlfn.IFS(AND($A1380="thg-beauty",ISNUMBER(SEARCH("liveramp",$C1380))),"DELETE",$A1380="agile-bonbon-662",_xlfn.IFS(LEFT($G1380,9)="Tranche 1","DELETE",$C1380="Sessions_Level_1_All_Sites","KEEP",ISNUMBER(--$C1380),"REVIEW — UA raw logs",$C1380="Emag_Reporting","KEEP",$C1380="Nutrition_Data_Archived_Tables","KEEP",$C1380="EU_Data","KEEP",TRUE,"REVIEW"),OR($A1380="thg-influencer",$A1380="thg-ingenuity",$A1380="thg-central-marketing",$A1380="thg-seoclarity"),"HOLD",TRUE,"")</f>
        <v/>
      </c>
      <c r="R1380" t="str" cm="1">
        <f t="array" ref="R1380">_xlfn.IFS(AND($A1380="thg-beauty",ISNUMBER(SEARCH("liveramp",$C1380))),"thg-beauty Liveramp dataset — confirmed safe to delete",$A1380="agile-bonbon-662",_xlfn.IFS(LEFT($G1380,9)="Tranche 1","Tranche 1: cleared",$C1380="Sessions_Level_1_All_Sites","Downstream aggregation of UA raw logs — keep if raw tables go",ISNUMBER(--$C1380),"UA raw site logs (account ID) — keep pending audit-retention check",$C1380="Emag_Reporting","Legacy but likely needed",$C1380="Nutrition_Data_Archived_Tables","Worth keeping",$C1380="EU_Data","Static lookup tables — scripts still reference (smoke-test risk)",TRUE,"Review"),OR($A1380="thg-influencer",$A1380="thg-ingenuity",$A1380="thg-central-marketing",$A1380="thg-seoclarity"),"HOLD — Charlie Stringer to review before deletion",TRUE,"")</f>
        <v/>
      </c>
      <c r="S1380" t="s">
        <v>1624</v>
      </c>
    </row>
    <row r="1381" spans="1:19" hidden="1">
      <c r="A1381" t="s">
        <v>1702</v>
      </c>
      <c r="B1381" t="s">
        <v>1619</v>
      </c>
      <c r="C1381" t="s">
        <v>3831</v>
      </c>
      <c r="D1381" s="2" t="s">
        <v>1621</v>
      </c>
      <c r="E1381">
        <v>0.02</v>
      </c>
      <c r="F1381">
        <v>0</v>
      </c>
      <c r="G1381" t="s">
        <v>72</v>
      </c>
      <c r="H1381" t="s">
        <v>3457</v>
      </c>
      <c r="I1381">
        <v>952</v>
      </c>
      <c r="J1381">
        <v>952</v>
      </c>
      <c r="M1381" s="2" t="s">
        <v>1715</v>
      </c>
      <c r="N1381" s="2" t="s">
        <v>1701</v>
      </c>
      <c r="O1381" s="5">
        <v>45244.553152962973</v>
      </c>
      <c r="P1381" t="str">
        <f>IF($Q1381="DELETE",IF($S1381="CONFIRMED: NO MODS &gt; 1YR","CONFIRMED: NO MODS &gt; 1YR","DO NOT DELETE — not defensibly confirmed"),IF($Q1381="HOLD","DO NOT DELETE — HOLD (Charlie review)",IF($Q1381="KEEP","DO NOT DELETE — KEEP",IF(ISNUMBER(SEARCH("REVIEW",$Q1381)),"DO NOT DELETE — REVIEW pending",$S1381))))</f>
        <v>CONFIRMED: NO MODS &gt; 1YR</v>
      </c>
      <c r="Q1381" t="str" cm="1">
        <f t="array" ref="Q1381">_xlfn.IFS(AND($A1381="thg-beauty",ISNUMBER(SEARCH("liveramp",$C1381))),"DELETE",$A1381="agile-bonbon-662",_xlfn.IFS(LEFT($G1381,9)="Tranche 1","DELETE",$C1381="Sessions_Level_1_All_Sites","KEEP",ISNUMBER(--$C1381),"REVIEW — UA raw logs",$C1381="Emag_Reporting","KEEP",$C1381="Nutrition_Data_Archived_Tables","KEEP",$C1381="EU_Data","KEEP",TRUE,"REVIEW"),OR($A1381="thg-influencer",$A1381="thg-ingenuity",$A1381="thg-central-marketing",$A1381="thg-seoclarity"),"HOLD",TRUE,"")</f>
        <v/>
      </c>
      <c r="R1381" t="str" cm="1">
        <f t="array" ref="R1381">_xlfn.IFS(AND($A1381="thg-beauty",ISNUMBER(SEARCH("liveramp",$C1381))),"thg-beauty Liveramp dataset — confirmed safe to delete",$A1381="agile-bonbon-662",_xlfn.IFS(LEFT($G1381,9)="Tranche 1","Tranche 1: cleared",$C1381="Sessions_Level_1_All_Sites","Downstream aggregation of UA raw logs — keep if raw tables go",ISNUMBER(--$C1381),"UA raw site logs (account ID) — keep pending audit-retention check",$C1381="Emag_Reporting","Legacy but likely needed",$C1381="Nutrition_Data_Archived_Tables","Worth keeping",$C1381="EU_Data","Static lookup tables — scripts still reference (smoke-test risk)",TRUE,"Review"),OR($A1381="thg-influencer",$A1381="thg-ingenuity",$A1381="thg-central-marketing",$A1381="thg-seoclarity"),"HOLD — Charlie Stringer to review before deletion",TRUE,"")</f>
        <v/>
      </c>
      <c r="S1381" t="s">
        <v>1624</v>
      </c>
    </row>
    <row r="1382" spans="1:19" hidden="1">
      <c r="A1382" t="s">
        <v>93</v>
      </c>
      <c r="B1382" t="s">
        <v>1619</v>
      </c>
      <c r="C1382" t="s">
        <v>3832</v>
      </c>
      <c r="D1382" s="2" t="s">
        <v>1621</v>
      </c>
      <c r="E1382">
        <v>10.76</v>
      </c>
      <c r="F1382">
        <v>0.22</v>
      </c>
      <c r="G1382" t="s">
        <v>72</v>
      </c>
      <c r="H1382" t="s">
        <v>3457</v>
      </c>
      <c r="I1382">
        <v>900</v>
      </c>
      <c r="J1382">
        <v>900</v>
      </c>
      <c r="M1382" s="2" t="s">
        <v>1715</v>
      </c>
      <c r="N1382" s="2" t="s">
        <v>1701</v>
      </c>
      <c r="O1382" s="5">
        <v>45296.619106192127</v>
      </c>
      <c r="P1382" t="str">
        <f>IF($Q1382="DELETE",IF($S1382="CONFIRMED: NO MODS &gt; 1YR","CONFIRMED: NO MODS &gt; 1YR","DO NOT DELETE — not defensibly confirmed"),IF($Q1382="HOLD","DO NOT DELETE — HOLD (Charlie review)",IF($Q1382="KEEP","DO NOT DELETE — KEEP",IF(ISNUMBER(SEARCH("REVIEW",$Q1382)),"DO NOT DELETE — REVIEW pending",$S1382))))</f>
        <v>CONFIRMED: NO MODS &gt; 1YR</v>
      </c>
      <c r="Q1382" t="str" cm="1">
        <f t="array" ref="Q1382">_xlfn.IFS(AND($A1382="thg-beauty",ISNUMBER(SEARCH("liveramp",$C1382))),"DELETE",$A1382="agile-bonbon-662",_xlfn.IFS(LEFT($G1382,9)="Tranche 1","DELETE",$C1382="Sessions_Level_1_All_Sites","KEEP",ISNUMBER(--$C1382),"REVIEW — UA raw logs",$C1382="Emag_Reporting","KEEP",$C1382="Nutrition_Data_Archived_Tables","KEEP",$C1382="EU_Data","KEEP",TRUE,"REVIEW"),OR($A1382="thg-influencer",$A1382="thg-ingenuity",$A1382="thg-central-marketing",$A1382="thg-seoclarity"),"HOLD",TRUE,"")</f>
        <v/>
      </c>
      <c r="R1382" t="str" cm="1">
        <f t="array" ref="R1382">_xlfn.IFS(AND($A1382="thg-beauty",ISNUMBER(SEARCH("liveramp",$C1382))),"thg-beauty Liveramp dataset — confirmed safe to delete",$A1382="agile-bonbon-662",_xlfn.IFS(LEFT($G1382,9)="Tranche 1","Tranche 1: cleared",$C1382="Sessions_Level_1_All_Sites","Downstream aggregation of UA raw logs — keep if raw tables go",ISNUMBER(--$C1382),"UA raw site logs (account ID) — keep pending audit-retention check",$C1382="Emag_Reporting","Legacy but likely needed",$C1382="Nutrition_Data_Archived_Tables","Worth keeping",$C1382="EU_Data","Static lookup tables — scripts still reference (smoke-test risk)",TRUE,"Review"),OR($A1382="thg-influencer",$A1382="thg-ingenuity",$A1382="thg-central-marketing",$A1382="thg-seoclarity"),"HOLD — Charlie Stringer to review before deletion",TRUE,"")</f>
        <v/>
      </c>
      <c r="S1382" t="s">
        <v>1624</v>
      </c>
    </row>
    <row r="1383" spans="1:19" hidden="1">
      <c r="A1383" t="s">
        <v>93</v>
      </c>
      <c r="B1383" t="s">
        <v>1619</v>
      </c>
      <c r="C1383" t="s">
        <v>3833</v>
      </c>
      <c r="D1383" s="2" t="s">
        <v>1621</v>
      </c>
      <c r="E1383">
        <v>2.4700000000000002</v>
      </c>
      <c r="F1383">
        <v>0.05</v>
      </c>
      <c r="G1383" t="s">
        <v>72</v>
      </c>
      <c r="H1383" t="s">
        <v>3457</v>
      </c>
      <c r="I1383">
        <v>897</v>
      </c>
      <c r="J1383">
        <v>897</v>
      </c>
      <c r="M1383" s="2" t="s">
        <v>1715</v>
      </c>
      <c r="N1383" s="2" t="s">
        <v>1701</v>
      </c>
      <c r="O1383" s="5">
        <v>45299.542721759259</v>
      </c>
      <c r="P1383" t="str">
        <f>IF($Q1383="DELETE",IF($S1383="CONFIRMED: NO MODS &gt; 1YR","CONFIRMED: NO MODS &gt; 1YR","DO NOT DELETE — not defensibly confirmed"),IF($Q1383="HOLD","DO NOT DELETE — HOLD (Charlie review)",IF($Q1383="KEEP","DO NOT DELETE — KEEP",IF(ISNUMBER(SEARCH("REVIEW",$Q1383)),"DO NOT DELETE — REVIEW pending",$S1383))))</f>
        <v>CONFIRMED: NO MODS &gt; 1YR</v>
      </c>
      <c r="Q1383" t="str" cm="1">
        <f t="array" ref="Q1383">_xlfn.IFS(AND($A1383="thg-beauty",ISNUMBER(SEARCH("liveramp",$C1383))),"DELETE",$A1383="agile-bonbon-662",_xlfn.IFS(LEFT($G1383,9)="Tranche 1","DELETE",$C1383="Sessions_Level_1_All_Sites","KEEP",ISNUMBER(--$C1383),"REVIEW — UA raw logs",$C1383="Emag_Reporting","KEEP",$C1383="Nutrition_Data_Archived_Tables","KEEP",$C1383="EU_Data","KEEP",TRUE,"REVIEW"),OR($A1383="thg-influencer",$A1383="thg-ingenuity",$A1383="thg-central-marketing",$A1383="thg-seoclarity"),"HOLD",TRUE,"")</f>
        <v/>
      </c>
      <c r="R1383" t="str" cm="1">
        <f t="array" ref="R1383">_xlfn.IFS(AND($A1383="thg-beauty",ISNUMBER(SEARCH("liveramp",$C1383))),"thg-beauty Liveramp dataset — confirmed safe to delete",$A1383="agile-bonbon-662",_xlfn.IFS(LEFT($G1383,9)="Tranche 1","Tranche 1: cleared",$C1383="Sessions_Level_1_All_Sites","Downstream aggregation of UA raw logs — keep if raw tables go",ISNUMBER(--$C1383),"UA raw site logs (account ID) — keep pending audit-retention check",$C1383="Emag_Reporting","Legacy but likely needed",$C1383="Nutrition_Data_Archived_Tables","Worth keeping",$C1383="EU_Data","Static lookup tables — scripts still reference (smoke-test risk)",TRUE,"Review"),OR($A1383="thg-influencer",$A1383="thg-ingenuity",$A1383="thg-central-marketing",$A1383="thg-seoclarity"),"HOLD — Charlie Stringer to review before deletion",TRUE,"")</f>
        <v/>
      </c>
      <c r="S1383" t="s">
        <v>1624</v>
      </c>
    </row>
    <row r="1384" spans="1:19" hidden="1">
      <c r="A1384" t="s">
        <v>93</v>
      </c>
      <c r="B1384" t="s">
        <v>1619</v>
      </c>
      <c r="C1384" t="s">
        <v>3831</v>
      </c>
      <c r="D1384" s="2" t="s">
        <v>1621</v>
      </c>
      <c r="E1384">
        <v>0.1</v>
      </c>
      <c r="F1384">
        <v>0</v>
      </c>
      <c r="G1384" t="s">
        <v>72</v>
      </c>
      <c r="H1384" t="s">
        <v>3457</v>
      </c>
      <c r="I1384">
        <v>897</v>
      </c>
      <c r="J1384">
        <v>897</v>
      </c>
      <c r="M1384" s="2" t="s">
        <v>1715</v>
      </c>
      <c r="N1384" s="2" t="s">
        <v>1701</v>
      </c>
      <c r="O1384" s="5">
        <v>45299.689173043982</v>
      </c>
      <c r="P1384" t="str">
        <f>IF($Q1384="DELETE",IF($S1384="CONFIRMED: NO MODS &gt; 1YR","CONFIRMED: NO MODS &gt; 1YR","DO NOT DELETE — not defensibly confirmed"),IF($Q1384="HOLD","DO NOT DELETE — HOLD (Charlie review)",IF($Q1384="KEEP","DO NOT DELETE — KEEP",IF(ISNUMBER(SEARCH("REVIEW",$Q1384)),"DO NOT DELETE — REVIEW pending",$S1384))))</f>
        <v>CONFIRMED: NO MODS &gt; 1YR</v>
      </c>
      <c r="Q1384" t="str" cm="1">
        <f t="array" ref="Q1384">_xlfn.IFS(AND($A1384="thg-beauty",ISNUMBER(SEARCH("liveramp",$C1384))),"DELETE",$A1384="agile-bonbon-662",_xlfn.IFS(LEFT($G1384,9)="Tranche 1","DELETE",$C1384="Sessions_Level_1_All_Sites","KEEP",ISNUMBER(--$C1384),"REVIEW — UA raw logs",$C1384="Emag_Reporting","KEEP",$C1384="Nutrition_Data_Archived_Tables","KEEP",$C1384="EU_Data","KEEP",TRUE,"REVIEW"),OR($A1384="thg-influencer",$A1384="thg-ingenuity",$A1384="thg-central-marketing",$A1384="thg-seoclarity"),"HOLD",TRUE,"")</f>
        <v/>
      </c>
      <c r="R1384" t="str" cm="1">
        <f t="array" ref="R1384">_xlfn.IFS(AND($A1384="thg-beauty",ISNUMBER(SEARCH("liveramp",$C1384))),"thg-beauty Liveramp dataset — confirmed safe to delete",$A1384="agile-bonbon-662",_xlfn.IFS(LEFT($G1384,9)="Tranche 1","Tranche 1: cleared",$C1384="Sessions_Level_1_All_Sites","Downstream aggregation of UA raw logs — keep if raw tables go",ISNUMBER(--$C1384),"UA raw site logs (account ID) — keep pending audit-retention check",$C1384="Emag_Reporting","Legacy but likely needed",$C1384="Nutrition_Data_Archived_Tables","Worth keeping",$C1384="EU_Data","Static lookup tables — scripts still reference (smoke-test risk)",TRUE,"Review"),OR($A1384="thg-influencer",$A1384="thg-ingenuity",$A1384="thg-central-marketing",$A1384="thg-seoclarity"),"HOLD — Charlie Stringer to review before deletion",TRUE,"")</f>
        <v/>
      </c>
      <c r="S1384" t="s">
        <v>1624</v>
      </c>
    </row>
    <row r="1385" spans="1:19" hidden="1">
      <c r="A1385" t="s">
        <v>93</v>
      </c>
      <c r="B1385" t="s">
        <v>1619</v>
      </c>
      <c r="C1385" t="s">
        <v>3834</v>
      </c>
      <c r="D1385" s="2" t="s">
        <v>1621</v>
      </c>
      <c r="E1385">
        <v>0</v>
      </c>
      <c r="F1385">
        <v>0</v>
      </c>
      <c r="G1385" t="s">
        <v>72</v>
      </c>
      <c r="H1385" t="s">
        <v>3457</v>
      </c>
      <c r="I1385">
        <v>820</v>
      </c>
      <c r="J1385">
        <v>820</v>
      </c>
      <c r="M1385" s="2" t="s">
        <v>1715</v>
      </c>
      <c r="N1385" s="2" t="s">
        <v>1701</v>
      </c>
      <c r="O1385" s="5">
        <v>45376.683080312498</v>
      </c>
      <c r="P1385" t="str">
        <f>IF($Q1385="DELETE",IF($S1385="CONFIRMED: NO MODS &gt; 1YR","CONFIRMED: NO MODS &gt; 1YR","DO NOT DELETE — not defensibly confirmed"),IF($Q1385="HOLD","DO NOT DELETE — HOLD (Charlie review)",IF($Q1385="KEEP","DO NOT DELETE — KEEP",IF(ISNUMBER(SEARCH("REVIEW",$Q1385)),"DO NOT DELETE — REVIEW pending",$S1385))))</f>
        <v>CONFIRMED: NO MODS &gt; 1YR</v>
      </c>
      <c r="Q1385" t="str" cm="1">
        <f t="array" ref="Q1385">_xlfn.IFS(AND($A1385="thg-beauty",ISNUMBER(SEARCH("liveramp",$C1385))),"DELETE",$A1385="agile-bonbon-662",_xlfn.IFS(LEFT($G1385,9)="Tranche 1","DELETE",$C1385="Sessions_Level_1_All_Sites","KEEP",ISNUMBER(--$C1385),"REVIEW — UA raw logs",$C1385="Emag_Reporting","KEEP",$C1385="Nutrition_Data_Archived_Tables","KEEP",$C1385="EU_Data","KEEP",TRUE,"REVIEW"),OR($A1385="thg-influencer",$A1385="thg-ingenuity",$A1385="thg-central-marketing",$A1385="thg-seoclarity"),"HOLD",TRUE,"")</f>
        <v/>
      </c>
      <c r="R1385" t="str" cm="1">
        <f t="array" ref="R1385">_xlfn.IFS(AND($A1385="thg-beauty",ISNUMBER(SEARCH("liveramp",$C1385))),"thg-beauty Liveramp dataset — confirmed safe to delete",$A1385="agile-bonbon-662",_xlfn.IFS(LEFT($G1385,9)="Tranche 1","Tranche 1: cleared",$C1385="Sessions_Level_1_All_Sites","Downstream aggregation of UA raw logs — keep if raw tables go",ISNUMBER(--$C1385),"UA raw site logs (account ID) — keep pending audit-retention check",$C1385="Emag_Reporting","Legacy but likely needed",$C1385="Nutrition_Data_Archived_Tables","Worth keeping",$C1385="EU_Data","Static lookup tables — scripts still reference (smoke-test risk)",TRUE,"Review"),OR($A1385="thg-influencer",$A1385="thg-ingenuity",$A1385="thg-central-marketing",$A1385="thg-seoclarity"),"HOLD — Charlie Stringer to review before deletion",TRUE,"")</f>
        <v/>
      </c>
      <c r="S1385" t="s">
        <v>1624</v>
      </c>
    </row>
    <row r="1386" spans="1:19" hidden="1">
      <c r="A1386" t="s">
        <v>93</v>
      </c>
      <c r="B1386" t="s">
        <v>1619</v>
      </c>
      <c r="C1386" t="s">
        <v>3835</v>
      </c>
      <c r="D1386" s="2" t="s">
        <v>1621</v>
      </c>
      <c r="E1386">
        <v>4.54</v>
      </c>
      <c r="F1386">
        <v>0.09</v>
      </c>
      <c r="G1386" t="s">
        <v>72</v>
      </c>
      <c r="H1386" t="s">
        <v>3457</v>
      </c>
      <c r="I1386">
        <v>789</v>
      </c>
      <c r="J1386">
        <v>789</v>
      </c>
      <c r="M1386" s="2" t="s">
        <v>1715</v>
      </c>
      <c r="N1386" s="2" t="s">
        <v>1701</v>
      </c>
      <c r="O1386" s="5">
        <v>45407.500265046299</v>
      </c>
      <c r="P1386" t="str">
        <f>IF($Q1386="DELETE",IF($S1386="CONFIRMED: NO MODS &gt; 1YR","CONFIRMED: NO MODS &gt; 1YR","DO NOT DELETE — not defensibly confirmed"),IF($Q1386="HOLD","DO NOT DELETE — HOLD (Charlie review)",IF($Q1386="KEEP","DO NOT DELETE — KEEP",IF(ISNUMBER(SEARCH("REVIEW",$Q1386)),"DO NOT DELETE — REVIEW pending",$S1386))))</f>
        <v>CONFIRMED: NO MODS &gt; 1YR</v>
      </c>
      <c r="Q1386" t="str" cm="1">
        <f t="array" ref="Q1386">_xlfn.IFS(AND($A1386="thg-beauty",ISNUMBER(SEARCH("liveramp",$C1386))),"DELETE",$A1386="agile-bonbon-662",_xlfn.IFS(LEFT($G1386,9)="Tranche 1","DELETE",$C1386="Sessions_Level_1_All_Sites","KEEP",ISNUMBER(--$C1386),"REVIEW — UA raw logs",$C1386="Emag_Reporting","KEEP",$C1386="Nutrition_Data_Archived_Tables","KEEP",$C1386="EU_Data","KEEP",TRUE,"REVIEW"),OR($A1386="thg-influencer",$A1386="thg-ingenuity",$A1386="thg-central-marketing",$A1386="thg-seoclarity"),"HOLD",TRUE,"")</f>
        <v/>
      </c>
      <c r="R1386" t="str" cm="1">
        <f t="array" ref="R1386">_xlfn.IFS(AND($A1386="thg-beauty",ISNUMBER(SEARCH("liveramp",$C1386))),"thg-beauty Liveramp dataset — confirmed safe to delete",$A1386="agile-bonbon-662",_xlfn.IFS(LEFT($G1386,9)="Tranche 1","Tranche 1: cleared",$C1386="Sessions_Level_1_All_Sites","Downstream aggregation of UA raw logs — keep if raw tables go",ISNUMBER(--$C1386),"UA raw site logs (account ID) — keep pending audit-retention check",$C1386="Emag_Reporting","Legacy but likely needed",$C1386="Nutrition_Data_Archived_Tables","Worth keeping",$C1386="EU_Data","Static lookup tables — scripts still reference (smoke-test risk)",TRUE,"Review"),OR($A1386="thg-influencer",$A1386="thg-ingenuity",$A1386="thg-central-marketing",$A1386="thg-seoclarity"),"HOLD — Charlie Stringer to review before deletion",TRUE,"")</f>
        <v/>
      </c>
      <c r="S1386" t="s">
        <v>1624</v>
      </c>
    </row>
    <row r="1387" spans="1:19" hidden="1">
      <c r="A1387" t="s">
        <v>93</v>
      </c>
      <c r="B1387" t="s">
        <v>1619</v>
      </c>
      <c r="C1387" t="s">
        <v>3836</v>
      </c>
      <c r="D1387" s="2" t="s">
        <v>1621</v>
      </c>
      <c r="E1387">
        <v>0</v>
      </c>
      <c r="F1387">
        <v>0</v>
      </c>
      <c r="G1387" t="s">
        <v>72</v>
      </c>
      <c r="H1387" t="s">
        <v>3457</v>
      </c>
      <c r="I1387">
        <v>771</v>
      </c>
      <c r="J1387">
        <v>771</v>
      </c>
      <c r="M1387" s="2" t="s">
        <v>1715</v>
      </c>
      <c r="N1387" s="2" t="s">
        <v>1701</v>
      </c>
      <c r="O1387" s="5">
        <v>45425.52333664352</v>
      </c>
      <c r="P1387" t="str">
        <f>IF($Q1387="DELETE",IF($S1387="CONFIRMED: NO MODS &gt; 1YR","CONFIRMED: NO MODS &gt; 1YR","DO NOT DELETE — not defensibly confirmed"),IF($Q1387="HOLD","DO NOT DELETE — HOLD (Charlie review)",IF($Q1387="KEEP","DO NOT DELETE — KEEP",IF(ISNUMBER(SEARCH("REVIEW",$Q1387)),"DO NOT DELETE — REVIEW pending",$S1387))))</f>
        <v>CONFIRMED: NO MODS &gt; 1YR</v>
      </c>
      <c r="Q1387" t="str" cm="1">
        <f t="array" ref="Q1387">_xlfn.IFS(AND($A1387="thg-beauty",ISNUMBER(SEARCH("liveramp",$C1387))),"DELETE",$A1387="agile-bonbon-662",_xlfn.IFS(LEFT($G1387,9)="Tranche 1","DELETE",$C1387="Sessions_Level_1_All_Sites","KEEP",ISNUMBER(--$C1387),"REVIEW — UA raw logs",$C1387="Emag_Reporting","KEEP",$C1387="Nutrition_Data_Archived_Tables","KEEP",$C1387="EU_Data","KEEP",TRUE,"REVIEW"),OR($A1387="thg-influencer",$A1387="thg-ingenuity",$A1387="thg-central-marketing",$A1387="thg-seoclarity"),"HOLD",TRUE,"")</f>
        <v/>
      </c>
      <c r="R1387" t="str" cm="1">
        <f t="array" ref="R1387">_xlfn.IFS(AND($A1387="thg-beauty",ISNUMBER(SEARCH("liveramp",$C1387))),"thg-beauty Liveramp dataset — confirmed safe to delete",$A1387="agile-bonbon-662",_xlfn.IFS(LEFT($G1387,9)="Tranche 1","Tranche 1: cleared",$C1387="Sessions_Level_1_All_Sites","Downstream aggregation of UA raw logs — keep if raw tables go",ISNUMBER(--$C1387),"UA raw site logs (account ID) — keep pending audit-retention check",$C1387="Emag_Reporting","Legacy but likely needed",$C1387="Nutrition_Data_Archived_Tables","Worth keeping",$C1387="EU_Data","Static lookup tables — scripts still reference (smoke-test risk)",TRUE,"Review"),OR($A1387="thg-influencer",$A1387="thg-ingenuity",$A1387="thg-central-marketing",$A1387="thg-seoclarity"),"HOLD — Charlie Stringer to review before deletion",TRUE,"")</f>
        <v/>
      </c>
      <c r="S1387" t="s">
        <v>1624</v>
      </c>
    </row>
    <row r="1388" spans="1:19" hidden="1">
      <c r="A1388" t="s">
        <v>93</v>
      </c>
      <c r="B1388" t="s">
        <v>1724</v>
      </c>
      <c r="C1388" t="s">
        <v>3837</v>
      </c>
      <c r="D1388" s="2" t="s">
        <v>1621</v>
      </c>
      <c r="E1388">
        <v>0</v>
      </c>
      <c r="F1388">
        <v>0</v>
      </c>
      <c r="G1388" t="s">
        <v>72</v>
      </c>
      <c r="H1388" t="s">
        <v>3457</v>
      </c>
      <c r="I1388">
        <v>743</v>
      </c>
      <c r="J1388">
        <v>743</v>
      </c>
      <c r="M1388" s="2" t="s">
        <v>1715</v>
      </c>
      <c r="N1388" s="2" t="s">
        <v>1701</v>
      </c>
      <c r="O1388" s="5">
        <v>45454.450848495369</v>
      </c>
      <c r="P1388" t="str">
        <f>IF($Q1388="DELETE",IF($S1388="CONFIRMED: NO MODS &gt; 1YR","CONFIRMED: NO MODS &gt; 1YR","DO NOT DELETE — not defensibly confirmed"),IF($Q1388="HOLD","DO NOT DELETE — HOLD (Charlie review)",IF($Q1388="KEEP","DO NOT DELETE — KEEP",IF(ISNUMBER(SEARCH("REVIEW",$Q1388)),"DO NOT DELETE — REVIEW pending",$S1388))))</f>
        <v>CONFIRMED: NO MODS &gt; 1YR</v>
      </c>
      <c r="Q1388" t="str" cm="1">
        <f t="array" ref="Q1388">_xlfn.IFS(AND($A1388="thg-beauty",ISNUMBER(SEARCH("liveramp",$C1388))),"DELETE",$A1388="agile-bonbon-662",_xlfn.IFS(LEFT($G1388,9)="Tranche 1","DELETE",$C1388="Sessions_Level_1_All_Sites","KEEP",ISNUMBER(--$C1388),"REVIEW — UA raw logs",$C1388="Emag_Reporting","KEEP",$C1388="Nutrition_Data_Archived_Tables","KEEP",$C1388="EU_Data","KEEP",TRUE,"REVIEW"),OR($A1388="thg-influencer",$A1388="thg-ingenuity",$A1388="thg-central-marketing",$A1388="thg-seoclarity"),"HOLD",TRUE,"")</f>
        <v/>
      </c>
      <c r="R1388" t="str" cm="1">
        <f t="array" ref="R1388">_xlfn.IFS(AND($A1388="thg-beauty",ISNUMBER(SEARCH("liveramp",$C1388))),"thg-beauty Liveramp dataset — confirmed safe to delete",$A1388="agile-bonbon-662",_xlfn.IFS(LEFT($G1388,9)="Tranche 1","Tranche 1: cleared",$C1388="Sessions_Level_1_All_Sites","Downstream aggregation of UA raw logs — keep if raw tables go",ISNUMBER(--$C1388),"UA raw site logs (account ID) — keep pending audit-retention check",$C1388="Emag_Reporting","Legacy but likely needed",$C1388="Nutrition_Data_Archived_Tables","Worth keeping",$C1388="EU_Data","Static lookup tables — scripts still reference (smoke-test risk)",TRUE,"Review"),OR($A1388="thg-influencer",$A1388="thg-ingenuity",$A1388="thg-central-marketing",$A1388="thg-seoclarity"),"HOLD — Charlie Stringer to review before deletion",TRUE,"")</f>
        <v/>
      </c>
      <c r="S1388" t="s">
        <v>1624</v>
      </c>
    </row>
    <row r="1389" spans="1:19" hidden="1">
      <c r="A1389" t="s">
        <v>2513</v>
      </c>
      <c r="B1389" t="s">
        <v>1619</v>
      </c>
      <c r="C1389" t="s">
        <v>3838</v>
      </c>
      <c r="D1389" s="2" t="s">
        <v>1621</v>
      </c>
      <c r="E1389">
        <v>0</v>
      </c>
      <c r="F1389">
        <v>0</v>
      </c>
      <c r="G1389" t="s">
        <v>72</v>
      </c>
      <c r="H1389" t="s">
        <v>3457</v>
      </c>
      <c r="I1389">
        <v>733</v>
      </c>
      <c r="J1389">
        <v>733</v>
      </c>
      <c r="M1389" s="2" t="s">
        <v>1715</v>
      </c>
      <c r="N1389" s="2" t="s">
        <v>1701</v>
      </c>
      <c r="O1389" s="5">
        <v>45463.542174675917</v>
      </c>
      <c r="P1389" t="str">
        <f>IF($Q1389="DELETE",IF($S1389="CONFIRMED: NO MODS &gt; 1YR","CONFIRMED: NO MODS &gt; 1YR","DO NOT DELETE — not defensibly confirmed"),IF($Q1389="HOLD","DO NOT DELETE — HOLD (Charlie review)",IF($Q1389="KEEP","DO NOT DELETE — KEEP",IF(ISNUMBER(SEARCH("REVIEW",$Q1389)),"DO NOT DELETE — REVIEW pending",$S1389))))</f>
        <v>CONFIRMED: NO MODS &gt; 1YR</v>
      </c>
      <c r="Q1389" t="str" cm="1">
        <f t="array" ref="Q1389">_xlfn.IFS(AND($A1389="thg-beauty",ISNUMBER(SEARCH("liveramp",$C1389))),"DELETE",$A1389="agile-bonbon-662",_xlfn.IFS(LEFT($G1389,9)="Tranche 1","DELETE",$C1389="Sessions_Level_1_All_Sites","KEEP",ISNUMBER(--$C1389),"REVIEW — UA raw logs",$C1389="Emag_Reporting","KEEP",$C1389="Nutrition_Data_Archived_Tables","KEEP",$C1389="EU_Data","KEEP",TRUE,"REVIEW"),OR($A1389="thg-influencer",$A1389="thg-ingenuity",$A1389="thg-central-marketing",$A1389="thg-seoclarity"),"HOLD",TRUE,"")</f>
        <v/>
      </c>
      <c r="R1389" t="str" cm="1">
        <f t="array" ref="R1389">_xlfn.IFS(AND($A1389="thg-beauty",ISNUMBER(SEARCH("liveramp",$C1389))),"thg-beauty Liveramp dataset — confirmed safe to delete",$A1389="agile-bonbon-662",_xlfn.IFS(LEFT($G1389,9)="Tranche 1","Tranche 1: cleared",$C1389="Sessions_Level_1_All_Sites","Downstream aggregation of UA raw logs — keep if raw tables go",ISNUMBER(--$C1389),"UA raw site logs (account ID) — keep pending audit-retention check",$C1389="Emag_Reporting","Legacy but likely needed",$C1389="Nutrition_Data_Archived_Tables","Worth keeping",$C1389="EU_Data","Static lookup tables — scripts still reference (smoke-test risk)",TRUE,"Review"),OR($A1389="thg-influencer",$A1389="thg-ingenuity",$A1389="thg-central-marketing",$A1389="thg-seoclarity"),"HOLD — Charlie Stringer to review before deletion",TRUE,"")</f>
        <v/>
      </c>
      <c r="S1389" t="s">
        <v>1624</v>
      </c>
    </row>
    <row r="1390" spans="1:19" hidden="1">
      <c r="A1390" t="s">
        <v>93</v>
      </c>
      <c r="B1390" t="s">
        <v>1619</v>
      </c>
      <c r="C1390" t="s">
        <v>3839</v>
      </c>
      <c r="D1390" s="2" t="s">
        <v>1621</v>
      </c>
      <c r="E1390">
        <v>0.15</v>
      </c>
      <c r="F1390">
        <v>0</v>
      </c>
      <c r="G1390" t="s">
        <v>72</v>
      </c>
      <c r="H1390" t="s">
        <v>3457</v>
      </c>
      <c r="I1390">
        <v>678</v>
      </c>
      <c r="J1390">
        <v>678</v>
      </c>
      <c r="M1390" s="2" t="s">
        <v>1715</v>
      </c>
      <c r="N1390" s="2" t="s">
        <v>1701</v>
      </c>
      <c r="O1390" s="5">
        <v>45518.522804131942</v>
      </c>
      <c r="P1390" t="str">
        <f>IF($Q1390="DELETE",IF($S1390="CONFIRMED: NO MODS &gt; 1YR","CONFIRMED: NO MODS &gt; 1YR","DO NOT DELETE — not defensibly confirmed"),IF($Q1390="HOLD","DO NOT DELETE — HOLD (Charlie review)",IF($Q1390="KEEP","DO NOT DELETE — KEEP",IF(ISNUMBER(SEARCH("REVIEW",$Q1390)),"DO NOT DELETE — REVIEW pending",$S1390))))</f>
        <v>CONFIRMED: NO MODS &gt; 1YR</v>
      </c>
      <c r="Q1390" t="str" cm="1">
        <f t="array" ref="Q1390">_xlfn.IFS(AND($A1390="thg-beauty",ISNUMBER(SEARCH("liveramp",$C1390))),"DELETE",$A1390="agile-bonbon-662",_xlfn.IFS(LEFT($G1390,9)="Tranche 1","DELETE",$C1390="Sessions_Level_1_All_Sites","KEEP",ISNUMBER(--$C1390),"REVIEW — UA raw logs",$C1390="Emag_Reporting","KEEP",$C1390="Nutrition_Data_Archived_Tables","KEEP",$C1390="EU_Data","KEEP",TRUE,"REVIEW"),OR($A1390="thg-influencer",$A1390="thg-ingenuity",$A1390="thg-central-marketing",$A1390="thg-seoclarity"),"HOLD",TRUE,"")</f>
        <v/>
      </c>
      <c r="R1390" t="str" cm="1">
        <f t="array" ref="R1390">_xlfn.IFS(AND($A1390="thg-beauty",ISNUMBER(SEARCH("liveramp",$C1390))),"thg-beauty Liveramp dataset — confirmed safe to delete",$A1390="agile-bonbon-662",_xlfn.IFS(LEFT($G1390,9)="Tranche 1","Tranche 1: cleared",$C1390="Sessions_Level_1_All_Sites","Downstream aggregation of UA raw logs — keep if raw tables go",ISNUMBER(--$C1390),"UA raw site logs (account ID) — keep pending audit-retention check",$C1390="Emag_Reporting","Legacy but likely needed",$C1390="Nutrition_Data_Archived_Tables","Worth keeping",$C1390="EU_Data","Static lookup tables — scripts still reference (smoke-test risk)",TRUE,"Review"),OR($A1390="thg-influencer",$A1390="thg-ingenuity",$A1390="thg-central-marketing",$A1390="thg-seoclarity"),"HOLD — Charlie Stringer to review before deletion",TRUE,"")</f>
        <v/>
      </c>
      <c r="S1390" t="s">
        <v>1624</v>
      </c>
    </row>
    <row r="1391" spans="1:19" hidden="1">
      <c r="A1391" t="s">
        <v>93</v>
      </c>
      <c r="B1391" t="s">
        <v>1619</v>
      </c>
      <c r="C1391" t="s">
        <v>3840</v>
      </c>
      <c r="D1391" s="2" t="s">
        <v>1621</v>
      </c>
      <c r="E1391">
        <v>0</v>
      </c>
      <c r="F1391">
        <v>0</v>
      </c>
      <c r="G1391" t="s">
        <v>72</v>
      </c>
      <c r="H1391" t="s">
        <v>3457</v>
      </c>
      <c r="I1391">
        <v>673</v>
      </c>
      <c r="J1391">
        <v>673</v>
      </c>
      <c r="M1391" s="2" t="s">
        <v>1715</v>
      </c>
      <c r="N1391" s="2" t="s">
        <v>1701</v>
      </c>
      <c r="O1391" s="5">
        <v>45523.685196562503</v>
      </c>
      <c r="P1391" t="str">
        <f>IF($Q1391="DELETE",IF($S1391="CONFIRMED: NO MODS &gt; 1YR","CONFIRMED: NO MODS &gt; 1YR","DO NOT DELETE — not defensibly confirmed"),IF($Q1391="HOLD","DO NOT DELETE — HOLD (Charlie review)",IF($Q1391="KEEP","DO NOT DELETE — KEEP",IF(ISNUMBER(SEARCH("REVIEW",$Q1391)),"DO NOT DELETE — REVIEW pending",$S1391))))</f>
        <v>CONFIRMED: NO MODS &gt; 1YR</v>
      </c>
      <c r="Q1391" t="str" cm="1">
        <f t="array" ref="Q1391">_xlfn.IFS(AND($A1391="thg-beauty",ISNUMBER(SEARCH("liveramp",$C1391))),"DELETE",$A1391="agile-bonbon-662",_xlfn.IFS(LEFT($G1391,9)="Tranche 1","DELETE",$C1391="Sessions_Level_1_All_Sites","KEEP",ISNUMBER(--$C1391),"REVIEW — UA raw logs",$C1391="Emag_Reporting","KEEP",$C1391="Nutrition_Data_Archived_Tables","KEEP",$C1391="EU_Data","KEEP",TRUE,"REVIEW"),OR($A1391="thg-influencer",$A1391="thg-ingenuity",$A1391="thg-central-marketing",$A1391="thg-seoclarity"),"HOLD",TRUE,"")</f>
        <v/>
      </c>
      <c r="R1391" t="str" cm="1">
        <f t="array" ref="R1391">_xlfn.IFS(AND($A1391="thg-beauty",ISNUMBER(SEARCH("liveramp",$C1391))),"thg-beauty Liveramp dataset — confirmed safe to delete",$A1391="agile-bonbon-662",_xlfn.IFS(LEFT($G1391,9)="Tranche 1","Tranche 1: cleared",$C1391="Sessions_Level_1_All_Sites","Downstream aggregation of UA raw logs — keep if raw tables go",ISNUMBER(--$C1391),"UA raw site logs (account ID) — keep pending audit-retention check",$C1391="Emag_Reporting","Legacy but likely needed",$C1391="Nutrition_Data_Archived_Tables","Worth keeping",$C1391="EU_Data","Static lookup tables — scripts still reference (smoke-test risk)",TRUE,"Review"),OR($A1391="thg-influencer",$A1391="thg-ingenuity",$A1391="thg-central-marketing",$A1391="thg-seoclarity"),"HOLD — Charlie Stringer to review before deletion",TRUE,"")</f>
        <v/>
      </c>
      <c r="S1391" t="s">
        <v>1624</v>
      </c>
    </row>
    <row r="1392" spans="1:19" hidden="1">
      <c r="A1392" t="s">
        <v>2513</v>
      </c>
      <c r="B1392" t="s">
        <v>1619</v>
      </c>
      <c r="C1392" t="s">
        <v>2714</v>
      </c>
      <c r="D1392" s="2" t="s">
        <v>1621</v>
      </c>
      <c r="E1392">
        <v>0.11</v>
      </c>
      <c r="F1392">
        <v>0</v>
      </c>
      <c r="G1392" t="s">
        <v>72</v>
      </c>
      <c r="H1392" t="s">
        <v>3457</v>
      </c>
      <c r="I1392">
        <v>672</v>
      </c>
      <c r="J1392">
        <v>672</v>
      </c>
      <c r="M1392" s="2" t="s">
        <v>1715</v>
      </c>
      <c r="N1392" s="2" t="s">
        <v>1701</v>
      </c>
      <c r="O1392" s="5">
        <v>45525.403178206019</v>
      </c>
      <c r="P1392" t="str">
        <f>IF($Q1392="DELETE",IF($S1392="CONFIRMED: NO MODS &gt; 1YR","CONFIRMED: NO MODS &gt; 1YR","DO NOT DELETE — not defensibly confirmed"),IF($Q1392="HOLD","DO NOT DELETE — HOLD (Charlie review)",IF($Q1392="KEEP","DO NOT DELETE — KEEP",IF(ISNUMBER(SEARCH("REVIEW",$Q1392)),"DO NOT DELETE — REVIEW pending",$S1392))))</f>
        <v>CONFIRMED: NO MODS &gt; 1YR</v>
      </c>
      <c r="Q1392" t="str" cm="1">
        <f t="array" ref="Q1392">_xlfn.IFS(AND($A1392="thg-beauty",ISNUMBER(SEARCH("liveramp",$C1392))),"DELETE",$A1392="agile-bonbon-662",_xlfn.IFS(LEFT($G1392,9)="Tranche 1","DELETE",$C1392="Sessions_Level_1_All_Sites","KEEP",ISNUMBER(--$C1392),"REVIEW — UA raw logs",$C1392="Emag_Reporting","KEEP",$C1392="Nutrition_Data_Archived_Tables","KEEP",$C1392="EU_Data","KEEP",TRUE,"REVIEW"),OR($A1392="thg-influencer",$A1392="thg-ingenuity",$A1392="thg-central-marketing",$A1392="thg-seoclarity"),"HOLD",TRUE,"")</f>
        <v/>
      </c>
      <c r="R1392" t="str" cm="1">
        <f t="array" ref="R1392">_xlfn.IFS(AND($A1392="thg-beauty",ISNUMBER(SEARCH("liveramp",$C1392))),"thg-beauty Liveramp dataset — confirmed safe to delete",$A1392="agile-bonbon-662",_xlfn.IFS(LEFT($G1392,9)="Tranche 1","Tranche 1: cleared",$C1392="Sessions_Level_1_All_Sites","Downstream aggregation of UA raw logs — keep if raw tables go",ISNUMBER(--$C1392),"UA raw site logs (account ID) — keep pending audit-retention check",$C1392="Emag_Reporting","Legacy but likely needed",$C1392="Nutrition_Data_Archived_Tables","Worth keeping",$C1392="EU_Data","Static lookup tables — scripts still reference (smoke-test risk)",TRUE,"Review"),OR($A1392="thg-influencer",$A1392="thg-ingenuity",$A1392="thg-central-marketing",$A1392="thg-seoclarity"),"HOLD — Charlie Stringer to review before deletion",TRUE,"")</f>
        <v/>
      </c>
      <c r="S1392" t="s">
        <v>1624</v>
      </c>
    </row>
    <row r="1393" spans="1:19" hidden="1">
      <c r="A1393" t="s">
        <v>93</v>
      </c>
      <c r="B1393" t="s">
        <v>1724</v>
      </c>
      <c r="C1393" t="s">
        <v>3841</v>
      </c>
      <c r="D1393" s="2" t="s">
        <v>1621</v>
      </c>
      <c r="E1393">
        <v>0</v>
      </c>
      <c r="F1393">
        <v>0</v>
      </c>
      <c r="G1393" t="s">
        <v>72</v>
      </c>
      <c r="H1393" t="s">
        <v>3457</v>
      </c>
      <c r="I1393">
        <v>641</v>
      </c>
      <c r="J1393">
        <v>641</v>
      </c>
      <c r="M1393" s="2" t="s">
        <v>1715</v>
      </c>
      <c r="N1393" s="2" t="s">
        <v>1701</v>
      </c>
      <c r="O1393" s="5">
        <v>45555.621876446763</v>
      </c>
      <c r="P1393" t="str">
        <f>IF($Q1393="DELETE",IF($S1393="CONFIRMED: NO MODS &gt; 1YR","CONFIRMED: NO MODS &gt; 1YR","DO NOT DELETE — not defensibly confirmed"),IF($Q1393="HOLD","DO NOT DELETE — HOLD (Charlie review)",IF($Q1393="KEEP","DO NOT DELETE — KEEP",IF(ISNUMBER(SEARCH("REVIEW",$Q1393)),"DO NOT DELETE — REVIEW pending",$S1393))))</f>
        <v>CONFIRMED: NO MODS &gt; 1YR</v>
      </c>
      <c r="Q1393" t="str" cm="1">
        <f t="array" ref="Q1393">_xlfn.IFS(AND($A1393="thg-beauty",ISNUMBER(SEARCH("liveramp",$C1393))),"DELETE",$A1393="agile-bonbon-662",_xlfn.IFS(LEFT($G1393,9)="Tranche 1","DELETE",$C1393="Sessions_Level_1_All_Sites","KEEP",ISNUMBER(--$C1393),"REVIEW — UA raw logs",$C1393="Emag_Reporting","KEEP",$C1393="Nutrition_Data_Archived_Tables","KEEP",$C1393="EU_Data","KEEP",TRUE,"REVIEW"),OR($A1393="thg-influencer",$A1393="thg-ingenuity",$A1393="thg-central-marketing",$A1393="thg-seoclarity"),"HOLD",TRUE,"")</f>
        <v/>
      </c>
      <c r="R1393" t="str" cm="1">
        <f t="array" ref="R1393">_xlfn.IFS(AND($A1393="thg-beauty",ISNUMBER(SEARCH("liveramp",$C1393))),"thg-beauty Liveramp dataset — confirmed safe to delete",$A1393="agile-bonbon-662",_xlfn.IFS(LEFT($G1393,9)="Tranche 1","Tranche 1: cleared",$C1393="Sessions_Level_1_All_Sites","Downstream aggregation of UA raw logs — keep if raw tables go",ISNUMBER(--$C1393),"UA raw site logs (account ID) — keep pending audit-retention check",$C1393="Emag_Reporting","Legacy but likely needed",$C1393="Nutrition_Data_Archived_Tables","Worth keeping",$C1393="EU_Data","Static lookup tables — scripts still reference (smoke-test risk)",TRUE,"Review"),OR($A1393="thg-influencer",$A1393="thg-ingenuity",$A1393="thg-central-marketing",$A1393="thg-seoclarity"),"HOLD — Charlie Stringer to review before deletion",TRUE,"")</f>
        <v/>
      </c>
      <c r="S1393" t="s">
        <v>1624</v>
      </c>
    </row>
    <row r="1394" spans="1:19" hidden="1">
      <c r="A1394" t="s">
        <v>2513</v>
      </c>
      <c r="B1394" t="s">
        <v>1619</v>
      </c>
      <c r="C1394" t="s">
        <v>3842</v>
      </c>
      <c r="D1394" s="2" t="s">
        <v>1621</v>
      </c>
      <c r="E1394">
        <v>21.29</v>
      </c>
      <c r="F1394">
        <v>0.43</v>
      </c>
      <c r="G1394" t="s">
        <v>72</v>
      </c>
      <c r="H1394" t="s">
        <v>3457</v>
      </c>
      <c r="I1394">
        <v>610</v>
      </c>
      <c r="J1394">
        <v>610</v>
      </c>
      <c r="M1394" s="2" t="s">
        <v>1715</v>
      </c>
      <c r="N1394" s="2" t="s">
        <v>1701</v>
      </c>
      <c r="O1394" s="5">
        <v>45586.583333668983</v>
      </c>
      <c r="P1394" t="str">
        <f>IF($Q1394="DELETE",IF($S1394="CONFIRMED: NO MODS &gt; 1YR","CONFIRMED: NO MODS &gt; 1YR","DO NOT DELETE — not defensibly confirmed"),IF($Q1394="HOLD","DO NOT DELETE — HOLD (Charlie review)",IF($Q1394="KEEP","DO NOT DELETE — KEEP",IF(ISNUMBER(SEARCH("REVIEW",$Q1394)),"DO NOT DELETE — REVIEW pending",$S1394))))</f>
        <v>CONFIRMED: NO MODS &gt; 1YR</v>
      </c>
      <c r="Q1394" t="str" cm="1">
        <f t="array" ref="Q1394">_xlfn.IFS(AND($A1394="thg-beauty",ISNUMBER(SEARCH("liveramp",$C1394))),"DELETE",$A1394="agile-bonbon-662",_xlfn.IFS(LEFT($G1394,9)="Tranche 1","DELETE",$C1394="Sessions_Level_1_All_Sites","KEEP",ISNUMBER(--$C1394),"REVIEW — UA raw logs",$C1394="Emag_Reporting","KEEP",$C1394="Nutrition_Data_Archived_Tables","KEEP",$C1394="EU_Data","KEEP",TRUE,"REVIEW"),OR($A1394="thg-influencer",$A1394="thg-ingenuity",$A1394="thg-central-marketing",$A1394="thg-seoclarity"),"HOLD",TRUE,"")</f>
        <v/>
      </c>
      <c r="R1394" t="str" cm="1">
        <f t="array" ref="R1394">_xlfn.IFS(AND($A1394="thg-beauty",ISNUMBER(SEARCH("liveramp",$C1394))),"thg-beauty Liveramp dataset — confirmed safe to delete",$A1394="agile-bonbon-662",_xlfn.IFS(LEFT($G1394,9)="Tranche 1","Tranche 1: cleared",$C1394="Sessions_Level_1_All_Sites","Downstream aggregation of UA raw logs — keep if raw tables go",ISNUMBER(--$C1394),"UA raw site logs (account ID) — keep pending audit-retention check",$C1394="Emag_Reporting","Legacy but likely needed",$C1394="Nutrition_Data_Archived_Tables","Worth keeping",$C1394="EU_Data","Static lookup tables — scripts still reference (smoke-test risk)",TRUE,"Review"),OR($A1394="thg-influencer",$A1394="thg-ingenuity",$A1394="thg-central-marketing",$A1394="thg-seoclarity"),"HOLD — Charlie Stringer to review before deletion",TRUE,"")</f>
        <v/>
      </c>
      <c r="S1394" t="s">
        <v>1624</v>
      </c>
    </row>
    <row r="1395" spans="1:19" hidden="1">
      <c r="A1395" t="s">
        <v>2513</v>
      </c>
      <c r="B1395" t="s">
        <v>1619</v>
      </c>
      <c r="C1395" t="s">
        <v>3843</v>
      </c>
      <c r="D1395" s="2" t="s">
        <v>1621</v>
      </c>
      <c r="E1395">
        <v>2.81</v>
      </c>
      <c r="F1395">
        <v>0.06</v>
      </c>
      <c r="G1395" t="s">
        <v>72</v>
      </c>
      <c r="H1395" t="s">
        <v>3457</v>
      </c>
      <c r="I1395">
        <v>594</v>
      </c>
      <c r="J1395">
        <v>594</v>
      </c>
      <c r="M1395" s="2" t="s">
        <v>1715</v>
      </c>
      <c r="N1395" s="2" t="s">
        <v>1701</v>
      </c>
      <c r="O1395" s="5">
        <v>45603.350323831008</v>
      </c>
      <c r="P1395" t="str">
        <f>IF($Q1395="DELETE",IF($S1395="CONFIRMED: NO MODS &gt; 1YR","CONFIRMED: NO MODS &gt; 1YR","DO NOT DELETE — not defensibly confirmed"),IF($Q1395="HOLD","DO NOT DELETE — HOLD (Charlie review)",IF($Q1395="KEEP","DO NOT DELETE — KEEP",IF(ISNUMBER(SEARCH("REVIEW",$Q1395)),"DO NOT DELETE — REVIEW pending",$S1395))))</f>
        <v>CONFIRMED: NO MODS &gt; 1YR</v>
      </c>
      <c r="Q1395" t="str" cm="1">
        <f t="array" ref="Q1395">_xlfn.IFS(AND($A1395="thg-beauty",ISNUMBER(SEARCH("liveramp",$C1395))),"DELETE",$A1395="agile-bonbon-662",_xlfn.IFS(LEFT($G1395,9)="Tranche 1","DELETE",$C1395="Sessions_Level_1_All_Sites","KEEP",ISNUMBER(--$C1395),"REVIEW — UA raw logs",$C1395="Emag_Reporting","KEEP",$C1395="Nutrition_Data_Archived_Tables","KEEP",$C1395="EU_Data","KEEP",TRUE,"REVIEW"),OR($A1395="thg-influencer",$A1395="thg-ingenuity",$A1395="thg-central-marketing",$A1395="thg-seoclarity"),"HOLD",TRUE,"")</f>
        <v/>
      </c>
      <c r="R1395" t="str" cm="1">
        <f t="array" ref="R1395">_xlfn.IFS(AND($A1395="thg-beauty",ISNUMBER(SEARCH("liveramp",$C1395))),"thg-beauty Liveramp dataset — confirmed safe to delete",$A1395="agile-bonbon-662",_xlfn.IFS(LEFT($G1395,9)="Tranche 1","Tranche 1: cleared",$C1395="Sessions_Level_1_All_Sites","Downstream aggregation of UA raw logs — keep if raw tables go",ISNUMBER(--$C1395),"UA raw site logs (account ID) — keep pending audit-retention check",$C1395="Emag_Reporting","Legacy but likely needed",$C1395="Nutrition_Data_Archived_Tables","Worth keeping",$C1395="EU_Data","Static lookup tables — scripts still reference (smoke-test risk)",TRUE,"Review"),OR($A1395="thg-influencer",$A1395="thg-ingenuity",$A1395="thg-central-marketing",$A1395="thg-seoclarity"),"HOLD — Charlie Stringer to review before deletion",TRUE,"")</f>
        <v/>
      </c>
      <c r="S1395" t="s">
        <v>1624</v>
      </c>
    </row>
    <row r="1396" spans="1:19" hidden="1">
      <c r="A1396" t="s">
        <v>93</v>
      </c>
      <c r="B1396" t="s">
        <v>1619</v>
      </c>
      <c r="C1396" t="s">
        <v>3844</v>
      </c>
      <c r="D1396" s="2" t="s">
        <v>1621</v>
      </c>
      <c r="E1396">
        <v>1.55</v>
      </c>
      <c r="F1396">
        <v>0.03</v>
      </c>
      <c r="G1396" t="s">
        <v>72</v>
      </c>
      <c r="H1396" t="s">
        <v>3457</v>
      </c>
      <c r="I1396">
        <v>593</v>
      </c>
      <c r="J1396">
        <v>593</v>
      </c>
      <c r="M1396" s="2" t="s">
        <v>1715</v>
      </c>
      <c r="N1396" s="2" t="s">
        <v>1701</v>
      </c>
      <c r="O1396" s="5">
        <v>45604.380459444437</v>
      </c>
      <c r="P1396" t="str">
        <f>IF($Q1396="DELETE",IF($S1396="CONFIRMED: NO MODS &gt; 1YR","CONFIRMED: NO MODS &gt; 1YR","DO NOT DELETE — not defensibly confirmed"),IF($Q1396="HOLD","DO NOT DELETE — HOLD (Charlie review)",IF($Q1396="KEEP","DO NOT DELETE — KEEP",IF(ISNUMBER(SEARCH("REVIEW",$Q1396)),"DO NOT DELETE — REVIEW pending",$S1396))))</f>
        <v>CONFIRMED: NO MODS &gt; 1YR</v>
      </c>
      <c r="Q1396" t="str" cm="1">
        <f t="array" ref="Q1396">_xlfn.IFS(AND($A1396="thg-beauty",ISNUMBER(SEARCH("liveramp",$C1396))),"DELETE",$A1396="agile-bonbon-662",_xlfn.IFS(LEFT($G1396,9)="Tranche 1","DELETE",$C1396="Sessions_Level_1_All_Sites","KEEP",ISNUMBER(--$C1396),"REVIEW — UA raw logs",$C1396="Emag_Reporting","KEEP",$C1396="Nutrition_Data_Archived_Tables","KEEP",$C1396="EU_Data","KEEP",TRUE,"REVIEW"),OR($A1396="thg-influencer",$A1396="thg-ingenuity",$A1396="thg-central-marketing",$A1396="thg-seoclarity"),"HOLD",TRUE,"")</f>
        <v/>
      </c>
      <c r="R1396" t="str" cm="1">
        <f t="array" ref="R1396">_xlfn.IFS(AND($A1396="thg-beauty",ISNUMBER(SEARCH("liveramp",$C1396))),"thg-beauty Liveramp dataset — confirmed safe to delete",$A1396="agile-bonbon-662",_xlfn.IFS(LEFT($G1396,9)="Tranche 1","Tranche 1: cleared",$C1396="Sessions_Level_1_All_Sites","Downstream aggregation of UA raw logs — keep if raw tables go",ISNUMBER(--$C1396),"UA raw site logs (account ID) — keep pending audit-retention check",$C1396="Emag_Reporting","Legacy but likely needed",$C1396="Nutrition_Data_Archived_Tables","Worth keeping",$C1396="EU_Data","Static lookup tables — scripts still reference (smoke-test risk)",TRUE,"Review"),OR($A1396="thg-influencer",$A1396="thg-ingenuity",$A1396="thg-central-marketing",$A1396="thg-seoclarity"),"HOLD — Charlie Stringer to review before deletion",TRUE,"")</f>
        <v/>
      </c>
      <c r="S1396" t="s">
        <v>1624</v>
      </c>
    </row>
    <row r="1397" spans="1:19" hidden="1">
      <c r="A1397" t="s">
        <v>93</v>
      </c>
      <c r="B1397" t="s">
        <v>1724</v>
      </c>
      <c r="C1397" t="s">
        <v>3845</v>
      </c>
      <c r="D1397" s="2" t="s">
        <v>1621</v>
      </c>
      <c r="E1397">
        <v>0</v>
      </c>
      <c r="F1397">
        <v>0</v>
      </c>
      <c r="G1397" t="s">
        <v>72</v>
      </c>
      <c r="H1397" t="s">
        <v>3457</v>
      </c>
      <c r="I1397">
        <v>519</v>
      </c>
      <c r="J1397">
        <v>519</v>
      </c>
      <c r="M1397" s="2" t="s">
        <v>1715</v>
      </c>
      <c r="N1397" s="2" t="s">
        <v>1701</v>
      </c>
      <c r="O1397" s="5">
        <v>45677.652224363417</v>
      </c>
      <c r="P1397" t="str">
        <f>IF($Q1397="DELETE",IF($S1397="CONFIRMED: NO MODS &gt; 1YR","CONFIRMED: NO MODS &gt; 1YR","DO NOT DELETE — not defensibly confirmed"),IF($Q1397="HOLD","DO NOT DELETE — HOLD (Charlie review)",IF($Q1397="KEEP","DO NOT DELETE — KEEP",IF(ISNUMBER(SEARCH("REVIEW",$Q1397)),"DO NOT DELETE — REVIEW pending",$S1397))))</f>
        <v>CONFIRMED: NO MODS &gt; 1YR</v>
      </c>
      <c r="Q1397" t="str" cm="1">
        <f t="array" ref="Q1397">_xlfn.IFS(AND($A1397="thg-beauty",ISNUMBER(SEARCH("liveramp",$C1397))),"DELETE",$A1397="agile-bonbon-662",_xlfn.IFS(LEFT($G1397,9)="Tranche 1","DELETE",$C1397="Sessions_Level_1_All_Sites","KEEP",ISNUMBER(--$C1397),"REVIEW — UA raw logs",$C1397="Emag_Reporting","KEEP",$C1397="Nutrition_Data_Archived_Tables","KEEP",$C1397="EU_Data","KEEP",TRUE,"REVIEW"),OR($A1397="thg-influencer",$A1397="thg-ingenuity",$A1397="thg-central-marketing",$A1397="thg-seoclarity"),"HOLD",TRUE,"")</f>
        <v/>
      </c>
      <c r="R1397" t="str" cm="1">
        <f t="array" ref="R1397">_xlfn.IFS(AND($A1397="thg-beauty",ISNUMBER(SEARCH("liveramp",$C1397))),"thg-beauty Liveramp dataset — confirmed safe to delete",$A1397="agile-bonbon-662",_xlfn.IFS(LEFT($G1397,9)="Tranche 1","Tranche 1: cleared",$C1397="Sessions_Level_1_All_Sites","Downstream aggregation of UA raw logs — keep if raw tables go",ISNUMBER(--$C1397),"UA raw site logs (account ID) — keep pending audit-retention check",$C1397="Emag_Reporting","Legacy but likely needed",$C1397="Nutrition_Data_Archived_Tables","Worth keeping",$C1397="EU_Data","Static lookup tables — scripts still reference (smoke-test risk)",TRUE,"Review"),OR($A1397="thg-influencer",$A1397="thg-ingenuity",$A1397="thg-central-marketing",$A1397="thg-seoclarity"),"HOLD — Charlie Stringer to review before deletion",TRUE,"")</f>
        <v/>
      </c>
      <c r="S1397" t="s">
        <v>1624</v>
      </c>
    </row>
    <row r="1398" spans="1:19" hidden="1">
      <c r="A1398" t="s">
        <v>1471</v>
      </c>
      <c r="B1398" t="s">
        <v>1619</v>
      </c>
      <c r="C1398" t="s">
        <v>1811</v>
      </c>
      <c r="D1398" s="2" t="s">
        <v>1621</v>
      </c>
      <c r="E1398">
        <v>0</v>
      </c>
      <c r="F1398">
        <v>0</v>
      </c>
      <c r="G1398" t="s">
        <v>72</v>
      </c>
      <c r="H1398" t="s">
        <v>3457</v>
      </c>
      <c r="I1398">
        <v>474</v>
      </c>
      <c r="J1398">
        <v>474</v>
      </c>
      <c r="M1398" s="2" t="s">
        <v>1715</v>
      </c>
      <c r="N1398" s="2" t="s">
        <v>1701</v>
      </c>
      <c r="O1398" s="5">
        <v>45722.751240127312</v>
      </c>
      <c r="P1398" t="str">
        <f>IF($Q1398="DELETE",IF($S1398="CONFIRMED: NO MODS &gt; 1YR","CONFIRMED: NO MODS &gt; 1YR","DO NOT DELETE — not defensibly confirmed"),IF($Q1398="HOLD","DO NOT DELETE — HOLD (Charlie review)",IF($Q1398="KEEP","DO NOT DELETE — KEEP",IF(ISNUMBER(SEARCH("REVIEW",$Q1398)),"DO NOT DELETE — REVIEW pending",$S1398))))</f>
        <v>REVIEW</v>
      </c>
      <c r="Q1398" t="str" cm="1">
        <f t="array" ref="Q1398">_xlfn.IFS(AND($A1398="thg-beauty",ISNUMBER(SEARCH("liveramp",$C1398))),"DELETE",$A1398="agile-bonbon-662",_xlfn.IFS(LEFT($G1398,9)="Tranche 1","DELETE",$C1398="Sessions_Level_1_All_Sites","KEEP",ISNUMBER(--$C1398),"REVIEW — UA raw logs",$C1398="Emag_Reporting","KEEP",$C1398="Nutrition_Data_Archived_Tables","KEEP",$C1398="EU_Data","KEEP",TRUE,"REVIEW"),OR($A1398="thg-influencer",$A1398="thg-ingenuity",$A1398="thg-central-marketing",$A1398="thg-seoclarity"),"HOLD",TRUE,"")</f>
        <v/>
      </c>
      <c r="R1398" t="str" cm="1">
        <f t="array" ref="R1398">_xlfn.IFS(AND($A1398="thg-beauty",ISNUMBER(SEARCH("liveramp",$C1398))),"thg-beauty Liveramp dataset — confirmed safe to delete",$A1398="agile-bonbon-662",_xlfn.IFS(LEFT($G1398,9)="Tranche 1","Tranche 1: cleared",$C1398="Sessions_Level_1_All_Sites","Downstream aggregation of UA raw logs — keep if raw tables go",ISNUMBER(--$C1398),"UA raw site logs (account ID) — keep pending audit-retention check",$C1398="Emag_Reporting","Legacy but likely needed",$C1398="Nutrition_Data_Archived_Tables","Worth keeping",$C1398="EU_Data","Static lookup tables — scripts still reference (smoke-test risk)",TRUE,"Review"),OR($A1398="thg-influencer",$A1398="thg-ingenuity",$A1398="thg-central-marketing",$A1398="thg-seoclarity"),"HOLD — Charlie Stringer to review before deletion",TRUE,"")</f>
        <v/>
      </c>
      <c r="S1398" t="s">
        <v>1631</v>
      </c>
    </row>
    <row r="1399" spans="1:19" hidden="1">
      <c r="A1399" t="s">
        <v>1471</v>
      </c>
      <c r="B1399" t="s">
        <v>1619</v>
      </c>
      <c r="C1399" t="s">
        <v>3846</v>
      </c>
      <c r="D1399" s="2" t="s">
        <v>1621</v>
      </c>
      <c r="E1399">
        <v>0</v>
      </c>
      <c r="F1399">
        <v>0</v>
      </c>
      <c r="G1399" t="s">
        <v>72</v>
      </c>
      <c r="H1399" t="s">
        <v>3457</v>
      </c>
      <c r="I1399">
        <v>466</v>
      </c>
      <c r="J1399">
        <v>466</v>
      </c>
      <c r="M1399" s="2" t="s">
        <v>1715</v>
      </c>
      <c r="N1399" s="2" t="s">
        <v>1701</v>
      </c>
      <c r="O1399" s="5">
        <v>45730.668787037037</v>
      </c>
      <c r="P1399" t="str">
        <f>IF($Q1399="DELETE",IF($S1399="CONFIRMED: NO MODS &gt; 1YR","CONFIRMED: NO MODS &gt; 1YR","DO NOT DELETE — not defensibly confirmed"),IF($Q1399="HOLD","DO NOT DELETE — HOLD (Charlie review)",IF($Q1399="KEEP","DO NOT DELETE — KEEP",IF(ISNUMBER(SEARCH("REVIEW",$Q1399)),"DO NOT DELETE — REVIEW pending",$S1399))))</f>
        <v>REVIEW</v>
      </c>
      <c r="Q1399" t="str" cm="1">
        <f t="array" ref="Q1399">_xlfn.IFS(AND($A1399="thg-beauty",ISNUMBER(SEARCH("liveramp",$C1399))),"DELETE",$A1399="agile-bonbon-662",_xlfn.IFS(LEFT($G1399,9)="Tranche 1","DELETE",$C1399="Sessions_Level_1_All_Sites","KEEP",ISNUMBER(--$C1399),"REVIEW — UA raw logs",$C1399="Emag_Reporting","KEEP",$C1399="Nutrition_Data_Archived_Tables","KEEP",$C1399="EU_Data","KEEP",TRUE,"REVIEW"),OR($A1399="thg-influencer",$A1399="thg-ingenuity",$A1399="thg-central-marketing",$A1399="thg-seoclarity"),"HOLD",TRUE,"")</f>
        <v/>
      </c>
      <c r="R1399" t="str" cm="1">
        <f t="array" ref="R1399">_xlfn.IFS(AND($A1399="thg-beauty",ISNUMBER(SEARCH("liveramp",$C1399))),"thg-beauty Liveramp dataset — confirmed safe to delete",$A1399="agile-bonbon-662",_xlfn.IFS(LEFT($G1399,9)="Tranche 1","Tranche 1: cleared",$C1399="Sessions_Level_1_All_Sites","Downstream aggregation of UA raw logs — keep if raw tables go",ISNUMBER(--$C1399),"UA raw site logs (account ID) — keep pending audit-retention check",$C1399="Emag_Reporting","Legacy but likely needed",$C1399="Nutrition_Data_Archived_Tables","Worth keeping",$C1399="EU_Data","Static lookup tables — scripts still reference (smoke-test risk)",TRUE,"Review"),OR($A1399="thg-influencer",$A1399="thg-ingenuity",$A1399="thg-central-marketing",$A1399="thg-seoclarity"),"HOLD — Charlie Stringer to review before deletion",TRUE,"")</f>
        <v/>
      </c>
      <c r="S1399" t="s">
        <v>1631</v>
      </c>
    </row>
    <row r="1400" spans="1:19" hidden="1">
      <c r="A1400" t="s">
        <v>1471</v>
      </c>
      <c r="B1400" t="s">
        <v>1619</v>
      </c>
      <c r="C1400" t="s">
        <v>3847</v>
      </c>
      <c r="D1400" s="2" t="s">
        <v>1621</v>
      </c>
      <c r="E1400">
        <v>6.26</v>
      </c>
      <c r="F1400">
        <v>0.13</v>
      </c>
      <c r="G1400" t="s">
        <v>72</v>
      </c>
      <c r="H1400" t="s">
        <v>3457</v>
      </c>
      <c r="I1400">
        <v>457</v>
      </c>
      <c r="J1400">
        <v>457</v>
      </c>
      <c r="M1400" s="2" t="s">
        <v>1715</v>
      </c>
      <c r="N1400" s="2" t="s">
        <v>1701</v>
      </c>
      <c r="O1400" s="5">
        <v>45740.446166574067</v>
      </c>
      <c r="P1400" t="str">
        <f>IF($Q1400="DELETE",IF($S1400="CONFIRMED: NO MODS &gt; 1YR","CONFIRMED: NO MODS &gt; 1YR","DO NOT DELETE — not defensibly confirmed"),IF($Q1400="HOLD","DO NOT DELETE — HOLD (Charlie review)",IF($Q1400="KEEP","DO NOT DELETE — KEEP",IF(ISNUMBER(SEARCH("REVIEW",$Q1400)),"DO NOT DELETE — REVIEW pending",$S1400))))</f>
        <v>REVIEW</v>
      </c>
      <c r="Q1400" t="str" cm="1">
        <f t="array" ref="Q1400">_xlfn.IFS(AND($A1400="thg-beauty",ISNUMBER(SEARCH("liveramp",$C1400))),"DELETE",$A1400="agile-bonbon-662",_xlfn.IFS(LEFT($G1400,9)="Tranche 1","DELETE",$C1400="Sessions_Level_1_All_Sites","KEEP",ISNUMBER(--$C1400),"REVIEW — UA raw logs",$C1400="Emag_Reporting","KEEP",$C1400="Nutrition_Data_Archived_Tables","KEEP",$C1400="EU_Data","KEEP",TRUE,"REVIEW"),OR($A1400="thg-influencer",$A1400="thg-ingenuity",$A1400="thg-central-marketing",$A1400="thg-seoclarity"),"HOLD",TRUE,"")</f>
        <v/>
      </c>
      <c r="R1400" t="str" cm="1">
        <f t="array" ref="R1400">_xlfn.IFS(AND($A1400="thg-beauty",ISNUMBER(SEARCH("liveramp",$C1400))),"thg-beauty Liveramp dataset — confirmed safe to delete",$A1400="agile-bonbon-662",_xlfn.IFS(LEFT($G1400,9)="Tranche 1","Tranche 1: cleared",$C1400="Sessions_Level_1_All_Sites","Downstream aggregation of UA raw logs — keep if raw tables go",ISNUMBER(--$C1400),"UA raw site logs (account ID) — keep pending audit-retention check",$C1400="Emag_Reporting","Legacy but likely needed",$C1400="Nutrition_Data_Archived_Tables","Worth keeping",$C1400="EU_Data","Static lookup tables — scripts still reference (smoke-test risk)",TRUE,"Review"),OR($A1400="thg-influencer",$A1400="thg-ingenuity",$A1400="thg-central-marketing",$A1400="thg-seoclarity"),"HOLD — Charlie Stringer to review before deletion",TRUE,"")</f>
        <v/>
      </c>
      <c r="S1400" t="s">
        <v>1631</v>
      </c>
    </row>
    <row r="1401" spans="1:19" hidden="1">
      <c r="A1401" t="s">
        <v>1471</v>
      </c>
      <c r="B1401" t="s">
        <v>1619</v>
      </c>
      <c r="C1401" t="s">
        <v>3848</v>
      </c>
      <c r="D1401" s="2" t="s">
        <v>1621</v>
      </c>
      <c r="E1401">
        <v>0.21</v>
      </c>
      <c r="F1401">
        <v>0</v>
      </c>
      <c r="G1401" t="s">
        <v>72</v>
      </c>
      <c r="H1401" t="s">
        <v>3457</v>
      </c>
      <c r="I1401">
        <v>457</v>
      </c>
      <c r="J1401">
        <v>457</v>
      </c>
      <c r="M1401" s="2" t="s">
        <v>1715</v>
      </c>
      <c r="N1401" s="2" t="s">
        <v>1701</v>
      </c>
      <c r="O1401" s="5">
        <v>45740.406326087963</v>
      </c>
      <c r="P1401" t="str">
        <f>IF($Q1401="DELETE",IF($S1401="CONFIRMED: NO MODS &gt; 1YR","CONFIRMED: NO MODS &gt; 1YR","DO NOT DELETE — not defensibly confirmed"),IF($Q1401="HOLD","DO NOT DELETE — HOLD (Charlie review)",IF($Q1401="KEEP","DO NOT DELETE — KEEP",IF(ISNUMBER(SEARCH("REVIEW",$Q1401)),"DO NOT DELETE — REVIEW pending",$S1401))))</f>
        <v>REVIEW</v>
      </c>
      <c r="Q1401" t="str" cm="1">
        <f t="array" ref="Q1401">_xlfn.IFS(AND($A1401="thg-beauty",ISNUMBER(SEARCH("liveramp",$C1401))),"DELETE",$A1401="agile-bonbon-662",_xlfn.IFS(LEFT($G1401,9)="Tranche 1","DELETE",$C1401="Sessions_Level_1_All_Sites","KEEP",ISNUMBER(--$C1401),"REVIEW — UA raw logs",$C1401="Emag_Reporting","KEEP",$C1401="Nutrition_Data_Archived_Tables","KEEP",$C1401="EU_Data","KEEP",TRUE,"REVIEW"),OR($A1401="thg-influencer",$A1401="thg-ingenuity",$A1401="thg-central-marketing",$A1401="thg-seoclarity"),"HOLD",TRUE,"")</f>
        <v/>
      </c>
      <c r="R1401" t="str" cm="1">
        <f t="array" ref="R1401">_xlfn.IFS(AND($A1401="thg-beauty",ISNUMBER(SEARCH("liveramp",$C1401))),"thg-beauty Liveramp dataset — confirmed safe to delete",$A1401="agile-bonbon-662",_xlfn.IFS(LEFT($G1401,9)="Tranche 1","Tranche 1: cleared",$C1401="Sessions_Level_1_All_Sites","Downstream aggregation of UA raw logs — keep if raw tables go",ISNUMBER(--$C1401),"UA raw site logs (account ID) — keep pending audit-retention check",$C1401="Emag_Reporting","Legacy but likely needed",$C1401="Nutrition_Data_Archived_Tables","Worth keeping",$C1401="EU_Data","Static lookup tables — scripts still reference (smoke-test risk)",TRUE,"Review"),OR($A1401="thg-influencer",$A1401="thg-ingenuity",$A1401="thg-central-marketing",$A1401="thg-seoclarity"),"HOLD — Charlie Stringer to review before deletion",TRUE,"")</f>
        <v/>
      </c>
      <c r="S1401" t="s">
        <v>1631</v>
      </c>
    </row>
    <row r="1402" spans="1:19" hidden="1">
      <c r="A1402" t="s">
        <v>93</v>
      </c>
      <c r="B1402" t="s">
        <v>1619</v>
      </c>
      <c r="C1402" t="s">
        <v>717</v>
      </c>
      <c r="D1402" s="2" t="s">
        <v>1621</v>
      </c>
      <c r="E1402">
        <v>0.01</v>
      </c>
      <c r="F1402">
        <v>0</v>
      </c>
      <c r="G1402" t="s">
        <v>72</v>
      </c>
      <c r="H1402" t="s">
        <v>3457</v>
      </c>
      <c r="I1402">
        <v>387</v>
      </c>
      <c r="J1402">
        <v>387</v>
      </c>
      <c r="M1402" s="2" t="s">
        <v>1715</v>
      </c>
      <c r="N1402" s="2" t="s">
        <v>1701</v>
      </c>
      <c r="O1402" s="5">
        <v>45810.452358888891</v>
      </c>
      <c r="P1402" t="str">
        <f>IF($Q1402="DELETE",IF($S1402="CONFIRMED: NO MODS &gt; 1YR","CONFIRMED: NO MODS &gt; 1YR","DO NOT DELETE — not defensibly confirmed"),IF($Q1402="HOLD","DO NOT DELETE — HOLD (Charlie review)",IF($Q1402="KEEP","DO NOT DELETE — KEEP",IF(ISNUMBER(SEARCH("REVIEW",$Q1402)),"DO NOT DELETE — REVIEW pending",$S1402))))</f>
        <v>REVIEW</v>
      </c>
      <c r="Q1402" t="str" cm="1">
        <f t="array" ref="Q1402">_xlfn.IFS(AND($A1402="thg-beauty",ISNUMBER(SEARCH("liveramp",$C1402))),"DELETE",$A1402="agile-bonbon-662",_xlfn.IFS(LEFT($G1402,9)="Tranche 1","DELETE",$C1402="Sessions_Level_1_All_Sites","KEEP",ISNUMBER(--$C1402),"REVIEW — UA raw logs",$C1402="Emag_Reporting","KEEP",$C1402="Nutrition_Data_Archived_Tables","KEEP",$C1402="EU_Data","KEEP",TRUE,"REVIEW"),OR($A1402="thg-influencer",$A1402="thg-ingenuity",$A1402="thg-central-marketing",$A1402="thg-seoclarity"),"HOLD",TRUE,"")</f>
        <v/>
      </c>
      <c r="R1402" t="str" cm="1">
        <f t="array" ref="R1402">_xlfn.IFS(AND($A1402="thg-beauty",ISNUMBER(SEARCH("liveramp",$C1402))),"thg-beauty Liveramp dataset — confirmed safe to delete",$A1402="agile-bonbon-662",_xlfn.IFS(LEFT($G1402,9)="Tranche 1","Tranche 1: cleared",$C1402="Sessions_Level_1_All_Sites","Downstream aggregation of UA raw logs — keep if raw tables go",ISNUMBER(--$C1402),"UA raw site logs (account ID) — keep pending audit-retention check",$C1402="Emag_Reporting","Legacy but likely needed",$C1402="Nutrition_Data_Archived_Tables","Worth keeping",$C1402="EU_Data","Static lookup tables — scripts still reference (smoke-test risk)",TRUE,"Review"),OR($A1402="thg-influencer",$A1402="thg-ingenuity",$A1402="thg-central-marketing",$A1402="thg-seoclarity"),"HOLD — Charlie Stringer to review before deletion",TRUE,"")</f>
        <v/>
      </c>
      <c r="S1402" t="s">
        <v>1631</v>
      </c>
    </row>
    <row r="1403" spans="1:19" hidden="1">
      <c r="A1403" t="s">
        <v>93</v>
      </c>
      <c r="B1403" t="s">
        <v>1619</v>
      </c>
      <c r="C1403" t="s">
        <v>3849</v>
      </c>
      <c r="D1403" s="2" t="s">
        <v>1621</v>
      </c>
      <c r="E1403">
        <v>1.53</v>
      </c>
      <c r="F1403">
        <v>0.03</v>
      </c>
      <c r="G1403" t="s">
        <v>72</v>
      </c>
      <c r="H1403" t="s">
        <v>3457</v>
      </c>
      <c r="I1403">
        <v>386</v>
      </c>
      <c r="J1403">
        <v>386</v>
      </c>
      <c r="M1403" s="2" t="s">
        <v>1715</v>
      </c>
      <c r="N1403" s="2" t="s">
        <v>1701</v>
      </c>
      <c r="O1403" s="5">
        <v>45811.300256145827</v>
      </c>
      <c r="P1403" t="str">
        <f>IF($Q1403="DELETE",IF($S1403="CONFIRMED: NO MODS &gt; 1YR","CONFIRMED: NO MODS &gt; 1YR","DO NOT DELETE — not defensibly confirmed"),IF($Q1403="HOLD","DO NOT DELETE — HOLD (Charlie review)",IF($Q1403="KEEP","DO NOT DELETE — KEEP",IF(ISNUMBER(SEARCH("REVIEW",$Q1403)),"DO NOT DELETE — REVIEW pending",$S1403))))</f>
        <v>REVIEW</v>
      </c>
      <c r="Q1403" t="str" cm="1">
        <f t="array" ref="Q1403">_xlfn.IFS(AND($A1403="thg-beauty",ISNUMBER(SEARCH("liveramp",$C1403))),"DELETE",$A1403="agile-bonbon-662",_xlfn.IFS(LEFT($G1403,9)="Tranche 1","DELETE",$C1403="Sessions_Level_1_All_Sites","KEEP",ISNUMBER(--$C1403),"REVIEW — UA raw logs",$C1403="Emag_Reporting","KEEP",$C1403="Nutrition_Data_Archived_Tables","KEEP",$C1403="EU_Data","KEEP",TRUE,"REVIEW"),OR($A1403="thg-influencer",$A1403="thg-ingenuity",$A1403="thg-central-marketing",$A1403="thg-seoclarity"),"HOLD",TRUE,"")</f>
        <v/>
      </c>
      <c r="R1403" t="str" cm="1">
        <f t="array" ref="R1403">_xlfn.IFS(AND($A1403="thg-beauty",ISNUMBER(SEARCH("liveramp",$C1403))),"thg-beauty Liveramp dataset — confirmed safe to delete",$A1403="agile-bonbon-662",_xlfn.IFS(LEFT($G1403,9)="Tranche 1","Tranche 1: cleared",$C1403="Sessions_Level_1_All_Sites","Downstream aggregation of UA raw logs — keep if raw tables go",ISNUMBER(--$C1403),"UA raw site logs (account ID) — keep pending audit-retention check",$C1403="Emag_Reporting","Legacy but likely needed",$C1403="Nutrition_Data_Archived_Tables","Worth keeping",$C1403="EU_Data","Static lookup tables — scripts still reference (smoke-test risk)",TRUE,"Review"),OR($A1403="thg-influencer",$A1403="thg-ingenuity",$A1403="thg-central-marketing",$A1403="thg-seoclarity"),"HOLD — Charlie Stringer to review before deletion",TRUE,"")</f>
        <v/>
      </c>
      <c r="S1403" t="s">
        <v>1631</v>
      </c>
    </row>
    <row r="1404" spans="1:19" hidden="1">
      <c r="A1404" t="s">
        <v>92</v>
      </c>
      <c r="B1404" t="s">
        <v>1619</v>
      </c>
      <c r="C1404" t="s">
        <v>3850</v>
      </c>
      <c r="D1404" s="2" t="s">
        <v>1621</v>
      </c>
      <c r="E1404">
        <v>81.099999999999994</v>
      </c>
      <c r="F1404">
        <v>1.62</v>
      </c>
      <c r="G1404" t="s">
        <v>72</v>
      </c>
      <c r="H1404" t="s">
        <v>3457</v>
      </c>
      <c r="I1404">
        <v>594</v>
      </c>
      <c r="J1404">
        <v>594</v>
      </c>
      <c r="M1404" s="2" t="s">
        <v>1715</v>
      </c>
      <c r="N1404" s="2" t="s">
        <v>1701</v>
      </c>
      <c r="O1404" s="5">
        <v>45603.339696400457</v>
      </c>
      <c r="P1404" t="str">
        <f>IF($Q1404="DELETE",IF($S1404="CONFIRMED: NO MODS &gt; 1YR","CONFIRMED: NO MODS &gt; 1YR","DO NOT DELETE — not defensibly confirmed"),IF($Q1404="HOLD","DO NOT DELETE — HOLD (Charlie review)",IF($Q1404="KEEP","DO NOT DELETE — KEEP",IF(ISNUMBER(SEARCH("REVIEW",$Q1404)),"DO NOT DELETE — REVIEW pending",$S1404))))</f>
        <v>REVIEW</v>
      </c>
      <c r="Q1404" t="str" cm="1">
        <f t="array" ref="Q1404">_xlfn.IFS(AND($A1404="thg-beauty",ISNUMBER(SEARCH("liveramp",$C1404))),"DELETE",$A1404="agile-bonbon-662",_xlfn.IFS(LEFT($G1404,9)="Tranche 1","DELETE",$C1404="Sessions_Level_1_All_Sites","KEEP",ISNUMBER(--$C1404),"REVIEW — UA raw logs",$C1404="Emag_Reporting","KEEP",$C1404="Nutrition_Data_Archived_Tables","KEEP",$C1404="EU_Data","KEEP",TRUE,"REVIEW"),OR($A1404="thg-influencer",$A1404="thg-ingenuity",$A1404="thg-central-marketing",$A1404="thg-seoclarity"),"HOLD",TRUE,"")</f>
        <v/>
      </c>
      <c r="R1404" t="str" cm="1">
        <f t="array" ref="R1404">_xlfn.IFS(AND($A1404="thg-beauty",ISNUMBER(SEARCH("liveramp",$C1404))),"thg-beauty Liveramp dataset — confirmed safe to delete",$A1404="agile-bonbon-662",_xlfn.IFS(LEFT($G1404,9)="Tranche 1","Tranche 1: cleared",$C1404="Sessions_Level_1_All_Sites","Downstream aggregation of UA raw logs — keep if raw tables go",ISNUMBER(--$C1404),"UA raw site logs (account ID) — keep pending audit-retention check",$C1404="Emag_Reporting","Legacy but likely needed",$C1404="Nutrition_Data_Archived_Tables","Worth keeping",$C1404="EU_Data","Static lookup tables — scripts still reference (smoke-test risk)",TRUE,"Review"),OR($A1404="thg-influencer",$A1404="thg-ingenuity",$A1404="thg-central-marketing",$A1404="thg-seoclarity"),"HOLD — Charlie Stringer to review before deletion",TRUE,"")</f>
        <v/>
      </c>
      <c r="S1404" t="s">
        <v>1631</v>
      </c>
    </row>
    <row r="1405" spans="1:19" hidden="1">
      <c r="A1405" t="s">
        <v>92</v>
      </c>
      <c r="B1405" t="s">
        <v>1619</v>
      </c>
      <c r="C1405" t="s">
        <v>1830</v>
      </c>
      <c r="D1405" s="2" t="s">
        <v>1621</v>
      </c>
      <c r="E1405">
        <v>80.540000000000006</v>
      </c>
      <c r="F1405">
        <v>1.61</v>
      </c>
      <c r="G1405" t="s">
        <v>72</v>
      </c>
      <c r="H1405" t="s">
        <v>3457</v>
      </c>
      <c r="I1405">
        <v>1295</v>
      </c>
      <c r="J1405">
        <v>1295</v>
      </c>
      <c r="M1405" s="2" t="s">
        <v>1715</v>
      </c>
      <c r="N1405" s="2" t="s">
        <v>1701</v>
      </c>
      <c r="O1405" s="5">
        <v>44902.425171689807</v>
      </c>
      <c r="P1405" t="str">
        <f>IF($Q1405="DELETE",IF($S1405="CONFIRMED: NO MODS &gt; 1YR","CONFIRMED: NO MODS &gt; 1YR","DO NOT DELETE — not defensibly confirmed"),IF($Q1405="HOLD","DO NOT DELETE — HOLD (Charlie review)",IF($Q1405="KEEP","DO NOT DELETE — KEEP",IF(ISNUMBER(SEARCH("REVIEW",$Q1405)),"DO NOT DELETE — REVIEW pending",$S1405))))</f>
        <v>REVIEW</v>
      </c>
      <c r="Q1405" t="str" cm="1">
        <f t="array" ref="Q1405">_xlfn.IFS(AND($A1405="thg-beauty",ISNUMBER(SEARCH("liveramp",$C1405))),"DELETE",$A1405="agile-bonbon-662",_xlfn.IFS(LEFT($G1405,9)="Tranche 1","DELETE",$C1405="Sessions_Level_1_All_Sites","KEEP",ISNUMBER(--$C1405),"REVIEW — UA raw logs",$C1405="Emag_Reporting","KEEP",$C1405="Nutrition_Data_Archived_Tables","KEEP",$C1405="EU_Data","KEEP",TRUE,"REVIEW"),OR($A1405="thg-influencer",$A1405="thg-ingenuity",$A1405="thg-central-marketing",$A1405="thg-seoclarity"),"HOLD",TRUE,"")</f>
        <v/>
      </c>
      <c r="R1405" t="str" cm="1">
        <f t="array" ref="R1405">_xlfn.IFS(AND($A1405="thg-beauty",ISNUMBER(SEARCH("liveramp",$C1405))),"thg-beauty Liveramp dataset — confirmed safe to delete",$A1405="agile-bonbon-662",_xlfn.IFS(LEFT($G1405,9)="Tranche 1","Tranche 1: cleared",$C1405="Sessions_Level_1_All_Sites","Downstream aggregation of UA raw logs — keep if raw tables go",ISNUMBER(--$C1405),"UA raw site logs (account ID) — keep pending audit-retention check",$C1405="Emag_Reporting","Legacy but likely needed",$C1405="Nutrition_Data_Archived_Tables","Worth keeping",$C1405="EU_Data","Static lookup tables — scripts still reference (smoke-test risk)",TRUE,"Review"),OR($A1405="thg-influencer",$A1405="thg-ingenuity",$A1405="thg-central-marketing",$A1405="thg-seoclarity"),"HOLD — Charlie Stringer to review before deletion",TRUE,"")</f>
        <v/>
      </c>
      <c r="S1405" t="s">
        <v>1631</v>
      </c>
    </row>
    <row r="1406" spans="1:19" hidden="1">
      <c r="A1406" t="s">
        <v>92</v>
      </c>
      <c r="B1406" t="s">
        <v>1619</v>
      </c>
      <c r="C1406" t="s">
        <v>3851</v>
      </c>
      <c r="D1406" s="2" t="s">
        <v>1621</v>
      </c>
      <c r="E1406">
        <v>76.91</v>
      </c>
      <c r="F1406">
        <v>1.54</v>
      </c>
      <c r="G1406" t="s">
        <v>72</v>
      </c>
      <c r="H1406" t="s">
        <v>3457</v>
      </c>
      <c r="I1406">
        <v>1189</v>
      </c>
      <c r="J1406">
        <v>1189</v>
      </c>
      <c r="M1406" s="2" t="s">
        <v>1715</v>
      </c>
      <c r="N1406" s="2" t="s">
        <v>1701</v>
      </c>
      <c r="O1406" s="5">
        <v>45007.586979039363</v>
      </c>
      <c r="P1406" t="str">
        <f>IF($Q1406="DELETE",IF($S1406="CONFIRMED: NO MODS &gt; 1YR","CONFIRMED: NO MODS &gt; 1YR","DO NOT DELETE — not defensibly confirmed"),IF($Q1406="HOLD","DO NOT DELETE — HOLD (Charlie review)",IF($Q1406="KEEP","DO NOT DELETE — KEEP",IF(ISNUMBER(SEARCH("REVIEW",$Q1406)),"DO NOT DELETE — REVIEW pending",$S1406))))</f>
        <v>REVIEW</v>
      </c>
      <c r="Q1406" t="str" cm="1">
        <f t="array" ref="Q1406">_xlfn.IFS(AND($A1406="thg-beauty",ISNUMBER(SEARCH("liveramp",$C1406))),"DELETE",$A1406="agile-bonbon-662",_xlfn.IFS(LEFT($G1406,9)="Tranche 1","DELETE",$C1406="Sessions_Level_1_All_Sites","KEEP",ISNUMBER(--$C1406),"REVIEW — UA raw logs",$C1406="Emag_Reporting","KEEP",$C1406="Nutrition_Data_Archived_Tables","KEEP",$C1406="EU_Data","KEEP",TRUE,"REVIEW"),OR($A1406="thg-influencer",$A1406="thg-ingenuity",$A1406="thg-central-marketing",$A1406="thg-seoclarity"),"HOLD",TRUE,"")</f>
        <v/>
      </c>
      <c r="R1406" t="str" cm="1">
        <f t="array" ref="R1406">_xlfn.IFS(AND($A1406="thg-beauty",ISNUMBER(SEARCH("liveramp",$C1406))),"thg-beauty Liveramp dataset — confirmed safe to delete",$A1406="agile-bonbon-662",_xlfn.IFS(LEFT($G1406,9)="Tranche 1","Tranche 1: cleared",$C1406="Sessions_Level_1_All_Sites","Downstream aggregation of UA raw logs — keep if raw tables go",ISNUMBER(--$C1406),"UA raw site logs (account ID) — keep pending audit-retention check",$C1406="Emag_Reporting","Legacy but likely needed",$C1406="Nutrition_Data_Archived_Tables","Worth keeping",$C1406="EU_Data","Static lookup tables — scripts still reference (smoke-test risk)",TRUE,"Review"),OR($A1406="thg-influencer",$A1406="thg-ingenuity",$A1406="thg-central-marketing",$A1406="thg-seoclarity"),"HOLD — Charlie Stringer to review before deletion",TRUE,"")</f>
        <v/>
      </c>
      <c r="S1406" t="s">
        <v>1631</v>
      </c>
    </row>
    <row r="1407" spans="1:19" hidden="1">
      <c r="A1407" t="s">
        <v>92</v>
      </c>
      <c r="B1407" t="s">
        <v>1619</v>
      </c>
      <c r="C1407" t="s">
        <v>3852</v>
      </c>
      <c r="D1407" s="2" t="s">
        <v>1621</v>
      </c>
      <c r="E1407">
        <v>68.25</v>
      </c>
      <c r="F1407">
        <v>1.37</v>
      </c>
      <c r="G1407" t="s">
        <v>72</v>
      </c>
      <c r="H1407" t="s">
        <v>3457</v>
      </c>
      <c r="I1407">
        <v>571</v>
      </c>
      <c r="J1407">
        <v>571</v>
      </c>
      <c r="M1407" s="2" t="s">
        <v>1715</v>
      </c>
      <c r="N1407" s="2" t="s">
        <v>1701</v>
      </c>
      <c r="O1407" s="5">
        <v>45625.594015995368</v>
      </c>
      <c r="P1407" t="str">
        <f>IF($Q1407="DELETE",IF($S1407="CONFIRMED: NO MODS &gt; 1YR","CONFIRMED: NO MODS &gt; 1YR","DO NOT DELETE — not defensibly confirmed"),IF($Q1407="HOLD","DO NOT DELETE — HOLD (Charlie review)",IF($Q1407="KEEP","DO NOT DELETE — KEEP",IF(ISNUMBER(SEARCH("REVIEW",$Q1407)),"DO NOT DELETE — REVIEW pending",$S1407))))</f>
        <v>REVIEW</v>
      </c>
      <c r="Q1407" t="str" cm="1">
        <f t="array" ref="Q1407">_xlfn.IFS(AND($A1407="thg-beauty",ISNUMBER(SEARCH("liveramp",$C1407))),"DELETE",$A1407="agile-bonbon-662",_xlfn.IFS(LEFT($G1407,9)="Tranche 1","DELETE",$C1407="Sessions_Level_1_All_Sites","KEEP",ISNUMBER(--$C1407),"REVIEW — UA raw logs",$C1407="Emag_Reporting","KEEP",$C1407="Nutrition_Data_Archived_Tables","KEEP",$C1407="EU_Data","KEEP",TRUE,"REVIEW"),OR($A1407="thg-influencer",$A1407="thg-ingenuity",$A1407="thg-central-marketing",$A1407="thg-seoclarity"),"HOLD",TRUE,"")</f>
        <v/>
      </c>
      <c r="R1407" t="str" cm="1">
        <f t="array" ref="R1407">_xlfn.IFS(AND($A1407="thg-beauty",ISNUMBER(SEARCH("liveramp",$C1407))),"thg-beauty Liveramp dataset — confirmed safe to delete",$A1407="agile-bonbon-662",_xlfn.IFS(LEFT($G1407,9)="Tranche 1","Tranche 1: cleared",$C1407="Sessions_Level_1_All_Sites","Downstream aggregation of UA raw logs — keep if raw tables go",ISNUMBER(--$C1407),"UA raw site logs (account ID) — keep pending audit-retention check",$C1407="Emag_Reporting","Legacy but likely needed",$C1407="Nutrition_Data_Archived_Tables","Worth keeping",$C1407="EU_Data","Static lookup tables — scripts still reference (smoke-test risk)",TRUE,"Review"),OR($A1407="thg-influencer",$A1407="thg-ingenuity",$A1407="thg-central-marketing",$A1407="thg-seoclarity"),"HOLD — Charlie Stringer to review before deletion",TRUE,"")</f>
        <v/>
      </c>
      <c r="S1407" t="s">
        <v>1631</v>
      </c>
    </row>
    <row r="1408" spans="1:19" hidden="1">
      <c r="A1408" t="s">
        <v>90</v>
      </c>
      <c r="B1408" t="s">
        <v>1619</v>
      </c>
      <c r="C1408" t="s">
        <v>824</v>
      </c>
      <c r="D1408" s="2" t="s">
        <v>1621</v>
      </c>
      <c r="E1408">
        <v>81.05</v>
      </c>
      <c r="F1408">
        <v>1.62</v>
      </c>
      <c r="G1408" t="s">
        <v>72</v>
      </c>
      <c r="H1408" t="s">
        <v>3457</v>
      </c>
      <c r="I1408">
        <v>56</v>
      </c>
      <c r="J1408">
        <v>2668</v>
      </c>
      <c r="K1408" s="5">
        <v>46141.388057129632</v>
      </c>
      <c r="M1408" s="2" t="s">
        <v>1800</v>
      </c>
      <c r="N1408" s="2" t="s">
        <v>1701</v>
      </c>
      <c r="O1408" s="5">
        <v>43528.771270659723</v>
      </c>
      <c r="P1408" t="str">
        <f>IF($Q1408="DELETE",IF($S1408="CONFIRMED: NO MODS &gt; 1YR","CONFIRMED: NO MODS &gt; 1YR","DO NOT DELETE — not defensibly confirmed"),IF($Q1408="HOLD","DO NOT DELETE — HOLD (Charlie review)",IF($Q1408="KEEP","DO NOT DELETE — KEEP",IF(ISNUMBER(SEARCH("REVIEW",$Q1408)),"DO NOT DELETE — REVIEW pending",$S1408))))</f>
        <v>REVIEW</v>
      </c>
      <c r="Q1408" t="str" cm="1">
        <f t="array" ref="Q1408">_xlfn.IFS(AND($A1408="thg-beauty",ISNUMBER(SEARCH("liveramp",$C1408))),"DELETE",$A1408="agile-bonbon-662",_xlfn.IFS(LEFT($G1408,9)="Tranche 1","DELETE",$C1408="Sessions_Level_1_All_Sites","KEEP",ISNUMBER(--$C1408),"REVIEW — UA raw logs",$C1408="Emag_Reporting","KEEP",$C1408="Nutrition_Data_Archived_Tables","KEEP",$C1408="EU_Data","KEEP",TRUE,"REVIEW"),OR($A1408="thg-influencer",$A1408="thg-ingenuity",$A1408="thg-central-marketing",$A1408="thg-seoclarity"),"HOLD",TRUE,"")</f>
        <v/>
      </c>
      <c r="R1408" t="str" cm="1">
        <f t="array" ref="R1408">_xlfn.IFS(AND($A1408="thg-beauty",ISNUMBER(SEARCH("liveramp",$C1408))),"thg-beauty Liveramp dataset — confirmed safe to delete",$A1408="agile-bonbon-662",_xlfn.IFS(LEFT($G1408,9)="Tranche 1","Tranche 1: cleared",$C1408="Sessions_Level_1_All_Sites","Downstream aggregation of UA raw logs — keep if raw tables go",ISNUMBER(--$C1408),"UA raw site logs (account ID) — keep pending audit-retention check",$C1408="Emag_Reporting","Legacy but likely needed",$C1408="Nutrition_Data_Archived_Tables","Worth keeping",$C1408="EU_Data","Static lookup tables — scripts still reference (smoke-test risk)",TRUE,"Review"),OR($A1408="thg-influencer",$A1408="thg-ingenuity",$A1408="thg-central-marketing",$A1408="thg-seoclarity"),"HOLD — Charlie Stringer to review before deletion",TRUE,"")</f>
        <v/>
      </c>
      <c r="S1408" t="s">
        <v>1631</v>
      </c>
    </row>
    <row r="1409" spans="1:19" hidden="1">
      <c r="A1409" t="s">
        <v>91</v>
      </c>
      <c r="B1409" t="s">
        <v>1619</v>
      </c>
      <c r="C1409" t="s">
        <v>780</v>
      </c>
      <c r="D1409" s="2" t="s">
        <v>1621</v>
      </c>
      <c r="E1409">
        <v>78.31</v>
      </c>
      <c r="F1409">
        <v>1.57</v>
      </c>
      <c r="G1409" t="s">
        <v>72</v>
      </c>
      <c r="H1409" t="s">
        <v>3457</v>
      </c>
      <c r="I1409">
        <v>56</v>
      </c>
      <c r="J1409">
        <v>1829</v>
      </c>
      <c r="K1409" s="5">
        <v>46141.414853136572</v>
      </c>
      <c r="M1409" s="2" t="s">
        <v>1802</v>
      </c>
      <c r="N1409" s="2" t="s">
        <v>1701</v>
      </c>
      <c r="O1409" s="5">
        <v>44368.420114687498</v>
      </c>
      <c r="P1409" t="str">
        <f>IF($Q1409="DELETE",IF($S1409="CONFIRMED: NO MODS &gt; 1YR","CONFIRMED: NO MODS &gt; 1YR","DO NOT DELETE — not defensibly confirmed"),IF($Q1409="HOLD","DO NOT DELETE — HOLD (Charlie review)",IF($Q1409="KEEP","DO NOT DELETE — KEEP",IF(ISNUMBER(SEARCH("REVIEW",$Q1409)),"DO NOT DELETE — REVIEW pending",$S1409))))</f>
        <v>REVIEW</v>
      </c>
      <c r="Q1409" t="str" cm="1">
        <f t="array" ref="Q1409">_xlfn.IFS(AND($A1409="thg-beauty",ISNUMBER(SEARCH("liveramp",$C1409))),"DELETE",$A1409="agile-bonbon-662",_xlfn.IFS(LEFT($G1409,9)="Tranche 1","DELETE",$C1409="Sessions_Level_1_All_Sites","KEEP",ISNUMBER(--$C1409),"REVIEW — UA raw logs",$C1409="Emag_Reporting","KEEP",$C1409="Nutrition_Data_Archived_Tables","KEEP",$C1409="EU_Data","KEEP",TRUE,"REVIEW"),OR($A1409="thg-influencer",$A1409="thg-ingenuity",$A1409="thg-central-marketing",$A1409="thg-seoclarity"),"HOLD",TRUE,"")</f>
        <v/>
      </c>
      <c r="R1409" t="str" cm="1">
        <f t="array" ref="R1409">_xlfn.IFS(AND($A1409="thg-beauty",ISNUMBER(SEARCH("liveramp",$C1409))),"thg-beauty Liveramp dataset — confirmed safe to delete",$A1409="agile-bonbon-662",_xlfn.IFS(LEFT($G1409,9)="Tranche 1","Tranche 1: cleared",$C1409="Sessions_Level_1_All_Sites","Downstream aggregation of UA raw logs — keep if raw tables go",ISNUMBER(--$C1409),"UA raw site logs (account ID) — keep pending audit-retention check",$C1409="Emag_Reporting","Legacy but likely needed",$C1409="Nutrition_Data_Archived_Tables","Worth keeping",$C1409="EU_Data","Static lookup tables — scripts still reference (smoke-test risk)",TRUE,"Review"),OR($A1409="thg-influencer",$A1409="thg-ingenuity",$A1409="thg-central-marketing",$A1409="thg-seoclarity"),"HOLD — Charlie Stringer to review before deletion",TRUE,"")</f>
        <v/>
      </c>
      <c r="S1409" t="s">
        <v>1631</v>
      </c>
    </row>
    <row r="1410" spans="1:19" ht="60.75" hidden="1">
      <c r="A1410" t="s">
        <v>91</v>
      </c>
      <c r="B1410" t="s">
        <v>1619</v>
      </c>
      <c r="C1410" t="s">
        <v>872</v>
      </c>
      <c r="D1410" s="2" t="s">
        <v>1621</v>
      </c>
      <c r="E1410">
        <v>70.45</v>
      </c>
      <c r="F1410">
        <v>1.41</v>
      </c>
      <c r="G1410" t="s">
        <v>72</v>
      </c>
      <c r="H1410" t="s">
        <v>3457</v>
      </c>
      <c r="I1410">
        <v>56</v>
      </c>
      <c r="J1410">
        <v>1455</v>
      </c>
      <c r="K1410" s="5">
        <v>46141.414377847221</v>
      </c>
      <c r="M1410" s="2" t="s">
        <v>3853</v>
      </c>
      <c r="N1410" s="2" t="s">
        <v>1701</v>
      </c>
      <c r="O1410" s="5">
        <v>44742.386435902779</v>
      </c>
      <c r="P1410" t="str">
        <f>IF($Q1410="DELETE",IF($S1410="CONFIRMED: NO MODS &gt; 1YR","CONFIRMED: NO MODS &gt; 1YR","DO NOT DELETE — not defensibly confirmed"),IF($Q1410="HOLD","DO NOT DELETE — HOLD (Charlie review)",IF($Q1410="KEEP","DO NOT DELETE — KEEP",IF(ISNUMBER(SEARCH("REVIEW",$Q1410)),"DO NOT DELETE — REVIEW pending",$S1410))))</f>
        <v>REVIEW</v>
      </c>
      <c r="Q1410" t="str" cm="1">
        <f t="array" ref="Q1410">_xlfn.IFS(AND($A1410="thg-beauty",ISNUMBER(SEARCH("liveramp",$C1410))),"DELETE",$A1410="agile-bonbon-662",_xlfn.IFS(LEFT($G1410,9)="Tranche 1","DELETE",$C1410="Sessions_Level_1_All_Sites","KEEP",ISNUMBER(--$C1410),"REVIEW — UA raw logs",$C1410="Emag_Reporting","KEEP",$C1410="Nutrition_Data_Archived_Tables","KEEP",$C1410="EU_Data","KEEP",TRUE,"REVIEW"),OR($A1410="thg-influencer",$A1410="thg-ingenuity",$A1410="thg-central-marketing",$A1410="thg-seoclarity"),"HOLD",TRUE,"")</f>
        <v/>
      </c>
      <c r="R1410" t="str" cm="1">
        <f t="array" ref="R1410">_xlfn.IFS(AND($A1410="thg-beauty",ISNUMBER(SEARCH("liveramp",$C1410))),"thg-beauty Liveramp dataset — confirmed safe to delete",$A1410="agile-bonbon-662",_xlfn.IFS(LEFT($G1410,9)="Tranche 1","Tranche 1: cleared",$C1410="Sessions_Level_1_All_Sites","Downstream aggregation of UA raw logs — keep if raw tables go",ISNUMBER(--$C1410),"UA raw site logs (account ID) — keep pending audit-retention check",$C1410="Emag_Reporting","Legacy but likely needed",$C1410="Nutrition_Data_Archived_Tables","Worth keeping",$C1410="EU_Data","Static lookup tables — scripts still reference (smoke-test risk)",TRUE,"Review"),OR($A1410="thg-influencer",$A1410="thg-ingenuity",$A1410="thg-central-marketing",$A1410="thg-seoclarity"),"HOLD — Charlie Stringer to review before deletion",TRUE,"")</f>
        <v/>
      </c>
      <c r="S1410" t="s">
        <v>1631</v>
      </c>
    </row>
    <row r="1411" spans="1:19" hidden="1">
      <c r="A1411" t="s">
        <v>90</v>
      </c>
      <c r="B1411" t="s">
        <v>1619</v>
      </c>
      <c r="C1411" t="s">
        <v>896</v>
      </c>
      <c r="D1411" s="2" t="s">
        <v>1621</v>
      </c>
      <c r="E1411">
        <v>63.44</v>
      </c>
      <c r="F1411">
        <v>1.27</v>
      </c>
      <c r="G1411" t="s">
        <v>72</v>
      </c>
      <c r="H1411" t="s">
        <v>3457</v>
      </c>
      <c r="I1411">
        <v>56</v>
      </c>
      <c r="J1411">
        <v>1786</v>
      </c>
      <c r="K1411" s="5">
        <v>46141.387874375003</v>
      </c>
      <c r="M1411" s="2" t="s">
        <v>1800</v>
      </c>
      <c r="N1411" s="2" t="s">
        <v>1701</v>
      </c>
      <c r="O1411" s="5">
        <v>44411.435361261567</v>
      </c>
      <c r="P1411" t="str">
        <f>IF($Q1411="DELETE",IF($S1411="CONFIRMED: NO MODS &gt; 1YR","CONFIRMED: NO MODS &gt; 1YR","DO NOT DELETE — not defensibly confirmed"),IF($Q1411="HOLD","DO NOT DELETE — HOLD (Charlie review)",IF($Q1411="KEEP","DO NOT DELETE — KEEP",IF(ISNUMBER(SEARCH("REVIEW",$Q1411)),"DO NOT DELETE — REVIEW pending",$S1411))))</f>
        <v>REVIEW</v>
      </c>
      <c r="Q1411" t="str" cm="1">
        <f t="array" ref="Q1411">_xlfn.IFS(AND($A1411="thg-beauty",ISNUMBER(SEARCH("liveramp",$C1411))),"DELETE",$A1411="agile-bonbon-662",_xlfn.IFS(LEFT($G1411,9)="Tranche 1","DELETE",$C1411="Sessions_Level_1_All_Sites","KEEP",ISNUMBER(--$C1411),"REVIEW — UA raw logs",$C1411="Emag_Reporting","KEEP",$C1411="Nutrition_Data_Archived_Tables","KEEP",$C1411="EU_Data","KEEP",TRUE,"REVIEW"),OR($A1411="thg-influencer",$A1411="thg-ingenuity",$A1411="thg-central-marketing",$A1411="thg-seoclarity"),"HOLD",TRUE,"")</f>
        <v/>
      </c>
      <c r="R1411" t="str" cm="1">
        <f t="array" ref="R1411">_xlfn.IFS(AND($A1411="thg-beauty",ISNUMBER(SEARCH("liveramp",$C1411))),"thg-beauty Liveramp dataset — confirmed safe to delete",$A1411="agile-bonbon-662",_xlfn.IFS(LEFT($G1411,9)="Tranche 1","Tranche 1: cleared",$C1411="Sessions_Level_1_All_Sites","Downstream aggregation of UA raw logs — keep if raw tables go",ISNUMBER(--$C1411),"UA raw site logs (account ID) — keep pending audit-retention check",$C1411="Emag_Reporting","Legacy but likely needed",$C1411="Nutrition_Data_Archived_Tables","Worth keeping",$C1411="EU_Data","Static lookup tables — scripts still reference (smoke-test risk)",TRUE,"Review"),OR($A1411="thg-influencer",$A1411="thg-ingenuity",$A1411="thg-central-marketing",$A1411="thg-seoclarity"),"HOLD — Charlie Stringer to review before deletion",TRUE,"")</f>
        <v/>
      </c>
      <c r="S1411" t="s">
        <v>1631</v>
      </c>
    </row>
    <row r="1412" spans="1:19" hidden="1">
      <c r="A1412" t="s">
        <v>90</v>
      </c>
      <c r="B1412" t="s">
        <v>1619</v>
      </c>
      <c r="C1412" t="s">
        <v>934</v>
      </c>
      <c r="D1412" s="2" t="s">
        <v>1621</v>
      </c>
      <c r="E1412">
        <v>59.49</v>
      </c>
      <c r="F1412">
        <v>1.19</v>
      </c>
      <c r="G1412" t="s">
        <v>72</v>
      </c>
      <c r="H1412" t="s">
        <v>3457</v>
      </c>
      <c r="I1412">
        <v>56</v>
      </c>
      <c r="J1412">
        <v>2212</v>
      </c>
      <c r="K1412" s="5">
        <v>46141.387662129629</v>
      </c>
      <c r="M1412" s="2" t="s">
        <v>1800</v>
      </c>
      <c r="N1412" s="2" t="s">
        <v>1701</v>
      </c>
      <c r="O1412" s="5">
        <v>43985.359002685182</v>
      </c>
      <c r="P1412" t="str">
        <f>IF($Q1412="DELETE",IF($S1412="CONFIRMED: NO MODS &gt; 1YR","CONFIRMED: NO MODS &gt; 1YR","DO NOT DELETE — not defensibly confirmed"),IF($Q1412="HOLD","DO NOT DELETE — HOLD (Charlie review)",IF($Q1412="KEEP","DO NOT DELETE — KEEP",IF(ISNUMBER(SEARCH("REVIEW",$Q1412)),"DO NOT DELETE — REVIEW pending",$S1412))))</f>
        <v>REVIEW</v>
      </c>
      <c r="Q1412" t="str" cm="1">
        <f t="array" ref="Q1412">_xlfn.IFS(AND($A1412="thg-beauty",ISNUMBER(SEARCH("liveramp",$C1412))),"DELETE",$A1412="agile-bonbon-662",_xlfn.IFS(LEFT($G1412,9)="Tranche 1","DELETE",$C1412="Sessions_Level_1_All_Sites","KEEP",ISNUMBER(--$C1412),"REVIEW — UA raw logs",$C1412="Emag_Reporting","KEEP",$C1412="Nutrition_Data_Archived_Tables","KEEP",$C1412="EU_Data","KEEP",TRUE,"REVIEW"),OR($A1412="thg-influencer",$A1412="thg-ingenuity",$A1412="thg-central-marketing",$A1412="thg-seoclarity"),"HOLD",TRUE,"")</f>
        <v/>
      </c>
      <c r="R1412" t="str" cm="1">
        <f t="array" ref="R1412">_xlfn.IFS(AND($A1412="thg-beauty",ISNUMBER(SEARCH("liveramp",$C1412))),"thg-beauty Liveramp dataset — confirmed safe to delete",$A1412="agile-bonbon-662",_xlfn.IFS(LEFT($G1412,9)="Tranche 1","Tranche 1: cleared",$C1412="Sessions_Level_1_All_Sites","Downstream aggregation of UA raw logs — keep if raw tables go",ISNUMBER(--$C1412),"UA raw site logs (account ID) — keep pending audit-retention check",$C1412="Emag_Reporting","Legacy but likely needed",$C1412="Nutrition_Data_Archived_Tables","Worth keeping",$C1412="EU_Data","Static lookup tables — scripts still reference (smoke-test risk)",TRUE,"Review"),OR($A1412="thg-influencer",$A1412="thg-ingenuity",$A1412="thg-central-marketing",$A1412="thg-seoclarity"),"HOLD — Charlie Stringer to review before deletion",TRUE,"")</f>
        <v/>
      </c>
      <c r="S1412" t="s">
        <v>1631</v>
      </c>
    </row>
    <row r="1413" spans="1:19" hidden="1">
      <c r="A1413" t="s">
        <v>90</v>
      </c>
      <c r="B1413" t="s">
        <v>1619</v>
      </c>
      <c r="C1413" t="s">
        <v>957</v>
      </c>
      <c r="D1413" s="2" t="s">
        <v>1621</v>
      </c>
      <c r="E1413">
        <v>55.85</v>
      </c>
      <c r="F1413">
        <v>1.1200000000000001</v>
      </c>
      <c r="G1413" t="s">
        <v>72</v>
      </c>
      <c r="H1413" t="s">
        <v>3457</v>
      </c>
      <c r="I1413">
        <v>56</v>
      </c>
      <c r="J1413">
        <v>1786</v>
      </c>
      <c r="K1413" s="5">
        <v>46141.387872939813</v>
      </c>
      <c r="M1413" s="2" t="s">
        <v>1800</v>
      </c>
      <c r="N1413" s="2" t="s">
        <v>1701</v>
      </c>
      <c r="O1413" s="5">
        <v>44410.554238159719</v>
      </c>
      <c r="P1413" t="str">
        <f>IF($Q1413="DELETE",IF($S1413="CONFIRMED: NO MODS &gt; 1YR","CONFIRMED: NO MODS &gt; 1YR","DO NOT DELETE — not defensibly confirmed"),IF($Q1413="HOLD","DO NOT DELETE — HOLD (Charlie review)",IF($Q1413="KEEP","DO NOT DELETE — KEEP",IF(ISNUMBER(SEARCH("REVIEW",$Q1413)),"DO NOT DELETE — REVIEW pending",$S1413))))</f>
        <v>REVIEW</v>
      </c>
      <c r="Q1413" t="str" cm="1">
        <f t="array" ref="Q1413">_xlfn.IFS(AND($A1413="thg-beauty",ISNUMBER(SEARCH("liveramp",$C1413))),"DELETE",$A1413="agile-bonbon-662",_xlfn.IFS(LEFT($G1413,9)="Tranche 1","DELETE",$C1413="Sessions_Level_1_All_Sites","KEEP",ISNUMBER(--$C1413),"REVIEW — UA raw logs",$C1413="Emag_Reporting","KEEP",$C1413="Nutrition_Data_Archived_Tables","KEEP",$C1413="EU_Data","KEEP",TRUE,"REVIEW"),OR($A1413="thg-influencer",$A1413="thg-ingenuity",$A1413="thg-central-marketing",$A1413="thg-seoclarity"),"HOLD",TRUE,"")</f>
        <v/>
      </c>
      <c r="R1413" t="str" cm="1">
        <f t="array" ref="R1413">_xlfn.IFS(AND($A1413="thg-beauty",ISNUMBER(SEARCH("liveramp",$C1413))),"thg-beauty Liveramp dataset — confirmed safe to delete",$A1413="agile-bonbon-662",_xlfn.IFS(LEFT($G1413,9)="Tranche 1","Tranche 1: cleared",$C1413="Sessions_Level_1_All_Sites","Downstream aggregation of UA raw logs — keep if raw tables go",ISNUMBER(--$C1413),"UA raw site logs (account ID) — keep pending audit-retention check",$C1413="Emag_Reporting","Legacy but likely needed",$C1413="Nutrition_Data_Archived_Tables","Worth keeping",$C1413="EU_Data","Static lookup tables — scripts still reference (smoke-test risk)",TRUE,"Review"),OR($A1413="thg-influencer",$A1413="thg-ingenuity",$A1413="thg-central-marketing",$A1413="thg-seoclarity"),"HOLD — Charlie Stringer to review before deletion",TRUE,"")</f>
        <v/>
      </c>
      <c r="S1413" t="s">
        <v>1631</v>
      </c>
    </row>
    <row r="1414" spans="1:19" hidden="1">
      <c r="A1414" t="s">
        <v>89</v>
      </c>
      <c r="B1414" t="s">
        <v>1724</v>
      </c>
      <c r="C1414" t="s">
        <v>1031</v>
      </c>
      <c r="D1414" s="2" t="s">
        <v>1621</v>
      </c>
      <c r="E1414">
        <v>42.33</v>
      </c>
      <c r="F1414">
        <v>0.85</v>
      </c>
      <c r="G1414" t="s">
        <v>72</v>
      </c>
      <c r="H1414" t="s">
        <v>3457</v>
      </c>
      <c r="I1414">
        <v>56</v>
      </c>
      <c r="J1414">
        <v>1297</v>
      </c>
      <c r="K1414" s="5">
        <v>46141.415669872687</v>
      </c>
      <c r="M1414" s="2" t="s">
        <v>1834</v>
      </c>
      <c r="N1414" s="2" t="s">
        <v>1701</v>
      </c>
      <c r="O1414" s="5">
        <v>44900.328496354166</v>
      </c>
      <c r="P1414" t="str">
        <f>IF($Q1414="DELETE",IF($S1414="CONFIRMED: NO MODS &gt; 1YR","CONFIRMED: NO MODS &gt; 1YR","DO NOT DELETE — not defensibly confirmed"),IF($Q1414="HOLD","DO NOT DELETE — HOLD (Charlie review)",IF($Q1414="KEEP","DO NOT DELETE — KEEP",IF(ISNUMBER(SEARCH("REVIEW",$Q1414)),"DO NOT DELETE — REVIEW pending",$S1414))))</f>
        <v>DO NOT DELETE — REVIEW pending</v>
      </c>
      <c r="Q1414" t="str" cm="1">
        <f t="array" ref="Q1414">_xlfn.IFS(AND($A1414="thg-beauty",ISNUMBER(SEARCH("liveramp",$C1414))),"DELETE",$A1414="agile-bonbon-662",_xlfn.IFS(LEFT($G1414,9)="Tranche 1","DELETE",$C1414="Sessions_Level_1_All_Sites","KEEP",ISNUMBER(--$C1414),"REVIEW — UA raw logs",$C1414="Emag_Reporting","KEEP",$C1414="Nutrition_Data_Archived_Tables","KEEP",$C1414="EU_Data","KEEP",TRUE,"REVIEW"),OR($A1414="thg-influencer",$A1414="thg-ingenuity",$A1414="thg-central-marketing",$A1414="thg-seoclarity"),"HOLD",TRUE,"")</f>
        <v>REVIEW</v>
      </c>
      <c r="R1414" t="str" cm="1">
        <f t="array" ref="R1414">_xlfn.IFS(AND($A1414="thg-beauty",ISNUMBER(SEARCH("liveramp",$C1414))),"thg-beauty Liveramp dataset — confirmed safe to delete",$A1414="agile-bonbon-662",_xlfn.IFS(LEFT($G1414,9)="Tranche 1","Tranche 1: cleared",$C1414="Sessions_Level_1_All_Sites","Downstream aggregation of UA raw logs — keep if raw tables go",ISNUMBER(--$C1414),"UA raw site logs (account ID) — keep pending audit-retention check",$C1414="Emag_Reporting","Legacy but likely needed",$C1414="Nutrition_Data_Archived_Tables","Worth keeping",$C1414="EU_Data","Static lookup tables — scripts still reference (smoke-test risk)",TRUE,"Review"),OR($A1414="thg-influencer",$A1414="thg-ingenuity",$A1414="thg-central-marketing",$A1414="thg-seoclarity"),"HOLD — Charlie Stringer to review before deletion",TRUE,"")</f>
        <v>Review</v>
      </c>
      <c r="S1414" t="s">
        <v>1631</v>
      </c>
    </row>
    <row r="1415" spans="1:19" hidden="1">
      <c r="A1415" t="s">
        <v>90</v>
      </c>
      <c r="B1415" t="s">
        <v>1619</v>
      </c>
      <c r="C1415" t="s">
        <v>1187</v>
      </c>
      <c r="D1415" s="2" t="s">
        <v>1621</v>
      </c>
      <c r="E1415">
        <v>26.89</v>
      </c>
      <c r="F1415">
        <v>0.54</v>
      </c>
      <c r="G1415" t="s">
        <v>72</v>
      </c>
      <c r="H1415" t="s">
        <v>3457</v>
      </c>
      <c r="I1415">
        <v>56</v>
      </c>
      <c r="J1415">
        <v>902</v>
      </c>
      <c r="K1415" s="5">
        <v>46141.387460868063</v>
      </c>
      <c r="M1415" s="2" t="s">
        <v>1807</v>
      </c>
      <c r="N1415" s="2" t="s">
        <v>1701</v>
      </c>
      <c r="O1415" s="5">
        <v>45294.689662939818</v>
      </c>
      <c r="P1415" t="str">
        <f>IF($Q1415="DELETE",IF($S1415="CONFIRMED: NO MODS &gt; 1YR","CONFIRMED: NO MODS &gt; 1YR","DO NOT DELETE — not defensibly confirmed"),IF($Q1415="HOLD","DO NOT DELETE — HOLD (Charlie review)",IF($Q1415="KEEP","DO NOT DELETE — KEEP",IF(ISNUMBER(SEARCH("REVIEW",$Q1415)),"DO NOT DELETE — REVIEW pending",$S1415))))</f>
        <v>REVIEW</v>
      </c>
      <c r="Q1415" t="str" cm="1">
        <f t="array" ref="Q1415">_xlfn.IFS(AND($A1415="thg-beauty",ISNUMBER(SEARCH("liveramp",$C1415))),"DELETE",$A1415="agile-bonbon-662",_xlfn.IFS(LEFT($G1415,9)="Tranche 1","DELETE",$C1415="Sessions_Level_1_All_Sites","KEEP",ISNUMBER(--$C1415),"REVIEW — UA raw logs",$C1415="Emag_Reporting","KEEP",$C1415="Nutrition_Data_Archived_Tables","KEEP",$C1415="EU_Data","KEEP",TRUE,"REVIEW"),OR($A1415="thg-influencer",$A1415="thg-ingenuity",$A1415="thg-central-marketing",$A1415="thg-seoclarity"),"HOLD",TRUE,"")</f>
        <v/>
      </c>
      <c r="R1415" t="str" cm="1">
        <f t="array" ref="R1415">_xlfn.IFS(AND($A1415="thg-beauty",ISNUMBER(SEARCH("liveramp",$C1415))),"thg-beauty Liveramp dataset — confirmed safe to delete",$A1415="agile-bonbon-662",_xlfn.IFS(LEFT($G1415,9)="Tranche 1","Tranche 1: cleared",$C1415="Sessions_Level_1_All_Sites","Downstream aggregation of UA raw logs — keep if raw tables go",ISNUMBER(--$C1415),"UA raw site logs (account ID) — keep pending audit-retention check",$C1415="Emag_Reporting","Legacy but likely needed",$C1415="Nutrition_Data_Archived_Tables","Worth keeping",$C1415="EU_Data","Static lookup tables — scripts still reference (smoke-test risk)",TRUE,"Review"),OR($A1415="thg-influencer",$A1415="thg-ingenuity",$A1415="thg-central-marketing",$A1415="thg-seoclarity"),"HOLD — Charlie Stringer to review before deletion",TRUE,"")</f>
        <v/>
      </c>
      <c r="S1415" t="s">
        <v>1631</v>
      </c>
    </row>
    <row r="1416" spans="1:19" hidden="1">
      <c r="A1416" t="s">
        <v>91</v>
      </c>
      <c r="B1416" t="s">
        <v>1619</v>
      </c>
      <c r="C1416" t="s">
        <v>161</v>
      </c>
      <c r="D1416" s="2" t="s">
        <v>1621</v>
      </c>
      <c r="E1416">
        <v>21.13</v>
      </c>
      <c r="F1416">
        <v>0.42</v>
      </c>
      <c r="G1416" t="s">
        <v>72</v>
      </c>
      <c r="H1416" t="s">
        <v>3457</v>
      </c>
      <c r="I1416">
        <v>56</v>
      </c>
      <c r="J1416">
        <v>3249</v>
      </c>
      <c r="K1416" s="5">
        <v>46141.414852337963</v>
      </c>
      <c r="M1416" s="2" t="s">
        <v>1802</v>
      </c>
      <c r="N1416" s="2" t="s">
        <v>1701</v>
      </c>
      <c r="O1416" s="5">
        <v>42948.425530381937</v>
      </c>
      <c r="P1416" t="str">
        <f>IF($Q1416="DELETE",IF($S1416="CONFIRMED: NO MODS &gt; 1YR","CONFIRMED: NO MODS &gt; 1YR","DO NOT DELETE — not defensibly confirmed"),IF($Q1416="HOLD","DO NOT DELETE — HOLD (Charlie review)",IF($Q1416="KEEP","DO NOT DELETE — KEEP",IF(ISNUMBER(SEARCH("REVIEW",$Q1416)),"DO NOT DELETE — REVIEW pending",$S1416))))</f>
        <v>REVIEW</v>
      </c>
      <c r="Q1416" t="str" cm="1">
        <f t="array" ref="Q1416">_xlfn.IFS(AND($A1416="thg-beauty",ISNUMBER(SEARCH("liveramp",$C1416))),"DELETE",$A1416="agile-bonbon-662",_xlfn.IFS(LEFT($G1416,9)="Tranche 1","DELETE",$C1416="Sessions_Level_1_All_Sites","KEEP",ISNUMBER(--$C1416),"REVIEW — UA raw logs",$C1416="Emag_Reporting","KEEP",$C1416="Nutrition_Data_Archived_Tables","KEEP",$C1416="EU_Data","KEEP",TRUE,"REVIEW"),OR($A1416="thg-influencer",$A1416="thg-ingenuity",$A1416="thg-central-marketing",$A1416="thg-seoclarity"),"HOLD",TRUE,"")</f>
        <v/>
      </c>
      <c r="R1416" t="str" cm="1">
        <f t="array" ref="R1416">_xlfn.IFS(AND($A1416="thg-beauty",ISNUMBER(SEARCH("liveramp",$C1416))),"thg-beauty Liveramp dataset — confirmed safe to delete",$A1416="agile-bonbon-662",_xlfn.IFS(LEFT($G1416,9)="Tranche 1","Tranche 1: cleared",$C1416="Sessions_Level_1_All_Sites","Downstream aggregation of UA raw logs — keep if raw tables go",ISNUMBER(--$C1416),"UA raw site logs (account ID) — keep pending audit-retention check",$C1416="Emag_Reporting","Legacy but likely needed",$C1416="Nutrition_Data_Archived_Tables","Worth keeping",$C1416="EU_Data","Static lookup tables — scripts still reference (smoke-test risk)",TRUE,"Review"),OR($A1416="thg-influencer",$A1416="thg-ingenuity",$A1416="thg-central-marketing",$A1416="thg-seoclarity"),"HOLD — Charlie Stringer to review before deletion",TRUE,"")</f>
        <v/>
      </c>
      <c r="S1416" t="s">
        <v>1631</v>
      </c>
    </row>
    <row r="1417" spans="1:19" hidden="1">
      <c r="A1417" t="s">
        <v>90</v>
      </c>
      <c r="B1417" t="s">
        <v>1619</v>
      </c>
      <c r="C1417" t="s">
        <v>1345</v>
      </c>
      <c r="D1417" s="2" t="s">
        <v>1621</v>
      </c>
      <c r="E1417">
        <v>17.260000000000002</v>
      </c>
      <c r="F1417">
        <v>0.35</v>
      </c>
      <c r="G1417" t="s">
        <v>72</v>
      </c>
      <c r="H1417" t="s">
        <v>3457</v>
      </c>
      <c r="I1417">
        <v>56</v>
      </c>
      <c r="J1417">
        <v>3180</v>
      </c>
      <c r="K1417" s="5">
        <v>46141.388056979173</v>
      </c>
      <c r="M1417" s="2" t="s">
        <v>1800</v>
      </c>
      <c r="N1417" s="2" t="s">
        <v>1701</v>
      </c>
      <c r="O1417" s="5">
        <v>43017.123758148147</v>
      </c>
      <c r="P1417" t="str">
        <f>IF($Q1417="DELETE",IF($S1417="CONFIRMED: NO MODS &gt; 1YR","CONFIRMED: NO MODS &gt; 1YR","DO NOT DELETE — not defensibly confirmed"),IF($Q1417="HOLD","DO NOT DELETE — HOLD (Charlie review)",IF($Q1417="KEEP","DO NOT DELETE — KEEP",IF(ISNUMBER(SEARCH("REVIEW",$Q1417)),"DO NOT DELETE — REVIEW pending",$S1417))))</f>
        <v>REVIEW</v>
      </c>
      <c r="Q1417" t="str" cm="1">
        <f t="array" ref="Q1417">_xlfn.IFS(AND($A1417="thg-beauty",ISNUMBER(SEARCH("liveramp",$C1417))),"DELETE",$A1417="agile-bonbon-662",_xlfn.IFS(LEFT($G1417,9)="Tranche 1","DELETE",$C1417="Sessions_Level_1_All_Sites","KEEP",ISNUMBER(--$C1417),"REVIEW — UA raw logs",$C1417="Emag_Reporting","KEEP",$C1417="Nutrition_Data_Archived_Tables","KEEP",$C1417="EU_Data","KEEP",TRUE,"REVIEW"),OR($A1417="thg-influencer",$A1417="thg-ingenuity",$A1417="thg-central-marketing",$A1417="thg-seoclarity"),"HOLD",TRUE,"")</f>
        <v/>
      </c>
      <c r="R1417" t="str" cm="1">
        <f t="array" ref="R1417">_xlfn.IFS(AND($A1417="thg-beauty",ISNUMBER(SEARCH("liveramp",$C1417))),"thg-beauty Liveramp dataset — confirmed safe to delete",$A1417="agile-bonbon-662",_xlfn.IFS(LEFT($G1417,9)="Tranche 1","Tranche 1: cleared",$C1417="Sessions_Level_1_All_Sites","Downstream aggregation of UA raw logs — keep if raw tables go",ISNUMBER(--$C1417),"UA raw site logs (account ID) — keep pending audit-retention check",$C1417="Emag_Reporting","Legacy but likely needed",$C1417="Nutrition_Data_Archived_Tables","Worth keeping",$C1417="EU_Data","Static lookup tables — scripts still reference (smoke-test risk)",TRUE,"Review"),OR($A1417="thg-influencer",$A1417="thg-ingenuity",$A1417="thg-central-marketing",$A1417="thg-seoclarity"),"HOLD — Charlie Stringer to review before deletion",TRUE,"")</f>
        <v/>
      </c>
      <c r="S1417" t="s">
        <v>1631</v>
      </c>
    </row>
    <row r="1418" spans="1:19" hidden="1">
      <c r="A1418" t="s">
        <v>90</v>
      </c>
      <c r="B1418" t="s">
        <v>1619</v>
      </c>
      <c r="C1418" t="s">
        <v>1355</v>
      </c>
      <c r="D1418" s="2" t="s">
        <v>1621</v>
      </c>
      <c r="E1418">
        <v>16.66</v>
      </c>
      <c r="F1418">
        <v>0.33</v>
      </c>
      <c r="G1418" t="s">
        <v>72</v>
      </c>
      <c r="H1418" t="s">
        <v>3457</v>
      </c>
      <c r="I1418">
        <v>56</v>
      </c>
      <c r="J1418">
        <v>2316</v>
      </c>
      <c r="K1418" s="5">
        <v>46141.387968599527</v>
      </c>
      <c r="M1418" s="2" t="s">
        <v>1800</v>
      </c>
      <c r="N1418" s="2" t="s">
        <v>1701</v>
      </c>
      <c r="O1418" s="5">
        <v>43880.502846585638</v>
      </c>
      <c r="P1418" t="str">
        <f>IF($Q1418="DELETE",IF($S1418="CONFIRMED: NO MODS &gt; 1YR","CONFIRMED: NO MODS &gt; 1YR","DO NOT DELETE — not defensibly confirmed"),IF($Q1418="HOLD","DO NOT DELETE — HOLD (Charlie review)",IF($Q1418="KEEP","DO NOT DELETE — KEEP",IF(ISNUMBER(SEARCH("REVIEW",$Q1418)),"DO NOT DELETE — REVIEW pending",$S1418))))</f>
        <v>REVIEW</v>
      </c>
      <c r="Q1418" t="str" cm="1">
        <f t="array" ref="Q1418">_xlfn.IFS(AND($A1418="thg-beauty",ISNUMBER(SEARCH("liveramp",$C1418))),"DELETE",$A1418="agile-bonbon-662",_xlfn.IFS(LEFT($G1418,9)="Tranche 1","DELETE",$C1418="Sessions_Level_1_All_Sites","KEEP",ISNUMBER(--$C1418),"REVIEW — UA raw logs",$C1418="Emag_Reporting","KEEP",$C1418="Nutrition_Data_Archived_Tables","KEEP",$C1418="EU_Data","KEEP",TRUE,"REVIEW"),OR($A1418="thg-influencer",$A1418="thg-ingenuity",$A1418="thg-central-marketing",$A1418="thg-seoclarity"),"HOLD",TRUE,"")</f>
        <v/>
      </c>
      <c r="R1418" t="str" cm="1">
        <f t="array" ref="R1418">_xlfn.IFS(AND($A1418="thg-beauty",ISNUMBER(SEARCH("liveramp",$C1418))),"thg-beauty Liveramp dataset — confirmed safe to delete",$A1418="agile-bonbon-662",_xlfn.IFS(LEFT($G1418,9)="Tranche 1","Tranche 1: cleared",$C1418="Sessions_Level_1_All_Sites","Downstream aggregation of UA raw logs — keep if raw tables go",ISNUMBER(--$C1418),"UA raw site logs (account ID) — keep pending audit-retention check",$C1418="Emag_Reporting","Legacy but likely needed",$C1418="Nutrition_Data_Archived_Tables","Worth keeping",$C1418="EU_Data","Static lookup tables — scripts still reference (smoke-test risk)",TRUE,"Review"),OR($A1418="thg-influencer",$A1418="thg-ingenuity",$A1418="thg-central-marketing",$A1418="thg-seoclarity"),"HOLD — Charlie Stringer to review before deletion",TRUE,"")</f>
        <v/>
      </c>
      <c r="S1418" t="s">
        <v>1631</v>
      </c>
    </row>
    <row r="1419" spans="1:19" ht="30.75" hidden="1">
      <c r="A1419" t="s">
        <v>90</v>
      </c>
      <c r="B1419" t="s">
        <v>1619</v>
      </c>
      <c r="C1419" t="s">
        <v>1408</v>
      </c>
      <c r="D1419" s="2" t="s">
        <v>3854</v>
      </c>
      <c r="E1419">
        <v>15.12</v>
      </c>
      <c r="F1419">
        <v>0.3</v>
      </c>
      <c r="G1419" t="s">
        <v>72</v>
      </c>
      <c r="H1419" t="s">
        <v>3457</v>
      </c>
      <c r="I1419">
        <v>56</v>
      </c>
      <c r="J1419">
        <v>1786</v>
      </c>
      <c r="K1419" s="5">
        <v>46141.38805681713</v>
      </c>
      <c r="M1419" s="2" t="s">
        <v>1800</v>
      </c>
      <c r="N1419" s="2" t="s">
        <v>1701</v>
      </c>
      <c r="O1419" s="5">
        <v>44411.375031122683</v>
      </c>
      <c r="P1419" t="str">
        <f>IF($Q1419="DELETE",IF($S1419="CONFIRMED: NO MODS &gt; 1YR","CONFIRMED: NO MODS &gt; 1YR","DO NOT DELETE — not defensibly confirmed"),IF($Q1419="HOLD","DO NOT DELETE — HOLD (Charlie review)",IF($Q1419="KEEP","DO NOT DELETE — KEEP",IF(ISNUMBER(SEARCH("REVIEW",$Q1419)),"DO NOT DELETE — REVIEW pending",$S1419))))</f>
        <v>REVIEW</v>
      </c>
      <c r="Q1419" t="str" cm="1">
        <f t="array" ref="Q1419">_xlfn.IFS(AND($A1419="thg-beauty",ISNUMBER(SEARCH("liveramp",$C1419))),"DELETE",$A1419="agile-bonbon-662",_xlfn.IFS(LEFT($G1419,9)="Tranche 1","DELETE",$C1419="Sessions_Level_1_All_Sites","KEEP",ISNUMBER(--$C1419),"REVIEW — UA raw logs",$C1419="Emag_Reporting","KEEP",$C1419="Nutrition_Data_Archived_Tables","KEEP",$C1419="EU_Data","KEEP",TRUE,"REVIEW"),OR($A1419="thg-influencer",$A1419="thg-ingenuity",$A1419="thg-central-marketing",$A1419="thg-seoclarity"),"HOLD",TRUE,"")</f>
        <v/>
      </c>
      <c r="R1419" t="str" cm="1">
        <f t="array" ref="R1419">_xlfn.IFS(AND($A1419="thg-beauty",ISNUMBER(SEARCH("liveramp",$C1419))),"thg-beauty Liveramp dataset — confirmed safe to delete",$A1419="agile-bonbon-662",_xlfn.IFS(LEFT($G1419,9)="Tranche 1","Tranche 1: cleared",$C1419="Sessions_Level_1_All_Sites","Downstream aggregation of UA raw logs — keep if raw tables go",ISNUMBER(--$C1419),"UA raw site logs (account ID) — keep pending audit-retention check",$C1419="Emag_Reporting","Legacy but likely needed",$C1419="Nutrition_Data_Archived_Tables","Worth keeping",$C1419="EU_Data","Static lookup tables — scripts still reference (smoke-test risk)",TRUE,"Review"),OR($A1419="thg-influencer",$A1419="thg-ingenuity",$A1419="thg-central-marketing",$A1419="thg-seoclarity"),"HOLD — Charlie Stringer to review before deletion",TRUE,"")</f>
        <v/>
      </c>
      <c r="S1419" t="s">
        <v>1631</v>
      </c>
    </row>
    <row r="1420" spans="1:19" hidden="1">
      <c r="A1420" t="s">
        <v>90</v>
      </c>
      <c r="B1420" t="s">
        <v>1619</v>
      </c>
      <c r="C1420" t="s">
        <v>1424</v>
      </c>
      <c r="D1420" s="2" t="s">
        <v>1621</v>
      </c>
      <c r="E1420">
        <v>14.73</v>
      </c>
      <c r="F1420">
        <v>0.28999999999999998</v>
      </c>
      <c r="G1420" t="s">
        <v>72</v>
      </c>
      <c r="H1420" t="s">
        <v>3457</v>
      </c>
      <c r="I1420">
        <v>56</v>
      </c>
      <c r="J1420">
        <v>1965</v>
      </c>
      <c r="K1420" s="5">
        <v>46141.387661319437</v>
      </c>
      <c r="M1420" s="2" t="s">
        <v>1800</v>
      </c>
      <c r="N1420" s="2" t="s">
        <v>1701</v>
      </c>
      <c r="O1420" s="5">
        <v>44231.679184606481</v>
      </c>
      <c r="P1420" t="str">
        <f>IF($Q1420="DELETE",IF($S1420="CONFIRMED: NO MODS &gt; 1YR","CONFIRMED: NO MODS &gt; 1YR","DO NOT DELETE — not defensibly confirmed"),IF($Q1420="HOLD","DO NOT DELETE — HOLD (Charlie review)",IF($Q1420="KEEP","DO NOT DELETE — KEEP",IF(ISNUMBER(SEARCH("REVIEW",$Q1420)),"DO NOT DELETE — REVIEW pending",$S1420))))</f>
        <v>REVIEW</v>
      </c>
      <c r="Q1420" t="str" cm="1">
        <f t="array" ref="Q1420">_xlfn.IFS(AND($A1420="thg-beauty",ISNUMBER(SEARCH("liveramp",$C1420))),"DELETE",$A1420="agile-bonbon-662",_xlfn.IFS(LEFT($G1420,9)="Tranche 1","DELETE",$C1420="Sessions_Level_1_All_Sites","KEEP",ISNUMBER(--$C1420),"REVIEW — UA raw logs",$C1420="Emag_Reporting","KEEP",$C1420="Nutrition_Data_Archived_Tables","KEEP",$C1420="EU_Data","KEEP",TRUE,"REVIEW"),OR($A1420="thg-influencer",$A1420="thg-ingenuity",$A1420="thg-central-marketing",$A1420="thg-seoclarity"),"HOLD",TRUE,"")</f>
        <v/>
      </c>
      <c r="R1420" t="str" cm="1">
        <f t="array" ref="R1420">_xlfn.IFS(AND($A1420="thg-beauty",ISNUMBER(SEARCH("liveramp",$C1420))),"thg-beauty Liveramp dataset — confirmed safe to delete",$A1420="agile-bonbon-662",_xlfn.IFS(LEFT($G1420,9)="Tranche 1","Tranche 1: cleared",$C1420="Sessions_Level_1_All_Sites","Downstream aggregation of UA raw logs — keep if raw tables go",ISNUMBER(--$C1420),"UA raw site logs (account ID) — keep pending audit-retention check",$C1420="Emag_Reporting","Legacy but likely needed",$C1420="Nutrition_Data_Archived_Tables","Worth keeping",$C1420="EU_Data","Static lookup tables — scripts still reference (smoke-test risk)",TRUE,"Review"),OR($A1420="thg-influencer",$A1420="thg-ingenuity",$A1420="thg-central-marketing",$A1420="thg-seoclarity"),"HOLD — Charlie Stringer to review before deletion",TRUE,"")</f>
        <v/>
      </c>
      <c r="S1420" t="s">
        <v>1631</v>
      </c>
    </row>
    <row r="1421" spans="1:19" hidden="1">
      <c r="A1421" t="s">
        <v>91</v>
      </c>
      <c r="B1421" t="s">
        <v>1619</v>
      </c>
      <c r="C1421" t="s">
        <v>258</v>
      </c>
      <c r="D1421" s="2" t="s">
        <v>1621</v>
      </c>
      <c r="E1421">
        <v>13.76</v>
      </c>
      <c r="F1421">
        <v>0.28000000000000003</v>
      </c>
      <c r="G1421" t="s">
        <v>72</v>
      </c>
      <c r="H1421" t="s">
        <v>3457</v>
      </c>
      <c r="I1421">
        <v>56</v>
      </c>
      <c r="J1421">
        <v>2092</v>
      </c>
      <c r="K1421" s="5">
        <v>46141.414792175929</v>
      </c>
      <c r="M1421" s="2" t="s">
        <v>1802</v>
      </c>
      <c r="N1421" s="2" t="s">
        <v>1701</v>
      </c>
      <c r="O1421" s="5">
        <v>44105.431051504631</v>
      </c>
      <c r="P1421" t="str">
        <f>IF($Q1421="DELETE",IF($S1421="CONFIRMED: NO MODS &gt; 1YR","CONFIRMED: NO MODS &gt; 1YR","DO NOT DELETE — not defensibly confirmed"),IF($Q1421="HOLD","DO NOT DELETE — HOLD (Charlie review)",IF($Q1421="KEEP","DO NOT DELETE — KEEP",IF(ISNUMBER(SEARCH("REVIEW",$Q1421)),"DO NOT DELETE — REVIEW pending",$S1421))))</f>
        <v>REVIEW</v>
      </c>
      <c r="Q1421" t="str" cm="1">
        <f t="array" ref="Q1421">_xlfn.IFS(AND($A1421="thg-beauty",ISNUMBER(SEARCH("liveramp",$C1421))),"DELETE",$A1421="agile-bonbon-662",_xlfn.IFS(LEFT($G1421,9)="Tranche 1","DELETE",$C1421="Sessions_Level_1_All_Sites","KEEP",ISNUMBER(--$C1421),"REVIEW — UA raw logs",$C1421="Emag_Reporting","KEEP",$C1421="Nutrition_Data_Archived_Tables","KEEP",$C1421="EU_Data","KEEP",TRUE,"REVIEW"),OR($A1421="thg-influencer",$A1421="thg-ingenuity",$A1421="thg-central-marketing",$A1421="thg-seoclarity"),"HOLD",TRUE,"")</f>
        <v/>
      </c>
      <c r="R1421" t="str" cm="1">
        <f t="array" ref="R1421">_xlfn.IFS(AND($A1421="thg-beauty",ISNUMBER(SEARCH("liveramp",$C1421))),"thg-beauty Liveramp dataset — confirmed safe to delete",$A1421="agile-bonbon-662",_xlfn.IFS(LEFT($G1421,9)="Tranche 1","Tranche 1: cleared",$C1421="Sessions_Level_1_All_Sites","Downstream aggregation of UA raw logs — keep if raw tables go",ISNUMBER(--$C1421),"UA raw site logs (account ID) — keep pending audit-retention check",$C1421="Emag_Reporting","Legacy but likely needed",$C1421="Nutrition_Data_Archived_Tables","Worth keeping",$C1421="EU_Data","Static lookup tables — scripts still reference (smoke-test risk)",TRUE,"Review"),OR($A1421="thg-influencer",$A1421="thg-ingenuity",$A1421="thg-central-marketing",$A1421="thg-seoclarity"),"HOLD — Charlie Stringer to review before deletion",TRUE,"")</f>
        <v/>
      </c>
      <c r="S1421" t="s">
        <v>1631</v>
      </c>
    </row>
    <row r="1422" spans="1:19" hidden="1">
      <c r="A1422" t="s">
        <v>90</v>
      </c>
      <c r="B1422" t="s">
        <v>1619</v>
      </c>
      <c r="C1422" t="s">
        <v>1509</v>
      </c>
      <c r="D1422" s="2" t="s">
        <v>1621</v>
      </c>
      <c r="E1422">
        <v>12.16</v>
      </c>
      <c r="F1422">
        <v>0.24</v>
      </c>
      <c r="G1422" t="s">
        <v>72</v>
      </c>
      <c r="H1422" t="s">
        <v>3457</v>
      </c>
      <c r="I1422">
        <v>56</v>
      </c>
      <c r="J1422">
        <v>1190</v>
      </c>
      <c r="K1422" s="5">
        <v>46141.388012384261</v>
      </c>
      <c r="M1422" s="2" t="s">
        <v>1800</v>
      </c>
      <c r="N1422" s="2" t="s">
        <v>1701</v>
      </c>
      <c r="O1422" s="5">
        <v>45007.375346018518</v>
      </c>
      <c r="P1422" t="str">
        <f>IF($Q1422="DELETE",IF($S1422="CONFIRMED: NO MODS &gt; 1YR","CONFIRMED: NO MODS &gt; 1YR","DO NOT DELETE — not defensibly confirmed"),IF($Q1422="HOLD","DO NOT DELETE — HOLD (Charlie review)",IF($Q1422="KEEP","DO NOT DELETE — KEEP",IF(ISNUMBER(SEARCH("REVIEW",$Q1422)),"DO NOT DELETE — REVIEW pending",$S1422))))</f>
        <v>REVIEW</v>
      </c>
      <c r="Q1422" t="str" cm="1">
        <f t="array" ref="Q1422">_xlfn.IFS(AND($A1422="thg-beauty",ISNUMBER(SEARCH("liveramp",$C1422))),"DELETE",$A1422="agile-bonbon-662",_xlfn.IFS(LEFT($G1422,9)="Tranche 1","DELETE",$C1422="Sessions_Level_1_All_Sites","KEEP",ISNUMBER(--$C1422),"REVIEW — UA raw logs",$C1422="Emag_Reporting","KEEP",$C1422="Nutrition_Data_Archived_Tables","KEEP",$C1422="EU_Data","KEEP",TRUE,"REVIEW"),OR($A1422="thg-influencer",$A1422="thg-ingenuity",$A1422="thg-central-marketing",$A1422="thg-seoclarity"),"HOLD",TRUE,"")</f>
        <v/>
      </c>
      <c r="R1422" t="str" cm="1">
        <f t="array" ref="R1422">_xlfn.IFS(AND($A1422="thg-beauty",ISNUMBER(SEARCH("liveramp",$C1422))),"thg-beauty Liveramp dataset — confirmed safe to delete",$A1422="agile-bonbon-662",_xlfn.IFS(LEFT($G1422,9)="Tranche 1","Tranche 1: cleared",$C1422="Sessions_Level_1_All_Sites","Downstream aggregation of UA raw logs — keep if raw tables go",ISNUMBER(--$C1422),"UA raw site logs (account ID) — keep pending audit-retention check",$C1422="Emag_Reporting","Legacy but likely needed",$C1422="Nutrition_Data_Archived_Tables","Worth keeping",$C1422="EU_Data","Static lookup tables — scripts still reference (smoke-test risk)",TRUE,"Review"),OR($A1422="thg-influencer",$A1422="thg-ingenuity",$A1422="thg-central-marketing",$A1422="thg-seoclarity"),"HOLD — Charlie Stringer to review before deletion",TRUE,"")</f>
        <v/>
      </c>
      <c r="S1422" t="s">
        <v>1631</v>
      </c>
    </row>
    <row r="1423" spans="1:19" hidden="1">
      <c r="A1423" t="s">
        <v>90</v>
      </c>
      <c r="B1423" t="s">
        <v>1619</v>
      </c>
      <c r="C1423" t="s">
        <v>1504</v>
      </c>
      <c r="D1423" s="2" t="s">
        <v>1621</v>
      </c>
      <c r="E1423">
        <v>12.02</v>
      </c>
      <c r="F1423">
        <v>0.24</v>
      </c>
      <c r="G1423" t="s">
        <v>72</v>
      </c>
      <c r="H1423" t="s">
        <v>3457</v>
      </c>
      <c r="I1423">
        <v>56</v>
      </c>
      <c r="J1423">
        <v>1960</v>
      </c>
      <c r="K1423" s="5">
        <v>46141.387610613427</v>
      </c>
      <c r="M1423" s="2" t="s">
        <v>1800</v>
      </c>
      <c r="N1423" s="2" t="s">
        <v>1701</v>
      </c>
      <c r="O1423" s="5">
        <v>44236.496997754628</v>
      </c>
      <c r="P1423" t="str">
        <f>IF($Q1423="DELETE",IF($S1423="CONFIRMED: NO MODS &gt; 1YR","CONFIRMED: NO MODS &gt; 1YR","DO NOT DELETE — not defensibly confirmed"),IF($Q1423="HOLD","DO NOT DELETE — HOLD (Charlie review)",IF($Q1423="KEEP","DO NOT DELETE — KEEP",IF(ISNUMBER(SEARCH("REVIEW",$Q1423)),"DO NOT DELETE — REVIEW pending",$S1423))))</f>
        <v>REVIEW</v>
      </c>
      <c r="Q1423" t="str" cm="1">
        <f t="array" ref="Q1423">_xlfn.IFS(AND($A1423="thg-beauty",ISNUMBER(SEARCH("liveramp",$C1423))),"DELETE",$A1423="agile-bonbon-662",_xlfn.IFS(LEFT($G1423,9)="Tranche 1","DELETE",$C1423="Sessions_Level_1_All_Sites","KEEP",ISNUMBER(--$C1423),"REVIEW — UA raw logs",$C1423="Emag_Reporting","KEEP",$C1423="Nutrition_Data_Archived_Tables","KEEP",$C1423="EU_Data","KEEP",TRUE,"REVIEW"),OR($A1423="thg-influencer",$A1423="thg-ingenuity",$A1423="thg-central-marketing",$A1423="thg-seoclarity"),"HOLD",TRUE,"")</f>
        <v/>
      </c>
      <c r="R1423" t="str" cm="1">
        <f t="array" ref="R1423">_xlfn.IFS(AND($A1423="thg-beauty",ISNUMBER(SEARCH("liveramp",$C1423))),"thg-beauty Liveramp dataset — confirmed safe to delete",$A1423="agile-bonbon-662",_xlfn.IFS(LEFT($G1423,9)="Tranche 1","Tranche 1: cleared",$C1423="Sessions_Level_1_All_Sites","Downstream aggregation of UA raw logs — keep if raw tables go",ISNUMBER(--$C1423),"UA raw site logs (account ID) — keep pending audit-retention check",$C1423="Emag_Reporting","Legacy but likely needed",$C1423="Nutrition_Data_Archived_Tables","Worth keeping",$C1423="EU_Data","Static lookup tables — scripts still reference (smoke-test risk)",TRUE,"Review"),OR($A1423="thg-influencer",$A1423="thg-ingenuity",$A1423="thg-central-marketing",$A1423="thg-seoclarity"),"HOLD — Charlie Stringer to review before deletion",TRUE,"")</f>
        <v/>
      </c>
      <c r="S1423" t="s">
        <v>1631</v>
      </c>
    </row>
    <row r="1424" spans="1:19" hidden="1">
      <c r="A1424" t="s">
        <v>90</v>
      </c>
      <c r="B1424" t="s">
        <v>1619</v>
      </c>
      <c r="C1424" t="s">
        <v>3855</v>
      </c>
      <c r="D1424" s="2" t="s">
        <v>1621</v>
      </c>
      <c r="E1424">
        <v>6.39</v>
      </c>
      <c r="F1424">
        <v>0.13</v>
      </c>
      <c r="G1424" t="s">
        <v>72</v>
      </c>
      <c r="H1424" t="s">
        <v>3457</v>
      </c>
      <c r="I1424">
        <v>56</v>
      </c>
      <c r="J1424">
        <v>503</v>
      </c>
      <c r="K1424" s="5">
        <v>46141.387723622684</v>
      </c>
      <c r="M1424" s="2" t="s">
        <v>1800</v>
      </c>
      <c r="N1424" s="2" t="s">
        <v>1701</v>
      </c>
      <c r="O1424" s="5">
        <v>45693.661930949071</v>
      </c>
      <c r="P1424" t="str">
        <f>IF($Q1424="DELETE",IF($S1424="CONFIRMED: NO MODS &gt; 1YR","CONFIRMED: NO MODS &gt; 1YR","DO NOT DELETE — not defensibly confirmed"),IF($Q1424="HOLD","DO NOT DELETE — HOLD (Charlie review)",IF($Q1424="KEEP","DO NOT DELETE — KEEP",IF(ISNUMBER(SEARCH("REVIEW",$Q1424)),"DO NOT DELETE — REVIEW pending",$S1424))))</f>
        <v>REVIEW</v>
      </c>
      <c r="Q1424" t="str" cm="1">
        <f t="array" ref="Q1424">_xlfn.IFS(AND($A1424="thg-beauty",ISNUMBER(SEARCH("liveramp",$C1424))),"DELETE",$A1424="agile-bonbon-662",_xlfn.IFS(LEFT($G1424,9)="Tranche 1","DELETE",$C1424="Sessions_Level_1_All_Sites","KEEP",ISNUMBER(--$C1424),"REVIEW — UA raw logs",$C1424="Emag_Reporting","KEEP",$C1424="Nutrition_Data_Archived_Tables","KEEP",$C1424="EU_Data","KEEP",TRUE,"REVIEW"),OR($A1424="thg-influencer",$A1424="thg-ingenuity",$A1424="thg-central-marketing",$A1424="thg-seoclarity"),"HOLD",TRUE,"")</f>
        <v/>
      </c>
      <c r="R1424" t="str" cm="1">
        <f t="array" ref="R1424">_xlfn.IFS(AND($A1424="thg-beauty",ISNUMBER(SEARCH("liveramp",$C1424))),"thg-beauty Liveramp dataset — confirmed safe to delete",$A1424="agile-bonbon-662",_xlfn.IFS(LEFT($G1424,9)="Tranche 1","Tranche 1: cleared",$C1424="Sessions_Level_1_All_Sites","Downstream aggregation of UA raw logs — keep if raw tables go",ISNUMBER(--$C1424),"UA raw site logs (account ID) — keep pending audit-retention check",$C1424="Emag_Reporting","Legacy but likely needed",$C1424="Nutrition_Data_Archived_Tables","Worth keeping",$C1424="EU_Data","Static lookup tables — scripts still reference (smoke-test risk)",TRUE,"Review"),OR($A1424="thg-influencer",$A1424="thg-ingenuity",$A1424="thg-central-marketing",$A1424="thg-seoclarity"),"HOLD — Charlie Stringer to review before deletion",TRUE,"")</f>
        <v/>
      </c>
      <c r="S1424" t="s">
        <v>1631</v>
      </c>
    </row>
    <row r="1425" spans="1:19" hidden="1">
      <c r="A1425" t="s">
        <v>91</v>
      </c>
      <c r="B1425" t="s">
        <v>1619</v>
      </c>
      <c r="C1425" t="s">
        <v>1509</v>
      </c>
      <c r="D1425" s="2" t="s">
        <v>1621</v>
      </c>
      <c r="E1425">
        <v>2.92</v>
      </c>
      <c r="F1425">
        <v>0.06</v>
      </c>
      <c r="G1425" t="s">
        <v>72</v>
      </c>
      <c r="H1425" t="s">
        <v>3457</v>
      </c>
      <c r="I1425">
        <v>56</v>
      </c>
      <c r="J1425">
        <v>1495</v>
      </c>
      <c r="K1425" s="5">
        <v>46141.41479761574</v>
      </c>
      <c r="M1425" s="2" t="s">
        <v>1802</v>
      </c>
      <c r="N1425" s="2" t="s">
        <v>1701</v>
      </c>
      <c r="O1425" s="5">
        <v>44701.924833784717</v>
      </c>
      <c r="P1425" t="str">
        <f>IF($Q1425="DELETE",IF($S1425="CONFIRMED: NO MODS &gt; 1YR","CONFIRMED: NO MODS &gt; 1YR","DO NOT DELETE — not defensibly confirmed"),IF($Q1425="HOLD","DO NOT DELETE — HOLD (Charlie review)",IF($Q1425="KEEP","DO NOT DELETE — KEEP",IF(ISNUMBER(SEARCH("REVIEW",$Q1425)),"DO NOT DELETE — REVIEW pending",$S1425))))</f>
        <v>REVIEW</v>
      </c>
      <c r="Q1425" t="str" cm="1">
        <f t="array" ref="Q1425">_xlfn.IFS(AND($A1425="thg-beauty",ISNUMBER(SEARCH("liveramp",$C1425))),"DELETE",$A1425="agile-bonbon-662",_xlfn.IFS(LEFT($G1425,9)="Tranche 1","DELETE",$C1425="Sessions_Level_1_All_Sites","KEEP",ISNUMBER(--$C1425),"REVIEW — UA raw logs",$C1425="Emag_Reporting","KEEP",$C1425="Nutrition_Data_Archived_Tables","KEEP",$C1425="EU_Data","KEEP",TRUE,"REVIEW"),OR($A1425="thg-influencer",$A1425="thg-ingenuity",$A1425="thg-central-marketing",$A1425="thg-seoclarity"),"HOLD",TRUE,"")</f>
        <v/>
      </c>
      <c r="R1425" t="str" cm="1">
        <f t="array" ref="R1425">_xlfn.IFS(AND($A1425="thg-beauty",ISNUMBER(SEARCH("liveramp",$C1425))),"thg-beauty Liveramp dataset — confirmed safe to delete",$A1425="agile-bonbon-662",_xlfn.IFS(LEFT($G1425,9)="Tranche 1","Tranche 1: cleared",$C1425="Sessions_Level_1_All_Sites","Downstream aggregation of UA raw logs — keep if raw tables go",ISNUMBER(--$C1425),"UA raw site logs (account ID) — keep pending audit-retention check",$C1425="Emag_Reporting","Legacy but likely needed",$C1425="Nutrition_Data_Archived_Tables","Worth keeping",$C1425="EU_Data","Static lookup tables — scripts still reference (smoke-test risk)",TRUE,"Review"),OR($A1425="thg-influencer",$A1425="thg-ingenuity",$A1425="thg-central-marketing",$A1425="thg-seoclarity"),"HOLD — Charlie Stringer to review before deletion",TRUE,"")</f>
        <v/>
      </c>
      <c r="S1425" t="s">
        <v>1631</v>
      </c>
    </row>
    <row r="1426" spans="1:19" hidden="1">
      <c r="A1426" t="s">
        <v>90</v>
      </c>
      <c r="B1426" t="s">
        <v>1619</v>
      </c>
      <c r="C1426" t="s">
        <v>3856</v>
      </c>
      <c r="D1426" s="2" t="s">
        <v>1621</v>
      </c>
      <c r="E1426">
        <v>2.89</v>
      </c>
      <c r="F1426">
        <v>0.06</v>
      </c>
      <c r="G1426" t="s">
        <v>72</v>
      </c>
      <c r="H1426" t="s">
        <v>3457</v>
      </c>
      <c r="I1426">
        <v>56</v>
      </c>
      <c r="J1426">
        <v>2615</v>
      </c>
      <c r="K1426" s="5">
        <v>46141.388099050928</v>
      </c>
      <c r="M1426" s="2" t="s">
        <v>1800</v>
      </c>
      <c r="N1426" s="2" t="s">
        <v>1701</v>
      </c>
      <c r="O1426" s="5">
        <v>43581.645516331017</v>
      </c>
      <c r="P1426" t="str">
        <f>IF($Q1426="DELETE",IF($S1426="CONFIRMED: NO MODS &gt; 1YR","CONFIRMED: NO MODS &gt; 1YR","DO NOT DELETE — not defensibly confirmed"),IF($Q1426="HOLD","DO NOT DELETE — HOLD (Charlie review)",IF($Q1426="KEEP","DO NOT DELETE — KEEP",IF(ISNUMBER(SEARCH("REVIEW",$Q1426)),"DO NOT DELETE — REVIEW pending",$S1426))))</f>
        <v>REVIEW</v>
      </c>
      <c r="Q1426" t="str" cm="1">
        <f t="array" ref="Q1426">_xlfn.IFS(AND($A1426="thg-beauty",ISNUMBER(SEARCH("liveramp",$C1426))),"DELETE",$A1426="agile-bonbon-662",_xlfn.IFS(LEFT($G1426,9)="Tranche 1","DELETE",$C1426="Sessions_Level_1_All_Sites","KEEP",ISNUMBER(--$C1426),"REVIEW — UA raw logs",$C1426="Emag_Reporting","KEEP",$C1426="Nutrition_Data_Archived_Tables","KEEP",$C1426="EU_Data","KEEP",TRUE,"REVIEW"),OR($A1426="thg-influencer",$A1426="thg-ingenuity",$A1426="thg-central-marketing",$A1426="thg-seoclarity"),"HOLD",TRUE,"")</f>
        <v/>
      </c>
      <c r="R1426" t="str" cm="1">
        <f t="array" ref="R1426">_xlfn.IFS(AND($A1426="thg-beauty",ISNUMBER(SEARCH("liveramp",$C1426))),"thg-beauty Liveramp dataset — confirmed safe to delete",$A1426="agile-bonbon-662",_xlfn.IFS(LEFT($G1426,9)="Tranche 1","Tranche 1: cleared",$C1426="Sessions_Level_1_All_Sites","Downstream aggregation of UA raw logs — keep if raw tables go",ISNUMBER(--$C1426),"UA raw site logs (account ID) — keep pending audit-retention check",$C1426="Emag_Reporting","Legacy but likely needed",$C1426="Nutrition_Data_Archived_Tables","Worth keeping",$C1426="EU_Data","Static lookup tables — scripts still reference (smoke-test risk)",TRUE,"Review"),OR($A1426="thg-influencer",$A1426="thg-ingenuity",$A1426="thg-central-marketing",$A1426="thg-seoclarity"),"HOLD — Charlie Stringer to review before deletion",TRUE,"")</f>
        <v/>
      </c>
      <c r="S1426" t="s">
        <v>1631</v>
      </c>
    </row>
    <row r="1427" spans="1:19" hidden="1">
      <c r="A1427" t="s">
        <v>91</v>
      </c>
      <c r="B1427" t="s">
        <v>1619</v>
      </c>
      <c r="C1427" t="s">
        <v>3857</v>
      </c>
      <c r="D1427" s="2" t="s">
        <v>1621</v>
      </c>
      <c r="E1427">
        <v>2.13</v>
      </c>
      <c r="F1427">
        <v>0.04</v>
      </c>
      <c r="G1427" t="s">
        <v>72</v>
      </c>
      <c r="H1427" t="s">
        <v>3457</v>
      </c>
      <c r="I1427">
        <v>56</v>
      </c>
      <c r="J1427">
        <v>406</v>
      </c>
      <c r="K1427" s="5">
        <v>46141.414609027779</v>
      </c>
      <c r="M1427" s="2" t="s">
        <v>1802</v>
      </c>
      <c r="N1427" s="2" t="s">
        <v>1701</v>
      </c>
      <c r="O1427" s="5">
        <v>45791.430516053239</v>
      </c>
      <c r="P1427" t="str">
        <f>IF($Q1427="DELETE",IF($S1427="CONFIRMED: NO MODS &gt; 1YR","CONFIRMED: NO MODS &gt; 1YR","DO NOT DELETE — not defensibly confirmed"),IF($Q1427="HOLD","DO NOT DELETE — HOLD (Charlie review)",IF($Q1427="KEEP","DO NOT DELETE — KEEP",IF(ISNUMBER(SEARCH("REVIEW",$Q1427)),"DO NOT DELETE — REVIEW pending",$S1427))))</f>
        <v>REVIEW</v>
      </c>
      <c r="Q1427" t="str" cm="1">
        <f t="array" ref="Q1427">_xlfn.IFS(AND($A1427="thg-beauty",ISNUMBER(SEARCH("liveramp",$C1427))),"DELETE",$A1427="agile-bonbon-662",_xlfn.IFS(LEFT($G1427,9)="Tranche 1","DELETE",$C1427="Sessions_Level_1_All_Sites","KEEP",ISNUMBER(--$C1427),"REVIEW — UA raw logs",$C1427="Emag_Reporting","KEEP",$C1427="Nutrition_Data_Archived_Tables","KEEP",$C1427="EU_Data","KEEP",TRUE,"REVIEW"),OR($A1427="thg-influencer",$A1427="thg-ingenuity",$A1427="thg-central-marketing",$A1427="thg-seoclarity"),"HOLD",TRUE,"")</f>
        <v/>
      </c>
      <c r="R1427" t="str" cm="1">
        <f t="array" ref="R1427">_xlfn.IFS(AND($A1427="thg-beauty",ISNUMBER(SEARCH("liveramp",$C1427))),"thg-beauty Liveramp dataset — confirmed safe to delete",$A1427="agile-bonbon-662",_xlfn.IFS(LEFT($G1427,9)="Tranche 1","Tranche 1: cleared",$C1427="Sessions_Level_1_All_Sites","Downstream aggregation of UA raw logs — keep if raw tables go",ISNUMBER(--$C1427),"UA raw site logs (account ID) — keep pending audit-retention check",$C1427="Emag_Reporting","Legacy but likely needed",$C1427="Nutrition_Data_Archived_Tables","Worth keeping",$C1427="EU_Data","Static lookup tables — scripts still reference (smoke-test risk)",TRUE,"Review"),OR($A1427="thg-influencer",$A1427="thg-ingenuity",$A1427="thg-central-marketing",$A1427="thg-seoclarity"),"HOLD — Charlie Stringer to review before deletion",TRUE,"")</f>
        <v/>
      </c>
      <c r="S1427" t="s">
        <v>1631</v>
      </c>
    </row>
    <row r="1428" spans="1:19" hidden="1">
      <c r="A1428" t="s">
        <v>90</v>
      </c>
      <c r="B1428" t="s">
        <v>1619</v>
      </c>
      <c r="C1428" t="s">
        <v>3858</v>
      </c>
      <c r="D1428" s="2" t="s">
        <v>1621</v>
      </c>
      <c r="E1428">
        <v>1.48</v>
      </c>
      <c r="F1428">
        <v>0.03</v>
      </c>
      <c r="G1428" t="s">
        <v>72</v>
      </c>
      <c r="H1428" t="s">
        <v>3457</v>
      </c>
      <c r="I1428">
        <v>56</v>
      </c>
      <c r="J1428">
        <v>1965</v>
      </c>
      <c r="K1428" s="5">
        <v>46141.387660057873</v>
      </c>
      <c r="M1428" s="2" t="s">
        <v>1800</v>
      </c>
      <c r="N1428" s="2" t="s">
        <v>1701</v>
      </c>
      <c r="O1428" s="5">
        <v>44231.664849513887</v>
      </c>
      <c r="P1428" t="str">
        <f>IF($Q1428="DELETE",IF($S1428="CONFIRMED: NO MODS &gt; 1YR","CONFIRMED: NO MODS &gt; 1YR","DO NOT DELETE — not defensibly confirmed"),IF($Q1428="HOLD","DO NOT DELETE — HOLD (Charlie review)",IF($Q1428="KEEP","DO NOT DELETE — KEEP",IF(ISNUMBER(SEARCH("REVIEW",$Q1428)),"DO NOT DELETE — REVIEW pending",$S1428))))</f>
        <v>REVIEW</v>
      </c>
      <c r="Q1428" t="str" cm="1">
        <f t="array" ref="Q1428">_xlfn.IFS(AND($A1428="thg-beauty",ISNUMBER(SEARCH("liveramp",$C1428))),"DELETE",$A1428="agile-bonbon-662",_xlfn.IFS(LEFT($G1428,9)="Tranche 1","DELETE",$C1428="Sessions_Level_1_All_Sites","KEEP",ISNUMBER(--$C1428),"REVIEW — UA raw logs",$C1428="Emag_Reporting","KEEP",$C1428="Nutrition_Data_Archived_Tables","KEEP",$C1428="EU_Data","KEEP",TRUE,"REVIEW"),OR($A1428="thg-influencer",$A1428="thg-ingenuity",$A1428="thg-central-marketing",$A1428="thg-seoclarity"),"HOLD",TRUE,"")</f>
        <v/>
      </c>
      <c r="R1428" t="str" cm="1">
        <f t="array" ref="R1428">_xlfn.IFS(AND($A1428="thg-beauty",ISNUMBER(SEARCH("liveramp",$C1428))),"thg-beauty Liveramp dataset — confirmed safe to delete",$A1428="agile-bonbon-662",_xlfn.IFS(LEFT($G1428,9)="Tranche 1","Tranche 1: cleared",$C1428="Sessions_Level_1_All_Sites","Downstream aggregation of UA raw logs — keep if raw tables go",ISNUMBER(--$C1428),"UA raw site logs (account ID) — keep pending audit-retention check",$C1428="Emag_Reporting","Legacy but likely needed",$C1428="Nutrition_Data_Archived_Tables","Worth keeping",$C1428="EU_Data","Static lookup tables — scripts still reference (smoke-test risk)",TRUE,"Review"),OR($A1428="thg-influencer",$A1428="thg-ingenuity",$A1428="thg-central-marketing",$A1428="thg-seoclarity"),"HOLD — Charlie Stringer to review before deletion",TRUE,"")</f>
        <v/>
      </c>
      <c r="S1428" t="s">
        <v>1631</v>
      </c>
    </row>
    <row r="1429" spans="1:19" hidden="1">
      <c r="A1429" t="s">
        <v>91</v>
      </c>
      <c r="B1429" t="s">
        <v>1619</v>
      </c>
      <c r="C1429" t="s">
        <v>3859</v>
      </c>
      <c r="D1429" s="2" t="s">
        <v>1621</v>
      </c>
      <c r="E1429">
        <v>1.35</v>
      </c>
      <c r="F1429">
        <v>0.03</v>
      </c>
      <c r="G1429" t="s">
        <v>72</v>
      </c>
      <c r="H1429" t="s">
        <v>3457</v>
      </c>
      <c r="I1429">
        <v>56</v>
      </c>
      <c r="J1429">
        <v>2157</v>
      </c>
      <c r="K1429" s="5">
        <v>46141.414696203698</v>
      </c>
      <c r="M1429" s="2" t="s">
        <v>1802</v>
      </c>
      <c r="N1429" s="2" t="s">
        <v>1701</v>
      </c>
      <c r="O1429" s="5">
        <v>44039.589073310177</v>
      </c>
      <c r="P1429" t="str">
        <f>IF($Q1429="DELETE",IF($S1429="CONFIRMED: NO MODS &gt; 1YR","CONFIRMED: NO MODS &gt; 1YR","DO NOT DELETE — not defensibly confirmed"),IF($Q1429="HOLD","DO NOT DELETE — HOLD (Charlie review)",IF($Q1429="KEEP","DO NOT DELETE — KEEP",IF(ISNUMBER(SEARCH("REVIEW",$Q1429)),"DO NOT DELETE — REVIEW pending",$S1429))))</f>
        <v>REVIEW</v>
      </c>
      <c r="Q1429" t="str" cm="1">
        <f t="array" ref="Q1429">_xlfn.IFS(AND($A1429="thg-beauty",ISNUMBER(SEARCH("liveramp",$C1429))),"DELETE",$A1429="agile-bonbon-662",_xlfn.IFS(LEFT($G1429,9)="Tranche 1","DELETE",$C1429="Sessions_Level_1_All_Sites","KEEP",ISNUMBER(--$C1429),"REVIEW — UA raw logs",$C1429="Emag_Reporting","KEEP",$C1429="Nutrition_Data_Archived_Tables","KEEP",$C1429="EU_Data","KEEP",TRUE,"REVIEW"),OR($A1429="thg-influencer",$A1429="thg-ingenuity",$A1429="thg-central-marketing",$A1429="thg-seoclarity"),"HOLD",TRUE,"")</f>
        <v/>
      </c>
      <c r="R1429" t="str" cm="1">
        <f t="array" ref="R1429">_xlfn.IFS(AND($A1429="thg-beauty",ISNUMBER(SEARCH("liveramp",$C1429))),"thg-beauty Liveramp dataset — confirmed safe to delete",$A1429="agile-bonbon-662",_xlfn.IFS(LEFT($G1429,9)="Tranche 1","Tranche 1: cleared",$C1429="Sessions_Level_1_All_Sites","Downstream aggregation of UA raw logs — keep if raw tables go",ISNUMBER(--$C1429),"UA raw site logs (account ID) — keep pending audit-retention check",$C1429="Emag_Reporting","Legacy but likely needed",$C1429="Nutrition_Data_Archived_Tables","Worth keeping",$C1429="EU_Data","Static lookup tables — scripts still reference (smoke-test risk)",TRUE,"Review"),OR($A1429="thg-influencer",$A1429="thg-ingenuity",$A1429="thg-central-marketing",$A1429="thg-seoclarity"),"HOLD — Charlie Stringer to review before deletion",TRUE,"")</f>
        <v/>
      </c>
      <c r="S1429" t="s">
        <v>1631</v>
      </c>
    </row>
    <row r="1430" spans="1:19" hidden="1">
      <c r="A1430" t="s">
        <v>90</v>
      </c>
      <c r="B1430" t="s">
        <v>1619</v>
      </c>
      <c r="C1430" t="s">
        <v>3860</v>
      </c>
      <c r="D1430" s="2" t="s">
        <v>1621</v>
      </c>
      <c r="E1430">
        <v>1.1599999999999999</v>
      </c>
      <c r="F1430">
        <v>0.02</v>
      </c>
      <c r="G1430" t="s">
        <v>72</v>
      </c>
      <c r="H1430" t="s">
        <v>3457</v>
      </c>
      <c r="I1430">
        <v>56</v>
      </c>
      <c r="J1430">
        <v>2539</v>
      </c>
      <c r="K1430" s="5">
        <v>46141.388099895827</v>
      </c>
      <c r="M1430" s="2" t="s">
        <v>1800</v>
      </c>
      <c r="N1430" s="2" t="s">
        <v>1701</v>
      </c>
      <c r="O1430" s="5">
        <v>43657.642938553239</v>
      </c>
      <c r="P1430" t="str">
        <f>IF($Q1430="DELETE",IF($S1430="CONFIRMED: NO MODS &gt; 1YR","CONFIRMED: NO MODS &gt; 1YR","DO NOT DELETE — not defensibly confirmed"),IF($Q1430="HOLD","DO NOT DELETE — HOLD (Charlie review)",IF($Q1430="KEEP","DO NOT DELETE — KEEP",IF(ISNUMBER(SEARCH("REVIEW",$Q1430)),"DO NOT DELETE — REVIEW pending",$S1430))))</f>
        <v>REVIEW</v>
      </c>
      <c r="Q1430" t="str" cm="1">
        <f t="array" ref="Q1430">_xlfn.IFS(AND($A1430="thg-beauty",ISNUMBER(SEARCH("liveramp",$C1430))),"DELETE",$A1430="agile-bonbon-662",_xlfn.IFS(LEFT($G1430,9)="Tranche 1","DELETE",$C1430="Sessions_Level_1_All_Sites","KEEP",ISNUMBER(--$C1430),"REVIEW — UA raw logs",$C1430="Emag_Reporting","KEEP",$C1430="Nutrition_Data_Archived_Tables","KEEP",$C1430="EU_Data","KEEP",TRUE,"REVIEW"),OR($A1430="thg-influencer",$A1430="thg-ingenuity",$A1430="thg-central-marketing",$A1430="thg-seoclarity"),"HOLD",TRUE,"")</f>
        <v/>
      </c>
      <c r="R1430" t="str" cm="1">
        <f t="array" ref="R1430">_xlfn.IFS(AND($A1430="thg-beauty",ISNUMBER(SEARCH("liveramp",$C1430))),"thg-beauty Liveramp dataset — confirmed safe to delete",$A1430="agile-bonbon-662",_xlfn.IFS(LEFT($G1430,9)="Tranche 1","Tranche 1: cleared",$C1430="Sessions_Level_1_All_Sites","Downstream aggregation of UA raw logs — keep if raw tables go",ISNUMBER(--$C1430),"UA raw site logs (account ID) — keep pending audit-retention check",$C1430="Emag_Reporting","Legacy but likely needed",$C1430="Nutrition_Data_Archived_Tables","Worth keeping",$C1430="EU_Data","Static lookup tables — scripts still reference (smoke-test risk)",TRUE,"Review"),OR($A1430="thg-influencer",$A1430="thg-ingenuity",$A1430="thg-central-marketing",$A1430="thg-seoclarity"),"HOLD — Charlie Stringer to review before deletion",TRUE,"")</f>
        <v/>
      </c>
      <c r="S1430" t="s">
        <v>1631</v>
      </c>
    </row>
    <row r="1431" spans="1:19" hidden="1">
      <c r="A1431" t="s">
        <v>90</v>
      </c>
      <c r="B1431" t="s">
        <v>1619</v>
      </c>
      <c r="C1431" t="s">
        <v>3861</v>
      </c>
      <c r="D1431" s="2" t="s">
        <v>1621</v>
      </c>
      <c r="E1431">
        <v>1.1000000000000001</v>
      </c>
      <c r="F1431">
        <v>0.02</v>
      </c>
      <c r="G1431" t="s">
        <v>72</v>
      </c>
      <c r="H1431" t="s">
        <v>3457</v>
      </c>
      <c r="I1431">
        <v>56</v>
      </c>
      <c r="J1431">
        <v>1965</v>
      </c>
      <c r="K1431" s="5">
        <v>46141.387612893523</v>
      </c>
      <c r="M1431" s="2" t="s">
        <v>1800</v>
      </c>
      <c r="N1431" s="2" t="s">
        <v>1701</v>
      </c>
      <c r="O1431" s="5">
        <v>44231.653063368052</v>
      </c>
      <c r="P1431" t="str">
        <f>IF($Q1431="DELETE",IF($S1431="CONFIRMED: NO MODS &gt; 1YR","CONFIRMED: NO MODS &gt; 1YR","DO NOT DELETE — not defensibly confirmed"),IF($Q1431="HOLD","DO NOT DELETE — HOLD (Charlie review)",IF($Q1431="KEEP","DO NOT DELETE — KEEP",IF(ISNUMBER(SEARCH("REVIEW",$Q1431)),"DO NOT DELETE — REVIEW pending",$S1431))))</f>
        <v>REVIEW</v>
      </c>
      <c r="Q1431" t="str" cm="1">
        <f t="array" ref="Q1431">_xlfn.IFS(AND($A1431="thg-beauty",ISNUMBER(SEARCH("liveramp",$C1431))),"DELETE",$A1431="agile-bonbon-662",_xlfn.IFS(LEFT($G1431,9)="Tranche 1","DELETE",$C1431="Sessions_Level_1_All_Sites","KEEP",ISNUMBER(--$C1431),"REVIEW — UA raw logs",$C1431="Emag_Reporting","KEEP",$C1431="Nutrition_Data_Archived_Tables","KEEP",$C1431="EU_Data","KEEP",TRUE,"REVIEW"),OR($A1431="thg-influencer",$A1431="thg-ingenuity",$A1431="thg-central-marketing",$A1431="thg-seoclarity"),"HOLD",TRUE,"")</f>
        <v/>
      </c>
      <c r="R1431" t="str" cm="1">
        <f t="array" ref="R1431">_xlfn.IFS(AND($A1431="thg-beauty",ISNUMBER(SEARCH("liveramp",$C1431))),"thg-beauty Liveramp dataset — confirmed safe to delete",$A1431="agile-bonbon-662",_xlfn.IFS(LEFT($G1431,9)="Tranche 1","Tranche 1: cleared",$C1431="Sessions_Level_1_All_Sites","Downstream aggregation of UA raw logs — keep if raw tables go",ISNUMBER(--$C1431),"UA raw site logs (account ID) — keep pending audit-retention check",$C1431="Emag_Reporting","Legacy but likely needed",$C1431="Nutrition_Data_Archived_Tables","Worth keeping",$C1431="EU_Data","Static lookup tables — scripts still reference (smoke-test risk)",TRUE,"Review"),OR($A1431="thg-influencer",$A1431="thg-ingenuity",$A1431="thg-central-marketing",$A1431="thg-seoclarity"),"HOLD — Charlie Stringer to review before deletion",TRUE,"")</f>
        <v/>
      </c>
      <c r="S1431" t="s">
        <v>1631</v>
      </c>
    </row>
    <row r="1432" spans="1:19" hidden="1">
      <c r="A1432" t="s">
        <v>90</v>
      </c>
      <c r="B1432" t="s">
        <v>1619</v>
      </c>
      <c r="C1432" t="s">
        <v>3862</v>
      </c>
      <c r="D1432" s="2" t="s">
        <v>1621</v>
      </c>
      <c r="E1432">
        <v>0.69</v>
      </c>
      <c r="F1432">
        <v>0.01</v>
      </c>
      <c r="G1432" t="s">
        <v>72</v>
      </c>
      <c r="H1432" t="s">
        <v>3457</v>
      </c>
      <c r="I1432">
        <v>56</v>
      </c>
      <c r="J1432">
        <v>379</v>
      </c>
      <c r="K1432" s="5">
        <v>46141.387461053237</v>
      </c>
      <c r="M1432" s="2" t="s">
        <v>1807</v>
      </c>
      <c r="N1432" s="2" t="s">
        <v>1701</v>
      </c>
      <c r="O1432" s="5">
        <v>45817.639210914349</v>
      </c>
      <c r="P1432" t="str">
        <f>IF($Q1432="DELETE",IF($S1432="CONFIRMED: NO MODS &gt; 1YR","CONFIRMED: NO MODS &gt; 1YR","DO NOT DELETE — not defensibly confirmed"),IF($Q1432="HOLD","DO NOT DELETE — HOLD (Charlie review)",IF($Q1432="KEEP","DO NOT DELETE — KEEP",IF(ISNUMBER(SEARCH("REVIEW",$Q1432)),"DO NOT DELETE — REVIEW pending",$S1432))))</f>
        <v>REVIEW</v>
      </c>
      <c r="Q1432" t="str" cm="1">
        <f t="array" ref="Q1432">_xlfn.IFS(AND($A1432="thg-beauty",ISNUMBER(SEARCH("liveramp",$C1432))),"DELETE",$A1432="agile-bonbon-662",_xlfn.IFS(LEFT($G1432,9)="Tranche 1","DELETE",$C1432="Sessions_Level_1_All_Sites","KEEP",ISNUMBER(--$C1432),"REVIEW — UA raw logs",$C1432="Emag_Reporting","KEEP",$C1432="Nutrition_Data_Archived_Tables","KEEP",$C1432="EU_Data","KEEP",TRUE,"REVIEW"),OR($A1432="thg-influencer",$A1432="thg-ingenuity",$A1432="thg-central-marketing",$A1432="thg-seoclarity"),"HOLD",TRUE,"")</f>
        <v/>
      </c>
      <c r="R1432" t="str" cm="1">
        <f t="array" ref="R1432">_xlfn.IFS(AND($A1432="thg-beauty",ISNUMBER(SEARCH("liveramp",$C1432))),"thg-beauty Liveramp dataset — confirmed safe to delete",$A1432="agile-bonbon-662",_xlfn.IFS(LEFT($G1432,9)="Tranche 1","Tranche 1: cleared",$C1432="Sessions_Level_1_All_Sites","Downstream aggregation of UA raw logs — keep if raw tables go",ISNUMBER(--$C1432),"UA raw site logs (account ID) — keep pending audit-retention check",$C1432="Emag_Reporting","Legacy but likely needed",$C1432="Nutrition_Data_Archived_Tables","Worth keeping",$C1432="EU_Data","Static lookup tables — scripts still reference (smoke-test risk)",TRUE,"Review"),OR($A1432="thg-influencer",$A1432="thg-ingenuity",$A1432="thg-central-marketing",$A1432="thg-seoclarity"),"HOLD — Charlie Stringer to review before deletion",TRUE,"")</f>
        <v/>
      </c>
      <c r="S1432" t="s">
        <v>1631</v>
      </c>
    </row>
    <row r="1433" spans="1:19" hidden="1">
      <c r="A1433" t="s">
        <v>90</v>
      </c>
      <c r="B1433" t="s">
        <v>1619</v>
      </c>
      <c r="C1433" t="s">
        <v>3863</v>
      </c>
      <c r="D1433" s="2" t="s">
        <v>1621</v>
      </c>
      <c r="E1433">
        <v>0.62</v>
      </c>
      <c r="F1433">
        <v>0.01</v>
      </c>
      <c r="G1433" t="s">
        <v>72</v>
      </c>
      <c r="H1433" t="s">
        <v>3457</v>
      </c>
      <c r="I1433">
        <v>56</v>
      </c>
      <c r="J1433">
        <v>1960</v>
      </c>
      <c r="K1433" s="5">
        <v>46141.387560555559</v>
      </c>
      <c r="M1433" s="2" t="s">
        <v>1800</v>
      </c>
      <c r="N1433" s="2" t="s">
        <v>1701</v>
      </c>
      <c r="O1433" s="5">
        <v>44236.47954847222</v>
      </c>
      <c r="P1433" t="str">
        <f>IF($Q1433="DELETE",IF($S1433="CONFIRMED: NO MODS &gt; 1YR","CONFIRMED: NO MODS &gt; 1YR","DO NOT DELETE — not defensibly confirmed"),IF($Q1433="HOLD","DO NOT DELETE — HOLD (Charlie review)",IF($Q1433="KEEP","DO NOT DELETE — KEEP",IF(ISNUMBER(SEARCH("REVIEW",$Q1433)),"DO NOT DELETE — REVIEW pending",$S1433))))</f>
        <v>REVIEW</v>
      </c>
      <c r="Q1433" t="str" cm="1">
        <f t="array" ref="Q1433">_xlfn.IFS(AND($A1433="thg-beauty",ISNUMBER(SEARCH("liveramp",$C1433))),"DELETE",$A1433="agile-bonbon-662",_xlfn.IFS(LEFT($G1433,9)="Tranche 1","DELETE",$C1433="Sessions_Level_1_All_Sites","KEEP",ISNUMBER(--$C1433),"REVIEW — UA raw logs",$C1433="Emag_Reporting","KEEP",$C1433="Nutrition_Data_Archived_Tables","KEEP",$C1433="EU_Data","KEEP",TRUE,"REVIEW"),OR($A1433="thg-influencer",$A1433="thg-ingenuity",$A1433="thg-central-marketing",$A1433="thg-seoclarity"),"HOLD",TRUE,"")</f>
        <v/>
      </c>
      <c r="R1433" t="str" cm="1">
        <f t="array" ref="R1433">_xlfn.IFS(AND($A1433="thg-beauty",ISNUMBER(SEARCH("liveramp",$C1433))),"thg-beauty Liveramp dataset — confirmed safe to delete",$A1433="agile-bonbon-662",_xlfn.IFS(LEFT($G1433,9)="Tranche 1","Tranche 1: cleared",$C1433="Sessions_Level_1_All_Sites","Downstream aggregation of UA raw logs — keep if raw tables go",ISNUMBER(--$C1433),"UA raw site logs (account ID) — keep pending audit-retention check",$C1433="Emag_Reporting","Legacy but likely needed",$C1433="Nutrition_Data_Archived_Tables","Worth keeping",$C1433="EU_Data","Static lookup tables — scripts still reference (smoke-test risk)",TRUE,"Review"),OR($A1433="thg-influencer",$A1433="thg-ingenuity",$A1433="thg-central-marketing",$A1433="thg-seoclarity"),"HOLD — Charlie Stringer to review before deletion",TRUE,"")</f>
        <v/>
      </c>
      <c r="S1433" t="s">
        <v>1631</v>
      </c>
    </row>
    <row r="1434" spans="1:19" hidden="1">
      <c r="A1434" t="s">
        <v>90</v>
      </c>
      <c r="B1434" t="s">
        <v>1619</v>
      </c>
      <c r="C1434" t="s">
        <v>3864</v>
      </c>
      <c r="D1434" s="2" t="s">
        <v>1621</v>
      </c>
      <c r="E1434">
        <v>0.62</v>
      </c>
      <c r="F1434">
        <v>0.01</v>
      </c>
      <c r="G1434" t="s">
        <v>72</v>
      </c>
      <c r="H1434" t="s">
        <v>3457</v>
      </c>
      <c r="I1434">
        <v>56</v>
      </c>
      <c r="J1434">
        <v>1965</v>
      </c>
      <c r="K1434" s="5">
        <v>46141.387560451389</v>
      </c>
      <c r="M1434" s="2" t="s">
        <v>1800</v>
      </c>
      <c r="N1434" s="2" t="s">
        <v>1701</v>
      </c>
      <c r="O1434" s="5">
        <v>44231.602630960653</v>
      </c>
      <c r="P1434" t="str">
        <f>IF($Q1434="DELETE",IF($S1434="CONFIRMED: NO MODS &gt; 1YR","CONFIRMED: NO MODS &gt; 1YR","DO NOT DELETE — not defensibly confirmed"),IF($Q1434="HOLD","DO NOT DELETE — HOLD (Charlie review)",IF($Q1434="KEEP","DO NOT DELETE — KEEP",IF(ISNUMBER(SEARCH("REVIEW",$Q1434)),"DO NOT DELETE — REVIEW pending",$S1434))))</f>
        <v>REVIEW</v>
      </c>
      <c r="Q1434" t="str" cm="1">
        <f t="array" ref="Q1434">_xlfn.IFS(AND($A1434="thg-beauty",ISNUMBER(SEARCH("liveramp",$C1434))),"DELETE",$A1434="agile-bonbon-662",_xlfn.IFS(LEFT($G1434,9)="Tranche 1","DELETE",$C1434="Sessions_Level_1_All_Sites","KEEP",ISNUMBER(--$C1434),"REVIEW — UA raw logs",$C1434="Emag_Reporting","KEEP",$C1434="Nutrition_Data_Archived_Tables","KEEP",$C1434="EU_Data","KEEP",TRUE,"REVIEW"),OR($A1434="thg-influencer",$A1434="thg-ingenuity",$A1434="thg-central-marketing",$A1434="thg-seoclarity"),"HOLD",TRUE,"")</f>
        <v/>
      </c>
      <c r="R1434" t="str" cm="1">
        <f t="array" ref="R1434">_xlfn.IFS(AND($A1434="thg-beauty",ISNUMBER(SEARCH("liveramp",$C1434))),"thg-beauty Liveramp dataset — confirmed safe to delete",$A1434="agile-bonbon-662",_xlfn.IFS(LEFT($G1434,9)="Tranche 1","Tranche 1: cleared",$C1434="Sessions_Level_1_All_Sites","Downstream aggregation of UA raw logs — keep if raw tables go",ISNUMBER(--$C1434),"UA raw site logs (account ID) — keep pending audit-retention check",$C1434="Emag_Reporting","Legacy but likely needed",$C1434="Nutrition_Data_Archived_Tables","Worth keeping",$C1434="EU_Data","Static lookup tables — scripts still reference (smoke-test risk)",TRUE,"Review"),OR($A1434="thg-influencer",$A1434="thg-ingenuity",$A1434="thg-central-marketing",$A1434="thg-seoclarity"),"HOLD — Charlie Stringer to review before deletion",TRUE,"")</f>
        <v/>
      </c>
      <c r="S1434" t="s">
        <v>1631</v>
      </c>
    </row>
    <row r="1435" spans="1:19" hidden="1">
      <c r="A1435" t="s">
        <v>90</v>
      </c>
      <c r="B1435" t="s">
        <v>1619</v>
      </c>
      <c r="C1435" t="s">
        <v>3865</v>
      </c>
      <c r="D1435" s="2" t="s">
        <v>1621</v>
      </c>
      <c r="E1435">
        <v>0.46</v>
      </c>
      <c r="F1435">
        <v>0.01</v>
      </c>
      <c r="G1435" t="s">
        <v>72</v>
      </c>
      <c r="H1435" t="s">
        <v>3457</v>
      </c>
      <c r="I1435">
        <v>56</v>
      </c>
      <c r="J1435">
        <v>1965</v>
      </c>
      <c r="K1435" s="5">
        <v>46141.387610347221</v>
      </c>
      <c r="M1435" s="2" t="s">
        <v>1800</v>
      </c>
      <c r="N1435" s="2" t="s">
        <v>1701</v>
      </c>
      <c r="O1435" s="5">
        <v>44231.653292488423</v>
      </c>
      <c r="P1435" t="str">
        <f>IF($Q1435="DELETE",IF($S1435="CONFIRMED: NO MODS &gt; 1YR","CONFIRMED: NO MODS &gt; 1YR","DO NOT DELETE — not defensibly confirmed"),IF($Q1435="HOLD","DO NOT DELETE — HOLD (Charlie review)",IF($Q1435="KEEP","DO NOT DELETE — KEEP",IF(ISNUMBER(SEARCH("REVIEW",$Q1435)),"DO NOT DELETE — REVIEW pending",$S1435))))</f>
        <v>REVIEW</v>
      </c>
      <c r="Q1435" t="str" cm="1">
        <f t="array" ref="Q1435">_xlfn.IFS(AND($A1435="thg-beauty",ISNUMBER(SEARCH("liveramp",$C1435))),"DELETE",$A1435="agile-bonbon-662",_xlfn.IFS(LEFT($G1435,9)="Tranche 1","DELETE",$C1435="Sessions_Level_1_All_Sites","KEEP",ISNUMBER(--$C1435),"REVIEW — UA raw logs",$C1435="Emag_Reporting","KEEP",$C1435="Nutrition_Data_Archived_Tables","KEEP",$C1435="EU_Data","KEEP",TRUE,"REVIEW"),OR($A1435="thg-influencer",$A1435="thg-ingenuity",$A1435="thg-central-marketing",$A1435="thg-seoclarity"),"HOLD",TRUE,"")</f>
        <v/>
      </c>
      <c r="R1435" t="str" cm="1">
        <f t="array" ref="R1435">_xlfn.IFS(AND($A1435="thg-beauty",ISNUMBER(SEARCH("liveramp",$C1435))),"thg-beauty Liveramp dataset — confirmed safe to delete",$A1435="agile-bonbon-662",_xlfn.IFS(LEFT($G1435,9)="Tranche 1","Tranche 1: cleared",$C1435="Sessions_Level_1_All_Sites","Downstream aggregation of UA raw logs — keep if raw tables go",ISNUMBER(--$C1435),"UA raw site logs (account ID) — keep pending audit-retention check",$C1435="Emag_Reporting","Legacy but likely needed",$C1435="Nutrition_Data_Archived_Tables","Worth keeping",$C1435="EU_Data","Static lookup tables — scripts still reference (smoke-test risk)",TRUE,"Review"),OR($A1435="thg-influencer",$A1435="thg-ingenuity",$A1435="thg-central-marketing",$A1435="thg-seoclarity"),"HOLD — Charlie Stringer to review before deletion",TRUE,"")</f>
        <v/>
      </c>
      <c r="S1435" t="s">
        <v>1631</v>
      </c>
    </row>
    <row r="1436" spans="1:19" hidden="1">
      <c r="A1436" t="s">
        <v>90</v>
      </c>
      <c r="B1436" t="s">
        <v>1724</v>
      </c>
      <c r="C1436" t="s">
        <v>3866</v>
      </c>
      <c r="D1436" s="2" t="s">
        <v>1621</v>
      </c>
      <c r="E1436">
        <v>0.45</v>
      </c>
      <c r="F1436">
        <v>0.01</v>
      </c>
      <c r="G1436" t="s">
        <v>72</v>
      </c>
      <c r="H1436" t="s">
        <v>3457</v>
      </c>
      <c r="I1436">
        <v>56</v>
      </c>
      <c r="J1436">
        <v>376</v>
      </c>
      <c r="K1436" s="5">
        <v>46141.387968657407</v>
      </c>
      <c r="M1436" s="2" t="s">
        <v>1800</v>
      </c>
      <c r="N1436" s="2" t="s">
        <v>1701</v>
      </c>
      <c r="O1436" s="5">
        <v>45821.423251053238</v>
      </c>
      <c r="P1436" t="str">
        <f>IF($Q1436="DELETE",IF($S1436="CONFIRMED: NO MODS &gt; 1YR","CONFIRMED: NO MODS &gt; 1YR","DO NOT DELETE — not defensibly confirmed"),IF($Q1436="HOLD","DO NOT DELETE — HOLD (Charlie review)",IF($Q1436="KEEP","DO NOT DELETE — KEEP",IF(ISNUMBER(SEARCH("REVIEW",$Q1436)),"DO NOT DELETE — REVIEW pending",$S1436))))</f>
        <v>REVIEW</v>
      </c>
      <c r="Q1436" t="str" cm="1">
        <f t="array" ref="Q1436">_xlfn.IFS(AND($A1436="thg-beauty",ISNUMBER(SEARCH("liveramp",$C1436))),"DELETE",$A1436="agile-bonbon-662",_xlfn.IFS(LEFT($G1436,9)="Tranche 1","DELETE",$C1436="Sessions_Level_1_All_Sites","KEEP",ISNUMBER(--$C1436),"REVIEW — UA raw logs",$C1436="Emag_Reporting","KEEP",$C1436="Nutrition_Data_Archived_Tables","KEEP",$C1436="EU_Data","KEEP",TRUE,"REVIEW"),OR($A1436="thg-influencer",$A1436="thg-ingenuity",$A1436="thg-central-marketing",$A1436="thg-seoclarity"),"HOLD",TRUE,"")</f>
        <v/>
      </c>
      <c r="R1436" t="str" cm="1">
        <f t="array" ref="R1436">_xlfn.IFS(AND($A1436="thg-beauty",ISNUMBER(SEARCH("liveramp",$C1436))),"thg-beauty Liveramp dataset — confirmed safe to delete",$A1436="agile-bonbon-662",_xlfn.IFS(LEFT($G1436,9)="Tranche 1","Tranche 1: cleared",$C1436="Sessions_Level_1_All_Sites","Downstream aggregation of UA raw logs — keep if raw tables go",ISNUMBER(--$C1436),"UA raw site logs (account ID) — keep pending audit-retention check",$C1436="Emag_Reporting","Legacy but likely needed",$C1436="Nutrition_Data_Archived_Tables","Worth keeping",$C1436="EU_Data","Static lookup tables — scripts still reference (smoke-test risk)",TRUE,"Review"),OR($A1436="thg-influencer",$A1436="thg-ingenuity",$A1436="thg-central-marketing",$A1436="thg-seoclarity"),"HOLD — Charlie Stringer to review before deletion",TRUE,"")</f>
        <v/>
      </c>
      <c r="S1436" t="s">
        <v>1631</v>
      </c>
    </row>
    <row r="1437" spans="1:19" hidden="1">
      <c r="A1437" t="s">
        <v>90</v>
      </c>
      <c r="B1437" t="s">
        <v>1619</v>
      </c>
      <c r="C1437" t="s">
        <v>3867</v>
      </c>
      <c r="D1437" s="2" t="s">
        <v>1621</v>
      </c>
      <c r="E1437">
        <v>0.24</v>
      </c>
      <c r="F1437">
        <v>0</v>
      </c>
      <c r="G1437" t="s">
        <v>72</v>
      </c>
      <c r="H1437" t="s">
        <v>3457</v>
      </c>
      <c r="I1437">
        <v>56</v>
      </c>
      <c r="J1437">
        <v>1965</v>
      </c>
      <c r="K1437" s="5">
        <v>46141.387507731481</v>
      </c>
      <c r="M1437" s="2" t="s">
        <v>1800</v>
      </c>
      <c r="N1437" s="2" t="s">
        <v>1701</v>
      </c>
      <c r="O1437" s="5">
        <v>44231.602232407407</v>
      </c>
      <c r="P1437" t="str">
        <f>IF($Q1437="DELETE",IF($S1437="CONFIRMED: NO MODS &gt; 1YR","CONFIRMED: NO MODS &gt; 1YR","DO NOT DELETE — not defensibly confirmed"),IF($Q1437="HOLD","DO NOT DELETE — HOLD (Charlie review)",IF($Q1437="KEEP","DO NOT DELETE — KEEP",IF(ISNUMBER(SEARCH("REVIEW",$Q1437)),"DO NOT DELETE — REVIEW pending",$S1437))))</f>
        <v>REVIEW</v>
      </c>
      <c r="Q1437" t="str" cm="1">
        <f t="array" ref="Q1437">_xlfn.IFS(AND($A1437="thg-beauty",ISNUMBER(SEARCH("liveramp",$C1437))),"DELETE",$A1437="agile-bonbon-662",_xlfn.IFS(LEFT($G1437,9)="Tranche 1","DELETE",$C1437="Sessions_Level_1_All_Sites","KEEP",ISNUMBER(--$C1437),"REVIEW — UA raw logs",$C1437="Emag_Reporting","KEEP",$C1437="Nutrition_Data_Archived_Tables","KEEP",$C1437="EU_Data","KEEP",TRUE,"REVIEW"),OR($A1437="thg-influencer",$A1437="thg-ingenuity",$A1437="thg-central-marketing",$A1437="thg-seoclarity"),"HOLD",TRUE,"")</f>
        <v/>
      </c>
      <c r="R1437" t="str" cm="1">
        <f t="array" ref="R1437">_xlfn.IFS(AND($A1437="thg-beauty",ISNUMBER(SEARCH("liveramp",$C1437))),"thg-beauty Liveramp dataset — confirmed safe to delete",$A1437="agile-bonbon-662",_xlfn.IFS(LEFT($G1437,9)="Tranche 1","Tranche 1: cleared",$C1437="Sessions_Level_1_All_Sites","Downstream aggregation of UA raw logs — keep if raw tables go",ISNUMBER(--$C1437),"UA raw site logs (account ID) — keep pending audit-retention check",$C1437="Emag_Reporting","Legacy but likely needed",$C1437="Nutrition_Data_Archived_Tables","Worth keeping",$C1437="EU_Data","Static lookup tables — scripts still reference (smoke-test risk)",TRUE,"Review"),OR($A1437="thg-influencer",$A1437="thg-ingenuity",$A1437="thg-central-marketing",$A1437="thg-seoclarity"),"HOLD — Charlie Stringer to review before deletion",TRUE,"")</f>
        <v/>
      </c>
      <c r="S1437" t="s">
        <v>1631</v>
      </c>
    </row>
    <row r="1438" spans="1:19" hidden="1">
      <c r="A1438" t="s">
        <v>90</v>
      </c>
      <c r="B1438" t="s">
        <v>1619</v>
      </c>
      <c r="C1438" t="s">
        <v>3868</v>
      </c>
      <c r="D1438" s="2" t="s">
        <v>1621</v>
      </c>
      <c r="E1438">
        <v>0.22</v>
      </c>
      <c r="F1438">
        <v>0</v>
      </c>
      <c r="G1438" t="s">
        <v>72</v>
      </c>
      <c r="H1438" t="s">
        <v>3457</v>
      </c>
      <c r="I1438">
        <v>56</v>
      </c>
      <c r="J1438">
        <v>1259</v>
      </c>
      <c r="K1438" s="5">
        <v>46141.388011724543</v>
      </c>
      <c r="M1438" s="2" t="s">
        <v>1800</v>
      </c>
      <c r="N1438" s="2" t="s">
        <v>1701</v>
      </c>
      <c r="O1438" s="5">
        <v>44937.843946053239</v>
      </c>
      <c r="P1438" t="str">
        <f>IF($Q1438="DELETE",IF($S1438="CONFIRMED: NO MODS &gt; 1YR","CONFIRMED: NO MODS &gt; 1YR","DO NOT DELETE — not defensibly confirmed"),IF($Q1438="HOLD","DO NOT DELETE — HOLD (Charlie review)",IF($Q1438="KEEP","DO NOT DELETE — KEEP",IF(ISNUMBER(SEARCH("REVIEW",$Q1438)),"DO NOT DELETE — REVIEW pending",$S1438))))</f>
        <v>REVIEW</v>
      </c>
      <c r="Q1438" t="str" cm="1">
        <f t="array" ref="Q1438">_xlfn.IFS(AND($A1438="thg-beauty",ISNUMBER(SEARCH("liveramp",$C1438))),"DELETE",$A1438="agile-bonbon-662",_xlfn.IFS(LEFT($G1438,9)="Tranche 1","DELETE",$C1438="Sessions_Level_1_All_Sites","KEEP",ISNUMBER(--$C1438),"REVIEW — UA raw logs",$C1438="Emag_Reporting","KEEP",$C1438="Nutrition_Data_Archived_Tables","KEEP",$C1438="EU_Data","KEEP",TRUE,"REVIEW"),OR($A1438="thg-influencer",$A1438="thg-ingenuity",$A1438="thg-central-marketing",$A1438="thg-seoclarity"),"HOLD",TRUE,"")</f>
        <v/>
      </c>
      <c r="R1438" t="str" cm="1">
        <f t="array" ref="R1438">_xlfn.IFS(AND($A1438="thg-beauty",ISNUMBER(SEARCH("liveramp",$C1438))),"thg-beauty Liveramp dataset — confirmed safe to delete",$A1438="agile-bonbon-662",_xlfn.IFS(LEFT($G1438,9)="Tranche 1","Tranche 1: cleared",$C1438="Sessions_Level_1_All_Sites","Downstream aggregation of UA raw logs — keep if raw tables go",ISNUMBER(--$C1438),"UA raw site logs (account ID) — keep pending audit-retention check",$C1438="Emag_Reporting","Legacy but likely needed",$C1438="Nutrition_Data_Archived_Tables","Worth keeping",$C1438="EU_Data","Static lookup tables — scripts still reference (smoke-test risk)",TRUE,"Review"),OR($A1438="thg-influencer",$A1438="thg-ingenuity",$A1438="thg-central-marketing",$A1438="thg-seoclarity"),"HOLD — Charlie Stringer to review before deletion",TRUE,"")</f>
        <v/>
      </c>
      <c r="S1438" t="s">
        <v>1631</v>
      </c>
    </row>
    <row r="1439" spans="1:19" hidden="1">
      <c r="A1439" t="s">
        <v>90</v>
      </c>
      <c r="B1439" t="s">
        <v>1619</v>
      </c>
      <c r="C1439" t="s">
        <v>3869</v>
      </c>
      <c r="D1439" s="2" t="s">
        <v>1621</v>
      </c>
      <c r="E1439">
        <v>0.12</v>
      </c>
      <c r="F1439">
        <v>0</v>
      </c>
      <c r="G1439" t="s">
        <v>72</v>
      </c>
      <c r="H1439" t="s">
        <v>3457</v>
      </c>
      <c r="I1439">
        <v>56</v>
      </c>
      <c r="J1439">
        <v>1965</v>
      </c>
      <c r="K1439" s="5">
        <v>46141.387610972219</v>
      </c>
      <c r="M1439" s="2" t="s">
        <v>1800</v>
      </c>
      <c r="N1439" s="2" t="s">
        <v>1701</v>
      </c>
      <c r="O1439" s="5">
        <v>44231.652613587961</v>
      </c>
      <c r="P1439" t="str">
        <f>IF($Q1439="DELETE",IF($S1439="CONFIRMED: NO MODS &gt; 1YR","CONFIRMED: NO MODS &gt; 1YR","DO NOT DELETE — not defensibly confirmed"),IF($Q1439="HOLD","DO NOT DELETE — HOLD (Charlie review)",IF($Q1439="KEEP","DO NOT DELETE — KEEP",IF(ISNUMBER(SEARCH("REVIEW",$Q1439)),"DO NOT DELETE — REVIEW pending",$S1439))))</f>
        <v>REVIEW</v>
      </c>
      <c r="Q1439" t="str" cm="1">
        <f t="array" ref="Q1439">_xlfn.IFS(AND($A1439="thg-beauty",ISNUMBER(SEARCH("liveramp",$C1439))),"DELETE",$A1439="agile-bonbon-662",_xlfn.IFS(LEFT($G1439,9)="Tranche 1","DELETE",$C1439="Sessions_Level_1_All_Sites","KEEP",ISNUMBER(--$C1439),"REVIEW — UA raw logs",$C1439="Emag_Reporting","KEEP",$C1439="Nutrition_Data_Archived_Tables","KEEP",$C1439="EU_Data","KEEP",TRUE,"REVIEW"),OR($A1439="thg-influencer",$A1439="thg-ingenuity",$A1439="thg-central-marketing",$A1439="thg-seoclarity"),"HOLD",TRUE,"")</f>
        <v/>
      </c>
      <c r="R1439" t="str" cm="1">
        <f t="array" ref="R1439">_xlfn.IFS(AND($A1439="thg-beauty",ISNUMBER(SEARCH("liveramp",$C1439))),"thg-beauty Liveramp dataset — confirmed safe to delete",$A1439="agile-bonbon-662",_xlfn.IFS(LEFT($G1439,9)="Tranche 1","Tranche 1: cleared",$C1439="Sessions_Level_1_All_Sites","Downstream aggregation of UA raw logs — keep if raw tables go",ISNUMBER(--$C1439),"UA raw site logs (account ID) — keep pending audit-retention check",$C1439="Emag_Reporting","Legacy but likely needed",$C1439="Nutrition_Data_Archived_Tables","Worth keeping",$C1439="EU_Data","Static lookup tables — scripts still reference (smoke-test risk)",TRUE,"Review"),OR($A1439="thg-influencer",$A1439="thg-ingenuity",$A1439="thg-central-marketing",$A1439="thg-seoclarity"),"HOLD — Charlie Stringer to review before deletion",TRUE,"")</f>
        <v/>
      </c>
      <c r="S1439" t="s">
        <v>1631</v>
      </c>
    </row>
    <row r="1440" spans="1:19" hidden="1">
      <c r="A1440" t="s">
        <v>90</v>
      </c>
      <c r="B1440" t="s">
        <v>1619</v>
      </c>
      <c r="C1440" t="s">
        <v>3870</v>
      </c>
      <c r="D1440" s="2" t="s">
        <v>1621</v>
      </c>
      <c r="E1440">
        <v>0.12</v>
      </c>
      <c r="F1440">
        <v>0</v>
      </c>
      <c r="G1440" t="s">
        <v>72</v>
      </c>
      <c r="H1440" t="s">
        <v>3457</v>
      </c>
      <c r="I1440">
        <v>56</v>
      </c>
      <c r="J1440">
        <v>1965</v>
      </c>
      <c r="K1440" s="5">
        <v>46141.387507939813</v>
      </c>
      <c r="M1440" s="2" t="s">
        <v>1800</v>
      </c>
      <c r="N1440" s="2" t="s">
        <v>1701</v>
      </c>
      <c r="O1440" s="5">
        <v>44231.602406840277</v>
      </c>
      <c r="P1440" t="str">
        <f>IF($Q1440="DELETE",IF($S1440="CONFIRMED: NO MODS &gt; 1YR","CONFIRMED: NO MODS &gt; 1YR","DO NOT DELETE — not defensibly confirmed"),IF($Q1440="HOLD","DO NOT DELETE — HOLD (Charlie review)",IF($Q1440="KEEP","DO NOT DELETE — KEEP",IF(ISNUMBER(SEARCH("REVIEW",$Q1440)),"DO NOT DELETE — REVIEW pending",$S1440))))</f>
        <v>REVIEW</v>
      </c>
      <c r="Q1440" t="str" cm="1">
        <f t="array" ref="Q1440">_xlfn.IFS(AND($A1440="thg-beauty",ISNUMBER(SEARCH("liveramp",$C1440))),"DELETE",$A1440="agile-bonbon-662",_xlfn.IFS(LEFT($G1440,9)="Tranche 1","DELETE",$C1440="Sessions_Level_1_All_Sites","KEEP",ISNUMBER(--$C1440),"REVIEW — UA raw logs",$C1440="Emag_Reporting","KEEP",$C1440="Nutrition_Data_Archived_Tables","KEEP",$C1440="EU_Data","KEEP",TRUE,"REVIEW"),OR($A1440="thg-influencer",$A1440="thg-ingenuity",$A1440="thg-central-marketing",$A1440="thg-seoclarity"),"HOLD",TRUE,"")</f>
        <v/>
      </c>
      <c r="R1440" t="str" cm="1">
        <f t="array" ref="R1440">_xlfn.IFS(AND($A1440="thg-beauty",ISNUMBER(SEARCH("liveramp",$C1440))),"thg-beauty Liveramp dataset — confirmed safe to delete",$A1440="agile-bonbon-662",_xlfn.IFS(LEFT($G1440,9)="Tranche 1","Tranche 1: cleared",$C1440="Sessions_Level_1_All_Sites","Downstream aggregation of UA raw logs — keep if raw tables go",ISNUMBER(--$C1440),"UA raw site logs (account ID) — keep pending audit-retention check",$C1440="Emag_Reporting","Legacy but likely needed",$C1440="Nutrition_Data_Archived_Tables","Worth keeping",$C1440="EU_Data","Static lookup tables — scripts still reference (smoke-test risk)",TRUE,"Review"),OR($A1440="thg-influencer",$A1440="thg-ingenuity",$A1440="thg-central-marketing",$A1440="thg-seoclarity"),"HOLD — Charlie Stringer to review before deletion",TRUE,"")</f>
        <v/>
      </c>
      <c r="S1440" t="s">
        <v>1631</v>
      </c>
    </row>
    <row r="1441" spans="1:19" hidden="1">
      <c r="A1441" t="s">
        <v>91</v>
      </c>
      <c r="B1441" t="s">
        <v>1619</v>
      </c>
      <c r="C1441" t="s">
        <v>3871</v>
      </c>
      <c r="D1441" s="2" t="s">
        <v>1621</v>
      </c>
      <c r="E1441">
        <v>7.0000000000000007E-2</v>
      </c>
      <c r="F1441">
        <v>0</v>
      </c>
      <c r="G1441" t="s">
        <v>72</v>
      </c>
      <c r="H1441" t="s">
        <v>3457</v>
      </c>
      <c r="I1441">
        <v>56</v>
      </c>
      <c r="J1441">
        <v>2211</v>
      </c>
      <c r="K1441" s="5">
        <v>46141.414254571762</v>
      </c>
      <c r="M1441" s="2" t="s">
        <v>1815</v>
      </c>
      <c r="N1441" s="2" t="s">
        <v>1701</v>
      </c>
      <c r="O1441" s="5">
        <v>43986.354462615738</v>
      </c>
      <c r="P1441" t="str">
        <f>IF($Q1441="DELETE",IF($S1441="CONFIRMED: NO MODS &gt; 1YR","CONFIRMED: NO MODS &gt; 1YR","DO NOT DELETE — not defensibly confirmed"),IF($Q1441="HOLD","DO NOT DELETE — HOLD (Charlie review)",IF($Q1441="KEEP","DO NOT DELETE — KEEP",IF(ISNUMBER(SEARCH("REVIEW",$Q1441)),"DO NOT DELETE — REVIEW pending",$S1441))))</f>
        <v>REVIEW</v>
      </c>
      <c r="Q1441" t="str" cm="1">
        <f t="array" ref="Q1441">_xlfn.IFS(AND($A1441="thg-beauty",ISNUMBER(SEARCH("liveramp",$C1441))),"DELETE",$A1441="agile-bonbon-662",_xlfn.IFS(LEFT($G1441,9)="Tranche 1","DELETE",$C1441="Sessions_Level_1_All_Sites","KEEP",ISNUMBER(--$C1441),"REVIEW — UA raw logs",$C1441="Emag_Reporting","KEEP",$C1441="Nutrition_Data_Archived_Tables","KEEP",$C1441="EU_Data","KEEP",TRUE,"REVIEW"),OR($A1441="thg-influencer",$A1441="thg-ingenuity",$A1441="thg-central-marketing",$A1441="thg-seoclarity"),"HOLD",TRUE,"")</f>
        <v/>
      </c>
      <c r="R1441" t="str" cm="1">
        <f t="array" ref="R1441">_xlfn.IFS(AND($A1441="thg-beauty",ISNUMBER(SEARCH("liveramp",$C1441))),"thg-beauty Liveramp dataset — confirmed safe to delete",$A1441="agile-bonbon-662",_xlfn.IFS(LEFT($G1441,9)="Tranche 1","Tranche 1: cleared",$C1441="Sessions_Level_1_All_Sites","Downstream aggregation of UA raw logs — keep if raw tables go",ISNUMBER(--$C1441),"UA raw site logs (account ID) — keep pending audit-retention check",$C1441="Emag_Reporting","Legacy but likely needed",$C1441="Nutrition_Data_Archived_Tables","Worth keeping",$C1441="EU_Data","Static lookup tables — scripts still reference (smoke-test risk)",TRUE,"Review"),OR($A1441="thg-influencer",$A1441="thg-ingenuity",$A1441="thg-central-marketing",$A1441="thg-seoclarity"),"HOLD — Charlie Stringer to review before deletion",TRUE,"")</f>
        <v/>
      </c>
      <c r="S1441" t="s">
        <v>1631</v>
      </c>
    </row>
    <row r="1442" spans="1:19" hidden="1">
      <c r="A1442" t="s">
        <v>90</v>
      </c>
      <c r="B1442" t="s">
        <v>1619</v>
      </c>
      <c r="C1442" t="s">
        <v>3872</v>
      </c>
      <c r="D1442" s="2" t="s">
        <v>1621</v>
      </c>
      <c r="E1442">
        <v>0.04</v>
      </c>
      <c r="F1442">
        <v>0</v>
      </c>
      <c r="G1442" t="s">
        <v>72</v>
      </c>
      <c r="H1442" t="s">
        <v>3457</v>
      </c>
      <c r="I1442">
        <v>56</v>
      </c>
      <c r="J1442">
        <v>800</v>
      </c>
      <c r="K1442" s="5">
        <v>46141.388143634264</v>
      </c>
      <c r="M1442" s="2" t="s">
        <v>1800</v>
      </c>
      <c r="N1442" s="2" t="s">
        <v>1701</v>
      </c>
      <c r="O1442" s="5">
        <v>45396.804796851851</v>
      </c>
      <c r="P1442" t="str">
        <f>IF($Q1442="DELETE",IF($S1442="CONFIRMED: NO MODS &gt; 1YR","CONFIRMED: NO MODS &gt; 1YR","DO NOT DELETE — not defensibly confirmed"),IF($Q1442="HOLD","DO NOT DELETE — HOLD (Charlie review)",IF($Q1442="KEEP","DO NOT DELETE — KEEP",IF(ISNUMBER(SEARCH("REVIEW",$Q1442)),"DO NOT DELETE — REVIEW pending",$S1442))))</f>
        <v>REVIEW</v>
      </c>
      <c r="Q1442" t="str" cm="1">
        <f t="array" ref="Q1442">_xlfn.IFS(AND($A1442="thg-beauty",ISNUMBER(SEARCH("liveramp",$C1442))),"DELETE",$A1442="agile-bonbon-662",_xlfn.IFS(LEFT($G1442,9)="Tranche 1","DELETE",$C1442="Sessions_Level_1_All_Sites","KEEP",ISNUMBER(--$C1442),"REVIEW — UA raw logs",$C1442="Emag_Reporting","KEEP",$C1442="Nutrition_Data_Archived_Tables","KEEP",$C1442="EU_Data","KEEP",TRUE,"REVIEW"),OR($A1442="thg-influencer",$A1442="thg-ingenuity",$A1442="thg-central-marketing",$A1442="thg-seoclarity"),"HOLD",TRUE,"")</f>
        <v/>
      </c>
      <c r="R1442" t="str" cm="1">
        <f t="array" ref="R1442">_xlfn.IFS(AND($A1442="thg-beauty",ISNUMBER(SEARCH("liveramp",$C1442))),"thg-beauty Liveramp dataset — confirmed safe to delete",$A1442="agile-bonbon-662",_xlfn.IFS(LEFT($G1442,9)="Tranche 1","Tranche 1: cleared",$C1442="Sessions_Level_1_All_Sites","Downstream aggregation of UA raw logs — keep if raw tables go",ISNUMBER(--$C1442),"UA raw site logs (account ID) — keep pending audit-retention check",$C1442="Emag_Reporting","Legacy but likely needed",$C1442="Nutrition_Data_Archived_Tables","Worth keeping",$C1442="EU_Data","Static lookup tables — scripts still reference (smoke-test risk)",TRUE,"Review"),OR($A1442="thg-influencer",$A1442="thg-ingenuity",$A1442="thg-central-marketing",$A1442="thg-seoclarity"),"HOLD — Charlie Stringer to review before deletion",TRUE,"")</f>
        <v/>
      </c>
      <c r="S1442" t="s">
        <v>1631</v>
      </c>
    </row>
    <row r="1443" spans="1:19" hidden="1">
      <c r="A1443" t="s">
        <v>91</v>
      </c>
      <c r="B1443" t="s">
        <v>1619</v>
      </c>
      <c r="C1443" t="s">
        <v>3288</v>
      </c>
      <c r="D1443" s="2" t="s">
        <v>1621</v>
      </c>
      <c r="E1443">
        <v>0.03</v>
      </c>
      <c r="F1443">
        <v>0</v>
      </c>
      <c r="G1443" t="s">
        <v>72</v>
      </c>
      <c r="H1443" t="s">
        <v>3457</v>
      </c>
      <c r="I1443">
        <v>56</v>
      </c>
      <c r="J1443">
        <v>831</v>
      </c>
      <c r="K1443" s="5">
        <v>46141.414793252312</v>
      </c>
      <c r="M1443" s="2" t="s">
        <v>1802</v>
      </c>
      <c r="N1443" s="2" t="s">
        <v>1701</v>
      </c>
      <c r="O1443" s="5">
        <v>45365.513568576389</v>
      </c>
      <c r="P1443" t="str">
        <f>IF($Q1443="DELETE",IF($S1443="CONFIRMED: NO MODS &gt; 1YR","CONFIRMED: NO MODS &gt; 1YR","DO NOT DELETE — not defensibly confirmed"),IF($Q1443="HOLD","DO NOT DELETE — HOLD (Charlie review)",IF($Q1443="KEEP","DO NOT DELETE — KEEP",IF(ISNUMBER(SEARCH("REVIEW",$Q1443)),"DO NOT DELETE — REVIEW pending",$S1443))))</f>
        <v>REVIEW</v>
      </c>
      <c r="Q1443" t="str" cm="1">
        <f t="array" ref="Q1443">_xlfn.IFS(AND($A1443="thg-beauty",ISNUMBER(SEARCH("liveramp",$C1443))),"DELETE",$A1443="agile-bonbon-662",_xlfn.IFS(LEFT($G1443,9)="Tranche 1","DELETE",$C1443="Sessions_Level_1_All_Sites","KEEP",ISNUMBER(--$C1443),"REVIEW — UA raw logs",$C1443="Emag_Reporting","KEEP",$C1443="Nutrition_Data_Archived_Tables","KEEP",$C1443="EU_Data","KEEP",TRUE,"REVIEW"),OR($A1443="thg-influencer",$A1443="thg-ingenuity",$A1443="thg-central-marketing",$A1443="thg-seoclarity"),"HOLD",TRUE,"")</f>
        <v/>
      </c>
      <c r="R1443" t="str" cm="1">
        <f t="array" ref="R1443">_xlfn.IFS(AND($A1443="thg-beauty",ISNUMBER(SEARCH("liveramp",$C1443))),"thg-beauty Liveramp dataset — confirmed safe to delete",$A1443="agile-bonbon-662",_xlfn.IFS(LEFT($G1443,9)="Tranche 1","Tranche 1: cleared",$C1443="Sessions_Level_1_All_Sites","Downstream aggregation of UA raw logs — keep if raw tables go",ISNUMBER(--$C1443),"UA raw site logs (account ID) — keep pending audit-retention check",$C1443="Emag_Reporting","Legacy but likely needed",$C1443="Nutrition_Data_Archived_Tables","Worth keeping",$C1443="EU_Data","Static lookup tables — scripts still reference (smoke-test risk)",TRUE,"Review"),OR($A1443="thg-influencer",$A1443="thg-ingenuity",$A1443="thg-central-marketing",$A1443="thg-seoclarity"),"HOLD — Charlie Stringer to review before deletion",TRUE,"")</f>
        <v/>
      </c>
      <c r="S1443" t="s">
        <v>1631</v>
      </c>
    </row>
    <row r="1444" spans="1:19" hidden="1">
      <c r="A1444" t="s">
        <v>91</v>
      </c>
      <c r="B1444" t="s">
        <v>1619</v>
      </c>
      <c r="C1444" t="s">
        <v>3873</v>
      </c>
      <c r="D1444" s="2" t="s">
        <v>1621</v>
      </c>
      <c r="E1444">
        <v>0.03</v>
      </c>
      <c r="F1444">
        <v>0</v>
      </c>
      <c r="G1444" t="s">
        <v>72</v>
      </c>
      <c r="H1444" t="s">
        <v>3457</v>
      </c>
      <c r="I1444">
        <v>56</v>
      </c>
      <c r="J1444">
        <v>1833</v>
      </c>
      <c r="K1444" s="5">
        <v>46141.414465590278</v>
      </c>
      <c r="M1444" s="2" t="s">
        <v>1815</v>
      </c>
      <c r="N1444" s="2" t="s">
        <v>1701</v>
      </c>
      <c r="O1444" s="5">
        <v>44363.652981307867</v>
      </c>
      <c r="P1444" t="str">
        <f>IF($Q1444="DELETE",IF($S1444="CONFIRMED: NO MODS &gt; 1YR","CONFIRMED: NO MODS &gt; 1YR","DO NOT DELETE — not defensibly confirmed"),IF($Q1444="HOLD","DO NOT DELETE — HOLD (Charlie review)",IF($Q1444="KEEP","DO NOT DELETE — KEEP",IF(ISNUMBER(SEARCH("REVIEW",$Q1444)),"DO NOT DELETE — REVIEW pending",$S1444))))</f>
        <v>REVIEW</v>
      </c>
      <c r="Q1444" t="str" cm="1">
        <f t="array" ref="Q1444">_xlfn.IFS(AND($A1444="thg-beauty",ISNUMBER(SEARCH("liveramp",$C1444))),"DELETE",$A1444="agile-bonbon-662",_xlfn.IFS(LEFT($G1444,9)="Tranche 1","DELETE",$C1444="Sessions_Level_1_All_Sites","KEEP",ISNUMBER(--$C1444),"REVIEW — UA raw logs",$C1444="Emag_Reporting","KEEP",$C1444="Nutrition_Data_Archived_Tables","KEEP",$C1444="EU_Data","KEEP",TRUE,"REVIEW"),OR($A1444="thg-influencer",$A1444="thg-ingenuity",$A1444="thg-central-marketing",$A1444="thg-seoclarity"),"HOLD",TRUE,"")</f>
        <v/>
      </c>
      <c r="R1444" t="str" cm="1">
        <f t="array" ref="R1444">_xlfn.IFS(AND($A1444="thg-beauty",ISNUMBER(SEARCH("liveramp",$C1444))),"thg-beauty Liveramp dataset — confirmed safe to delete",$A1444="agile-bonbon-662",_xlfn.IFS(LEFT($G1444,9)="Tranche 1","Tranche 1: cleared",$C1444="Sessions_Level_1_All_Sites","Downstream aggregation of UA raw logs — keep if raw tables go",ISNUMBER(--$C1444),"UA raw site logs (account ID) — keep pending audit-retention check",$C1444="Emag_Reporting","Legacy but likely needed",$C1444="Nutrition_Data_Archived_Tables","Worth keeping",$C1444="EU_Data","Static lookup tables — scripts still reference (smoke-test risk)",TRUE,"Review"),OR($A1444="thg-influencer",$A1444="thg-ingenuity",$A1444="thg-central-marketing",$A1444="thg-seoclarity"),"HOLD — Charlie Stringer to review before deletion",TRUE,"")</f>
        <v/>
      </c>
      <c r="S1444" t="s">
        <v>1631</v>
      </c>
    </row>
    <row r="1445" spans="1:19" hidden="1">
      <c r="A1445" t="s">
        <v>91</v>
      </c>
      <c r="B1445" t="s">
        <v>1619</v>
      </c>
      <c r="C1445" t="s">
        <v>3874</v>
      </c>
      <c r="D1445" s="2" t="s">
        <v>1621</v>
      </c>
      <c r="E1445">
        <v>0.01</v>
      </c>
      <c r="F1445">
        <v>0</v>
      </c>
      <c r="G1445" t="s">
        <v>72</v>
      </c>
      <c r="H1445" t="s">
        <v>3457</v>
      </c>
      <c r="I1445">
        <v>56</v>
      </c>
      <c r="J1445">
        <v>1835</v>
      </c>
      <c r="K1445" s="5">
        <v>46141.414377048612</v>
      </c>
      <c r="M1445" s="2" t="s">
        <v>1815</v>
      </c>
      <c r="N1445" s="2" t="s">
        <v>1701</v>
      </c>
      <c r="O1445" s="5">
        <v>44362.181689340279</v>
      </c>
      <c r="P1445" t="str">
        <f>IF($Q1445="DELETE",IF($S1445="CONFIRMED: NO MODS &gt; 1YR","CONFIRMED: NO MODS &gt; 1YR","DO NOT DELETE — not defensibly confirmed"),IF($Q1445="HOLD","DO NOT DELETE — HOLD (Charlie review)",IF($Q1445="KEEP","DO NOT DELETE — KEEP",IF(ISNUMBER(SEARCH("REVIEW",$Q1445)),"DO NOT DELETE — REVIEW pending",$S1445))))</f>
        <v>REVIEW</v>
      </c>
      <c r="Q1445" t="str" cm="1">
        <f t="array" ref="Q1445">_xlfn.IFS(AND($A1445="thg-beauty",ISNUMBER(SEARCH("liveramp",$C1445))),"DELETE",$A1445="agile-bonbon-662",_xlfn.IFS(LEFT($G1445,9)="Tranche 1","DELETE",$C1445="Sessions_Level_1_All_Sites","KEEP",ISNUMBER(--$C1445),"REVIEW — UA raw logs",$C1445="Emag_Reporting","KEEP",$C1445="Nutrition_Data_Archived_Tables","KEEP",$C1445="EU_Data","KEEP",TRUE,"REVIEW"),OR($A1445="thg-influencer",$A1445="thg-ingenuity",$A1445="thg-central-marketing",$A1445="thg-seoclarity"),"HOLD",TRUE,"")</f>
        <v/>
      </c>
      <c r="R1445" t="str" cm="1">
        <f t="array" ref="R1445">_xlfn.IFS(AND($A1445="thg-beauty",ISNUMBER(SEARCH("liveramp",$C1445))),"thg-beauty Liveramp dataset — confirmed safe to delete",$A1445="agile-bonbon-662",_xlfn.IFS(LEFT($G1445,9)="Tranche 1","Tranche 1: cleared",$C1445="Sessions_Level_1_All_Sites","Downstream aggregation of UA raw logs — keep if raw tables go",ISNUMBER(--$C1445),"UA raw site logs (account ID) — keep pending audit-retention check",$C1445="Emag_Reporting","Legacy but likely needed",$C1445="Nutrition_Data_Archived_Tables","Worth keeping",$C1445="EU_Data","Static lookup tables — scripts still reference (smoke-test risk)",TRUE,"Review"),OR($A1445="thg-influencer",$A1445="thg-ingenuity",$A1445="thg-central-marketing",$A1445="thg-seoclarity"),"HOLD — Charlie Stringer to review before deletion",TRUE,"")</f>
        <v/>
      </c>
      <c r="S1445" t="s">
        <v>1631</v>
      </c>
    </row>
    <row r="1446" spans="1:19" hidden="1">
      <c r="A1446" t="s">
        <v>91</v>
      </c>
      <c r="B1446" t="s">
        <v>1619</v>
      </c>
      <c r="C1446" t="s">
        <v>3875</v>
      </c>
      <c r="D1446" s="2" t="s">
        <v>1621</v>
      </c>
      <c r="E1446">
        <v>0.01</v>
      </c>
      <c r="F1446">
        <v>0</v>
      </c>
      <c r="G1446" t="s">
        <v>72</v>
      </c>
      <c r="H1446" t="s">
        <v>3457</v>
      </c>
      <c r="I1446">
        <v>56</v>
      </c>
      <c r="J1446">
        <v>568</v>
      </c>
      <c r="K1446" s="5">
        <v>46141.414793171287</v>
      </c>
      <c r="M1446" s="2" t="s">
        <v>1802</v>
      </c>
      <c r="N1446" s="2" t="s">
        <v>1701</v>
      </c>
      <c r="O1446" s="5">
        <v>45628.715901469906</v>
      </c>
      <c r="P1446" t="str">
        <f>IF($Q1446="DELETE",IF($S1446="CONFIRMED: NO MODS &gt; 1YR","CONFIRMED: NO MODS &gt; 1YR","DO NOT DELETE — not defensibly confirmed"),IF($Q1446="HOLD","DO NOT DELETE — HOLD (Charlie review)",IF($Q1446="KEEP","DO NOT DELETE — KEEP",IF(ISNUMBER(SEARCH("REVIEW",$Q1446)),"DO NOT DELETE — REVIEW pending",$S1446))))</f>
        <v>REVIEW</v>
      </c>
      <c r="Q1446" t="str" cm="1">
        <f t="array" ref="Q1446">_xlfn.IFS(AND($A1446="thg-beauty",ISNUMBER(SEARCH("liveramp",$C1446))),"DELETE",$A1446="agile-bonbon-662",_xlfn.IFS(LEFT($G1446,9)="Tranche 1","DELETE",$C1446="Sessions_Level_1_All_Sites","KEEP",ISNUMBER(--$C1446),"REVIEW — UA raw logs",$C1446="Emag_Reporting","KEEP",$C1446="Nutrition_Data_Archived_Tables","KEEP",$C1446="EU_Data","KEEP",TRUE,"REVIEW"),OR($A1446="thg-influencer",$A1446="thg-ingenuity",$A1446="thg-central-marketing",$A1446="thg-seoclarity"),"HOLD",TRUE,"")</f>
        <v/>
      </c>
      <c r="R1446" t="str" cm="1">
        <f t="array" ref="R1446">_xlfn.IFS(AND($A1446="thg-beauty",ISNUMBER(SEARCH("liveramp",$C1446))),"thg-beauty Liveramp dataset — confirmed safe to delete",$A1446="agile-bonbon-662",_xlfn.IFS(LEFT($G1446,9)="Tranche 1","Tranche 1: cleared",$C1446="Sessions_Level_1_All_Sites","Downstream aggregation of UA raw logs — keep if raw tables go",ISNUMBER(--$C1446),"UA raw site logs (account ID) — keep pending audit-retention check",$C1446="Emag_Reporting","Legacy but likely needed",$C1446="Nutrition_Data_Archived_Tables","Worth keeping",$C1446="EU_Data","Static lookup tables — scripts still reference (smoke-test risk)",TRUE,"Review"),OR($A1446="thg-influencer",$A1446="thg-ingenuity",$A1446="thg-central-marketing",$A1446="thg-seoclarity"),"HOLD — Charlie Stringer to review before deletion",TRUE,"")</f>
        <v/>
      </c>
      <c r="S1446" t="s">
        <v>1631</v>
      </c>
    </row>
    <row r="1447" spans="1:19" hidden="1">
      <c r="A1447" t="s">
        <v>91</v>
      </c>
      <c r="B1447" t="s">
        <v>1619</v>
      </c>
      <c r="C1447" t="s">
        <v>3876</v>
      </c>
      <c r="D1447" s="2" t="s">
        <v>1621</v>
      </c>
      <c r="E1447">
        <v>0.01</v>
      </c>
      <c r="F1447">
        <v>0</v>
      </c>
      <c r="G1447" t="s">
        <v>72</v>
      </c>
      <c r="H1447" t="s">
        <v>3457</v>
      </c>
      <c r="I1447">
        <v>56</v>
      </c>
      <c r="J1447">
        <v>405</v>
      </c>
      <c r="K1447" s="5">
        <v>46141.414563229169</v>
      </c>
      <c r="M1447" s="2" t="s">
        <v>1815</v>
      </c>
      <c r="N1447" s="2" t="s">
        <v>1701</v>
      </c>
      <c r="O1447" s="5">
        <v>45791.567073969913</v>
      </c>
      <c r="P1447" t="str">
        <f>IF($Q1447="DELETE",IF($S1447="CONFIRMED: NO MODS &gt; 1YR","CONFIRMED: NO MODS &gt; 1YR","DO NOT DELETE — not defensibly confirmed"),IF($Q1447="HOLD","DO NOT DELETE — HOLD (Charlie review)",IF($Q1447="KEEP","DO NOT DELETE — KEEP",IF(ISNUMBER(SEARCH("REVIEW",$Q1447)),"DO NOT DELETE — REVIEW pending",$S1447))))</f>
        <v>REVIEW</v>
      </c>
      <c r="Q1447" t="str" cm="1">
        <f t="array" ref="Q1447">_xlfn.IFS(AND($A1447="thg-beauty",ISNUMBER(SEARCH("liveramp",$C1447))),"DELETE",$A1447="agile-bonbon-662",_xlfn.IFS(LEFT($G1447,9)="Tranche 1","DELETE",$C1447="Sessions_Level_1_All_Sites","KEEP",ISNUMBER(--$C1447),"REVIEW — UA raw logs",$C1447="Emag_Reporting","KEEP",$C1447="Nutrition_Data_Archived_Tables","KEEP",$C1447="EU_Data","KEEP",TRUE,"REVIEW"),OR($A1447="thg-influencer",$A1447="thg-ingenuity",$A1447="thg-central-marketing",$A1447="thg-seoclarity"),"HOLD",TRUE,"")</f>
        <v/>
      </c>
      <c r="R1447" t="str" cm="1">
        <f t="array" ref="R1447">_xlfn.IFS(AND($A1447="thg-beauty",ISNUMBER(SEARCH("liveramp",$C1447))),"thg-beauty Liveramp dataset — confirmed safe to delete",$A1447="agile-bonbon-662",_xlfn.IFS(LEFT($G1447,9)="Tranche 1","Tranche 1: cleared",$C1447="Sessions_Level_1_All_Sites","Downstream aggregation of UA raw logs — keep if raw tables go",ISNUMBER(--$C1447),"UA raw site logs (account ID) — keep pending audit-retention check",$C1447="Emag_Reporting","Legacy but likely needed",$C1447="Nutrition_Data_Archived_Tables","Worth keeping",$C1447="EU_Data","Static lookup tables — scripts still reference (smoke-test risk)",TRUE,"Review"),OR($A1447="thg-influencer",$A1447="thg-ingenuity",$A1447="thg-central-marketing",$A1447="thg-seoclarity"),"HOLD — Charlie Stringer to review before deletion",TRUE,"")</f>
        <v/>
      </c>
      <c r="S1447" t="s">
        <v>1631</v>
      </c>
    </row>
    <row r="1448" spans="1:19" hidden="1">
      <c r="A1448" t="s">
        <v>90</v>
      </c>
      <c r="B1448" t="s">
        <v>1619</v>
      </c>
      <c r="C1448" t="s">
        <v>3877</v>
      </c>
      <c r="D1448" s="2" t="s">
        <v>1621</v>
      </c>
      <c r="E1448">
        <v>0</v>
      </c>
      <c r="F1448">
        <v>0</v>
      </c>
      <c r="G1448" t="s">
        <v>72</v>
      </c>
      <c r="H1448" t="s">
        <v>3457</v>
      </c>
      <c r="I1448">
        <v>56</v>
      </c>
      <c r="J1448">
        <v>1645</v>
      </c>
      <c r="K1448" s="5">
        <v>46141.388099756943</v>
      </c>
      <c r="M1448" s="2" t="s">
        <v>1800</v>
      </c>
      <c r="N1448" s="2" t="s">
        <v>1701</v>
      </c>
      <c r="O1448" s="5">
        <v>44552.043794131947</v>
      </c>
      <c r="P1448" t="str">
        <f>IF($Q1448="DELETE",IF($S1448="CONFIRMED: NO MODS &gt; 1YR","CONFIRMED: NO MODS &gt; 1YR","DO NOT DELETE — not defensibly confirmed"),IF($Q1448="HOLD","DO NOT DELETE — HOLD (Charlie review)",IF($Q1448="KEEP","DO NOT DELETE — KEEP",IF(ISNUMBER(SEARCH("REVIEW",$Q1448)),"DO NOT DELETE — REVIEW pending",$S1448))))</f>
        <v>REVIEW</v>
      </c>
      <c r="Q1448" t="str" cm="1">
        <f t="array" ref="Q1448">_xlfn.IFS(AND($A1448="thg-beauty",ISNUMBER(SEARCH("liveramp",$C1448))),"DELETE",$A1448="agile-bonbon-662",_xlfn.IFS(LEFT($G1448,9)="Tranche 1","DELETE",$C1448="Sessions_Level_1_All_Sites","KEEP",ISNUMBER(--$C1448),"REVIEW — UA raw logs",$C1448="Emag_Reporting","KEEP",$C1448="Nutrition_Data_Archived_Tables","KEEP",$C1448="EU_Data","KEEP",TRUE,"REVIEW"),OR($A1448="thg-influencer",$A1448="thg-ingenuity",$A1448="thg-central-marketing",$A1448="thg-seoclarity"),"HOLD",TRUE,"")</f>
        <v/>
      </c>
      <c r="R1448" t="str" cm="1">
        <f t="array" ref="R1448">_xlfn.IFS(AND($A1448="thg-beauty",ISNUMBER(SEARCH("liveramp",$C1448))),"thg-beauty Liveramp dataset — confirmed safe to delete",$A1448="agile-bonbon-662",_xlfn.IFS(LEFT($G1448,9)="Tranche 1","Tranche 1: cleared",$C1448="Sessions_Level_1_All_Sites","Downstream aggregation of UA raw logs — keep if raw tables go",ISNUMBER(--$C1448),"UA raw site logs (account ID) — keep pending audit-retention check",$C1448="Emag_Reporting","Legacy but likely needed",$C1448="Nutrition_Data_Archived_Tables","Worth keeping",$C1448="EU_Data","Static lookup tables — scripts still reference (smoke-test risk)",TRUE,"Review"),OR($A1448="thg-influencer",$A1448="thg-ingenuity",$A1448="thg-central-marketing",$A1448="thg-seoclarity"),"HOLD — Charlie Stringer to review before deletion",TRUE,"")</f>
        <v/>
      </c>
      <c r="S1448" t="s">
        <v>1631</v>
      </c>
    </row>
    <row r="1449" spans="1:19" hidden="1">
      <c r="A1449" t="s">
        <v>90</v>
      </c>
      <c r="B1449" t="s">
        <v>1619</v>
      </c>
      <c r="C1449" t="s">
        <v>3878</v>
      </c>
      <c r="D1449" s="2" t="s">
        <v>1621</v>
      </c>
      <c r="E1449">
        <v>0</v>
      </c>
      <c r="F1449">
        <v>0</v>
      </c>
      <c r="G1449" t="s">
        <v>72</v>
      </c>
      <c r="H1449" t="s">
        <v>3457</v>
      </c>
      <c r="I1449">
        <v>56</v>
      </c>
      <c r="J1449">
        <v>1965</v>
      </c>
      <c r="K1449" s="5">
        <v>46141.387609375</v>
      </c>
      <c r="M1449" s="2" t="s">
        <v>1800</v>
      </c>
      <c r="N1449" s="2" t="s">
        <v>1701</v>
      </c>
      <c r="O1449" s="5">
        <v>44231.650513738423</v>
      </c>
      <c r="P1449" t="str">
        <f>IF($Q1449="DELETE",IF($S1449="CONFIRMED: NO MODS &gt; 1YR","CONFIRMED: NO MODS &gt; 1YR","DO NOT DELETE — not defensibly confirmed"),IF($Q1449="HOLD","DO NOT DELETE — HOLD (Charlie review)",IF($Q1449="KEEP","DO NOT DELETE — KEEP",IF(ISNUMBER(SEARCH("REVIEW",$Q1449)),"DO NOT DELETE — REVIEW pending",$S1449))))</f>
        <v>REVIEW</v>
      </c>
      <c r="Q1449" t="str" cm="1">
        <f t="array" ref="Q1449">_xlfn.IFS(AND($A1449="thg-beauty",ISNUMBER(SEARCH("liveramp",$C1449))),"DELETE",$A1449="agile-bonbon-662",_xlfn.IFS(LEFT($G1449,9)="Tranche 1","DELETE",$C1449="Sessions_Level_1_All_Sites","KEEP",ISNUMBER(--$C1449),"REVIEW — UA raw logs",$C1449="Emag_Reporting","KEEP",$C1449="Nutrition_Data_Archived_Tables","KEEP",$C1449="EU_Data","KEEP",TRUE,"REVIEW"),OR($A1449="thg-influencer",$A1449="thg-ingenuity",$A1449="thg-central-marketing",$A1449="thg-seoclarity"),"HOLD",TRUE,"")</f>
        <v/>
      </c>
      <c r="R1449" t="str" cm="1">
        <f t="array" ref="R1449">_xlfn.IFS(AND($A1449="thg-beauty",ISNUMBER(SEARCH("liveramp",$C1449))),"thg-beauty Liveramp dataset — confirmed safe to delete",$A1449="agile-bonbon-662",_xlfn.IFS(LEFT($G1449,9)="Tranche 1","Tranche 1: cleared",$C1449="Sessions_Level_1_All_Sites","Downstream aggregation of UA raw logs — keep if raw tables go",ISNUMBER(--$C1449),"UA raw site logs (account ID) — keep pending audit-retention check",$C1449="Emag_Reporting","Legacy but likely needed",$C1449="Nutrition_Data_Archived_Tables","Worth keeping",$C1449="EU_Data","Static lookup tables — scripts still reference (smoke-test risk)",TRUE,"Review"),OR($A1449="thg-influencer",$A1449="thg-ingenuity",$A1449="thg-central-marketing",$A1449="thg-seoclarity"),"HOLD — Charlie Stringer to review before deletion",TRUE,"")</f>
        <v/>
      </c>
      <c r="S1449" t="s">
        <v>1631</v>
      </c>
    </row>
    <row r="1450" spans="1:19" hidden="1">
      <c r="A1450" t="s">
        <v>90</v>
      </c>
      <c r="B1450" t="s">
        <v>1619</v>
      </c>
      <c r="C1450" t="s">
        <v>3879</v>
      </c>
      <c r="D1450" s="2" t="s">
        <v>1621</v>
      </c>
      <c r="E1450">
        <v>0</v>
      </c>
      <c r="F1450">
        <v>0</v>
      </c>
      <c r="G1450" t="s">
        <v>72</v>
      </c>
      <c r="H1450" t="s">
        <v>3457</v>
      </c>
      <c r="I1450">
        <v>56</v>
      </c>
      <c r="J1450">
        <v>1965</v>
      </c>
      <c r="K1450" s="5">
        <v>46141.387560300929</v>
      </c>
      <c r="M1450" s="2" t="s">
        <v>1800</v>
      </c>
      <c r="N1450" s="2" t="s">
        <v>1701</v>
      </c>
      <c r="O1450" s="5">
        <v>44231.620035879627</v>
      </c>
      <c r="P1450" t="str">
        <f>IF($Q1450="DELETE",IF($S1450="CONFIRMED: NO MODS &gt; 1YR","CONFIRMED: NO MODS &gt; 1YR","DO NOT DELETE — not defensibly confirmed"),IF($Q1450="HOLD","DO NOT DELETE — HOLD (Charlie review)",IF($Q1450="KEEP","DO NOT DELETE — KEEP",IF(ISNUMBER(SEARCH("REVIEW",$Q1450)),"DO NOT DELETE — REVIEW pending",$S1450))))</f>
        <v>REVIEW</v>
      </c>
      <c r="Q1450" t="str" cm="1">
        <f t="array" ref="Q1450">_xlfn.IFS(AND($A1450="thg-beauty",ISNUMBER(SEARCH("liveramp",$C1450))),"DELETE",$A1450="agile-bonbon-662",_xlfn.IFS(LEFT($G1450,9)="Tranche 1","DELETE",$C1450="Sessions_Level_1_All_Sites","KEEP",ISNUMBER(--$C1450),"REVIEW — UA raw logs",$C1450="Emag_Reporting","KEEP",$C1450="Nutrition_Data_Archived_Tables","KEEP",$C1450="EU_Data","KEEP",TRUE,"REVIEW"),OR($A1450="thg-influencer",$A1450="thg-ingenuity",$A1450="thg-central-marketing",$A1450="thg-seoclarity"),"HOLD",TRUE,"")</f>
        <v/>
      </c>
      <c r="R1450" t="str" cm="1">
        <f t="array" ref="R1450">_xlfn.IFS(AND($A1450="thg-beauty",ISNUMBER(SEARCH("liveramp",$C1450))),"thg-beauty Liveramp dataset — confirmed safe to delete",$A1450="agile-bonbon-662",_xlfn.IFS(LEFT($G1450,9)="Tranche 1","Tranche 1: cleared",$C1450="Sessions_Level_1_All_Sites","Downstream aggregation of UA raw logs — keep if raw tables go",ISNUMBER(--$C1450),"UA raw site logs (account ID) — keep pending audit-retention check",$C1450="Emag_Reporting","Legacy but likely needed",$C1450="Nutrition_Data_Archived_Tables","Worth keeping",$C1450="EU_Data","Static lookup tables — scripts still reference (smoke-test risk)",TRUE,"Review"),OR($A1450="thg-influencer",$A1450="thg-ingenuity",$A1450="thg-central-marketing",$A1450="thg-seoclarity"),"HOLD — Charlie Stringer to review before deletion",TRUE,"")</f>
        <v/>
      </c>
      <c r="S1450" t="s">
        <v>1631</v>
      </c>
    </row>
    <row r="1451" spans="1:19" hidden="1">
      <c r="A1451" t="s">
        <v>90</v>
      </c>
      <c r="B1451" t="s">
        <v>1619</v>
      </c>
      <c r="C1451" t="s">
        <v>3880</v>
      </c>
      <c r="D1451" s="2" t="s">
        <v>1621</v>
      </c>
      <c r="E1451">
        <v>0</v>
      </c>
      <c r="F1451">
        <v>0</v>
      </c>
      <c r="G1451" t="s">
        <v>72</v>
      </c>
      <c r="H1451" t="s">
        <v>3457</v>
      </c>
      <c r="I1451">
        <v>56</v>
      </c>
      <c r="J1451">
        <v>1960</v>
      </c>
      <c r="K1451" s="5">
        <v>46141.387506238418</v>
      </c>
      <c r="M1451" s="2" t="s">
        <v>1800</v>
      </c>
      <c r="N1451" s="2" t="s">
        <v>1701</v>
      </c>
      <c r="O1451" s="5">
        <v>44236.464437951392</v>
      </c>
      <c r="P1451" t="str">
        <f>IF($Q1451="DELETE",IF($S1451="CONFIRMED: NO MODS &gt; 1YR","CONFIRMED: NO MODS &gt; 1YR","DO NOT DELETE — not defensibly confirmed"),IF($Q1451="HOLD","DO NOT DELETE — HOLD (Charlie review)",IF($Q1451="KEEP","DO NOT DELETE — KEEP",IF(ISNUMBER(SEARCH("REVIEW",$Q1451)),"DO NOT DELETE — REVIEW pending",$S1451))))</f>
        <v>REVIEW</v>
      </c>
      <c r="Q1451" t="str" cm="1">
        <f t="array" ref="Q1451">_xlfn.IFS(AND($A1451="thg-beauty",ISNUMBER(SEARCH("liveramp",$C1451))),"DELETE",$A1451="agile-bonbon-662",_xlfn.IFS(LEFT($G1451,9)="Tranche 1","DELETE",$C1451="Sessions_Level_1_All_Sites","KEEP",ISNUMBER(--$C1451),"REVIEW — UA raw logs",$C1451="Emag_Reporting","KEEP",$C1451="Nutrition_Data_Archived_Tables","KEEP",$C1451="EU_Data","KEEP",TRUE,"REVIEW"),OR($A1451="thg-influencer",$A1451="thg-ingenuity",$A1451="thg-central-marketing",$A1451="thg-seoclarity"),"HOLD",TRUE,"")</f>
        <v/>
      </c>
      <c r="R1451" t="str" cm="1">
        <f t="array" ref="R1451">_xlfn.IFS(AND($A1451="thg-beauty",ISNUMBER(SEARCH("liveramp",$C1451))),"thg-beauty Liveramp dataset — confirmed safe to delete",$A1451="agile-bonbon-662",_xlfn.IFS(LEFT($G1451,9)="Tranche 1","Tranche 1: cleared",$C1451="Sessions_Level_1_All_Sites","Downstream aggregation of UA raw logs — keep if raw tables go",ISNUMBER(--$C1451),"UA raw site logs (account ID) — keep pending audit-retention check",$C1451="Emag_Reporting","Legacy but likely needed",$C1451="Nutrition_Data_Archived_Tables","Worth keeping",$C1451="EU_Data","Static lookup tables — scripts still reference (smoke-test risk)",TRUE,"Review"),OR($A1451="thg-influencer",$A1451="thg-ingenuity",$A1451="thg-central-marketing",$A1451="thg-seoclarity"),"HOLD — Charlie Stringer to review before deletion",TRUE,"")</f>
        <v/>
      </c>
      <c r="S1451" t="s">
        <v>1631</v>
      </c>
    </row>
    <row r="1452" spans="1:19" hidden="1">
      <c r="A1452" t="s">
        <v>90</v>
      </c>
      <c r="B1452" t="s">
        <v>1619</v>
      </c>
      <c r="C1452" t="s">
        <v>3881</v>
      </c>
      <c r="D1452" s="2" t="s">
        <v>1621</v>
      </c>
      <c r="E1452">
        <v>0</v>
      </c>
      <c r="F1452">
        <v>0</v>
      </c>
      <c r="G1452" t="s">
        <v>72</v>
      </c>
      <c r="H1452" t="s">
        <v>3457</v>
      </c>
      <c r="I1452">
        <v>56</v>
      </c>
      <c r="J1452">
        <v>1174</v>
      </c>
      <c r="K1452" s="5">
        <v>46141.38772377315</v>
      </c>
      <c r="M1452" s="2" t="s">
        <v>1800</v>
      </c>
      <c r="N1452" s="2" t="s">
        <v>1701</v>
      </c>
      <c r="O1452" s="5">
        <v>45022.649701134258</v>
      </c>
      <c r="P1452" t="str">
        <f>IF($Q1452="DELETE",IF($S1452="CONFIRMED: NO MODS &gt; 1YR","CONFIRMED: NO MODS &gt; 1YR","DO NOT DELETE — not defensibly confirmed"),IF($Q1452="HOLD","DO NOT DELETE — HOLD (Charlie review)",IF($Q1452="KEEP","DO NOT DELETE — KEEP",IF(ISNUMBER(SEARCH("REVIEW",$Q1452)),"DO NOT DELETE — REVIEW pending",$S1452))))</f>
        <v>REVIEW</v>
      </c>
      <c r="Q1452" t="str" cm="1">
        <f t="array" ref="Q1452">_xlfn.IFS(AND($A1452="thg-beauty",ISNUMBER(SEARCH("liveramp",$C1452))),"DELETE",$A1452="agile-bonbon-662",_xlfn.IFS(LEFT($G1452,9)="Tranche 1","DELETE",$C1452="Sessions_Level_1_All_Sites","KEEP",ISNUMBER(--$C1452),"REVIEW — UA raw logs",$C1452="Emag_Reporting","KEEP",$C1452="Nutrition_Data_Archived_Tables","KEEP",$C1452="EU_Data","KEEP",TRUE,"REVIEW"),OR($A1452="thg-influencer",$A1452="thg-ingenuity",$A1452="thg-central-marketing",$A1452="thg-seoclarity"),"HOLD",TRUE,"")</f>
        <v/>
      </c>
      <c r="R1452" t="str" cm="1">
        <f t="array" ref="R1452">_xlfn.IFS(AND($A1452="thg-beauty",ISNUMBER(SEARCH("liveramp",$C1452))),"thg-beauty Liveramp dataset — confirmed safe to delete",$A1452="agile-bonbon-662",_xlfn.IFS(LEFT($G1452,9)="Tranche 1","Tranche 1: cleared",$C1452="Sessions_Level_1_All_Sites","Downstream aggregation of UA raw logs — keep if raw tables go",ISNUMBER(--$C1452),"UA raw site logs (account ID) — keep pending audit-retention check",$C1452="Emag_Reporting","Legacy but likely needed",$C1452="Nutrition_Data_Archived_Tables","Worth keeping",$C1452="EU_Data","Static lookup tables — scripts still reference (smoke-test risk)",TRUE,"Review"),OR($A1452="thg-influencer",$A1452="thg-ingenuity",$A1452="thg-central-marketing",$A1452="thg-seoclarity"),"HOLD — Charlie Stringer to review before deletion",TRUE,"")</f>
        <v/>
      </c>
      <c r="S1452" t="s">
        <v>1631</v>
      </c>
    </row>
    <row r="1453" spans="1:19" hidden="1">
      <c r="A1453" t="s">
        <v>89</v>
      </c>
      <c r="B1453" t="s">
        <v>1619</v>
      </c>
      <c r="C1453" t="s">
        <v>3882</v>
      </c>
      <c r="D1453" s="2" t="s">
        <v>1621</v>
      </c>
      <c r="E1453">
        <v>0</v>
      </c>
      <c r="F1453">
        <v>0</v>
      </c>
      <c r="G1453" t="s">
        <v>72</v>
      </c>
      <c r="H1453" t="s">
        <v>3457</v>
      </c>
      <c r="I1453">
        <v>56</v>
      </c>
      <c r="J1453">
        <v>2575</v>
      </c>
      <c r="K1453" s="5">
        <v>46141.423680451393</v>
      </c>
      <c r="M1453" s="2" t="s">
        <v>1845</v>
      </c>
      <c r="N1453" s="2" t="s">
        <v>1701</v>
      </c>
      <c r="O1453" s="5">
        <v>43621.597038900472</v>
      </c>
      <c r="P1453" t="str">
        <f>IF($Q1453="DELETE",IF($S1453="CONFIRMED: NO MODS &gt; 1YR","CONFIRMED: NO MODS &gt; 1YR","DO NOT DELETE — not defensibly confirmed"),IF($Q1453="HOLD","DO NOT DELETE — HOLD (Charlie review)",IF($Q1453="KEEP","DO NOT DELETE — KEEP",IF(ISNUMBER(SEARCH("REVIEW",$Q1453)),"DO NOT DELETE — REVIEW pending",$S1453))))</f>
        <v>DO NOT DELETE — REVIEW pending</v>
      </c>
      <c r="Q1453" t="str" cm="1">
        <f t="array" ref="Q1453">_xlfn.IFS(AND($A1453="thg-beauty",ISNUMBER(SEARCH("liveramp",$C1453))),"DELETE",$A1453="agile-bonbon-662",_xlfn.IFS(LEFT($G1453,9)="Tranche 1","DELETE",$C1453="Sessions_Level_1_All_Sites","KEEP",ISNUMBER(--$C1453),"REVIEW — UA raw logs",$C1453="Emag_Reporting","KEEP",$C1453="Nutrition_Data_Archived_Tables","KEEP",$C1453="EU_Data","KEEP",TRUE,"REVIEW"),OR($A1453="thg-influencer",$A1453="thg-ingenuity",$A1453="thg-central-marketing",$A1453="thg-seoclarity"),"HOLD",TRUE,"")</f>
        <v>REVIEW</v>
      </c>
      <c r="R1453" t="str" cm="1">
        <f t="array" ref="R1453">_xlfn.IFS(AND($A1453="thg-beauty",ISNUMBER(SEARCH("liveramp",$C1453))),"thg-beauty Liveramp dataset — confirmed safe to delete",$A1453="agile-bonbon-662",_xlfn.IFS(LEFT($G1453,9)="Tranche 1","Tranche 1: cleared",$C1453="Sessions_Level_1_All_Sites","Downstream aggregation of UA raw logs — keep if raw tables go",ISNUMBER(--$C1453),"UA raw site logs (account ID) — keep pending audit-retention check",$C1453="Emag_Reporting","Legacy but likely needed",$C1453="Nutrition_Data_Archived_Tables","Worth keeping",$C1453="EU_Data","Static lookup tables — scripts still reference (smoke-test risk)",TRUE,"Review"),OR($A1453="thg-influencer",$A1453="thg-ingenuity",$A1453="thg-central-marketing",$A1453="thg-seoclarity"),"HOLD — Charlie Stringer to review before deletion",TRUE,"")</f>
        <v>Review</v>
      </c>
      <c r="S1453" t="s">
        <v>1631</v>
      </c>
    </row>
    <row r="1454" spans="1:19" hidden="1">
      <c r="A1454" t="s">
        <v>89</v>
      </c>
      <c r="B1454" t="s">
        <v>1619</v>
      </c>
      <c r="C1454" t="s">
        <v>3883</v>
      </c>
      <c r="D1454" s="2" t="s">
        <v>1621</v>
      </c>
      <c r="E1454">
        <v>0</v>
      </c>
      <c r="F1454">
        <v>0</v>
      </c>
      <c r="G1454" t="s">
        <v>72</v>
      </c>
      <c r="H1454" t="s">
        <v>3457</v>
      </c>
      <c r="I1454">
        <v>56</v>
      </c>
      <c r="J1454">
        <v>1449</v>
      </c>
      <c r="K1454" s="5">
        <v>46141.42376135417</v>
      </c>
      <c r="M1454" s="2" t="s">
        <v>1845</v>
      </c>
      <c r="N1454" s="2" t="s">
        <v>1701</v>
      </c>
      <c r="O1454" s="5">
        <v>44747.465585868063</v>
      </c>
      <c r="P1454" t="str">
        <f>IF($Q1454="DELETE",IF($S1454="CONFIRMED: NO MODS &gt; 1YR","CONFIRMED: NO MODS &gt; 1YR","DO NOT DELETE — not defensibly confirmed"),IF($Q1454="HOLD","DO NOT DELETE — HOLD (Charlie review)",IF($Q1454="KEEP","DO NOT DELETE — KEEP",IF(ISNUMBER(SEARCH("REVIEW",$Q1454)),"DO NOT DELETE — REVIEW pending",$S1454))))</f>
        <v>DO NOT DELETE — REVIEW pending</v>
      </c>
      <c r="Q1454" t="str" cm="1">
        <f t="array" ref="Q1454">_xlfn.IFS(AND($A1454="thg-beauty",ISNUMBER(SEARCH("liveramp",$C1454))),"DELETE",$A1454="agile-bonbon-662",_xlfn.IFS(LEFT($G1454,9)="Tranche 1","DELETE",$C1454="Sessions_Level_1_All_Sites","KEEP",ISNUMBER(--$C1454),"REVIEW — UA raw logs",$C1454="Emag_Reporting","KEEP",$C1454="Nutrition_Data_Archived_Tables","KEEP",$C1454="EU_Data","KEEP",TRUE,"REVIEW"),OR($A1454="thg-influencer",$A1454="thg-ingenuity",$A1454="thg-central-marketing",$A1454="thg-seoclarity"),"HOLD",TRUE,"")</f>
        <v>REVIEW</v>
      </c>
      <c r="R1454" t="str" cm="1">
        <f t="array" ref="R1454">_xlfn.IFS(AND($A1454="thg-beauty",ISNUMBER(SEARCH("liveramp",$C1454))),"thg-beauty Liveramp dataset — confirmed safe to delete",$A1454="agile-bonbon-662",_xlfn.IFS(LEFT($G1454,9)="Tranche 1","Tranche 1: cleared",$C1454="Sessions_Level_1_All_Sites","Downstream aggregation of UA raw logs — keep if raw tables go",ISNUMBER(--$C1454),"UA raw site logs (account ID) — keep pending audit-retention check",$C1454="Emag_Reporting","Legacy but likely needed",$C1454="Nutrition_Data_Archived_Tables","Worth keeping",$C1454="EU_Data","Static lookup tables — scripts still reference (smoke-test risk)",TRUE,"Review"),OR($A1454="thg-influencer",$A1454="thg-ingenuity",$A1454="thg-central-marketing",$A1454="thg-seoclarity"),"HOLD — Charlie Stringer to review before deletion",TRUE,"")</f>
        <v>Review</v>
      </c>
      <c r="S1454" t="s">
        <v>1631</v>
      </c>
    </row>
    <row r="1455" spans="1:19" hidden="1">
      <c r="A1455" t="s">
        <v>91</v>
      </c>
      <c r="B1455" t="s">
        <v>1724</v>
      </c>
      <c r="C1455" t="s">
        <v>3866</v>
      </c>
      <c r="E1455">
        <v>0</v>
      </c>
      <c r="F1455">
        <v>0</v>
      </c>
      <c r="G1455" t="s">
        <v>72</v>
      </c>
      <c r="H1455" t="s">
        <v>3457</v>
      </c>
      <c r="I1455">
        <v>56</v>
      </c>
      <c r="J1455">
        <v>697</v>
      </c>
      <c r="K1455" s="5">
        <v>46141.414793055563</v>
      </c>
      <c r="M1455" s="2" t="s">
        <v>1802</v>
      </c>
      <c r="N1455" s="2" t="s">
        <v>1701</v>
      </c>
      <c r="O1455" s="5">
        <v>45499.588220138889</v>
      </c>
      <c r="P1455" t="str">
        <f>IF($Q1455="DELETE",IF($S1455="CONFIRMED: NO MODS &gt; 1YR","CONFIRMED: NO MODS &gt; 1YR","DO NOT DELETE — not defensibly confirmed"),IF($Q1455="HOLD","DO NOT DELETE — HOLD (Charlie review)",IF($Q1455="KEEP","DO NOT DELETE — KEEP",IF(ISNUMBER(SEARCH("REVIEW",$Q1455)),"DO NOT DELETE — REVIEW pending",$S1455))))</f>
        <v>REVIEW</v>
      </c>
      <c r="Q1455" t="str" cm="1">
        <f t="array" ref="Q1455">_xlfn.IFS(AND($A1455="thg-beauty",ISNUMBER(SEARCH("liveramp",$C1455))),"DELETE",$A1455="agile-bonbon-662",_xlfn.IFS(LEFT($G1455,9)="Tranche 1","DELETE",$C1455="Sessions_Level_1_All_Sites","KEEP",ISNUMBER(--$C1455),"REVIEW — UA raw logs",$C1455="Emag_Reporting","KEEP",$C1455="Nutrition_Data_Archived_Tables","KEEP",$C1455="EU_Data","KEEP",TRUE,"REVIEW"),OR($A1455="thg-influencer",$A1455="thg-ingenuity",$A1455="thg-central-marketing",$A1455="thg-seoclarity"),"HOLD",TRUE,"")</f>
        <v/>
      </c>
      <c r="R1455" t="str" cm="1">
        <f t="array" ref="R1455">_xlfn.IFS(AND($A1455="thg-beauty",ISNUMBER(SEARCH("liveramp",$C1455))),"thg-beauty Liveramp dataset — confirmed safe to delete",$A1455="agile-bonbon-662",_xlfn.IFS(LEFT($G1455,9)="Tranche 1","Tranche 1: cleared",$C1455="Sessions_Level_1_All_Sites","Downstream aggregation of UA raw logs — keep if raw tables go",ISNUMBER(--$C1455),"UA raw site logs (account ID) — keep pending audit-retention check",$C1455="Emag_Reporting","Legacy but likely needed",$C1455="Nutrition_Data_Archived_Tables","Worth keeping",$C1455="EU_Data","Static lookup tables — scripts still reference (smoke-test risk)",TRUE,"Review"),OR($A1455="thg-influencer",$A1455="thg-ingenuity",$A1455="thg-central-marketing",$A1455="thg-seoclarity"),"HOLD — Charlie Stringer to review before deletion",TRUE,"")</f>
        <v/>
      </c>
      <c r="S1455" t="s">
        <v>1631</v>
      </c>
    </row>
    <row r="1456" spans="1:19" hidden="1">
      <c r="A1456" t="s">
        <v>91</v>
      </c>
      <c r="B1456" t="s">
        <v>1619</v>
      </c>
      <c r="C1456" t="s">
        <v>3183</v>
      </c>
      <c r="D1456" s="2" t="s">
        <v>1621</v>
      </c>
      <c r="E1456">
        <v>0</v>
      </c>
      <c r="F1456">
        <v>0</v>
      </c>
      <c r="G1456" t="s">
        <v>72</v>
      </c>
      <c r="H1456" t="s">
        <v>3457</v>
      </c>
      <c r="I1456">
        <v>56</v>
      </c>
      <c r="J1456">
        <v>1764</v>
      </c>
      <c r="K1456" s="5">
        <v>46141.414510925933</v>
      </c>
      <c r="M1456" s="2" t="s">
        <v>1815</v>
      </c>
      <c r="N1456" s="2" t="s">
        <v>1701</v>
      </c>
      <c r="O1456" s="5">
        <v>44432.510544074074</v>
      </c>
      <c r="P1456" t="str">
        <f>IF($Q1456="DELETE",IF($S1456="CONFIRMED: NO MODS &gt; 1YR","CONFIRMED: NO MODS &gt; 1YR","DO NOT DELETE — not defensibly confirmed"),IF($Q1456="HOLD","DO NOT DELETE — HOLD (Charlie review)",IF($Q1456="KEEP","DO NOT DELETE — KEEP",IF(ISNUMBER(SEARCH("REVIEW",$Q1456)),"DO NOT DELETE — REVIEW pending",$S1456))))</f>
        <v>REVIEW</v>
      </c>
      <c r="Q1456" t="str" cm="1">
        <f t="array" ref="Q1456">_xlfn.IFS(AND($A1456="thg-beauty",ISNUMBER(SEARCH("liveramp",$C1456))),"DELETE",$A1456="agile-bonbon-662",_xlfn.IFS(LEFT($G1456,9)="Tranche 1","DELETE",$C1456="Sessions_Level_1_All_Sites","KEEP",ISNUMBER(--$C1456),"REVIEW — UA raw logs",$C1456="Emag_Reporting","KEEP",$C1456="Nutrition_Data_Archived_Tables","KEEP",$C1456="EU_Data","KEEP",TRUE,"REVIEW"),OR($A1456="thg-influencer",$A1456="thg-ingenuity",$A1456="thg-central-marketing",$A1456="thg-seoclarity"),"HOLD",TRUE,"")</f>
        <v/>
      </c>
      <c r="R1456" t="str" cm="1">
        <f t="array" ref="R1456">_xlfn.IFS(AND($A1456="thg-beauty",ISNUMBER(SEARCH("liveramp",$C1456))),"thg-beauty Liveramp dataset — confirmed safe to delete",$A1456="agile-bonbon-662",_xlfn.IFS(LEFT($G1456,9)="Tranche 1","Tranche 1: cleared",$C1456="Sessions_Level_1_All_Sites","Downstream aggregation of UA raw logs — keep if raw tables go",ISNUMBER(--$C1456),"UA raw site logs (account ID) — keep pending audit-retention check",$C1456="Emag_Reporting","Legacy but likely needed",$C1456="Nutrition_Data_Archived_Tables","Worth keeping",$C1456="EU_Data","Static lookup tables — scripts still reference (smoke-test risk)",TRUE,"Review"),OR($A1456="thg-influencer",$A1456="thg-ingenuity",$A1456="thg-central-marketing",$A1456="thg-seoclarity"),"HOLD — Charlie Stringer to review before deletion",TRUE,"")</f>
        <v/>
      </c>
      <c r="S1456" t="s">
        <v>1631</v>
      </c>
    </row>
    <row r="1457" spans="1:19" hidden="1">
      <c r="A1457" t="s">
        <v>91</v>
      </c>
      <c r="B1457" t="s">
        <v>1619</v>
      </c>
      <c r="C1457" t="s">
        <v>3884</v>
      </c>
      <c r="D1457" s="2" t="s">
        <v>1621</v>
      </c>
      <c r="E1457">
        <v>0</v>
      </c>
      <c r="F1457">
        <v>0</v>
      </c>
      <c r="G1457" t="s">
        <v>72</v>
      </c>
      <c r="H1457" t="s">
        <v>3457</v>
      </c>
      <c r="I1457">
        <v>56</v>
      </c>
      <c r="J1457">
        <v>827</v>
      </c>
      <c r="K1457" s="5">
        <v>46141.414852002323</v>
      </c>
      <c r="M1457" s="2" t="s">
        <v>1802</v>
      </c>
      <c r="N1457" s="2" t="s">
        <v>1701</v>
      </c>
      <c r="O1457" s="5">
        <v>45369.494745069453</v>
      </c>
      <c r="P1457" t="str">
        <f>IF($Q1457="DELETE",IF($S1457="CONFIRMED: NO MODS &gt; 1YR","CONFIRMED: NO MODS &gt; 1YR","DO NOT DELETE — not defensibly confirmed"),IF($Q1457="HOLD","DO NOT DELETE — HOLD (Charlie review)",IF($Q1457="KEEP","DO NOT DELETE — KEEP",IF(ISNUMBER(SEARCH("REVIEW",$Q1457)),"DO NOT DELETE — REVIEW pending",$S1457))))</f>
        <v>REVIEW</v>
      </c>
      <c r="Q1457" t="str" cm="1">
        <f t="array" ref="Q1457">_xlfn.IFS(AND($A1457="thg-beauty",ISNUMBER(SEARCH("liveramp",$C1457))),"DELETE",$A1457="agile-bonbon-662",_xlfn.IFS(LEFT($G1457,9)="Tranche 1","DELETE",$C1457="Sessions_Level_1_All_Sites","KEEP",ISNUMBER(--$C1457),"REVIEW — UA raw logs",$C1457="Emag_Reporting","KEEP",$C1457="Nutrition_Data_Archived_Tables","KEEP",$C1457="EU_Data","KEEP",TRUE,"REVIEW"),OR($A1457="thg-influencer",$A1457="thg-ingenuity",$A1457="thg-central-marketing",$A1457="thg-seoclarity"),"HOLD",TRUE,"")</f>
        <v/>
      </c>
      <c r="R1457" t="str" cm="1">
        <f t="array" ref="R1457">_xlfn.IFS(AND($A1457="thg-beauty",ISNUMBER(SEARCH("liveramp",$C1457))),"thg-beauty Liveramp dataset — confirmed safe to delete",$A1457="agile-bonbon-662",_xlfn.IFS(LEFT($G1457,9)="Tranche 1","Tranche 1: cleared",$C1457="Sessions_Level_1_All_Sites","Downstream aggregation of UA raw logs — keep if raw tables go",ISNUMBER(--$C1457),"UA raw site logs (account ID) — keep pending audit-retention check",$C1457="Emag_Reporting","Legacy but likely needed",$C1457="Nutrition_Data_Archived_Tables","Worth keeping",$C1457="EU_Data","Static lookup tables — scripts still reference (smoke-test risk)",TRUE,"Review"),OR($A1457="thg-influencer",$A1457="thg-ingenuity",$A1457="thg-central-marketing",$A1457="thg-seoclarity"),"HOLD — Charlie Stringer to review before deletion",TRUE,"")</f>
        <v/>
      </c>
      <c r="S1457" t="s">
        <v>1631</v>
      </c>
    </row>
    <row r="1458" spans="1:19" hidden="1">
      <c r="A1458" t="s">
        <v>91</v>
      </c>
      <c r="B1458" t="s">
        <v>1619</v>
      </c>
      <c r="C1458" t="s">
        <v>3885</v>
      </c>
      <c r="D1458" s="2" t="s">
        <v>1621</v>
      </c>
      <c r="E1458">
        <v>0</v>
      </c>
      <c r="F1458">
        <v>0</v>
      </c>
      <c r="G1458" t="s">
        <v>72</v>
      </c>
      <c r="H1458" t="s">
        <v>3457</v>
      </c>
      <c r="I1458">
        <v>56</v>
      </c>
      <c r="J1458">
        <v>2217</v>
      </c>
      <c r="K1458" s="5">
        <v>46141.414325601851</v>
      </c>
      <c r="M1458" s="2" t="s">
        <v>1815</v>
      </c>
      <c r="N1458" s="2" t="s">
        <v>1701</v>
      </c>
      <c r="O1458" s="5">
        <v>43979.679423321759</v>
      </c>
      <c r="P1458" t="str">
        <f>IF($Q1458="DELETE",IF($S1458="CONFIRMED: NO MODS &gt; 1YR","CONFIRMED: NO MODS &gt; 1YR","DO NOT DELETE — not defensibly confirmed"),IF($Q1458="HOLD","DO NOT DELETE — HOLD (Charlie review)",IF($Q1458="KEEP","DO NOT DELETE — KEEP",IF(ISNUMBER(SEARCH("REVIEW",$Q1458)),"DO NOT DELETE — REVIEW pending",$S1458))))</f>
        <v>REVIEW</v>
      </c>
      <c r="Q1458" t="str" cm="1">
        <f t="array" ref="Q1458">_xlfn.IFS(AND($A1458="thg-beauty",ISNUMBER(SEARCH("liveramp",$C1458))),"DELETE",$A1458="agile-bonbon-662",_xlfn.IFS(LEFT($G1458,9)="Tranche 1","DELETE",$C1458="Sessions_Level_1_All_Sites","KEEP",ISNUMBER(--$C1458),"REVIEW — UA raw logs",$C1458="Emag_Reporting","KEEP",$C1458="Nutrition_Data_Archived_Tables","KEEP",$C1458="EU_Data","KEEP",TRUE,"REVIEW"),OR($A1458="thg-influencer",$A1458="thg-ingenuity",$A1458="thg-central-marketing",$A1458="thg-seoclarity"),"HOLD",TRUE,"")</f>
        <v/>
      </c>
      <c r="R1458" t="str" cm="1">
        <f t="array" ref="R1458">_xlfn.IFS(AND($A1458="thg-beauty",ISNUMBER(SEARCH("liveramp",$C1458))),"thg-beauty Liveramp dataset — confirmed safe to delete",$A1458="agile-bonbon-662",_xlfn.IFS(LEFT($G1458,9)="Tranche 1","Tranche 1: cleared",$C1458="Sessions_Level_1_All_Sites","Downstream aggregation of UA raw logs — keep if raw tables go",ISNUMBER(--$C1458),"UA raw site logs (account ID) — keep pending audit-retention check",$C1458="Emag_Reporting","Legacy but likely needed",$C1458="Nutrition_Data_Archived_Tables","Worth keeping",$C1458="EU_Data","Static lookup tables — scripts still reference (smoke-test risk)",TRUE,"Review"),OR($A1458="thg-influencer",$A1458="thg-ingenuity",$A1458="thg-central-marketing",$A1458="thg-seoclarity"),"HOLD — Charlie Stringer to review before deletion",TRUE,"")</f>
        <v/>
      </c>
      <c r="S1458" t="s">
        <v>1631</v>
      </c>
    </row>
    <row r="1459" spans="1:19" ht="30.75" hidden="1">
      <c r="A1459" t="s">
        <v>91</v>
      </c>
      <c r="B1459" t="s">
        <v>1619</v>
      </c>
      <c r="C1459" t="s">
        <v>3886</v>
      </c>
      <c r="D1459" s="2" t="s">
        <v>1621</v>
      </c>
      <c r="E1459">
        <v>0</v>
      </c>
      <c r="F1459">
        <v>0</v>
      </c>
      <c r="G1459" t="s">
        <v>72</v>
      </c>
      <c r="H1459" t="s">
        <v>3457</v>
      </c>
      <c r="I1459">
        <v>56</v>
      </c>
      <c r="J1459">
        <v>477</v>
      </c>
      <c r="K1459" s="5">
        <v>46141.414253807867</v>
      </c>
      <c r="M1459" s="2" t="s">
        <v>3887</v>
      </c>
      <c r="N1459" s="2" t="s">
        <v>1701</v>
      </c>
      <c r="O1459" s="5">
        <v>45719.503147453703</v>
      </c>
      <c r="P1459" t="str">
        <f>IF($Q1459="DELETE",IF($S1459="CONFIRMED: NO MODS &gt; 1YR","CONFIRMED: NO MODS &gt; 1YR","DO NOT DELETE — not defensibly confirmed"),IF($Q1459="HOLD","DO NOT DELETE — HOLD (Charlie review)",IF($Q1459="KEEP","DO NOT DELETE — KEEP",IF(ISNUMBER(SEARCH("REVIEW",$Q1459)),"DO NOT DELETE — REVIEW pending",$S1459))))</f>
        <v>REVIEW</v>
      </c>
      <c r="Q1459" t="str" cm="1">
        <f t="array" ref="Q1459">_xlfn.IFS(AND($A1459="thg-beauty",ISNUMBER(SEARCH("liveramp",$C1459))),"DELETE",$A1459="agile-bonbon-662",_xlfn.IFS(LEFT($G1459,9)="Tranche 1","DELETE",$C1459="Sessions_Level_1_All_Sites","KEEP",ISNUMBER(--$C1459),"REVIEW — UA raw logs",$C1459="Emag_Reporting","KEEP",$C1459="Nutrition_Data_Archived_Tables","KEEP",$C1459="EU_Data","KEEP",TRUE,"REVIEW"),OR($A1459="thg-influencer",$A1459="thg-ingenuity",$A1459="thg-central-marketing",$A1459="thg-seoclarity"),"HOLD",TRUE,"")</f>
        <v/>
      </c>
      <c r="R1459" t="str" cm="1">
        <f t="array" ref="R1459">_xlfn.IFS(AND($A1459="thg-beauty",ISNUMBER(SEARCH("liveramp",$C1459))),"thg-beauty Liveramp dataset — confirmed safe to delete",$A1459="agile-bonbon-662",_xlfn.IFS(LEFT($G1459,9)="Tranche 1","Tranche 1: cleared",$C1459="Sessions_Level_1_All_Sites","Downstream aggregation of UA raw logs — keep if raw tables go",ISNUMBER(--$C1459),"UA raw site logs (account ID) — keep pending audit-retention check",$C1459="Emag_Reporting","Legacy but likely needed",$C1459="Nutrition_Data_Archived_Tables","Worth keeping",$C1459="EU_Data","Static lookup tables — scripts still reference (smoke-test risk)",TRUE,"Review"),OR($A1459="thg-influencer",$A1459="thg-ingenuity",$A1459="thg-central-marketing",$A1459="thg-seoclarity"),"HOLD — Charlie Stringer to review before deletion",TRUE,"")</f>
        <v/>
      </c>
      <c r="S1459" t="s">
        <v>1631</v>
      </c>
    </row>
    <row r="1460" spans="1:19" hidden="1">
      <c r="A1460" t="s">
        <v>91</v>
      </c>
      <c r="B1460" t="s">
        <v>1619</v>
      </c>
      <c r="C1460" t="s">
        <v>3888</v>
      </c>
      <c r="D1460" s="2" t="s">
        <v>1621</v>
      </c>
      <c r="E1460">
        <v>0</v>
      </c>
      <c r="F1460">
        <v>0</v>
      </c>
      <c r="G1460" t="s">
        <v>72</v>
      </c>
      <c r="H1460" t="s">
        <v>3457</v>
      </c>
      <c r="I1460">
        <v>56</v>
      </c>
      <c r="J1460">
        <v>672</v>
      </c>
      <c r="K1460" s="5">
        <v>46141.41469766204</v>
      </c>
      <c r="M1460" s="2" t="s">
        <v>1802</v>
      </c>
      <c r="N1460" s="2" t="s">
        <v>1701</v>
      </c>
      <c r="O1460" s="5">
        <v>45525.377493252323</v>
      </c>
      <c r="P1460" t="str">
        <f>IF($Q1460="DELETE",IF($S1460="CONFIRMED: NO MODS &gt; 1YR","CONFIRMED: NO MODS &gt; 1YR","DO NOT DELETE — not defensibly confirmed"),IF($Q1460="HOLD","DO NOT DELETE — HOLD (Charlie review)",IF($Q1460="KEEP","DO NOT DELETE — KEEP",IF(ISNUMBER(SEARCH("REVIEW",$Q1460)),"DO NOT DELETE — REVIEW pending",$S1460))))</f>
        <v>REVIEW</v>
      </c>
      <c r="Q1460" t="str" cm="1">
        <f t="array" ref="Q1460">_xlfn.IFS(AND($A1460="thg-beauty",ISNUMBER(SEARCH("liveramp",$C1460))),"DELETE",$A1460="agile-bonbon-662",_xlfn.IFS(LEFT($G1460,9)="Tranche 1","DELETE",$C1460="Sessions_Level_1_All_Sites","KEEP",ISNUMBER(--$C1460),"REVIEW — UA raw logs",$C1460="Emag_Reporting","KEEP",$C1460="Nutrition_Data_Archived_Tables","KEEP",$C1460="EU_Data","KEEP",TRUE,"REVIEW"),OR($A1460="thg-influencer",$A1460="thg-ingenuity",$A1460="thg-central-marketing",$A1460="thg-seoclarity"),"HOLD",TRUE,"")</f>
        <v/>
      </c>
      <c r="R1460" t="str" cm="1">
        <f t="array" ref="R1460">_xlfn.IFS(AND($A1460="thg-beauty",ISNUMBER(SEARCH("liveramp",$C1460))),"thg-beauty Liveramp dataset — confirmed safe to delete",$A1460="agile-bonbon-662",_xlfn.IFS(LEFT($G1460,9)="Tranche 1","Tranche 1: cleared",$C1460="Sessions_Level_1_All_Sites","Downstream aggregation of UA raw logs — keep if raw tables go",ISNUMBER(--$C1460),"UA raw site logs (account ID) — keep pending audit-retention check",$C1460="Emag_Reporting","Legacy but likely needed",$C1460="Nutrition_Data_Archived_Tables","Worth keeping",$C1460="EU_Data","Static lookup tables — scripts still reference (smoke-test risk)",TRUE,"Review"),OR($A1460="thg-influencer",$A1460="thg-ingenuity",$A1460="thg-central-marketing",$A1460="thg-seoclarity"),"HOLD — Charlie Stringer to review before deletion",TRUE,"")</f>
        <v/>
      </c>
      <c r="S1460" t="s">
        <v>1631</v>
      </c>
    </row>
    <row r="1461" spans="1:19" hidden="1">
      <c r="A1461" t="s">
        <v>91</v>
      </c>
      <c r="B1461" t="s">
        <v>1619</v>
      </c>
      <c r="C1461" t="s">
        <v>2821</v>
      </c>
      <c r="D1461" s="2" t="s">
        <v>1621</v>
      </c>
      <c r="E1461">
        <v>0</v>
      </c>
      <c r="F1461">
        <v>0</v>
      </c>
      <c r="G1461" t="s">
        <v>72</v>
      </c>
      <c r="H1461" t="s">
        <v>3457</v>
      </c>
      <c r="I1461">
        <v>56</v>
      </c>
      <c r="J1461">
        <v>973</v>
      </c>
      <c r="K1461" s="5">
        <v>46141.414654386572</v>
      </c>
      <c r="M1461" s="2" t="s">
        <v>1802</v>
      </c>
      <c r="N1461" s="2" t="s">
        <v>1701</v>
      </c>
      <c r="O1461" s="5">
        <v>45223.595719699071</v>
      </c>
      <c r="P1461" t="str">
        <f>IF($Q1461="DELETE",IF($S1461="CONFIRMED: NO MODS &gt; 1YR","CONFIRMED: NO MODS &gt; 1YR","DO NOT DELETE — not defensibly confirmed"),IF($Q1461="HOLD","DO NOT DELETE — HOLD (Charlie review)",IF($Q1461="KEEP","DO NOT DELETE — KEEP",IF(ISNUMBER(SEARCH("REVIEW",$Q1461)),"DO NOT DELETE — REVIEW pending",$S1461))))</f>
        <v>REVIEW</v>
      </c>
      <c r="Q1461" t="str" cm="1">
        <f t="array" ref="Q1461">_xlfn.IFS(AND($A1461="thg-beauty",ISNUMBER(SEARCH("liveramp",$C1461))),"DELETE",$A1461="agile-bonbon-662",_xlfn.IFS(LEFT($G1461,9)="Tranche 1","DELETE",$C1461="Sessions_Level_1_All_Sites","KEEP",ISNUMBER(--$C1461),"REVIEW — UA raw logs",$C1461="Emag_Reporting","KEEP",$C1461="Nutrition_Data_Archived_Tables","KEEP",$C1461="EU_Data","KEEP",TRUE,"REVIEW"),OR($A1461="thg-influencer",$A1461="thg-ingenuity",$A1461="thg-central-marketing",$A1461="thg-seoclarity"),"HOLD",TRUE,"")</f>
        <v/>
      </c>
      <c r="R1461" t="str" cm="1">
        <f t="array" ref="R1461">_xlfn.IFS(AND($A1461="thg-beauty",ISNUMBER(SEARCH("liveramp",$C1461))),"thg-beauty Liveramp dataset — confirmed safe to delete",$A1461="agile-bonbon-662",_xlfn.IFS(LEFT($G1461,9)="Tranche 1","Tranche 1: cleared",$C1461="Sessions_Level_1_All_Sites","Downstream aggregation of UA raw logs — keep if raw tables go",ISNUMBER(--$C1461),"UA raw site logs (account ID) — keep pending audit-retention check",$C1461="Emag_Reporting","Legacy but likely needed",$C1461="Nutrition_Data_Archived_Tables","Worth keeping",$C1461="EU_Data","Static lookup tables — scripts still reference (smoke-test risk)",TRUE,"Review"),OR($A1461="thg-influencer",$A1461="thg-ingenuity",$A1461="thg-central-marketing",$A1461="thg-seoclarity"),"HOLD — Charlie Stringer to review before deletion",TRUE,"")</f>
        <v/>
      </c>
      <c r="S1461" t="s">
        <v>1631</v>
      </c>
    </row>
    <row r="1462" spans="1:19" hidden="1">
      <c r="A1462" t="s">
        <v>91</v>
      </c>
      <c r="B1462" t="s">
        <v>1619</v>
      </c>
      <c r="C1462" t="s">
        <v>3889</v>
      </c>
      <c r="D1462" s="2" t="s">
        <v>1621</v>
      </c>
      <c r="E1462">
        <v>0</v>
      </c>
      <c r="F1462">
        <v>0</v>
      </c>
      <c r="G1462" t="s">
        <v>72</v>
      </c>
      <c r="H1462" t="s">
        <v>3457</v>
      </c>
      <c r="I1462">
        <v>56</v>
      </c>
      <c r="J1462">
        <v>495</v>
      </c>
      <c r="K1462" s="5">
        <v>46141.414327106482</v>
      </c>
      <c r="M1462" s="2" t="s">
        <v>1815</v>
      </c>
      <c r="N1462" s="2" t="s">
        <v>1701</v>
      </c>
      <c r="O1462" s="5">
        <v>45701.652335486113</v>
      </c>
      <c r="P1462" t="str">
        <f>IF($Q1462="DELETE",IF($S1462="CONFIRMED: NO MODS &gt; 1YR","CONFIRMED: NO MODS &gt; 1YR","DO NOT DELETE — not defensibly confirmed"),IF($Q1462="HOLD","DO NOT DELETE — HOLD (Charlie review)",IF($Q1462="KEEP","DO NOT DELETE — KEEP",IF(ISNUMBER(SEARCH("REVIEW",$Q1462)),"DO NOT DELETE — REVIEW pending",$S1462))))</f>
        <v>REVIEW</v>
      </c>
      <c r="Q1462" t="str" cm="1">
        <f t="array" ref="Q1462">_xlfn.IFS(AND($A1462="thg-beauty",ISNUMBER(SEARCH("liveramp",$C1462))),"DELETE",$A1462="agile-bonbon-662",_xlfn.IFS(LEFT($G1462,9)="Tranche 1","DELETE",$C1462="Sessions_Level_1_All_Sites","KEEP",ISNUMBER(--$C1462),"REVIEW — UA raw logs",$C1462="Emag_Reporting","KEEP",$C1462="Nutrition_Data_Archived_Tables","KEEP",$C1462="EU_Data","KEEP",TRUE,"REVIEW"),OR($A1462="thg-influencer",$A1462="thg-ingenuity",$A1462="thg-central-marketing",$A1462="thg-seoclarity"),"HOLD",TRUE,"")</f>
        <v/>
      </c>
      <c r="R1462" t="str" cm="1">
        <f t="array" ref="R1462">_xlfn.IFS(AND($A1462="thg-beauty",ISNUMBER(SEARCH("liveramp",$C1462))),"thg-beauty Liveramp dataset — confirmed safe to delete",$A1462="agile-bonbon-662",_xlfn.IFS(LEFT($G1462,9)="Tranche 1","Tranche 1: cleared",$C1462="Sessions_Level_1_All_Sites","Downstream aggregation of UA raw logs — keep if raw tables go",ISNUMBER(--$C1462),"UA raw site logs (account ID) — keep pending audit-retention check",$C1462="Emag_Reporting","Legacy but likely needed",$C1462="Nutrition_Data_Archived_Tables","Worth keeping",$C1462="EU_Data","Static lookup tables — scripts still reference (smoke-test risk)",TRUE,"Review"),OR($A1462="thg-influencer",$A1462="thg-ingenuity",$A1462="thg-central-marketing",$A1462="thg-seoclarity"),"HOLD — Charlie Stringer to review before deletion",TRUE,"")</f>
        <v/>
      </c>
      <c r="S1462" t="s">
        <v>1631</v>
      </c>
    </row>
    <row r="1463" spans="1:19" hidden="1">
      <c r="A1463" t="s">
        <v>91</v>
      </c>
      <c r="B1463" t="s">
        <v>1619</v>
      </c>
      <c r="C1463" t="s">
        <v>3890</v>
      </c>
      <c r="D1463" s="2" t="s">
        <v>1621</v>
      </c>
      <c r="E1463">
        <v>0</v>
      </c>
      <c r="F1463">
        <v>0</v>
      </c>
      <c r="G1463" t="s">
        <v>72</v>
      </c>
      <c r="H1463" t="s">
        <v>3457</v>
      </c>
      <c r="I1463">
        <v>56</v>
      </c>
      <c r="J1463">
        <v>933</v>
      </c>
      <c r="K1463" s="5">
        <v>46141.415025543982</v>
      </c>
      <c r="M1463" s="2" t="s">
        <v>1802</v>
      </c>
      <c r="N1463" s="2" t="s">
        <v>1701</v>
      </c>
      <c r="O1463" s="5">
        <v>45263.85518377315</v>
      </c>
      <c r="P1463" t="str">
        <f>IF($Q1463="DELETE",IF($S1463="CONFIRMED: NO MODS &gt; 1YR","CONFIRMED: NO MODS &gt; 1YR","DO NOT DELETE — not defensibly confirmed"),IF($Q1463="HOLD","DO NOT DELETE — HOLD (Charlie review)",IF($Q1463="KEEP","DO NOT DELETE — KEEP",IF(ISNUMBER(SEARCH("REVIEW",$Q1463)),"DO NOT DELETE — REVIEW pending",$S1463))))</f>
        <v>REVIEW</v>
      </c>
      <c r="Q1463" t="str" cm="1">
        <f t="array" ref="Q1463">_xlfn.IFS(AND($A1463="thg-beauty",ISNUMBER(SEARCH("liveramp",$C1463))),"DELETE",$A1463="agile-bonbon-662",_xlfn.IFS(LEFT($G1463,9)="Tranche 1","DELETE",$C1463="Sessions_Level_1_All_Sites","KEEP",ISNUMBER(--$C1463),"REVIEW — UA raw logs",$C1463="Emag_Reporting","KEEP",$C1463="Nutrition_Data_Archived_Tables","KEEP",$C1463="EU_Data","KEEP",TRUE,"REVIEW"),OR($A1463="thg-influencer",$A1463="thg-ingenuity",$A1463="thg-central-marketing",$A1463="thg-seoclarity"),"HOLD",TRUE,"")</f>
        <v/>
      </c>
      <c r="R1463" t="str" cm="1">
        <f t="array" ref="R1463">_xlfn.IFS(AND($A1463="thg-beauty",ISNUMBER(SEARCH("liveramp",$C1463))),"thg-beauty Liveramp dataset — confirmed safe to delete",$A1463="agile-bonbon-662",_xlfn.IFS(LEFT($G1463,9)="Tranche 1","Tranche 1: cleared",$C1463="Sessions_Level_1_All_Sites","Downstream aggregation of UA raw logs — keep if raw tables go",ISNUMBER(--$C1463),"UA raw site logs (account ID) — keep pending audit-retention check",$C1463="Emag_Reporting","Legacy but likely needed",$C1463="Nutrition_Data_Archived_Tables","Worth keeping",$C1463="EU_Data","Static lookup tables — scripts still reference (smoke-test risk)",TRUE,"Review"),OR($A1463="thg-influencer",$A1463="thg-ingenuity",$A1463="thg-central-marketing",$A1463="thg-seoclarity"),"HOLD — Charlie Stringer to review before deletion",TRUE,"")</f>
        <v/>
      </c>
      <c r="S1463" t="s">
        <v>1631</v>
      </c>
    </row>
    <row r="1464" spans="1:19" hidden="1">
      <c r="A1464" t="s">
        <v>91</v>
      </c>
      <c r="B1464" t="s">
        <v>1619</v>
      </c>
      <c r="C1464" t="s">
        <v>3891</v>
      </c>
      <c r="D1464" s="2" t="s">
        <v>1621</v>
      </c>
      <c r="E1464">
        <v>0</v>
      </c>
      <c r="F1464">
        <v>0</v>
      </c>
      <c r="G1464" t="s">
        <v>72</v>
      </c>
      <c r="H1464" t="s">
        <v>3457</v>
      </c>
      <c r="I1464">
        <v>56</v>
      </c>
      <c r="J1464">
        <v>2307</v>
      </c>
      <c r="K1464" s="5">
        <v>46141.414421643523</v>
      </c>
      <c r="M1464" s="2" t="s">
        <v>1815</v>
      </c>
      <c r="N1464" s="2" t="s">
        <v>1701</v>
      </c>
      <c r="O1464" s="5">
        <v>43889.521038078703</v>
      </c>
      <c r="P1464" t="str">
        <f>IF($Q1464="DELETE",IF($S1464="CONFIRMED: NO MODS &gt; 1YR","CONFIRMED: NO MODS &gt; 1YR","DO NOT DELETE — not defensibly confirmed"),IF($Q1464="HOLD","DO NOT DELETE — HOLD (Charlie review)",IF($Q1464="KEEP","DO NOT DELETE — KEEP",IF(ISNUMBER(SEARCH("REVIEW",$Q1464)),"DO NOT DELETE — REVIEW pending",$S1464))))</f>
        <v>REVIEW</v>
      </c>
      <c r="Q1464" t="str" cm="1">
        <f t="array" ref="Q1464">_xlfn.IFS(AND($A1464="thg-beauty",ISNUMBER(SEARCH("liveramp",$C1464))),"DELETE",$A1464="agile-bonbon-662",_xlfn.IFS(LEFT($G1464,9)="Tranche 1","DELETE",$C1464="Sessions_Level_1_All_Sites","KEEP",ISNUMBER(--$C1464),"REVIEW — UA raw logs",$C1464="Emag_Reporting","KEEP",$C1464="Nutrition_Data_Archived_Tables","KEEP",$C1464="EU_Data","KEEP",TRUE,"REVIEW"),OR($A1464="thg-influencer",$A1464="thg-ingenuity",$A1464="thg-central-marketing",$A1464="thg-seoclarity"),"HOLD",TRUE,"")</f>
        <v/>
      </c>
      <c r="R1464" t="str" cm="1">
        <f t="array" ref="R1464">_xlfn.IFS(AND($A1464="thg-beauty",ISNUMBER(SEARCH("liveramp",$C1464))),"thg-beauty Liveramp dataset — confirmed safe to delete",$A1464="agile-bonbon-662",_xlfn.IFS(LEFT($G1464,9)="Tranche 1","Tranche 1: cleared",$C1464="Sessions_Level_1_All_Sites","Downstream aggregation of UA raw logs — keep if raw tables go",ISNUMBER(--$C1464),"UA raw site logs (account ID) — keep pending audit-retention check",$C1464="Emag_Reporting","Legacy but likely needed",$C1464="Nutrition_Data_Archived_Tables","Worth keeping",$C1464="EU_Data","Static lookup tables — scripts still reference (smoke-test risk)",TRUE,"Review"),OR($A1464="thg-influencer",$A1464="thg-ingenuity",$A1464="thg-central-marketing",$A1464="thg-seoclarity"),"HOLD — Charlie Stringer to review before deletion",TRUE,"")</f>
        <v/>
      </c>
      <c r="S1464" t="s">
        <v>1631</v>
      </c>
    </row>
    <row r="1465" spans="1:19" hidden="1">
      <c r="A1465" t="s">
        <v>91</v>
      </c>
      <c r="B1465" t="s">
        <v>1619</v>
      </c>
      <c r="C1465" t="s">
        <v>3892</v>
      </c>
      <c r="D1465" s="2" t="s">
        <v>1621</v>
      </c>
      <c r="E1465">
        <v>0</v>
      </c>
      <c r="F1465">
        <v>0</v>
      </c>
      <c r="G1465" t="s">
        <v>72</v>
      </c>
      <c r="H1465" t="s">
        <v>3457</v>
      </c>
      <c r="I1465">
        <v>56</v>
      </c>
      <c r="J1465">
        <v>2241</v>
      </c>
      <c r="K1465" s="5">
        <v>46141.414976388893</v>
      </c>
      <c r="M1465" s="2" t="s">
        <v>1802</v>
      </c>
      <c r="N1465" s="2" t="s">
        <v>1701</v>
      </c>
      <c r="O1465" s="5">
        <v>43955.689712025473</v>
      </c>
      <c r="P1465" t="str">
        <f>IF($Q1465="DELETE",IF($S1465="CONFIRMED: NO MODS &gt; 1YR","CONFIRMED: NO MODS &gt; 1YR","DO NOT DELETE — not defensibly confirmed"),IF($Q1465="HOLD","DO NOT DELETE — HOLD (Charlie review)",IF($Q1465="KEEP","DO NOT DELETE — KEEP",IF(ISNUMBER(SEARCH("REVIEW",$Q1465)),"DO NOT DELETE — REVIEW pending",$S1465))))</f>
        <v>REVIEW</v>
      </c>
      <c r="Q1465" t="str" cm="1">
        <f t="array" ref="Q1465">_xlfn.IFS(AND($A1465="thg-beauty",ISNUMBER(SEARCH("liveramp",$C1465))),"DELETE",$A1465="agile-bonbon-662",_xlfn.IFS(LEFT($G1465,9)="Tranche 1","DELETE",$C1465="Sessions_Level_1_All_Sites","KEEP",ISNUMBER(--$C1465),"REVIEW — UA raw logs",$C1465="Emag_Reporting","KEEP",$C1465="Nutrition_Data_Archived_Tables","KEEP",$C1465="EU_Data","KEEP",TRUE,"REVIEW"),OR($A1465="thg-influencer",$A1465="thg-ingenuity",$A1465="thg-central-marketing",$A1465="thg-seoclarity"),"HOLD",TRUE,"")</f>
        <v/>
      </c>
      <c r="R1465" t="str" cm="1">
        <f t="array" ref="R1465">_xlfn.IFS(AND($A1465="thg-beauty",ISNUMBER(SEARCH("liveramp",$C1465))),"thg-beauty Liveramp dataset — confirmed safe to delete",$A1465="agile-bonbon-662",_xlfn.IFS(LEFT($G1465,9)="Tranche 1","Tranche 1: cleared",$C1465="Sessions_Level_1_All_Sites","Downstream aggregation of UA raw logs — keep if raw tables go",ISNUMBER(--$C1465),"UA raw site logs (account ID) — keep pending audit-retention check",$C1465="Emag_Reporting","Legacy but likely needed",$C1465="Nutrition_Data_Archived_Tables","Worth keeping",$C1465="EU_Data","Static lookup tables — scripts still reference (smoke-test risk)",TRUE,"Review"),OR($A1465="thg-influencer",$A1465="thg-ingenuity",$A1465="thg-central-marketing",$A1465="thg-seoclarity"),"HOLD — Charlie Stringer to review before deletion",TRUE,"")</f>
        <v/>
      </c>
      <c r="S1465" t="s">
        <v>1631</v>
      </c>
    </row>
    <row r="1466" spans="1:19" ht="30.75" hidden="1">
      <c r="A1466" t="s">
        <v>90</v>
      </c>
      <c r="B1466" t="s">
        <v>1619</v>
      </c>
      <c r="C1466" t="s">
        <v>1891</v>
      </c>
      <c r="D1466" s="2" t="s">
        <v>1621</v>
      </c>
      <c r="E1466">
        <v>0</v>
      </c>
      <c r="F1466">
        <v>0</v>
      </c>
      <c r="G1466" t="s">
        <v>72</v>
      </c>
      <c r="H1466" t="s">
        <v>3457</v>
      </c>
      <c r="I1466">
        <v>40</v>
      </c>
      <c r="J1466">
        <v>1723</v>
      </c>
      <c r="K1466" s="5">
        <v>46141.387775671297</v>
      </c>
      <c r="L1466" s="5">
        <v>46157.435446701391</v>
      </c>
      <c r="M1466" s="2" t="s">
        <v>1800</v>
      </c>
      <c r="N1466" s="2" t="s">
        <v>3893</v>
      </c>
      <c r="O1466" s="5">
        <v>44473.695505925927</v>
      </c>
      <c r="P1466" t="str">
        <f>IF($Q1466="DELETE",IF($S1466="CONFIRMED: NO MODS &gt; 1YR","CONFIRMED: NO MODS &gt; 1YR","DO NOT DELETE — not defensibly confirmed"),IF($Q1466="HOLD","DO NOT DELETE — HOLD (Charlie review)",IF($Q1466="KEEP","DO NOT DELETE — KEEP",IF(ISNUMBER(SEARCH("REVIEW",$Q1466)),"DO NOT DELETE — REVIEW pending",$S1466))))</f>
        <v>REVIEW</v>
      </c>
      <c r="Q1466" t="str" cm="1">
        <f t="array" ref="Q1466">_xlfn.IFS(AND($A1466="thg-beauty",ISNUMBER(SEARCH("liveramp",$C1466))),"DELETE",$A1466="agile-bonbon-662",_xlfn.IFS(LEFT($G1466,9)="Tranche 1","DELETE",$C1466="Sessions_Level_1_All_Sites","KEEP",ISNUMBER(--$C1466),"REVIEW — UA raw logs",$C1466="Emag_Reporting","KEEP",$C1466="Nutrition_Data_Archived_Tables","KEEP",$C1466="EU_Data","KEEP",TRUE,"REVIEW"),OR($A1466="thg-influencer",$A1466="thg-ingenuity",$A1466="thg-central-marketing",$A1466="thg-seoclarity"),"HOLD",TRUE,"")</f>
        <v/>
      </c>
      <c r="R1466" t="str" cm="1">
        <f t="array" ref="R1466">_xlfn.IFS(AND($A1466="thg-beauty",ISNUMBER(SEARCH("liveramp",$C1466))),"thg-beauty Liveramp dataset — confirmed safe to delete",$A1466="agile-bonbon-662",_xlfn.IFS(LEFT($G1466,9)="Tranche 1","Tranche 1: cleared",$C1466="Sessions_Level_1_All_Sites","Downstream aggregation of UA raw logs — keep if raw tables go",ISNUMBER(--$C1466),"UA raw site logs (account ID) — keep pending audit-retention check",$C1466="Emag_Reporting","Legacy but likely needed",$C1466="Nutrition_Data_Archived_Tables","Worth keeping",$C1466="EU_Data","Static lookup tables — scripts still reference (smoke-test risk)",TRUE,"Review"),OR($A1466="thg-influencer",$A1466="thg-ingenuity",$A1466="thg-central-marketing",$A1466="thg-seoclarity"),"HOLD — Charlie Stringer to review before deletion",TRUE,"")</f>
        <v/>
      </c>
      <c r="S1466" t="s">
        <v>1631</v>
      </c>
    </row>
    <row r="1467" spans="1:19" ht="45.75" hidden="1">
      <c r="A1467" t="s">
        <v>89</v>
      </c>
      <c r="B1467" t="s">
        <v>1619</v>
      </c>
      <c r="C1467" t="s">
        <v>789</v>
      </c>
      <c r="D1467" s="2" t="s">
        <v>1621</v>
      </c>
      <c r="E1467">
        <v>96.3</v>
      </c>
      <c r="F1467">
        <v>1.93</v>
      </c>
      <c r="G1467" t="s">
        <v>72</v>
      </c>
      <c r="H1467" t="s">
        <v>3457</v>
      </c>
      <c r="I1467">
        <v>35</v>
      </c>
      <c r="J1467">
        <v>1694</v>
      </c>
      <c r="K1467" s="5">
        <v>46161.611354108798</v>
      </c>
      <c r="M1467" s="2" t="s">
        <v>3397</v>
      </c>
      <c r="N1467" s="2" t="s">
        <v>1701</v>
      </c>
      <c r="O1467" s="5">
        <v>44503.345229548613</v>
      </c>
      <c r="P1467" t="str">
        <f>IF($Q1467="DELETE",IF($S1467="CONFIRMED: NO MODS &gt; 1YR","CONFIRMED: NO MODS &gt; 1YR","DO NOT DELETE — not defensibly confirmed"),IF($Q1467="HOLD","DO NOT DELETE — HOLD (Charlie review)",IF($Q1467="KEEP","DO NOT DELETE — KEEP",IF(ISNUMBER(SEARCH("REVIEW",$Q1467)),"DO NOT DELETE — REVIEW pending",$S1467))))</f>
        <v>DO NOT DELETE — REVIEW pending</v>
      </c>
      <c r="Q1467" t="str" cm="1">
        <f t="array" ref="Q1467">_xlfn.IFS(AND($A1467="thg-beauty",ISNUMBER(SEARCH("liveramp",$C1467))),"DELETE",$A1467="agile-bonbon-662",_xlfn.IFS(LEFT($G1467,9)="Tranche 1","DELETE",$C1467="Sessions_Level_1_All_Sites","KEEP",ISNUMBER(--$C1467),"REVIEW — UA raw logs",$C1467="Emag_Reporting","KEEP",$C1467="Nutrition_Data_Archived_Tables","KEEP",$C1467="EU_Data","KEEP",TRUE,"REVIEW"),OR($A1467="thg-influencer",$A1467="thg-ingenuity",$A1467="thg-central-marketing",$A1467="thg-seoclarity"),"HOLD",TRUE,"")</f>
        <v>REVIEW</v>
      </c>
      <c r="R1467" t="str" cm="1">
        <f t="array" ref="R1467">_xlfn.IFS(AND($A1467="thg-beauty",ISNUMBER(SEARCH("liveramp",$C1467))),"thg-beauty Liveramp dataset — confirmed safe to delete",$A1467="agile-bonbon-662",_xlfn.IFS(LEFT($G1467,9)="Tranche 1","Tranche 1: cleared",$C1467="Sessions_Level_1_All_Sites","Downstream aggregation of UA raw logs — keep if raw tables go",ISNUMBER(--$C1467),"UA raw site logs (account ID) — keep pending audit-retention check",$C1467="Emag_Reporting","Legacy but likely needed",$C1467="Nutrition_Data_Archived_Tables","Worth keeping",$C1467="EU_Data","Static lookup tables — scripts still reference (smoke-test risk)",TRUE,"Review"),OR($A1467="thg-influencer",$A1467="thg-ingenuity",$A1467="thg-central-marketing",$A1467="thg-seoclarity"),"HOLD — Charlie Stringer to review before deletion",TRUE,"")</f>
        <v>Review</v>
      </c>
      <c r="S1467" t="s">
        <v>1631</v>
      </c>
    </row>
    <row r="1468" spans="1:19" ht="76.5" hidden="1">
      <c r="A1468" t="s">
        <v>89</v>
      </c>
      <c r="B1468" t="s">
        <v>1619</v>
      </c>
      <c r="C1468" t="s">
        <v>794</v>
      </c>
      <c r="D1468" s="2" t="s">
        <v>1621</v>
      </c>
      <c r="E1468">
        <v>94.91</v>
      </c>
      <c r="F1468">
        <v>1.9</v>
      </c>
      <c r="G1468" t="s">
        <v>72</v>
      </c>
      <c r="H1468" t="s">
        <v>3457</v>
      </c>
      <c r="I1468">
        <v>35</v>
      </c>
      <c r="J1468">
        <v>1226</v>
      </c>
      <c r="K1468" s="5">
        <v>46161.604842789347</v>
      </c>
      <c r="M1468" s="2" t="s">
        <v>3894</v>
      </c>
      <c r="N1468" s="2" t="s">
        <v>1701</v>
      </c>
      <c r="O1468" s="5">
        <v>44970.682888935182</v>
      </c>
      <c r="P1468" t="str">
        <f>IF($Q1468="DELETE",IF($S1468="CONFIRMED: NO MODS &gt; 1YR","CONFIRMED: NO MODS &gt; 1YR","DO NOT DELETE — not defensibly confirmed"),IF($Q1468="HOLD","DO NOT DELETE — HOLD (Charlie review)",IF($Q1468="KEEP","DO NOT DELETE — KEEP",IF(ISNUMBER(SEARCH("REVIEW",$Q1468)),"DO NOT DELETE — REVIEW pending",$S1468))))</f>
        <v>DO NOT DELETE — REVIEW pending</v>
      </c>
      <c r="Q1468" t="str" cm="1">
        <f t="array" ref="Q1468">_xlfn.IFS(AND($A1468="thg-beauty",ISNUMBER(SEARCH("liveramp",$C1468))),"DELETE",$A1468="agile-bonbon-662",_xlfn.IFS(LEFT($G1468,9)="Tranche 1","DELETE",$C1468="Sessions_Level_1_All_Sites","KEEP",ISNUMBER(--$C1468),"REVIEW — UA raw logs",$C1468="Emag_Reporting","KEEP",$C1468="Nutrition_Data_Archived_Tables","KEEP",$C1468="EU_Data","KEEP",TRUE,"REVIEW"),OR($A1468="thg-influencer",$A1468="thg-ingenuity",$A1468="thg-central-marketing",$A1468="thg-seoclarity"),"HOLD",TRUE,"")</f>
        <v>REVIEW</v>
      </c>
      <c r="R1468" t="str" cm="1">
        <f t="array" ref="R1468">_xlfn.IFS(AND($A1468="thg-beauty",ISNUMBER(SEARCH("liveramp",$C1468))),"thg-beauty Liveramp dataset — confirmed safe to delete",$A1468="agile-bonbon-662",_xlfn.IFS(LEFT($G1468,9)="Tranche 1","Tranche 1: cleared",$C1468="Sessions_Level_1_All_Sites","Downstream aggregation of UA raw logs — keep if raw tables go",ISNUMBER(--$C1468),"UA raw site logs (account ID) — keep pending audit-retention check",$C1468="Emag_Reporting","Legacy but likely needed",$C1468="Nutrition_Data_Archived_Tables","Worth keeping",$C1468="EU_Data","Static lookup tables — scripts still reference (smoke-test risk)",TRUE,"Review"),OR($A1468="thg-influencer",$A1468="thg-ingenuity",$A1468="thg-central-marketing",$A1468="thg-seoclarity"),"HOLD — Charlie Stringer to review before deletion",TRUE,"")</f>
        <v>Review</v>
      </c>
      <c r="S1468" t="s">
        <v>1631</v>
      </c>
    </row>
    <row r="1469" spans="1:19" ht="45.75" hidden="1">
      <c r="A1469" t="s">
        <v>89</v>
      </c>
      <c r="B1469" t="s">
        <v>1619</v>
      </c>
      <c r="C1469" t="s">
        <v>804</v>
      </c>
      <c r="D1469" s="2" t="s">
        <v>1621</v>
      </c>
      <c r="E1469">
        <v>88.5</v>
      </c>
      <c r="F1469">
        <v>1.77</v>
      </c>
      <c r="G1469" t="s">
        <v>72</v>
      </c>
      <c r="H1469" t="s">
        <v>3457</v>
      </c>
      <c r="I1469">
        <v>35</v>
      </c>
      <c r="J1469">
        <v>777</v>
      </c>
      <c r="K1469" s="5">
        <v>46161.61622797454</v>
      </c>
      <c r="M1469" s="2" t="s">
        <v>1938</v>
      </c>
      <c r="N1469" s="2" t="s">
        <v>1701</v>
      </c>
      <c r="O1469" s="5">
        <v>45420.245896469911</v>
      </c>
      <c r="P1469" t="str">
        <f>IF($Q1469="DELETE",IF($S1469="CONFIRMED: NO MODS &gt; 1YR","CONFIRMED: NO MODS &gt; 1YR","DO NOT DELETE — not defensibly confirmed"),IF($Q1469="HOLD","DO NOT DELETE — HOLD (Charlie review)",IF($Q1469="KEEP","DO NOT DELETE — KEEP",IF(ISNUMBER(SEARCH("REVIEW",$Q1469)),"DO NOT DELETE — REVIEW pending",$S1469))))</f>
        <v>DO NOT DELETE — REVIEW pending</v>
      </c>
      <c r="Q1469" t="str" cm="1">
        <f t="array" ref="Q1469">_xlfn.IFS(AND($A1469="thg-beauty",ISNUMBER(SEARCH("liveramp",$C1469))),"DELETE",$A1469="agile-bonbon-662",_xlfn.IFS(LEFT($G1469,9)="Tranche 1","DELETE",$C1469="Sessions_Level_1_All_Sites","KEEP",ISNUMBER(--$C1469),"REVIEW — UA raw logs",$C1469="Emag_Reporting","KEEP",$C1469="Nutrition_Data_Archived_Tables","KEEP",$C1469="EU_Data","KEEP",TRUE,"REVIEW"),OR($A1469="thg-influencer",$A1469="thg-ingenuity",$A1469="thg-central-marketing",$A1469="thg-seoclarity"),"HOLD",TRUE,"")</f>
        <v>REVIEW</v>
      </c>
      <c r="R1469" t="str" cm="1">
        <f t="array" ref="R1469">_xlfn.IFS(AND($A1469="thg-beauty",ISNUMBER(SEARCH("liveramp",$C1469))),"thg-beauty Liveramp dataset — confirmed safe to delete",$A1469="agile-bonbon-662",_xlfn.IFS(LEFT($G1469,9)="Tranche 1","Tranche 1: cleared",$C1469="Sessions_Level_1_All_Sites","Downstream aggregation of UA raw logs — keep if raw tables go",ISNUMBER(--$C1469),"UA raw site logs (account ID) — keep pending audit-retention check",$C1469="Emag_Reporting","Legacy but likely needed",$C1469="Nutrition_Data_Archived_Tables","Worth keeping",$C1469="EU_Data","Static lookup tables — scripts still reference (smoke-test risk)",TRUE,"Review"),OR($A1469="thg-influencer",$A1469="thg-ingenuity",$A1469="thg-central-marketing",$A1469="thg-seoclarity"),"HOLD — Charlie Stringer to review before deletion",TRUE,"")</f>
        <v>Review</v>
      </c>
      <c r="S1469" t="s">
        <v>1631</v>
      </c>
    </row>
    <row r="1470" spans="1:19" ht="45.75" hidden="1">
      <c r="A1470" t="s">
        <v>89</v>
      </c>
      <c r="B1470" t="s">
        <v>1619</v>
      </c>
      <c r="C1470" t="s">
        <v>799</v>
      </c>
      <c r="D1470" s="2" t="s">
        <v>1621</v>
      </c>
      <c r="E1470">
        <v>88.33</v>
      </c>
      <c r="F1470">
        <v>1.77</v>
      </c>
      <c r="G1470" t="s">
        <v>72</v>
      </c>
      <c r="H1470" t="s">
        <v>3457</v>
      </c>
      <c r="I1470">
        <v>35</v>
      </c>
      <c r="J1470">
        <v>388</v>
      </c>
      <c r="K1470" s="5">
        <v>46161.61842421296</v>
      </c>
      <c r="M1470" s="2" t="s">
        <v>1945</v>
      </c>
      <c r="N1470" s="2" t="s">
        <v>1701</v>
      </c>
      <c r="O1470" s="5">
        <v>45809.366749490742</v>
      </c>
      <c r="P1470" t="str">
        <f>IF($Q1470="DELETE",IF($S1470="CONFIRMED: NO MODS &gt; 1YR","CONFIRMED: NO MODS &gt; 1YR","DO NOT DELETE — not defensibly confirmed"),IF($Q1470="HOLD","DO NOT DELETE — HOLD (Charlie review)",IF($Q1470="KEEP","DO NOT DELETE — KEEP",IF(ISNUMBER(SEARCH("REVIEW",$Q1470)),"DO NOT DELETE — REVIEW pending",$S1470))))</f>
        <v>DO NOT DELETE — REVIEW pending</v>
      </c>
      <c r="Q1470" t="str" cm="1">
        <f t="array" ref="Q1470">_xlfn.IFS(AND($A1470="thg-beauty",ISNUMBER(SEARCH("liveramp",$C1470))),"DELETE",$A1470="agile-bonbon-662",_xlfn.IFS(LEFT($G1470,9)="Tranche 1","DELETE",$C1470="Sessions_Level_1_All_Sites","KEEP",ISNUMBER(--$C1470),"REVIEW — UA raw logs",$C1470="Emag_Reporting","KEEP",$C1470="Nutrition_Data_Archived_Tables","KEEP",$C1470="EU_Data","KEEP",TRUE,"REVIEW"),OR($A1470="thg-influencer",$A1470="thg-ingenuity",$A1470="thg-central-marketing",$A1470="thg-seoclarity"),"HOLD",TRUE,"")</f>
        <v>REVIEW</v>
      </c>
      <c r="R1470" t="str" cm="1">
        <f t="array" ref="R1470">_xlfn.IFS(AND($A1470="thg-beauty",ISNUMBER(SEARCH("liveramp",$C1470))),"thg-beauty Liveramp dataset — confirmed safe to delete",$A1470="agile-bonbon-662",_xlfn.IFS(LEFT($G1470,9)="Tranche 1","Tranche 1: cleared",$C1470="Sessions_Level_1_All_Sites","Downstream aggregation of UA raw logs — keep if raw tables go",ISNUMBER(--$C1470),"UA raw site logs (account ID) — keep pending audit-retention check",$C1470="Emag_Reporting","Legacy but likely needed",$C1470="Nutrition_Data_Archived_Tables","Worth keeping",$C1470="EU_Data","Static lookup tables — scripts still reference (smoke-test risk)",TRUE,"Review"),OR($A1470="thg-influencer",$A1470="thg-ingenuity",$A1470="thg-central-marketing",$A1470="thg-seoclarity"),"HOLD — Charlie Stringer to review before deletion",TRUE,"")</f>
        <v>Review</v>
      </c>
      <c r="S1470" t="s">
        <v>1631</v>
      </c>
    </row>
    <row r="1471" spans="1:19" ht="45.75" hidden="1">
      <c r="A1471" t="s">
        <v>89</v>
      </c>
      <c r="B1471" t="s">
        <v>1619</v>
      </c>
      <c r="C1471" t="s">
        <v>814</v>
      </c>
      <c r="D1471" s="2" t="s">
        <v>1621</v>
      </c>
      <c r="E1471">
        <v>85.43</v>
      </c>
      <c r="F1471">
        <v>1.71</v>
      </c>
      <c r="G1471" t="s">
        <v>72</v>
      </c>
      <c r="H1471" t="s">
        <v>3457</v>
      </c>
      <c r="I1471">
        <v>35</v>
      </c>
      <c r="J1471">
        <v>735</v>
      </c>
      <c r="K1471" s="5">
        <v>46161.598456747677</v>
      </c>
      <c r="M1471" s="2" t="s">
        <v>3407</v>
      </c>
      <c r="N1471" s="2" t="s">
        <v>1701</v>
      </c>
      <c r="O1471" s="5">
        <v>45462.229250509263</v>
      </c>
      <c r="P1471" t="str">
        <f>IF($Q1471="DELETE",IF($S1471="CONFIRMED: NO MODS &gt; 1YR","CONFIRMED: NO MODS &gt; 1YR","DO NOT DELETE — not defensibly confirmed"),IF($Q1471="HOLD","DO NOT DELETE — HOLD (Charlie review)",IF($Q1471="KEEP","DO NOT DELETE — KEEP",IF(ISNUMBER(SEARCH("REVIEW",$Q1471)),"DO NOT DELETE — REVIEW pending",$S1471))))</f>
        <v>DO NOT DELETE — REVIEW pending</v>
      </c>
      <c r="Q1471" t="str" cm="1">
        <f t="array" ref="Q1471">_xlfn.IFS(AND($A1471="thg-beauty",ISNUMBER(SEARCH("liveramp",$C1471))),"DELETE",$A1471="agile-bonbon-662",_xlfn.IFS(LEFT($G1471,9)="Tranche 1","DELETE",$C1471="Sessions_Level_1_All_Sites","KEEP",ISNUMBER(--$C1471),"REVIEW — UA raw logs",$C1471="Emag_Reporting","KEEP",$C1471="Nutrition_Data_Archived_Tables","KEEP",$C1471="EU_Data","KEEP",TRUE,"REVIEW"),OR($A1471="thg-influencer",$A1471="thg-ingenuity",$A1471="thg-central-marketing",$A1471="thg-seoclarity"),"HOLD",TRUE,"")</f>
        <v>REVIEW — UA raw logs</v>
      </c>
      <c r="R1471" t="str" cm="1">
        <f t="array" ref="R1471">_xlfn.IFS(AND($A1471="thg-beauty",ISNUMBER(SEARCH("liveramp",$C1471))),"thg-beauty Liveramp dataset — confirmed safe to delete",$A1471="agile-bonbon-662",_xlfn.IFS(LEFT($G1471,9)="Tranche 1","Tranche 1: cleared",$C1471="Sessions_Level_1_All_Sites","Downstream aggregation of UA raw logs — keep if raw tables go",ISNUMBER(--$C1471),"UA raw site logs (account ID) — keep pending audit-retention check",$C1471="Emag_Reporting","Legacy but likely needed",$C1471="Nutrition_Data_Archived_Tables","Worth keeping",$C1471="EU_Data","Static lookup tables — scripts still reference (smoke-test risk)",TRUE,"Review"),OR($A1471="thg-influencer",$A1471="thg-ingenuity",$A1471="thg-central-marketing",$A1471="thg-seoclarity"),"HOLD — Charlie Stringer to review before deletion",TRUE,"")</f>
        <v>UA raw site logs (account ID) — keep pending audit-retention check</v>
      </c>
      <c r="S1471" t="s">
        <v>1631</v>
      </c>
    </row>
    <row r="1472" spans="1:19" ht="45.75" hidden="1">
      <c r="A1472" t="s">
        <v>89</v>
      </c>
      <c r="B1472" t="s">
        <v>1619</v>
      </c>
      <c r="C1472" t="s">
        <v>819</v>
      </c>
      <c r="D1472" s="2" t="s">
        <v>1621</v>
      </c>
      <c r="E1472">
        <v>83.91</v>
      </c>
      <c r="F1472">
        <v>1.68</v>
      </c>
      <c r="G1472" t="s">
        <v>72</v>
      </c>
      <c r="H1472" t="s">
        <v>3457</v>
      </c>
      <c r="I1472">
        <v>35</v>
      </c>
      <c r="J1472">
        <v>1296</v>
      </c>
      <c r="K1472" s="5">
        <v>46161.604674699083</v>
      </c>
      <c r="M1472" s="2" t="s">
        <v>3177</v>
      </c>
      <c r="N1472" s="2" t="s">
        <v>1701</v>
      </c>
      <c r="O1472" s="5">
        <v>44900.494689768508</v>
      </c>
      <c r="P1472" t="str">
        <f>IF($Q1472="DELETE",IF($S1472="CONFIRMED: NO MODS &gt; 1YR","CONFIRMED: NO MODS &gt; 1YR","DO NOT DELETE — not defensibly confirmed"),IF($Q1472="HOLD","DO NOT DELETE — HOLD (Charlie review)",IF($Q1472="KEEP","DO NOT DELETE — KEEP",IF(ISNUMBER(SEARCH("REVIEW",$Q1472)),"DO NOT DELETE — REVIEW pending",$S1472))))</f>
        <v>DO NOT DELETE — REVIEW pending</v>
      </c>
      <c r="Q1472" t="str" cm="1">
        <f t="array" ref="Q1472">_xlfn.IFS(AND($A1472="thg-beauty",ISNUMBER(SEARCH("liveramp",$C1472))),"DELETE",$A1472="agile-bonbon-662",_xlfn.IFS(LEFT($G1472,9)="Tranche 1","DELETE",$C1472="Sessions_Level_1_All_Sites","KEEP",ISNUMBER(--$C1472),"REVIEW — UA raw logs",$C1472="Emag_Reporting","KEEP",$C1472="Nutrition_Data_Archived_Tables","KEEP",$C1472="EU_Data","KEEP",TRUE,"REVIEW"),OR($A1472="thg-influencer",$A1472="thg-ingenuity",$A1472="thg-central-marketing",$A1472="thg-seoclarity"),"HOLD",TRUE,"")</f>
        <v>REVIEW</v>
      </c>
      <c r="R1472" t="str" cm="1">
        <f t="array" ref="R1472">_xlfn.IFS(AND($A1472="thg-beauty",ISNUMBER(SEARCH("liveramp",$C1472))),"thg-beauty Liveramp dataset — confirmed safe to delete",$A1472="agile-bonbon-662",_xlfn.IFS(LEFT($G1472,9)="Tranche 1","Tranche 1: cleared",$C1472="Sessions_Level_1_All_Sites","Downstream aggregation of UA raw logs — keep if raw tables go",ISNUMBER(--$C1472),"UA raw site logs (account ID) — keep pending audit-retention check",$C1472="Emag_Reporting","Legacy but likely needed",$C1472="Nutrition_Data_Archived_Tables","Worth keeping",$C1472="EU_Data","Static lookup tables — scripts still reference (smoke-test risk)",TRUE,"Review"),OR($A1472="thg-influencer",$A1472="thg-ingenuity",$A1472="thg-central-marketing",$A1472="thg-seoclarity"),"HOLD — Charlie Stringer to review before deletion",TRUE,"")</f>
        <v>Review</v>
      </c>
      <c r="S1472" t="s">
        <v>1631</v>
      </c>
    </row>
    <row r="1473" spans="1:19" ht="45.75" hidden="1">
      <c r="A1473" t="s">
        <v>89</v>
      </c>
      <c r="B1473" t="s">
        <v>1619</v>
      </c>
      <c r="C1473" t="s">
        <v>829</v>
      </c>
      <c r="D1473" s="2" t="s">
        <v>1621</v>
      </c>
      <c r="E1473">
        <v>79.849999999999994</v>
      </c>
      <c r="F1473">
        <v>1.6</v>
      </c>
      <c r="G1473" t="s">
        <v>72</v>
      </c>
      <c r="H1473" t="s">
        <v>3457</v>
      </c>
      <c r="I1473">
        <v>35</v>
      </c>
      <c r="J1473">
        <v>723</v>
      </c>
      <c r="K1473" s="5">
        <v>46161.584364467592</v>
      </c>
      <c r="M1473" s="2" t="s">
        <v>3446</v>
      </c>
      <c r="N1473" s="2" t="s">
        <v>1701</v>
      </c>
      <c r="O1473" s="5">
        <v>45474.258185416656</v>
      </c>
      <c r="P1473" t="str">
        <f>IF($Q1473="DELETE",IF($S1473="CONFIRMED: NO MODS &gt; 1YR","CONFIRMED: NO MODS &gt; 1YR","DO NOT DELETE — not defensibly confirmed"),IF($Q1473="HOLD","DO NOT DELETE — HOLD (Charlie review)",IF($Q1473="KEEP","DO NOT DELETE — KEEP",IF(ISNUMBER(SEARCH("REVIEW",$Q1473)),"DO NOT DELETE — REVIEW pending",$S1473))))</f>
        <v>DO NOT DELETE — REVIEW pending</v>
      </c>
      <c r="Q1473" t="str" cm="1">
        <f t="array" ref="Q1473">_xlfn.IFS(AND($A1473="thg-beauty",ISNUMBER(SEARCH("liveramp",$C1473))),"DELETE",$A1473="agile-bonbon-662",_xlfn.IFS(LEFT($G1473,9)="Tranche 1","DELETE",$C1473="Sessions_Level_1_All_Sites","KEEP",ISNUMBER(--$C1473),"REVIEW — UA raw logs",$C1473="Emag_Reporting","KEEP",$C1473="Nutrition_Data_Archived_Tables","KEEP",$C1473="EU_Data","KEEP",TRUE,"REVIEW"),OR($A1473="thg-influencer",$A1473="thg-ingenuity",$A1473="thg-central-marketing",$A1473="thg-seoclarity"),"HOLD",TRUE,"")</f>
        <v>REVIEW — UA raw logs</v>
      </c>
      <c r="R1473" t="str" cm="1">
        <f t="array" ref="R1473">_xlfn.IFS(AND($A1473="thg-beauty",ISNUMBER(SEARCH("liveramp",$C1473))),"thg-beauty Liveramp dataset — confirmed safe to delete",$A1473="agile-bonbon-662",_xlfn.IFS(LEFT($G1473,9)="Tranche 1","Tranche 1: cleared",$C1473="Sessions_Level_1_All_Sites","Downstream aggregation of UA raw logs — keep if raw tables go",ISNUMBER(--$C1473),"UA raw site logs (account ID) — keep pending audit-retention check",$C1473="Emag_Reporting","Legacy but likely needed",$C1473="Nutrition_Data_Archived_Tables","Worth keeping",$C1473="EU_Data","Static lookup tables — scripts still reference (smoke-test risk)",TRUE,"Review"),OR($A1473="thg-influencer",$A1473="thg-ingenuity",$A1473="thg-central-marketing",$A1473="thg-seoclarity"),"HOLD — Charlie Stringer to review before deletion",TRUE,"")</f>
        <v>UA raw site logs (account ID) — keep pending audit-retention check</v>
      </c>
      <c r="S1473" t="s">
        <v>1631</v>
      </c>
    </row>
    <row r="1474" spans="1:19" ht="45.75" hidden="1">
      <c r="A1474" t="s">
        <v>89</v>
      </c>
      <c r="B1474" t="s">
        <v>1619</v>
      </c>
      <c r="C1474" t="s">
        <v>833</v>
      </c>
      <c r="D1474" s="2" t="s">
        <v>1621</v>
      </c>
      <c r="E1474">
        <v>79.47</v>
      </c>
      <c r="F1474">
        <v>1.59</v>
      </c>
      <c r="G1474" t="s">
        <v>72</v>
      </c>
      <c r="H1474" t="s">
        <v>3457</v>
      </c>
      <c r="I1474">
        <v>35</v>
      </c>
      <c r="J1474">
        <v>723</v>
      </c>
      <c r="K1474" s="5">
        <v>46161.586398703701</v>
      </c>
      <c r="M1474" s="2" t="s">
        <v>3429</v>
      </c>
      <c r="N1474" s="2" t="s">
        <v>1701</v>
      </c>
      <c r="O1474" s="5">
        <v>45474.273758159718</v>
      </c>
      <c r="P1474" t="str">
        <f>IF($Q1474="DELETE",IF($S1474="CONFIRMED: NO MODS &gt; 1YR","CONFIRMED: NO MODS &gt; 1YR","DO NOT DELETE — not defensibly confirmed"),IF($Q1474="HOLD","DO NOT DELETE — HOLD (Charlie review)",IF($Q1474="KEEP","DO NOT DELETE — KEEP",IF(ISNUMBER(SEARCH("REVIEW",$Q1474)),"DO NOT DELETE — REVIEW pending",$S1474))))</f>
        <v>DO NOT DELETE — REVIEW pending</v>
      </c>
      <c r="Q1474" t="str" cm="1">
        <f t="array" ref="Q1474">_xlfn.IFS(AND($A1474="thg-beauty",ISNUMBER(SEARCH("liveramp",$C1474))),"DELETE",$A1474="agile-bonbon-662",_xlfn.IFS(LEFT($G1474,9)="Tranche 1","DELETE",$C1474="Sessions_Level_1_All_Sites","KEEP",ISNUMBER(--$C1474),"REVIEW — UA raw logs",$C1474="Emag_Reporting","KEEP",$C1474="Nutrition_Data_Archived_Tables","KEEP",$C1474="EU_Data","KEEP",TRUE,"REVIEW"),OR($A1474="thg-influencer",$A1474="thg-ingenuity",$A1474="thg-central-marketing",$A1474="thg-seoclarity"),"HOLD",TRUE,"")</f>
        <v>REVIEW — UA raw logs</v>
      </c>
      <c r="R1474" t="str" cm="1">
        <f t="array" ref="R1474">_xlfn.IFS(AND($A1474="thg-beauty",ISNUMBER(SEARCH("liveramp",$C1474))),"thg-beauty Liveramp dataset — confirmed safe to delete",$A1474="agile-bonbon-662",_xlfn.IFS(LEFT($G1474,9)="Tranche 1","Tranche 1: cleared",$C1474="Sessions_Level_1_All_Sites","Downstream aggregation of UA raw logs — keep if raw tables go",ISNUMBER(--$C1474),"UA raw site logs (account ID) — keep pending audit-retention check",$C1474="Emag_Reporting","Legacy but likely needed",$C1474="Nutrition_Data_Archived_Tables","Worth keeping",$C1474="EU_Data","Static lookup tables — scripts still reference (smoke-test risk)",TRUE,"Review"),OR($A1474="thg-influencer",$A1474="thg-ingenuity",$A1474="thg-central-marketing",$A1474="thg-seoclarity"),"HOLD — Charlie Stringer to review before deletion",TRUE,"")</f>
        <v>UA raw site logs (account ID) — keep pending audit-retention check</v>
      </c>
      <c r="S1474" t="s">
        <v>1631</v>
      </c>
    </row>
    <row r="1475" spans="1:19" ht="45.75" hidden="1">
      <c r="A1475" t="s">
        <v>89</v>
      </c>
      <c r="B1475" t="s">
        <v>1619</v>
      </c>
      <c r="C1475" t="s">
        <v>840</v>
      </c>
      <c r="D1475" s="2" t="s">
        <v>1621</v>
      </c>
      <c r="E1475">
        <v>77.97</v>
      </c>
      <c r="F1475">
        <v>1.56</v>
      </c>
      <c r="G1475" t="s">
        <v>72</v>
      </c>
      <c r="H1475" t="s">
        <v>3457</v>
      </c>
      <c r="I1475">
        <v>35</v>
      </c>
      <c r="J1475">
        <v>723</v>
      </c>
      <c r="K1475" s="5">
        <v>46161.598367152779</v>
      </c>
      <c r="M1475" s="2" t="s">
        <v>3407</v>
      </c>
      <c r="N1475" s="2" t="s">
        <v>1701</v>
      </c>
      <c r="O1475" s="5">
        <v>45474.338811284717</v>
      </c>
      <c r="P1475" t="str">
        <f>IF($Q1475="DELETE",IF($S1475="CONFIRMED: NO MODS &gt; 1YR","CONFIRMED: NO MODS &gt; 1YR","DO NOT DELETE — not defensibly confirmed"),IF($Q1475="HOLD","DO NOT DELETE — HOLD (Charlie review)",IF($Q1475="KEEP","DO NOT DELETE — KEEP",IF(ISNUMBER(SEARCH("REVIEW",$Q1475)),"DO NOT DELETE — REVIEW pending",$S1475))))</f>
        <v>DO NOT DELETE — REVIEW pending</v>
      </c>
      <c r="Q1475" t="str" cm="1">
        <f t="array" ref="Q1475">_xlfn.IFS(AND($A1475="thg-beauty",ISNUMBER(SEARCH("liveramp",$C1475))),"DELETE",$A1475="agile-bonbon-662",_xlfn.IFS(LEFT($G1475,9)="Tranche 1","DELETE",$C1475="Sessions_Level_1_All_Sites","KEEP",ISNUMBER(--$C1475),"REVIEW — UA raw logs",$C1475="Emag_Reporting","KEEP",$C1475="Nutrition_Data_Archived_Tables","KEEP",$C1475="EU_Data","KEEP",TRUE,"REVIEW"),OR($A1475="thg-influencer",$A1475="thg-ingenuity",$A1475="thg-central-marketing",$A1475="thg-seoclarity"),"HOLD",TRUE,"")</f>
        <v>REVIEW — UA raw logs</v>
      </c>
      <c r="R1475" t="str" cm="1">
        <f t="array" ref="R1475">_xlfn.IFS(AND($A1475="thg-beauty",ISNUMBER(SEARCH("liveramp",$C1475))),"thg-beauty Liveramp dataset — confirmed safe to delete",$A1475="agile-bonbon-662",_xlfn.IFS(LEFT($G1475,9)="Tranche 1","Tranche 1: cleared",$C1475="Sessions_Level_1_All_Sites","Downstream aggregation of UA raw logs — keep if raw tables go",ISNUMBER(--$C1475),"UA raw site logs (account ID) — keep pending audit-retention check",$C1475="Emag_Reporting","Legacy but likely needed",$C1475="Nutrition_Data_Archived_Tables","Worth keeping",$C1475="EU_Data","Static lookup tables — scripts still reference (smoke-test risk)",TRUE,"Review"),OR($A1475="thg-influencer",$A1475="thg-ingenuity",$A1475="thg-central-marketing",$A1475="thg-seoclarity"),"HOLD — Charlie Stringer to review before deletion",TRUE,"")</f>
        <v>UA raw site logs (account ID) — keep pending audit-retention check</v>
      </c>
      <c r="S1475" t="s">
        <v>1631</v>
      </c>
    </row>
    <row r="1476" spans="1:19" ht="45.75" hidden="1">
      <c r="A1476" t="s">
        <v>89</v>
      </c>
      <c r="B1476" t="s">
        <v>1619</v>
      </c>
      <c r="C1476" t="s">
        <v>844</v>
      </c>
      <c r="D1476" s="2" t="s">
        <v>1621</v>
      </c>
      <c r="E1476">
        <v>74.489999999999995</v>
      </c>
      <c r="F1476">
        <v>1.49</v>
      </c>
      <c r="G1476" t="s">
        <v>72</v>
      </c>
      <c r="H1476" t="s">
        <v>3457</v>
      </c>
      <c r="I1476">
        <v>35</v>
      </c>
      <c r="J1476">
        <v>795</v>
      </c>
      <c r="K1476" s="5">
        <v>46161.615750324083</v>
      </c>
      <c r="M1476" s="2" t="s">
        <v>1977</v>
      </c>
      <c r="N1476" s="2" t="s">
        <v>1701</v>
      </c>
      <c r="O1476" s="5">
        <v>45402.252933298609</v>
      </c>
      <c r="P1476" t="str">
        <f>IF($Q1476="DELETE",IF($S1476="CONFIRMED: NO MODS &gt; 1YR","CONFIRMED: NO MODS &gt; 1YR","DO NOT DELETE — not defensibly confirmed"),IF($Q1476="HOLD","DO NOT DELETE — HOLD (Charlie review)",IF($Q1476="KEEP","DO NOT DELETE — KEEP",IF(ISNUMBER(SEARCH("REVIEW",$Q1476)),"DO NOT DELETE — REVIEW pending",$S1476))))</f>
        <v>DO NOT DELETE — REVIEW pending</v>
      </c>
      <c r="Q1476" t="str" cm="1">
        <f t="array" ref="Q1476">_xlfn.IFS(AND($A1476="thg-beauty",ISNUMBER(SEARCH("liveramp",$C1476))),"DELETE",$A1476="agile-bonbon-662",_xlfn.IFS(LEFT($G1476,9)="Tranche 1","DELETE",$C1476="Sessions_Level_1_All_Sites","KEEP",ISNUMBER(--$C1476),"REVIEW — UA raw logs",$C1476="Emag_Reporting","KEEP",$C1476="Nutrition_Data_Archived_Tables","KEEP",$C1476="EU_Data","KEEP",TRUE,"REVIEW"),OR($A1476="thg-influencer",$A1476="thg-ingenuity",$A1476="thg-central-marketing",$A1476="thg-seoclarity"),"HOLD",TRUE,"")</f>
        <v>REVIEW</v>
      </c>
      <c r="R1476" t="str" cm="1">
        <f t="array" ref="R1476">_xlfn.IFS(AND($A1476="thg-beauty",ISNUMBER(SEARCH("liveramp",$C1476))),"thg-beauty Liveramp dataset — confirmed safe to delete",$A1476="agile-bonbon-662",_xlfn.IFS(LEFT($G1476,9)="Tranche 1","Tranche 1: cleared",$C1476="Sessions_Level_1_All_Sites","Downstream aggregation of UA raw logs — keep if raw tables go",ISNUMBER(--$C1476),"UA raw site logs (account ID) — keep pending audit-retention check",$C1476="Emag_Reporting","Legacy but likely needed",$C1476="Nutrition_Data_Archived_Tables","Worth keeping",$C1476="EU_Data","Static lookup tables — scripts still reference (smoke-test risk)",TRUE,"Review"),OR($A1476="thg-influencer",$A1476="thg-ingenuity",$A1476="thg-central-marketing",$A1476="thg-seoclarity"),"HOLD — Charlie Stringer to review before deletion",TRUE,"")</f>
        <v>Review</v>
      </c>
      <c r="S1476" t="s">
        <v>1631</v>
      </c>
    </row>
    <row r="1477" spans="1:19" ht="45.75" hidden="1">
      <c r="A1477" t="s">
        <v>89</v>
      </c>
      <c r="B1477" t="s">
        <v>1619</v>
      </c>
      <c r="C1477" t="s">
        <v>854</v>
      </c>
      <c r="D1477" s="2" t="s">
        <v>1621</v>
      </c>
      <c r="E1477">
        <v>72.7</v>
      </c>
      <c r="F1477">
        <v>1.45</v>
      </c>
      <c r="G1477" t="s">
        <v>72</v>
      </c>
      <c r="H1477" t="s">
        <v>3457</v>
      </c>
      <c r="I1477">
        <v>35</v>
      </c>
      <c r="J1477">
        <v>723</v>
      </c>
      <c r="K1477" s="5">
        <v>46161.592589571759</v>
      </c>
      <c r="M1477" s="2" t="s">
        <v>3405</v>
      </c>
      <c r="N1477" s="2" t="s">
        <v>1701</v>
      </c>
      <c r="O1477" s="5">
        <v>45474.279701736108</v>
      </c>
      <c r="P1477" t="str">
        <f>IF($Q1477="DELETE",IF($S1477="CONFIRMED: NO MODS &gt; 1YR","CONFIRMED: NO MODS &gt; 1YR","DO NOT DELETE — not defensibly confirmed"),IF($Q1477="HOLD","DO NOT DELETE — HOLD (Charlie review)",IF($Q1477="KEEP","DO NOT DELETE — KEEP",IF(ISNUMBER(SEARCH("REVIEW",$Q1477)),"DO NOT DELETE — REVIEW pending",$S1477))))</f>
        <v>DO NOT DELETE — REVIEW pending</v>
      </c>
      <c r="Q1477" t="str" cm="1">
        <f t="array" ref="Q1477">_xlfn.IFS(AND($A1477="thg-beauty",ISNUMBER(SEARCH("liveramp",$C1477))),"DELETE",$A1477="agile-bonbon-662",_xlfn.IFS(LEFT($G1477,9)="Tranche 1","DELETE",$C1477="Sessions_Level_1_All_Sites","KEEP",ISNUMBER(--$C1477),"REVIEW — UA raw logs",$C1477="Emag_Reporting","KEEP",$C1477="Nutrition_Data_Archived_Tables","KEEP",$C1477="EU_Data","KEEP",TRUE,"REVIEW"),OR($A1477="thg-influencer",$A1477="thg-ingenuity",$A1477="thg-central-marketing",$A1477="thg-seoclarity"),"HOLD",TRUE,"")</f>
        <v>REVIEW — UA raw logs</v>
      </c>
      <c r="R1477" t="str" cm="1">
        <f t="array" ref="R1477">_xlfn.IFS(AND($A1477="thg-beauty",ISNUMBER(SEARCH("liveramp",$C1477))),"thg-beauty Liveramp dataset — confirmed safe to delete",$A1477="agile-bonbon-662",_xlfn.IFS(LEFT($G1477,9)="Tranche 1","Tranche 1: cleared",$C1477="Sessions_Level_1_All_Sites","Downstream aggregation of UA raw logs — keep if raw tables go",ISNUMBER(--$C1477),"UA raw site logs (account ID) — keep pending audit-retention check",$C1477="Emag_Reporting","Legacy but likely needed",$C1477="Nutrition_Data_Archived_Tables","Worth keeping",$C1477="EU_Data","Static lookup tables — scripts still reference (smoke-test risk)",TRUE,"Review"),OR($A1477="thg-influencer",$A1477="thg-ingenuity",$A1477="thg-central-marketing",$A1477="thg-seoclarity"),"HOLD — Charlie Stringer to review before deletion",TRUE,"")</f>
        <v>UA raw site logs (account ID) — keep pending audit-retention check</v>
      </c>
      <c r="S1477" t="s">
        <v>1631</v>
      </c>
    </row>
    <row r="1478" spans="1:19" ht="45.75" hidden="1">
      <c r="A1478" t="s">
        <v>89</v>
      </c>
      <c r="B1478" t="s">
        <v>1619</v>
      </c>
      <c r="C1478" t="s">
        <v>858</v>
      </c>
      <c r="D1478" s="2" t="s">
        <v>1621</v>
      </c>
      <c r="E1478">
        <v>72.63</v>
      </c>
      <c r="F1478">
        <v>1.45</v>
      </c>
      <c r="G1478" t="s">
        <v>72</v>
      </c>
      <c r="H1478" t="s">
        <v>3457</v>
      </c>
      <c r="I1478">
        <v>35</v>
      </c>
      <c r="J1478">
        <v>592</v>
      </c>
      <c r="K1478" s="5">
        <v>46161.620839699077</v>
      </c>
      <c r="M1478" s="2" t="s">
        <v>1960</v>
      </c>
      <c r="N1478" s="2" t="s">
        <v>1701</v>
      </c>
      <c r="O1478" s="5">
        <v>45605.425922731483</v>
      </c>
      <c r="P1478" t="str">
        <f>IF($Q1478="DELETE",IF($S1478="CONFIRMED: NO MODS &gt; 1YR","CONFIRMED: NO MODS &gt; 1YR","DO NOT DELETE — not defensibly confirmed"),IF($Q1478="HOLD","DO NOT DELETE — HOLD (Charlie review)",IF($Q1478="KEEP","DO NOT DELETE — KEEP",IF(ISNUMBER(SEARCH("REVIEW",$Q1478)),"DO NOT DELETE — REVIEW pending",$S1478))))</f>
        <v>DO NOT DELETE — REVIEW pending</v>
      </c>
      <c r="Q1478" t="str" cm="1">
        <f t="array" ref="Q1478">_xlfn.IFS(AND($A1478="thg-beauty",ISNUMBER(SEARCH("liveramp",$C1478))),"DELETE",$A1478="agile-bonbon-662",_xlfn.IFS(LEFT($G1478,9)="Tranche 1","DELETE",$C1478="Sessions_Level_1_All_Sites","KEEP",ISNUMBER(--$C1478),"REVIEW — UA raw logs",$C1478="Emag_Reporting","KEEP",$C1478="Nutrition_Data_Archived_Tables","KEEP",$C1478="EU_Data","KEEP",TRUE,"REVIEW"),OR($A1478="thg-influencer",$A1478="thg-ingenuity",$A1478="thg-central-marketing",$A1478="thg-seoclarity"),"HOLD",TRUE,"")</f>
        <v>REVIEW</v>
      </c>
      <c r="R1478" t="str" cm="1">
        <f t="array" ref="R1478">_xlfn.IFS(AND($A1478="thg-beauty",ISNUMBER(SEARCH("liveramp",$C1478))),"thg-beauty Liveramp dataset — confirmed safe to delete",$A1478="agile-bonbon-662",_xlfn.IFS(LEFT($G1478,9)="Tranche 1","Tranche 1: cleared",$C1478="Sessions_Level_1_All_Sites","Downstream aggregation of UA raw logs — keep if raw tables go",ISNUMBER(--$C1478),"UA raw site logs (account ID) — keep pending audit-retention check",$C1478="Emag_Reporting","Legacy but likely needed",$C1478="Nutrition_Data_Archived_Tables","Worth keeping",$C1478="EU_Data","Static lookup tables — scripts still reference (smoke-test risk)",TRUE,"Review"),OR($A1478="thg-influencer",$A1478="thg-ingenuity",$A1478="thg-central-marketing",$A1478="thg-seoclarity"),"HOLD — Charlie Stringer to review before deletion",TRUE,"")</f>
        <v>Review</v>
      </c>
      <c r="S1478" t="s">
        <v>1631</v>
      </c>
    </row>
    <row r="1479" spans="1:19" ht="45.75" hidden="1">
      <c r="A1479" t="s">
        <v>89</v>
      </c>
      <c r="B1479" t="s">
        <v>1619</v>
      </c>
      <c r="C1479" t="s">
        <v>868</v>
      </c>
      <c r="D1479" s="2" t="s">
        <v>1621</v>
      </c>
      <c r="E1479">
        <v>70.58</v>
      </c>
      <c r="F1479">
        <v>1.41</v>
      </c>
      <c r="G1479" t="s">
        <v>72</v>
      </c>
      <c r="H1479" t="s">
        <v>3457</v>
      </c>
      <c r="I1479">
        <v>35</v>
      </c>
      <c r="J1479">
        <v>723</v>
      </c>
      <c r="K1479" s="5">
        <v>46161.591725659717</v>
      </c>
      <c r="M1479" s="2" t="s">
        <v>3448</v>
      </c>
      <c r="N1479" s="2" t="s">
        <v>1701</v>
      </c>
      <c r="O1479" s="5">
        <v>45474.278254988429</v>
      </c>
      <c r="P1479" t="str">
        <f>IF($Q1479="DELETE",IF($S1479="CONFIRMED: NO MODS &gt; 1YR","CONFIRMED: NO MODS &gt; 1YR","DO NOT DELETE — not defensibly confirmed"),IF($Q1479="HOLD","DO NOT DELETE — HOLD (Charlie review)",IF($Q1479="KEEP","DO NOT DELETE — KEEP",IF(ISNUMBER(SEARCH("REVIEW",$Q1479)),"DO NOT DELETE — REVIEW pending",$S1479))))</f>
        <v>DO NOT DELETE — REVIEW pending</v>
      </c>
      <c r="Q1479" t="str" cm="1">
        <f t="array" ref="Q1479">_xlfn.IFS(AND($A1479="thg-beauty",ISNUMBER(SEARCH("liveramp",$C1479))),"DELETE",$A1479="agile-bonbon-662",_xlfn.IFS(LEFT($G1479,9)="Tranche 1","DELETE",$C1479="Sessions_Level_1_All_Sites","KEEP",ISNUMBER(--$C1479),"REVIEW — UA raw logs",$C1479="Emag_Reporting","KEEP",$C1479="Nutrition_Data_Archived_Tables","KEEP",$C1479="EU_Data","KEEP",TRUE,"REVIEW"),OR($A1479="thg-influencer",$A1479="thg-ingenuity",$A1479="thg-central-marketing",$A1479="thg-seoclarity"),"HOLD",TRUE,"")</f>
        <v>REVIEW — UA raw logs</v>
      </c>
      <c r="R1479" t="str" cm="1">
        <f t="array" ref="R1479">_xlfn.IFS(AND($A1479="thg-beauty",ISNUMBER(SEARCH("liveramp",$C1479))),"thg-beauty Liveramp dataset — confirmed safe to delete",$A1479="agile-bonbon-662",_xlfn.IFS(LEFT($G1479,9)="Tranche 1","Tranche 1: cleared",$C1479="Sessions_Level_1_All_Sites","Downstream aggregation of UA raw logs — keep if raw tables go",ISNUMBER(--$C1479),"UA raw site logs (account ID) — keep pending audit-retention check",$C1479="Emag_Reporting","Legacy but likely needed",$C1479="Nutrition_Data_Archived_Tables","Worth keeping",$C1479="EU_Data","Static lookup tables — scripts still reference (smoke-test risk)",TRUE,"Review"),OR($A1479="thg-influencer",$A1479="thg-ingenuity",$A1479="thg-central-marketing",$A1479="thg-seoclarity"),"HOLD — Charlie Stringer to review before deletion",TRUE,"")</f>
        <v>UA raw site logs (account ID) — keep pending audit-retention check</v>
      </c>
      <c r="S1479" t="s">
        <v>1631</v>
      </c>
    </row>
    <row r="1480" spans="1:19" ht="45.75" hidden="1">
      <c r="A1480" t="s">
        <v>89</v>
      </c>
      <c r="B1480" t="s">
        <v>1619</v>
      </c>
      <c r="C1480" t="s">
        <v>877</v>
      </c>
      <c r="D1480" s="2" t="s">
        <v>1621</v>
      </c>
      <c r="E1480">
        <v>68.739999999999995</v>
      </c>
      <c r="F1480">
        <v>1.37</v>
      </c>
      <c r="G1480" t="s">
        <v>72</v>
      </c>
      <c r="H1480" t="s">
        <v>3457</v>
      </c>
      <c r="I1480">
        <v>35</v>
      </c>
      <c r="J1480">
        <v>764</v>
      </c>
      <c r="K1480" s="5">
        <v>46161.616367291666</v>
      </c>
      <c r="M1480" s="2" t="s">
        <v>1984</v>
      </c>
      <c r="N1480" s="2" t="s">
        <v>1701</v>
      </c>
      <c r="O1480" s="5">
        <v>45433.265634050927</v>
      </c>
      <c r="P1480" t="str">
        <f>IF($Q1480="DELETE",IF($S1480="CONFIRMED: NO MODS &gt; 1YR","CONFIRMED: NO MODS &gt; 1YR","DO NOT DELETE — not defensibly confirmed"),IF($Q1480="HOLD","DO NOT DELETE — HOLD (Charlie review)",IF($Q1480="KEEP","DO NOT DELETE — KEEP",IF(ISNUMBER(SEARCH("REVIEW",$Q1480)),"DO NOT DELETE — REVIEW pending",$S1480))))</f>
        <v>DO NOT DELETE — REVIEW pending</v>
      </c>
      <c r="Q1480" t="str" cm="1">
        <f t="array" ref="Q1480">_xlfn.IFS(AND($A1480="thg-beauty",ISNUMBER(SEARCH("liveramp",$C1480))),"DELETE",$A1480="agile-bonbon-662",_xlfn.IFS(LEFT($G1480,9)="Tranche 1","DELETE",$C1480="Sessions_Level_1_All_Sites","KEEP",ISNUMBER(--$C1480),"REVIEW — UA raw logs",$C1480="Emag_Reporting","KEEP",$C1480="Nutrition_Data_Archived_Tables","KEEP",$C1480="EU_Data","KEEP",TRUE,"REVIEW"),OR($A1480="thg-influencer",$A1480="thg-ingenuity",$A1480="thg-central-marketing",$A1480="thg-seoclarity"),"HOLD",TRUE,"")</f>
        <v>REVIEW</v>
      </c>
      <c r="R1480" t="str" cm="1">
        <f t="array" ref="R1480">_xlfn.IFS(AND($A1480="thg-beauty",ISNUMBER(SEARCH("liveramp",$C1480))),"thg-beauty Liveramp dataset — confirmed safe to delete",$A1480="agile-bonbon-662",_xlfn.IFS(LEFT($G1480,9)="Tranche 1","Tranche 1: cleared",$C1480="Sessions_Level_1_All_Sites","Downstream aggregation of UA raw logs — keep if raw tables go",ISNUMBER(--$C1480),"UA raw site logs (account ID) — keep pending audit-retention check",$C1480="Emag_Reporting","Legacy but likely needed",$C1480="Nutrition_Data_Archived_Tables","Worth keeping",$C1480="EU_Data","Static lookup tables — scripts still reference (smoke-test risk)",TRUE,"Review"),OR($A1480="thg-influencer",$A1480="thg-ingenuity",$A1480="thg-central-marketing",$A1480="thg-seoclarity"),"HOLD — Charlie Stringer to review before deletion",TRUE,"")</f>
        <v>Review</v>
      </c>
      <c r="S1480" t="s">
        <v>1631</v>
      </c>
    </row>
    <row r="1481" spans="1:19" ht="45.75" hidden="1">
      <c r="A1481" t="s">
        <v>89</v>
      </c>
      <c r="B1481" t="s">
        <v>1619</v>
      </c>
      <c r="C1481" t="s">
        <v>882</v>
      </c>
      <c r="D1481" s="2" t="s">
        <v>1621</v>
      </c>
      <c r="E1481">
        <v>66.819999999999993</v>
      </c>
      <c r="F1481">
        <v>1.34</v>
      </c>
      <c r="G1481" t="s">
        <v>72</v>
      </c>
      <c r="H1481" t="s">
        <v>3457</v>
      </c>
      <c r="I1481">
        <v>35</v>
      </c>
      <c r="J1481">
        <v>845</v>
      </c>
      <c r="K1481" s="5">
        <v>46161.615589166657</v>
      </c>
      <c r="M1481" s="2" t="s">
        <v>1928</v>
      </c>
      <c r="N1481" s="2" t="s">
        <v>1701</v>
      </c>
      <c r="O1481" s="5">
        <v>45352.267498877307</v>
      </c>
      <c r="P1481" t="str">
        <f>IF($Q1481="DELETE",IF($S1481="CONFIRMED: NO MODS &gt; 1YR","CONFIRMED: NO MODS &gt; 1YR","DO NOT DELETE — not defensibly confirmed"),IF($Q1481="HOLD","DO NOT DELETE — HOLD (Charlie review)",IF($Q1481="KEEP","DO NOT DELETE — KEEP",IF(ISNUMBER(SEARCH("REVIEW",$Q1481)),"DO NOT DELETE — REVIEW pending",$S1481))))</f>
        <v>DO NOT DELETE — REVIEW pending</v>
      </c>
      <c r="Q1481" t="str" cm="1">
        <f t="array" ref="Q1481">_xlfn.IFS(AND($A1481="thg-beauty",ISNUMBER(SEARCH("liveramp",$C1481))),"DELETE",$A1481="agile-bonbon-662",_xlfn.IFS(LEFT($G1481,9)="Tranche 1","DELETE",$C1481="Sessions_Level_1_All_Sites","KEEP",ISNUMBER(--$C1481),"REVIEW — UA raw logs",$C1481="Emag_Reporting","KEEP",$C1481="Nutrition_Data_Archived_Tables","KEEP",$C1481="EU_Data","KEEP",TRUE,"REVIEW"),OR($A1481="thg-influencer",$A1481="thg-ingenuity",$A1481="thg-central-marketing",$A1481="thg-seoclarity"),"HOLD",TRUE,"")</f>
        <v>REVIEW</v>
      </c>
      <c r="R1481" t="str" cm="1">
        <f t="array" ref="R1481">_xlfn.IFS(AND($A1481="thg-beauty",ISNUMBER(SEARCH("liveramp",$C1481))),"thg-beauty Liveramp dataset — confirmed safe to delete",$A1481="agile-bonbon-662",_xlfn.IFS(LEFT($G1481,9)="Tranche 1","Tranche 1: cleared",$C1481="Sessions_Level_1_All_Sites","Downstream aggregation of UA raw logs — keep if raw tables go",ISNUMBER(--$C1481),"UA raw site logs (account ID) — keep pending audit-retention check",$C1481="Emag_Reporting","Legacy but likely needed",$C1481="Nutrition_Data_Archived_Tables","Worth keeping",$C1481="EU_Data","Static lookup tables — scripts still reference (smoke-test risk)",TRUE,"Review"),OR($A1481="thg-influencer",$A1481="thg-ingenuity",$A1481="thg-central-marketing",$A1481="thg-seoclarity"),"HOLD — Charlie Stringer to review before deletion",TRUE,"")</f>
        <v>Review</v>
      </c>
      <c r="S1481" t="s">
        <v>1631</v>
      </c>
    </row>
    <row r="1482" spans="1:19" ht="60.75" hidden="1">
      <c r="A1482" t="s">
        <v>89</v>
      </c>
      <c r="B1482" t="s">
        <v>1619</v>
      </c>
      <c r="C1482" t="s">
        <v>887</v>
      </c>
      <c r="D1482" s="2" t="s">
        <v>1621</v>
      </c>
      <c r="E1482">
        <v>64.83</v>
      </c>
      <c r="F1482">
        <v>1.3</v>
      </c>
      <c r="G1482" t="s">
        <v>72</v>
      </c>
      <c r="H1482" t="s">
        <v>3457</v>
      </c>
      <c r="I1482">
        <v>35</v>
      </c>
      <c r="J1482">
        <v>1691</v>
      </c>
      <c r="K1482" s="5">
        <v>46161.581537060178</v>
      </c>
      <c r="M1482" s="2" t="s">
        <v>2032</v>
      </c>
      <c r="N1482" s="2" t="s">
        <v>1701</v>
      </c>
      <c r="O1482" s="5">
        <v>44505.886206574083</v>
      </c>
      <c r="P1482" t="str">
        <f>IF($Q1482="DELETE",IF($S1482="CONFIRMED: NO MODS &gt; 1YR","CONFIRMED: NO MODS &gt; 1YR","DO NOT DELETE — not defensibly confirmed"),IF($Q1482="HOLD","DO NOT DELETE — HOLD (Charlie review)",IF($Q1482="KEEP","DO NOT DELETE — KEEP",IF(ISNUMBER(SEARCH("REVIEW",$Q1482)),"DO NOT DELETE — REVIEW pending",$S1482))))</f>
        <v>DO NOT DELETE — REVIEW pending</v>
      </c>
      <c r="Q1482" t="str" cm="1">
        <f t="array" ref="Q1482">_xlfn.IFS(AND($A1482="thg-beauty",ISNUMBER(SEARCH("liveramp",$C1482))),"DELETE",$A1482="agile-bonbon-662",_xlfn.IFS(LEFT($G1482,9)="Tranche 1","DELETE",$C1482="Sessions_Level_1_All_Sites","KEEP",ISNUMBER(--$C1482),"REVIEW — UA raw logs",$C1482="Emag_Reporting","KEEP",$C1482="Nutrition_Data_Archived_Tables","KEEP",$C1482="EU_Data","KEEP",TRUE,"REVIEW"),OR($A1482="thg-influencer",$A1482="thg-ingenuity",$A1482="thg-central-marketing",$A1482="thg-seoclarity"),"HOLD",TRUE,"")</f>
        <v>REVIEW</v>
      </c>
      <c r="R1482" t="str" cm="1">
        <f t="array" ref="R1482">_xlfn.IFS(AND($A1482="thg-beauty",ISNUMBER(SEARCH("liveramp",$C1482))),"thg-beauty Liveramp dataset — confirmed safe to delete",$A1482="agile-bonbon-662",_xlfn.IFS(LEFT($G1482,9)="Tranche 1","Tranche 1: cleared",$C1482="Sessions_Level_1_All_Sites","Downstream aggregation of UA raw logs — keep if raw tables go",ISNUMBER(--$C1482),"UA raw site logs (account ID) — keep pending audit-retention check",$C1482="Emag_Reporting","Legacy but likely needed",$C1482="Nutrition_Data_Archived_Tables","Worth keeping",$C1482="EU_Data","Static lookup tables — scripts still reference (smoke-test risk)",TRUE,"Review"),OR($A1482="thg-influencer",$A1482="thg-ingenuity",$A1482="thg-central-marketing",$A1482="thg-seoclarity"),"HOLD — Charlie Stringer to review before deletion",TRUE,"")</f>
        <v>Review</v>
      </c>
      <c r="S1482" t="s">
        <v>1631</v>
      </c>
    </row>
    <row r="1483" spans="1:19" ht="45.75" hidden="1">
      <c r="A1483" t="s">
        <v>89</v>
      </c>
      <c r="B1483" t="s">
        <v>1619</v>
      </c>
      <c r="C1483" t="s">
        <v>892</v>
      </c>
      <c r="D1483" s="2" t="s">
        <v>1621</v>
      </c>
      <c r="E1483">
        <v>63.99</v>
      </c>
      <c r="F1483">
        <v>1.28</v>
      </c>
      <c r="G1483" t="s">
        <v>72</v>
      </c>
      <c r="H1483" t="s">
        <v>3457</v>
      </c>
      <c r="I1483">
        <v>35</v>
      </c>
      <c r="J1483">
        <v>2274</v>
      </c>
      <c r="K1483" s="5">
        <v>46161.597645497677</v>
      </c>
      <c r="M1483" s="2" t="s">
        <v>3416</v>
      </c>
      <c r="N1483" s="2" t="s">
        <v>1701</v>
      </c>
      <c r="O1483" s="5">
        <v>43922.675657534717</v>
      </c>
      <c r="P1483" t="str">
        <f>IF($Q1483="DELETE",IF($S1483="CONFIRMED: NO MODS &gt; 1YR","CONFIRMED: NO MODS &gt; 1YR","DO NOT DELETE — not defensibly confirmed"),IF($Q1483="HOLD","DO NOT DELETE — HOLD (Charlie review)",IF($Q1483="KEEP","DO NOT DELETE — KEEP",IF(ISNUMBER(SEARCH("REVIEW",$Q1483)),"DO NOT DELETE — REVIEW pending",$S1483))))</f>
        <v>DO NOT DELETE — REVIEW pending</v>
      </c>
      <c r="Q1483" t="str" cm="1">
        <f t="array" ref="Q1483">_xlfn.IFS(AND($A1483="thg-beauty",ISNUMBER(SEARCH("liveramp",$C1483))),"DELETE",$A1483="agile-bonbon-662",_xlfn.IFS(LEFT($G1483,9)="Tranche 1","DELETE",$C1483="Sessions_Level_1_All_Sites","KEEP",ISNUMBER(--$C1483),"REVIEW — UA raw logs",$C1483="Emag_Reporting","KEEP",$C1483="Nutrition_Data_Archived_Tables","KEEP",$C1483="EU_Data","KEEP",TRUE,"REVIEW"),OR($A1483="thg-influencer",$A1483="thg-ingenuity",$A1483="thg-central-marketing",$A1483="thg-seoclarity"),"HOLD",TRUE,"")</f>
        <v>REVIEW — UA raw logs</v>
      </c>
      <c r="R1483" t="str" cm="1">
        <f t="array" ref="R1483">_xlfn.IFS(AND($A1483="thg-beauty",ISNUMBER(SEARCH("liveramp",$C1483))),"thg-beauty Liveramp dataset — confirmed safe to delete",$A1483="agile-bonbon-662",_xlfn.IFS(LEFT($G1483,9)="Tranche 1","Tranche 1: cleared",$C1483="Sessions_Level_1_All_Sites","Downstream aggregation of UA raw logs — keep if raw tables go",ISNUMBER(--$C1483),"UA raw site logs (account ID) — keep pending audit-retention check",$C1483="Emag_Reporting","Legacy but likely needed",$C1483="Nutrition_Data_Archived_Tables","Worth keeping",$C1483="EU_Data","Static lookup tables — scripts still reference (smoke-test risk)",TRUE,"Review"),OR($A1483="thg-influencer",$A1483="thg-ingenuity",$A1483="thg-central-marketing",$A1483="thg-seoclarity"),"HOLD — Charlie Stringer to review before deletion",TRUE,"")</f>
        <v>UA raw site logs (account ID) — keep pending audit-retention check</v>
      </c>
      <c r="S1483" t="s">
        <v>1631</v>
      </c>
    </row>
    <row r="1484" spans="1:19" ht="45.75" hidden="1">
      <c r="A1484" t="s">
        <v>89</v>
      </c>
      <c r="B1484" t="s">
        <v>1619</v>
      </c>
      <c r="C1484" t="s">
        <v>901</v>
      </c>
      <c r="D1484" s="2" t="s">
        <v>1621</v>
      </c>
      <c r="E1484">
        <v>63.09</v>
      </c>
      <c r="F1484">
        <v>1.26</v>
      </c>
      <c r="G1484" t="s">
        <v>72</v>
      </c>
      <c r="H1484" t="s">
        <v>3457</v>
      </c>
      <c r="I1484">
        <v>35</v>
      </c>
      <c r="J1484">
        <v>741</v>
      </c>
      <c r="K1484" s="5">
        <v>46161.616199988428</v>
      </c>
      <c r="M1484" s="2" t="s">
        <v>1938</v>
      </c>
      <c r="N1484" s="2" t="s">
        <v>1701</v>
      </c>
      <c r="O1484" s="5">
        <v>45456.390630208327</v>
      </c>
      <c r="P1484" t="str">
        <f>IF($Q1484="DELETE",IF($S1484="CONFIRMED: NO MODS &gt; 1YR","CONFIRMED: NO MODS &gt; 1YR","DO NOT DELETE — not defensibly confirmed"),IF($Q1484="HOLD","DO NOT DELETE — HOLD (Charlie review)",IF($Q1484="KEEP","DO NOT DELETE — KEEP",IF(ISNUMBER(SEARCH("REVIEW",$Q1484)),"DO NOT DELETE — REVIEW pending",$S1484))))</f>
        <v>DO NOT DELETE — REVIEW pending</v>
      </c>
      <c r="Q1484" t="str" cm="1">
        <f t="array" ref="Q1484">_xlfn.IFS(AND($A1484="thg-beauty",ISNUMBER(SEARCH("liveramp",$C1484))),"DELETE",$A1484="agile-bonbon-662",_xlfn.IFS(LEFT($G1484,9)="Tranche 1","DELETE",$C1484="Sessions_Level_1_All_Sites","KEEP",ISNUMBER(--$C1484),"REVIEW — UA raw logs",$C1484="Emag_Reporting","KEEP",$C1484="Nutrition_Data_Archived_Tables","KEEP",$C1484="EU_Data","KEEP",TRUE,"REVIEW"),OR($A1484="thg-influencer",$A1484="thg-ingenuity",$A1484="thg-central-marketing",$A1484="thg-seoclarity"),"HOLD",TRUE,"")</f>
        <v>REVIEW</v>
      </c>
      <c r="R1484" t="str" cm="1">
        <f t="array" ref="R1484">_xlfn.IFS(AND($A1484="thg-beauty",ISNUMBER(SEARCH("liveramp",$C1484))),"thg-beauty Liveramp dataset — confirmed safe to delete",$A1484="agile-bonbon-662",_xlfn.IFS(LEFT($G1484,9)="Tranche 1","Tranche 1: cleared",$C1484="Sessions_Level_1_All_Sites","Downstream aggregation of UA raw logs — keep if raw tables go",ISNUMBER(--$C1484),"UA raw site logs (account ID) — keep pending audit-retention check",$C1484="Emag_Reporting","Legacy but likely needed",$C1484="Nutrition_Data_Archived_Tables","Worth keeping",$C1484="EU_Data","Static lookup tables — scripts still reference (smoke-test risk)",TRUE,"Review"),OR($A1484="thg-influencer",$A1484="thg-ingenuity",$A1484="thg-central-marketing",$A1484="thg-seoclarity"),"HOLD — Charlie Stringer to review before deletion",TRUE,"")</f>
        <v>Review</v>
      </c>
      <c r="S1484" t="s">
        <v>1631</v>
      </c>
    </row>
    <row r="1485" spans="1:19" ht="60.75" hidden="1">
      <c r="A1485" t="s">
        <v>89</v>
      </c>
      <c r="B1485" t="s">
        <v>1619</v>
      </c>
      <c r="C1485" t="s">
        <v>911</v>
      </c>
      <c r="D1485" s="2" t="s">
        <v>1621</v>
      </c>
      <c r="E1485">
        <v>61.52</v>
      </c>
      <c r="F1485">
        <v>1.23</v>
      </c>
      <c r="G1485" t="s">
        <v>72</v>
      </c>
      <c r="H1485" t="s">
        <v>3457</v>
      </c>
      <c r="I1485">
        <v>35</v>
      </c>
      <c r="J1485">
        <v>412</v>
      </c>
      <c r="K1485" s="5">
        <v>46161.581353935188</v>
      </c>
      <c r="M1485" s="2" t="s">
        <v>2032</v>
      </c>
      <c r="N1485" s="2" t="s">
        <v>1701</v>
      </c>
      <c r="O1485" s="5">
        <v>45785.357682175927</v>
      </c>
      <c r="P1485" t="str">
        <f>IF($Q1485="DELETE",IF($S1485="CONFIRMED: NO MODS &gt; 1YR","CONFIRMED: NO MODS &gt; 1YR","DO NOT DELETE — not defensibly confirmed"),IF($Q1485="HOLD","DO NOT DELETE — HOLD (Charlie review)",IF($Q1485="KEEP","DO NOT DELETE — KEEP",IF(ISNUMBER(SEARCH("REVIEW",$Q1485)),"DO NOT DELETE — REVIEW pending",$S1485))))</f>
        <v>DO NOT DELETE — REVIEW pending</v>
      </c>
      <c r="Q1485" t="str" cm="1">
        <f t="array" ref="Q1485">_xlfn.IFS(AND($A1485="thg-beauty",ISNUMBER(SEARCH("liveramp",$C1485))),"DELETE",$A1485="agile-bonbon-662",_xlfn.IFS(LEFT($G1485,9)="Tranche 1","DELETE",$C1485="Sessions_Level_1_All_Sites","KEEP",ISNUMBER(--$C1485),"REVIEW — UA raw logs",$C1485="Emag_Reporting","KEEP",$C1485="Nutrition_Data_Archived_Tables","KEEP",$C1485="EU_Data","KEEP",TRUE,"REVIEW"),OR($A1485="thg-influencer",$A1485="thg-ingenuity",$A1485="thg-central-marketing",$A1485="thg-seoclarity"),"HOLD",TRUE,"")</f>
        <v>REVIEW</v>
      </c>
      <c r="R1485" t="str" cm="1">
        <f t="array" ref="R1485">_xlfn.IFS(AND($A1485="thg-beauty",ISNUMBER(SEARCH("liveramp",$C1485))),"thg-beauty Liveramp dataset — confirmed safe to delete",$A1485="agile-bonbon-662",_xlfn.IFS(LEFT($G1485,9)="Tranche 1","Tranche 1: cleared",$C1485="Sessions_Level_1_All_Sites","Downstream aggregation of UA raw logs — keep if raw tables go",ISNUMBER(--$C1485),"UA raw site logs (account ID) — keep pending audit-retention check",$C1485="Emag_Reporting","Legacy but likely needed",$C1485="Nutrition_Data_Archived_Tables","Worth keeping",$C1485="EU_Data","Static lookup tables — scripts still reference (smoke-test risk)",TRUE,"Review"),OR($A1485="thg-influencer",$A1485="thg-ingenuity",$A1485="thg-central-marketing",$A1485="thg-seoclarity"),"HOLD — Charlie Stringer to review before deletion",TRUE,"")</f>
        <v>Review</v>
      </c>
      <c r="S1485" t="s">
        <v>1631</v>
      </c>
    </row>
    <row r="1486" spans="1:19" ht="45.75" hidden="1">
      <c r="A1486" t="s">
        <v>89</v>
      </c>
      <c r="B1486" t="s">
        <v>1619</v>
      </c>
      <c r="C1486" t="s">
        <v>906</v>
      </c>
      <c r="D1486" s="2" t="s">
        <v>1621</v>
      </c>
      <c r="E1486">
        <v>61.38</v>
      </c>
      <c r="F1486">
        <v>1.23</v>
      </c>
      <c r="G1486" t="s">
        <v>72</v>
      </c>
      <c r="H1486" t="s">
        <v>3457</v>
      </c>
      <c r="I1486">
        <v>35</v>
      </c>
      <c r="J1486">
        <v>790</v>
      </c>
      <c r="K1486" s="5">
        <v>46161.615936331022</v>
      </c>
      <c r="M1486" s="2" t="s">
        <v>1977</v>
      </c>
      <c r="N1486" s="2" t="s">
        <v>1701</v>
      </c>
      <c r="O1486" s="5">
        <v>45407.301533611113</v>
      </c>
      <c r="P1486" t="str">
        <f>IF($Q1486="DELETE",IF($S1486="CONFIRMED: NO MODS &gt; 1YR","CONFIRMED: NO MODS &gt; 1YR","DO NOT DELETE — not defensibly confirmed"),IF($Q1486="HOLD","DO NOT DELETE — HOLD (Charlie review)",IF($Q1486="KEEP","DO NOT DELETE — KEEP",IF(ISNUMBER(SEARCH("REVIEW",$Q1486)),"DO NOT DELETE — REVIEW pending",$S1486))))</f>
        <v>DO NOT DELETE — REVIEW pending</v>
      </c>
      <c r="Q1486" t="str" cm="1">
        <f t="array" ref="Q1486">_xlfn.IFS(AND($A1486="thg-beauty",ISNUMBER(SEARCH("liveramp",$C1486))),"DELETE",$A1486="agile-bonbon-662",_xlfn.IFS(LEFT($G1486,9)="Tranche 1","DELETE",$C1486="Sessions_Level_1_All_Sites","KEEP",ISNUMBER(--$C1486),"REVIEW — UA raw logs",$C1486="Emag_Reporting","KEEP",$C1486="Nutrition_Data_Archived_Tables","KEEP",$C1486="EU_Data","KEEP",TRUE,"REVIEW"),OR($A1486="thg-influencer",$A1486="thg-ingenuity",$A1486="thg-central-marketing",$A1486="thg-seoclarity"),"HOLD",TRUE,"")</f>
        <v>REVIEW</v>
      </c>
      <c r="R1486" t="str" cm="1">
        <f t="array" ref="R1486">_xlfn.IFS(AND($A1486="thg-beauty",ISNUMBER(SEARCH("liveramp",$C1486))),"thg-beauty Liveramp dataset — confirmed safe to delete",$A1486="agile-bonbon-662",_xlfn.IFS(LEFT($G1486,9)="Tranche 1","Tranche 1: cleared",$C1486="Sessions_Level_1_All_Sites","Downstream aggregation of UA raw logs — keep if raw tables go",ISNUMBER(--$C1486),"UA raw site logs (account ID) — keep pending audit-retention check",$C1486="Emag_Reporting","Legacy but likely needed",$C1486="Nutrition_Data_Archived_Tables","Worth keeping",$C1486="EU_Data","Static lookup tables — scripts still reference (smoke-test risk)",TRUE,"Review"),OR($A1486="thg-influencer",$A1486="thg-ingenuity",$A1486="thg-central-marketing",$A1486="thg-seoclarity"),"HOLD — Charlie Stringer to review before deletion",TRUE,"")</f>
        <v>Review</v>
      </c>
      <c r="S1486" t="s">
        <v>1631</v>
      </c>
    </row>
    <row r="1487" spans="1:19" ht="45.75" hidden="1">
      <c r="A1487" t="s">
        <v>89</v>
      </c>
      <c r="B1487" t="s">
        <v>1619</v>
      </c>
      <c r="C1487" t="s">
        <v>916</v>
      </c>
      <c r="D1487" s="2" t="s">
        <v>1621</v>
      </c>
      <c r="E1487">
        <v>61.22</v>
      </c>
      <c r="F1487">
        <v>1.22</v>
      </c>
      <c r="G1487" t="s">
        <v>72</v>
      </c>
      <c r="H1487" t="s">
        <v>3457</v>
      </c>
      <c r="I1487">
        <v>35</v>
      </c>
      <c r="J1487">
        <v>1966</v>
      </c>
      <c r="K1487" s="5">
        <v>46161.62196462963</v>
      </c>
      <c r="M1487" s="2" t="s">
        <v>3359</v>
      </c>
      <c r="N1487" s="2" t="s">
        <v>1701</v>
      </c>
      <c r="O1487" s="5">
        <v>44231.140755555563</v>
      </c>
      <c r="P1487" t="str">
        <f>IF($Q1487="DELETE",IF($S1487="CONFIRMED: NO MODS &gt; 1YR","CONFIRMED: NO MODS &gt; 1YR","DO NOT DELETE — not defensibly confirmed"),IF($Q1487="HOLD","DO NOT DELETE — HOLD (Charlie review)",IF($Q1487="KEEP","DO NOT DELETE — KEEP",IF(ISNUMBER(SEARCH("REVIEW",$Q1487)),"DO NOT DELETE — REVIEW pending",$S1487))))</f>
        <v>DO NOT DELETE — REVIEW pending</v>
      </c>
      <c r="Q1487" t="str" cm="1">
        <f t="array" ref="Q1487">_xlfn.IFS(AND($A1487="thg-beauty",ISNUMBER(SEARCH("liveramp",$C1487))),"DELETE",$A1487="agile-bonbon-662",_xlfn.IFS(LEFT($G1487,9)="Tranche 1","DELETE",$C1487="Sessions_Level_1_All_Sites","KEEP",ISNUMBER(--$C1487),"REVIEW — UA raw logs",$C1487="Emag_Reporting","KEEP",$C1487="Nutrition_Data_Archived_Tables","KEEP",$C1487="EU_Data","KEEP",TRUE,"REVIEW"),OR($A1487="thg-influencer",$A1487="thg-ingenuity",$A1487="thg-central-marketing",$A1487="thg-seoclarity"),"HOLD",TRUE,"")</f>
        <v>REVIEW</v>
      </c>
      <c r="R1487" t="str" cm="1">
        <f t="array" ref="R1487">_xlfn.IFS(AND($A1487="thg-beauty",ISNUMBER(SEARCH("liveramp",$C1487))),"thg-beauty Liveramp dataset — confirmed safe to delete",$A1487="agile-bonbon-662",_xlfn.IFS(LEFT($G1487,9)="Tranche 1","Tranche 1: cleared",$C1487="Sessions_Level_1_All_Sites","Downstream aggregation of UA raw logs — keep if raw tables go",ISNUMBER(--$C1487),"UA raw site logs (account ID) — keep pending audit-retention check",$C1487="Emag_Reporting","Legacy but likely needed",$C1487="Nutrition_Data_Archived_Tables","Worth keeping",$C1487="EU_Data","Static lookup tables — scripts still reference (smoke-test risk)",TRUE,"Review"),OR($A1487="thg-influencer",$A1487="thg-ingenuity",$A1487="thg-central-marketing",$A1487="thg-seoclarity"),"HOLD — Charlie Stringer to review before deletion",TRUE,"")</f>
        <v>Review</v>
      </c>
      <c r="S1487" t="s">
        <v>1631</v>
      </c>
    </row>
    <row r="1488" spans="1:19" ht="45.75" hidden="1">
      <c r="A1488" t="s">
        <v>89</v>
      </c>
      <c r="B1488" t="s">
        <v>1619</v>
      </c>
      <c r="C1488" t="s">
        <v>920</v>
      </c>
      <c r="D1488" s="2" t="s">
        <v>1621</v>
      </c>
      <c r="E1488">
        <v>60.42</v>
      </c>
      <c r="F1488">
        <v>1.21</v>
      </c>
      <c r="G1488" t="s">
        <v>72</v>
      </c>
      <c r="H1488" t="s">
        <v>3457</v>
      </c>
      <c r="I1488">
        <v>35</v>
      </c>
      <c r="J1488">
        <v>723</v>
      </c>
      <c r="K1488" s="5">
        <v>46161.584270601852</v>
      </c>
      <c r="M1488" s="2" t="s">
        <v>3417</v>
      </c>
      <c r="N1488" s="2" t="s">
        <v>1701</v>
      </c>
      <c r="O1488" s="5">
        <v>45474.251532210648</v>
      </c>
      <c r="P1488" t="str">
        <f>IF($Q1488="DELETE",IF($S1488="CONFIRMED: NO MODS &gt; 1YR","CONFIRMED: NO MODS &gt; 1YR","DO NOT DELETE — not defensibly confirmed"),IF($Q1488="HOLD","DO NOT DELETE — HOLD (Charlie review)",IF($Q1488="KEEP","DO NOT DELETE — KEEP",IF(ISNUMBER(SEARCH("REVIEW",$Q1488)),"DO NOT DELETE — REVIEW pending",$S1488))))</f>
        <v>DO NOT DELETE — REVIEW pending</v>
      </c>
      <c r="Q1488" t="str" cm="1">
        <f t="array" ref="Q1488">_xlfn.IFS(AND($A1488="thg-beauty",ISNUMBER(SEARCH("liveramp",$C1488))),"DELETE",$A1488="agile-bonbon-662",_xlfn.IFS(LEFT($G1488,9)="Tranche 1","DELETE",$C1488="Sessions_Level_1_All_Sites","KEEP",ISNUMBER(--$C1488),"REVIEW — UA raw logs",$C1488="Emag_Reporting","KEEP",$C1488="Nutrition_Data_Archived_Tables","KEEP",$C1488="EU_Data","KEEP",TRUE,"REVIEW"),OR($A1488="thg-influencer",$A1488="thg-ingenuity",$A1488="thg-central-marketing",$A1488="thg-seoclarity"),"HOLD",TRUE,"")</f>
        <v>REVIEW — UA raw logs</v>
      </c>
      <c r="R1488" t="str" cm="1">
        <f t="array" ref="R1488">_xlfn.IFS(AND($A1488="thg-beauty",ISNUMBER(SEARCH("liveramp",$C1488))),"thg-beauty Liveramp dataset — confirmed safe to delete",$A1488="agile-bonbon-662",_xlfn.IFS(LEFT($G1488,9)="Tranche 1","Tranche 1: cleared",$C1488="Sessions_Level_1_All_Sites","Downstream aggregation of UA raw logs — keep if raw tables go",ISNUMBER(--$C1488),"UA raw site logs (account ID) — keep pending audit-retention check",$C1488="Emag_Reporting","Legacy but likely needed",$C1488="Nutrition_Data_Archived_Tables","Worth keeping",$C1488="EU_Data","Static lookup tables — scripts still reference (smoke-test risk)",TRUE,"Review"),OR($A1488="thg-influencer",$A1488="thg-ingenuity",$A1488="thg-central-marketing",$A1488="thg-seoclarity"),"HOLD — Charlie Stringer to review before deletion",TRUE,"")</f>
        <v>UA raw site logs (account ID) — keep pending audit-retention check</v>
      </c>
      <c r="S1488" t="s">
        <v>1631</v>
      </c>
    </row>
    <row r="1489" spans="1:19" ht="45.75" hidden="1">
      <c r="A1489" t="s">
        <v>89</v>
      </c>
      <c r="B1489" t="s">
        <v>1619</v>
      </c>
      <c r="C1489" t="s">
        <v>924</v>
      </c>
      <c r="D1489" s="2" t="s">
        <v>1621</v>
      </c>
      <c r="E1489">
        <v>60.2</v>
      </c>
      <c r="F1489">
        <v>1.2</v>
      </c>
      <c r="G1489" t="s">
        <v>72</v>
      </c>
      <c r="H1489" t="s">
        <v>3457</v>
      </c>
      <c r="I1489">
        <v>35</v>
      </c>
      <c r="J1489">
        <v>877</v>
      </c>
      <c r="K1489" s="5">
        <v>46161.616485949067</v>
      </c>
      <c r="M1489" s="2" t="s">
        <v>1984</v>
      </c>
      <c r="N1489" s="2" t="s">
        <v>1701</v>
      </c>
      <c r="O1489" s="5">
        <v>45320.267711921297</v>
      </c>
      <c r="P1489" t="str">
        <f>IF($Q1489="DELETE",IF($S1489="CONFIRMED: NO MODS &gt; 1YR","CONFIRMED: NO MODS &gt; 1YR","DO NOT DELETE — not defensibly confirmed"),IF($Q1489="HOLD","DO NOT DELETE — HOLD (Charlie review)",IF($Q1489="KEEP","DO NOT DELETE — KEEP",IF(ISNUMBER(SEARCH("REVIEW",$Q1489)),"DO NOT DELETE — REVIEW pending",$S1489))))</f>
        <v>DO NOT DELETE — REVIEW pending</v>
      </c>
      <c r="Q1489" t="str" cm="1">
        <f t="array" ref="Q1489">_xlfn.IFS(AND($A1489="thg-beauty",ISNUMBER(SEARCH("liveramp",$C1489))),"DELETE",$A1489="agile-bonbon-662",_xlfn.IFS(LEFT($G1489,9)="Tranche 1","DELETE",$C1489="Sessions_Level_1_All_Sites","KEEP",ISNUMBER(--$C1489),"REVIEW — UA raw logs",$C1489="Emag_Reporting","KEEP",$C1489="Nutrition_Data_Archived_Tables","KEEP",$C1489="EU_Data","KEEP",TRUE,"REVIEW"),OR($A1489="thg-influencer",$A1489="thg-ingenuity",$A1489="thg-central-marketing",$A1489="thg-seoclarity"),"HOLD",TRUE,"")</f>
        <v>REVIEW</v>
      </c>
      <c r="R1489" t="str" cm="1">
        <f t="array" ref="R1489">_xlfn.IFS(AND($A1489="thg-beauty",ISNUMBER(SEARCH("liveramp",$C1489))),"thg-beauty Liveramp dataset — confirmed safe to delete",$A1489="agile-bonbon-662",_xlfn.IFS(LEFT($G1489,9)="Tranche 1","Tranche 1: cleared",$C1489="Sessions_Level_1_All_Sites","Downstream aggregation of UA raw logs — keep if raw tables go",ISNUMBER(--$C1489),"UA raw site logs (account ID) — keep pending audit-retention check",$C1489="Emag_Reporting","Legacy but likely needed",$C1489="Nutrition_Data_Archived_Tables","Worth keeping",$C1489="EU_Data","Static lookup tables — scripts still reference (smoke-test risk)",TRUE,"Review"),OR($A1489="thg-influencer",$A1489="thg-ingenuity",$A1489="thg-central-marketing",$A1489="thg-seoclarity"),"HOLD — Charlie Stringer to review before deletion",TRUE,"")</f>
        <v>Review</v>
      </c>
      <c r="S1489" t="s">
        <v>1631</v>
      </c>
    </row>
    <row r="1490" spans="1:19" ht="76.5" hidden="1">
      <c r="A1490" t="s">
        <v>89</v>
      </c>
      <c r="B1490" t="s">
        <v>1619</v>
      </c>
      <c r="C1490" t="s">
        <v>929</v>
      </c>
      <c r="D1490" s="2" t="s">
        <v>1621</v>
      </c>
      <c r="E1490">
        <v>60.02</v>
      </c>
      <c r="F1490">
        <v>1.2</v>
      </c>
      <c r="G1490" t="s">
        <v>72</v>
      </c>
      <c r="H1490" t="s">
        <v>3457</v>
      </c>
      <c r="I1490">
        <v>35</v>
      </c>
      <c r="J1490">
        <v>1421</v>
      </c>
      <c r="K1490" s="5">
        <v>46161.580407083333</v>
      </c>
      <c r="M1490" s="2" t="s">
        <v>3895</v>
      </c>
      <c r="N1490" s="2" t="s">
        <v>1701</v>
      </c>
      <c r="O1490" s="5">
        <v>44775.530190717589</v>
      </c>
      <c r="P1490" t="str">
        <f>IF($Q1490="DELETE",IF($S1490="CONFIRMED: NO MODS &gt; 1YR","CONFIRMED: NO MODS &gt; 1YR","DO NOT DELETE — not defensibly confirmed"),IF($Q1490="HOLD","DO NOT DELETE — HOLD (Charlie review)",IF($Q1490="KEEP","DO NOT DELETE — KEEP",IF(ISNUMBER(SEARCH("REVIEW",$Q1490)),"DO NOT DELETE — REVIEW pending",$S1490))))</f>
        <v>DO NOT DELETE — REVIEW pending</v>
      </c>
      <c r="Q1490" t="str" cm="1">
        <f t="array" ref="Q1490">_xlfn.IFS(AND($A1490="thg-beauty",ISNUMBER(SEARCH("liveramp",$C1490))),"DELETE",$A1490="agile-bonbon-662",_xlfn.IFS(LEFT($G1490,9)="Tranche 1","DELETE",$C1490="Sessions_Level_1_All_Sites","KEEP",ISNUMBER(--$C1490),"REVIEW — UA raw logs",$C1490="Emag_Reporting","KEEP",$C1490="Nutrition_Data_Archived_Tables","KEEP",$C1490="EU_Data","KEEP",TRUE,"REVIEW"),OR($A1490="thg-influencer",$A1490="thg-ingenuity",$A1490="thg-central-marketing",$A1490="thg-seoclarity"),"HOLD",TRUE,"")</f>
        <v>REVIEW</v>
      </c>
      <c r="R1490" t="str" cm="1">
        <f t="array" ref="R1490">_xlfn.IFS(AND($A1490="thg-beauty",ISNUMBER(SEARCH("liveramp",$C1490))),"thg-beauty Liveramp dataset — confirmed safe to delete",$A1490="agile-bonbon-662",_xlfn.IFS(LEFT($G1490,9)="Tranche 1","Tranche 1: cleared",$C1490="Sessions_Level_1_All_Sites","Downstream aggregation of UA raw logs — keep if raw tables go",ISNUMBER(--$C1490),"UA raw site logs (account ID) — keep pending audit-retention check",$C1490="Emag_Reporting","Legacy but likely needed",$C1490="Nutrition_Data_Archived_Tables","Worth keeping",$C1490="EU_Data","Static lookup tables — scripts still reference (smoke-test risk)",TRUE,"Review"),OR($A1490="thg-influencer",$A1490="thg-ingenuity",$A1490="thg-central-marketing",$A1490="thg-seoclarity"),"HOLD — Charlie Stringer to review before deletion",TRUE,"")</f>
        <v>Review</v>
      </c>
      <c r="S1490" t="s">
        <v>1631</v>
      </c>
    </row>
    <row r="1491" spans="1:19" ht="45.75" hidden="1">
      <c r="A1491" t="s">
        <v>89</v>
      </c>
      <c r="B1491" t="s">
        <v>1619</v>
      </c>
      <c r="C1491" t="s">
        <v>939</v>
      </c>
      <c r="D1491" s="2" t="s">
        <v>1621</v>
      </c>
      <c r="E1491">
        <v>59.72</v>
      </c>
      <c r="F1491">
        <v>1.19</v>
      </c>
      <c r="G1491" t="s">
        <v>72</v>
      </c>
      <c r="H1491" t="s">
        <v>3457</v>
      </c>
      <c r="I1491">
        <v>35</v>
      </c>
      <c r="J1491">
        <v>723</v>
      </c>
      <c r="K1491" s="5">
        <v>46161.589632418982</v>
      </c>
      <c r="M1491" s="2" t="s">
        <v>3402</v>
      </c>
      <c r="N1491" s="2" t="s">
        <v>1701</v>
      </c>
      <c r="O1491" s="5">
        <v>45474.275134282398</v>
      </c>
      <c r="P1491" t="str">
        <f>IF($Q1491="DELETE",IF($S1491="CONFIRMED: NO MODS &gt; 1YR","CONFIRMED: NO MODS &gt; 1YR","DO NOT DELETE — not defensibly confirmed"),IF($Q1491="HOLD","DO NOT DELETE — HOLD (Charlie review)",IF($Q1491="KEEP","DO NOT DELETE — KEEP",IF(ISNUMBER(SEARCH("REVIEW",$Q1491)),"DO NOT DELETE — REVIEW pending",$S1491))))</f>
        <v>DO NOT DELETE — REVIEW pending</v>
      </c>
      <c r="Q1491" t="str" cm="1">
        <f t="array" ref="Q1491">_xlfn.IFS(AND($A1491="thg-beauty",ISNUMBER(SEARCH("liveramp",$C1491))),"DELETE",$A1491="agile-bonbon-662",_xlfn.IFS(LEFT($G1491,9)="Tranche 1","DELETE",$C1491="Sessions_Level_1_All_Sites","KEEP",ISNUMBER(--$C1491),"REVIEW — UA raw logs",$C1491="Emag_Reporting","KEEP",$C1491="Nutrition_Data_Archived_Tables","KEEP",$C1491="EU_Data","KEEP",TRUE,"REVIEW"),OR($A1491="thg-influencer",$A1491="thg-ingenuity",$A1491="thg-central-marketing",$A1491="thg-seoclarity"),"HOLD",TRUE,"")</f>
        <v>REVIEW — UA raw logs</v>
      </c>
      <c r="R1491" t="str" cm="1">
        <f t="array" ref="R1491">_xlfn.IFS(AND($A1491="thg-beauty",ISNUMBER(SEARCH("liveramp",$C1491))),"thg-beauty Liveramp dataset — confirmed safe to delete",$A1491="agile-bonbon-662",_xlfn.IFS(LEFT($G1491,9)="Tranche 1","Tranche 1: cleared",$C1491="Sessions_Level_1_All_Sites","Downstream aggregation of UA raw logs — keep if raw tables go",ISNUMBER(--$C1491),"UA raw site logs (account ID) — keep pending audit-retention check",$C1491="Emag_Reporting","Legacy but likely needed",$C1491="Nutrition_Data_Archived_Tables","Worth keeping",$C1491="EU_Data","Static lookup tables — scripts still reference (smoke-test risk)",TRUE,"Review"),OR($A1491="thg-influencer",$A1491="thg-ingenuity",$A1491="thg-central-marketing",$A1491="thg-seoclarity"),"HOLD — Charlie Stringer to review before deletion",TRUE,"")</f>
        <v>UA raw site logs (account ID) — keep pending audit-retention check</v>
      </c>
      <c r="S1491" t="s">
        <v>1631</v>
      </c>
    </row>
    <row r="1492" spans="1:19" ht="76.5" hidden="1">
      <c r="A1492" t="s">
        <v>89</v>
      </c>
      <c r="B1492" t="s">
        <v>1619</v>
      </c>
      <c r="C1492" t="s">
        <v>943</v>
      </c>
      <c r="D1492" s="2" t="s">
        <v>1621</v>
      </c>
      <c r="E1492">
        <v>57.67</v>
      </c>
      <c r="F1492">
        <v>1.1499999999999999</v>
      </c>
      <c r="G1492" t="s">
        <v>72</v>
      </c>
      <c r="H1492" t="s">
        <v>3457</v>
      </c>
      <c r="I1492">
        <v>35</v>
      </c>
      <c r="J1492">
        <v>723</v>
      </c>
      <c r="K1492" s="5">
        <v>46161.594396747692</v>
      </c>
      <c r="M1492" s="2" t="s">
        <v>3896</v>
      </c>
      <c r="N1492" s="2" t="s">
        <v>1701</v>
      </c>
      <c r="O1492" s="5">
        <v>45474.270075717592</v>
      </c>
      <c r="P1492" t="str">
        <f>IF($Q1492="DELETE",IF($S1492="CONFIRMED: NO MODS &gt; 1YR","CONFIRMED: NO MODS &gt; 1YR","DO NOT DELETE — not defensibly confirmed"),IF($Q1492="HOLD","DO NOT DELETE — HOLD (Charlie review)",IF($Q1492="KEEP","DO NOT DELETE — KEEP",IF(ISNUMBER(SEARCH("REVIEW",$Q1492)),"DO NOT DELETE — REVIEW pending",$S1492))))</f>
        <v>DO NOT DELETE — REVIEW pending</v>
      </c>
      <c r="Q1492" t="str" cm="1">
        <f t="array" ref="Q1492">_xlfn.IFS(AND($A1492="thg-beauty",ISNUMBER(SEARCH("liveramp",$C1492))),"DELETE",$A1492="agile-bonbon-662",_xlfn.IFS(LEFT($G1492,9)="Tranche 1","DELETE",$C1492="Sessions_Level_1_All_Sites","KEEP",ISNUMBER(--$C1492),"REVIEW — UA raw logs",$C1492="Emag_Reporting","KEEP",$C1492="Nutrition_Data_Archived_Tables","KEEP",$C1492="EU_Data","KEEP",TRUE,"REVIEW"),OR($A1492="thg-influencer",$A1492="thg-ingenuity",$A1492="thg-central-marketing",$A1492="thg-seoclarity"),"HOLD",TRUE,"")</f>
        <v>REVIEW — UA raw logs</v>
      </c>
      <c r="R1492" t="str" cm="1">
        <f t="array" ref="R1492">_xlfn.IFS(AND($A1492="thg-beauty",ISNUMBER(SEARCH("liveramp",$C1492))),"thg-beauty Liveramp dataset — confirmed safe to delete",$A1492="agile-bonbon-662",_xlfn.IFS(LEFT($G1492,9)="Tranche 1","Tranche 1: cleared",$C1492="Sessions_Level_1_All_Sites","Downstream aggregation of UA raw logs — keep if raw tables go",ISNUMBER(--$C1492),"UA raw site logs (account ID) — keep pending audit-retention check",$C1492="Emag_Reporting","Legacy but likely needed",$C1492="Nutrition_Data_Archived_Tables","Worth keeping",$C1492="EU_Data","Static lookup tables — scripts still reference (smoke-test risk)",TRUE,"Review"),OR($A1492="thg-influencer",$A1492="thg-ingenuity",$A1492="thg-central-marketing",$A1492="thg-seoclarity"),"HOLD — Charlie Stringer to review before deletion",TRUE,"")</f>
        <v>UA raw site logs (account ID) — keep pending audit-retention check</v>
      </c>
      <c r="S1492" t="s">
        <v>1631</v>
      </c>
    </row>
    <row r="1493" spans="1:19" ht="45.75" hidden="1">
      <c r="A1493" t="s">
        <v>89</v>
      </c>
      <c r="B1493" t="s">
        <v>1619</v>
      </c>
      <c r="C1493" t="s">
        <v>952</v>
      </c>
      <c r="D1493" s="2" t="s">
        <v>1621</v>
      </c>
      <c r="E1493">
        <v>57.41</v>
      </c>
      <c r="F1493">
        <v>1.1499999999999999</v>
      </c>
      <c r="G1493" t="s">
        <v>72</v>
      </c>
      <c r="H1493" t="s">
        <v>3457</v>
      </c>
      <c r="I1493">
        <v>35</v>
      </c>
      <c r="J1493">
        <v>959</v>
      </c>
      <c r="K1493" s="5">
        <v>46161.616936238417</v>
      </c>
      <c r="M1493" s="2" t="s">
        <v>1947</v>
      </c>
      <c r="N1493" s="2" t="s">
        <v>1701</v>
      </c>
      <c r="O1493" s="5">
        <v>45238.350664039353</v>
      </c>
      <c r="P1493" t="str">
        <f>IF($Q1493="DELETE",IF($S1493="CONFIRMED: NO MODS &gt; 1YR","CONFIRMED: NO MODS &gt; 1YR","DO NOT DELETE — not defensibly confirmed"),IF($Q1493="HOLD","DO NOT DELETE — HOLD (Charlie review)",IF($Q1493="KEEP","DO NOT DELETE — KEEP",IF(ISNUMBER(SEARCH("REVIEW",$Q1493)),"DO NOT DELETE — REVIEW pending",$S1493))))</f>
        <v>DO NOT DELETE — REVIEW pending</v>
      </c>
      <c r="Q1493" t="str" cm="1">
        <f t="array" ref="Q1493">_xlfn.IFS(AND($A1493="thg-beauty",ISNUMBER(SEARCH("liveramp",$C1493))),"DELETE",$A1493="agile-bonbon-662",_xlfn.IFS(LEFT($G1493,9)="Tranche 1","DELETE",$C1493="Sessions_Level_1_All_Sites","KEEP",ISNUMBER(--$C1493),"REVIEW — UA raw logs",$C1493="Emag_Reporting","KEEP",$C1493="Nutrition_Data_Archived_Tables","KEEP",$C1493="EU_Data","KEEP",TRUE,"REVIEW"),OR($A1493="thg-influencer",$A1493="thg-ingenuity",$A1493="thg-central-marketing",$A1493="thg-seoclarity"),"HOLD",TRUE,"")</f>
        <v>REVIEW</v>
      </c>
      <c r="R1493" t="str" cm="1">
        <f t="array" ref="R1493">_xlfn.IFS(AND($A1493="thg-beauty",ISNUMBER(SEARCH("liveramp",$C1493))),"thg-beauty Liveramp dataset — confirmed safe to delete",$A1493="agile-bonbon-662",_xlfn.IFS(LEFT($G1493,9)="Tranche 1","Tranche 1: cleared",$C1493="Sessions_Level_1_All_Sites","Downstream aggregation of UA raw logs — keep if raw tables go",ISNUMBER(--$C1493),"UA raw site logs (account ID) — keep pending audit-retention check",$C1493="Emag_Reporting","Legacy but likely needed",$C1493="Nutrition_Data_Archived_Tables","Worth keeping",$C1493="EU_Data","Static lookup tables — scripts still reference (smoke-test risk)",TRUE,"Review"),OR($A1493="thg-influencer",$A1493="thg-ingenuity",$A1493="thg-central-marketing",$A1493="thg-seoclarity"),"HOLD — Charlie Stringer to review before deletion",TRUE,"")</f>
        <v>Review</v>
      </c>
      <c r="S1493" t="s">
        <v>1631</v>
      </c>
    </row>
    <row r="1494" spans="1:19" ht="45.75" hidden="1">
      <c r="A1494" t="s">
        <v>89</v>
      </c>
      <c r="B1494" t="s">
        <v>1619</v>
      </c>
      <c r="C1494" t="s">
        <v>947</v>
      </c>
      <c r="D1494" s="2" t="s">
        <v>1621</v>
      </c>
      <c r="E1494">
        <v>57.34</v>
      </c>
      <c r="F1494">
        <v>1.1499999999999999</v>
      </c>
      <c r="G1494" t="s">
        <v>72</v>
      </c>
      <c r="H1494" t="s">
        <v>3457</v>
      </c>
      <c r="I1494">
        <v>35</v>
      </c>
      <c r="J1494">
        <v>1069</v>
      </c>
      <c r="K1494" s="5">
        <v>46161.616960995372</v>
      </c>
      <c r="M1494" s="2" t="s">
        <v>1947</v>
      </c>
      <c r="N1494" s="2" t="s">
        <v>1701</v>
      </c>
      <c r="O1494" s="5">
        <v>45127.474171516202</v>
      </c>
      <c r="P1494" t="str">
        <f>IF($Q1494="DELETE",IF($S1494="CONFIRMED: NO MODS &gt; 1YR","CONFIRMED: NO MODS &gt; 1YR","DO NOT DELETE — not defensibly confirmed"),IF($Q1494="HOLD","DO NOT DELETE — HOLD (Charlie review)",IF($Q1494="KEEP","DO NOT DELETE — KEEP",IF(ISNUMBER(SEARCH("REVIEW",$Q1494)),"DO NOT DELETE — REVIEW pending",$S1494))))</f>
        <v>DO NOT DELETE — REVIEW pending</v>
      </c>
      <c r="Q1494" t="str" cm="1">
        <f t="array" ref="Q1494">_xlfn.IFS(AND($A1494="thg-beauty",ISNUMBER(SEARCH("liveramp",$C1494))),"DELETE",$A1494="agile-bonbon-662",_xlfn.IFS(LEFT($G1494,9)="Tranche 1","DELETE",$C1494="Sessions_Level_1_All_Sites","KEEP",ISNUMBER(--$C1494),"REVIEW — UA raw logs",$C1494="Emag_Reporting","KEEP",$C1494="Nutrition_Data_Archived_Tables","KEEP",$C1494="EU_Data","KEEP",TRUE,"REVIEW"),OR($A1494="thg-influencer",$A1494="thg-ingenuity",$A1494="thg-central-marketing",$A1494="thg-seoclarity"),"HOLD",TRUE,"")</f>
        <v>REVIEW</v>
      </c>
      <c r="R1494" t="str" cm="1">
        <f t="array" ref="R1494">_xlfn.IFS(AND($A1494="thg-beauty",ISNUMBER(SEARCH("liveramp",$C1494))),"thg-beauty Liveramp dataset — confirmed safe to delete",$A1494="agile-bonbon-662",_xlfn.IFS(LEFT($G1494,9)="Tranche 1","Tranche 1: cleared",$C1494="Sessions_Level_1_All_Sites","Downstream aggregation of UA raw logs — keep if raw tables go",ISNUMBER(--$C1494),"UA raw site logs (account ID) — keep pending audit-retention check",$C1494="Emag_Reporting","Legacy but likely needed",$C1494="Nutrition_Data_Archived_Tables","Worth keeping",$C1494="EU_Data","Static lookup tables — scripts still reference (smoke-test risk)",TRUE,"Review"),OR($A1494="thg-influencer",$A1494="thg-ingenuity",$A1494="thg-central-marketing",$A1494="thg-seoclarity"),"HOLD — Charlie Stringer to review before deletion",TRUE,"")</f>
        <v>Review</v>
      </c>
      <c r="S1494" t="s">
        <v>1631</v>
      </c>
    </row>
    <row r="1495" spans="1:19" ht="45.75" hidden="1">
      <c r="A1495" t="s">
        <v>89</v>
      </c>
      <c r="B1495" t="s">
        <v>1619</v>
      </c>
      <c r="C1495" t="s">
        <v>962</v>
      </c>
      <c r="D1495" s="2" t="s">
        <v>1621</v>
      </c>
      <c r="E1495">
        <v>56.09</v>
      </c>
      <c r="F1495">
        <v>1.1200000000000001</v>
      </c>
      <c r="G1495" t="s">
        <v>72</v>
      </c>
      <c r="H1495" t="s">
        <v>3457</v>
      </c>
      <c r="I1495">
        <v>35</v>
      </c>
      <c r="J1495">
        <v>829</v>
      </c>
      <c r="K1495" s="5">
        <v>46161.589020763888</v>
      </c>
      <c r="M1495" s="2" t="s">
        <v>3409</v>
      </c>
      <c r="N1495" s="2" t="s">
        <v>1701</v>
      </c>
      <c r="O1495" s="5">
        <v>45367.557573599537</v>
      </c>
      <c r="P1495" t="str">
        <f>IF($Q1495="DELETE",IF($S1495="CONFIRMED: NO MODS &gt; 1YR","CONFIRMED: NO MODS &gt; 1YR","DO NOT DELETE — not defensibly confirmed"),IF($Q1495="HOLD","DO NOT DELETE — HOLD (Charlie review)",IF($Q1495="KEEP","DO NOT DELETE — KEEP",IF(ISNUMBER(SEARCH("REVIEW",$Q1495)),"DO NOT DELETE — REVIEW pending",$S1495))))</f>
        <v>DO NOT DELETE — REVIEW pending</v>
      </c>
      <c r="Q1495" t="str" cm="1">
        <f t="array" ref="Q1495">_xlfn.IFS(AND($A1495="thg-beauty",ISNUMBER(SEARCH("liveramp",$C1495))),"DELETE",$A1495="agile-bonbon-662",_xlfn.IFS(LEFT($G1495,9)="Tranche 1","DELETE",$C1495="Sessions_Level_1_All_Sites","KEEP",ISNUMBER(--$C1495),"REVIEW — UA raw logs",$C1495="Emag_Reporting","KEEP",$C1495="Nutrition_Data_Archived_Tables","KEEP",$C1495="EU_Data","KEEP",TRUE,"REVIEW"),OR($A1495="thg-influencer",$A1495="thg-ingenuity",$A1495="thg-central-marketing",$A1495="thg-seoclarity"),"HOLD",TRUE,"")</f>
        <v>REVIEW — UA raw logs</v>
      </c>
      <c r="R1495" t="str" cm="1">
        <f t="array" ref="R1495">_xlfn.IFS(AND($A1495="thg-beauty",ISNUMBER(SEARCH("liveramp",$C1495))),"thg-beauty Liveramp dataset — confirmed safe to delete",$A1495="agile-bonbon-662",_xlfn.IFS(LEFT($G1495,9)="Tranche 1","Tranche 1: cleared",$C1495="Sessions_Level_1_All_Sites","Downstream aggregation of UA raw logs — keep if raw tables go",ISNUMBER(--$C1495),"UA raw site logs (account ID) — keep pending audit-retention check",$C1495="Emag_Reporting","Legacy but likely needed",$C1495="Nutrition_Data_Archived_Tables","Worth keeping",$C1495="EU_Data","Static lookup tables — scripts still reference (smoke-test risk)",TRUE,"Review"),OR($A1495="thg-influencer",$A1495="thg-ingenuity",$A1495="thg-central-marketing",$A1495="thg-seoclarity"),"HOLD — Charlie Stringer to review before deletion",TRUE,"")</f>
        <v>UA raw site logs (account ID) — keep pending audit-retention check</v>
      </c>
      <c r="S1495" t="s">
        <v>1624</v>
      </c>
    </row>
    <row r="1496" spans="1:19" ht="76.5" hidden="1">
      <c r="A1496" t="s">
        <v>89</v>
      </c>
      <c r="B1496" t="s">
        <v>1619</v>
      </c>
      <c r="C1496" t="s">
        <v>967</v>
      </c>
      <c r="D1496" s="2" t="s">
        <v>1621</v>
      </c>
      <c r="E1496">
        <v>55.9</v>
      </c>
      <c r="F1496">
        <v>1.1200000000000001</v>
      </c>
      <c r="G1496" t="s">
        <v>72</v>
      </c>
      <c r="H1496" t="s">
        <v>3457</v>
      </c>
      <c r="I1496">
        <v>35</v>
      </c>
      <c r="J1496">
        <v>616</v>
      </c>
      <c r="K1496" s="5">
        <v>46161.579562129627</v>
      </c>
      <c r="M1496" s="2" t="s">
        <v>3897</v>
      </c>
      <c r="N1496" s="2" t="s">
        <v>1701</v>
      </c>
      <c r="O1496" s="5">
        <v>45580.62395710648</v>
      </c>
      <c r="P1496" t="str">
        <f>IF($Q1496="DELETE",IF($S1496="CONFIRMED: NO MODS &gt; 1YR","CONFIRMED: NO MODS &gt; 1YR","DO NOT DELETE — not defensibly confirmed"),IF($Q1496="HOLD","DO NOT DELETE — HOLD (Charlie review)",IF($Q1496="KEEP","DO NOT DELETE — KEEP",IF(ISNUMBER(SEARCH("REVIEW",$Q1496)),"DO NOT DELETE — REVIEW pending",$S1496))))</f>
        <v>DO NOT DELETE — REVIEW pending</v>
      </c>
      <c r="Q1496" t="str" cm="1">
        <f t="array" ref="Q1496">_xlfn.IFS(AND($A1496="thg-beauty",ISNUMBER(SEARCH("liveramp",$C1496))),"DELETE",$A1496="agile-bonbon-662",_xlfn.IFS(LEFT($G1496,9)="Tranche 1","DELETE",$C1496="Sessions_Level_1_All_Sites","KEEP",ISNUMBER(--$C1496),"REVIEW — UA raw logs",$C1496="Emag_Reporting","KEEP",$C1496="Nutrition_Data_Archived_Tables","KEEP",$C1496="EU_Data","KEEP",TRUE,"REVIEW"),OR($A1496="thg-influencer",$A1496="thg-ingenuity",$A1496="thg-central-marketing",$A1496="thg-seoclarity"),"HOLD",TRUE,"")</f>
        <v>REVIEW</v>
      </c>
      <c r="R1496" t="str" cm="1">
        <f t="array" ref="R1496">_xlfn.IFS(AND($A1496="thg-beauty",ISNUMBER(SEARCH("liveramp",$C1496))),"thg-beauty Liveramp dataset — confirmed safe to delete",$A1496="agile-bonbon-662",_xlfn.IFS(LEFT($G1496,9)="Tranche 1","Tranche 1: cleared",$C1496="Sessions_Level_1_All_Sites","Downstream aggregation of UA raw logs — keep if raw tables go",ISNUMBER(--$C1496),"UA raw site logs (account ID) — keep pending audit-retention check",$C1496="Emag_Reporting","Legacy but likely needed",$C1496="Nutrition_Data_Archived_Tables","Worth keeping",$C1496="EU_Data","Static lookup tables — scripts still reference (smoke-test risk)",TRUE,"Review"),OR($A1496="thg-influencer",$A1496="thg-ingenuity",$A1496="thg-central-marketing",$A1496="thg-seoclarity"),"HOLD — Charlie Stringer to review before deletion",TRUE,"")</f>
        <v>Review</v>
      </c>
      <c r="S1496" t="s">
        <v>1631</v>
      </c>
    </row>
    <row r="1497" spans="1:19" ht="45.75" hidden="1">
      <c r="A1497" t="s">
        <v>89</v>
      </c>
      <c r="B1497" t="s">
        <v>1619</v>
      </c>
      <c r="C1497" t="s">
        <v>972</v>
      </c>
      <c r="D1497" s="2" t="s">
        <v>1621</v>
      </c>
      <c r="E1497">
        <v>55.17</v>
      </c>
      <c r="F1497">
        <v>1.1000000000000001</v>
      </c>
      <c r="G1497" t="s">
        <v>72</v>
      </c>
      <c r="H1497" t="s">
        <v>3457</v>
      </c>
      <c r="I1497">
        <v>35</v>
      </c>
      <c r="J1497">
        <v>723</v>
      </c>
      <c r="K1497" s="5">
        <v>46161.582313993058</v>
      </c>
      <c r="M1497" s="2" t="s">
        <v>3444</v>
      </c>
      <c r="N1497" s="2" t="s">
        <v>1701</v>
      </c>
      <c r="O1497" s="5">
        <v>45474.274647152779</v>
      </c>
      <c r="P1497" t="str">
        <f>IF($Q1497="DELETE",IF($S1497="CONFIRMED: NO MODS &gt; 1YR","CONFIRMED: NO MODS &gt; 1YR","DO NOT DELETE — not defensibly confirmed"),IF($Q1497="HOLD","DO NOT DELETE — HOLD (Charlie review)",IF($Q1497="KEEP","DO NOT DELETE — KEEP",IF(ISNUMBER(SEARCH("REVIEW",$Q1497)),"DO NOT DELETE — REVIEW pending",$S1497))))</f>
        <v>DO NOT DELETE — REVIEW pending</v>
      </c>
      <c r="Q1497" t="str" cm="1">
        <f t="array" ref="Q1497">_xlfn.IFS(AND($A1497="thg-beauty",ISNUMBER(SEARCH("liveramp",$C1497))),"DELETE",$A1497="agile-bonbon-662",_xlfn.IFS(LEFT($G1497,9)="Tranche 1","DELETE",$C1497="Sessions_Level_1_All_Sites","KEEP",ISNUMBER(--$C1497),"REVIEW — UA raw logs",$C1497="Emag_Reporting","KEEP",$C1497="Nutrition_Data_Archived_Tables","KEEP",$C1497="EU_Data","KEEP",TRUE,"REVIEW"),OR($A1497="thg-influencer",$A1497="thg-ingenuity",$A1497="thg-central-marketing",$A1497="thg-seoclarity"),"HOLD",TRUE,"")</f>
        <v>REVIEW — UA raw logs</v>
      </c>
      <c r="R1497" t="str" cm="1">
        <f t="array" ref="R1497">_xlfn.IFS(AND($A1497="thg-beauty",ISNUMBER(SEARCH("liveramp",$C1497))),"thg-beauty Liveramp dataset — confirmed safe to delete",$A1497="agile-bonbon-662",_xlfn.IFS(LEFT($G1497,9)="Tranche 1","Tranche 1: cleared",$C1497="Sessions_Level_1_All_Sites","Downstream aggregation of UA raw logs — keep if raw tables go",ISNUMBER(--$C1497),"UA raw site logs (account ID) — keep pending audit-retention check",$C1497="Emag_Reporting","Legacy but likely needed",$C1497="Nutrition_Data_Archived_Tables","Worth keeping",$C1497="EU_Data","Static lookup tables — scripts still reference (smoke-test risk)",TRUE,"Review"),OR($A1497="thg-influencer",$A1497="thg-ingenuity",$A1497="thg-central-marketing",$A1497="thg-seoclarity"),"HOLD — Charlie Stringer to review before deletion",TRUE,"")</f>
        <v>UA raw site logs (account ID) — keep pending audit-retention check</v>
      </c>
      <c r="S1497" t="s">
        <v>1631</v>
      </c>
    </row>
    <row r="1498" spans="1:19" ht="45.75" hidden="1">
      <c r="A1498" t="s">
        <v>89</v>
      </c>
      <c r="B1498" t="s">
        <v>1619</v>
      </c>
      <c r="C1498" t="s">
        <v>976</v>
      </c>
      <c r="D1498" s="2" t="s">
        <v>1621</v>
      </c>
      <c r="E1498">
        <v>52.88</v>
      </c>
      <c r="F1498">
        <v>1.06</v>
      </c>
      <c r="G1498" t="s">
        <v>72</v>
      </c>
      <c r="H1498" t="s">
        <v>3457</v>
      </c>
      <c r="I1498">
        <v>35</v>
      </c>
      <c r="J1498">
        <v>1630</v>
      </c>
      <c r="K1498" s="5">
        <v>46161.611798460654</v>
      </c>
      <c r="M1498" s="2" t="s">
        <v>3898</v>
      </c>
      <c r="N1498" s="2" t="s">
        <v>1701</v>
      </c>
      <c r="O1498" s="5">
        <v>44566.670488055563</v>
      </c>
      <c r="P1498" t="str">
        <f>IF($Q1498="DELETE",IF($S1498="CONFIRMED: NO MODS &gt; 1YR","CONFIRMED: NO MODS &gt; 1YR","DO NOT DELETE — not defensibly confirmed"),IF($Q1498="HOLD","DO NOT DELETE — HOLD (Charlie review)",IF($Q1498="KEEP","DO NOT DELETE — KEEP",IF(ISNUMBER(SEARCH("REVIEW",$Q1498)),"DO NOT DELETE — REVIEW pending",$S1498))))</f>
        <v>DO NOT DELETE — REVIEW pending</v>
      </c>
      <c r="Q1498" t="str" cm="1">
        <f t="array" ref="Q1498">_xlfn.IFS(AND($A1498="thg-beauty",ISNUMBER(SEARCH("liveramp",$C1498))),"DELETE",$A1498="agile-bonbon-662",_xlfn.IFS(LEFT($G1498,9)="Tranche 1","DELETE",$C1498="Sessions_Level_1_All_Sites","KEEP",ISNUMBER(--$C1498),"REVIEW — UA raw logs",$C1498="Emag_Reporting","KEEP",$C1498="Nutrition_Data_Archived_Tables","KEEP",$C1498="EU_Data","KEEP",TRUE,"REVIEW"),OR($A1498="thg-influencer",$A1498="thg-ingenuity",$A1498="thg-central-marketing",$A1498="thg-seoclarity"),"HOLD",TRUE,"")</f>
        <v>REVIEW</v>
      </c>
      <c r="R1498" t="str" cm="1">
        <f t="array" ref="R1498">_xlfn.IFS(AND($A1498="thg-beauty",ISNUMBER(SEARCH("liveramp",$C1498))),"thg-beauty Liveramp dataset — confirmed safe to delete",$A1498="agile-bonbon-662",_xlfn.IFS(LEFT($G1498,9)="Tranche 1","Tranche 1: cleared",$C1498="Sessions_Level_1_All_Sites","Downstream aggregation of UA raw logs — keep if raw tables go",ISNUMBER(--$C1498),"UA raw site logs (account ID) — keep pending audit-retention check",$C1498="Emag_Reporting","Legacy but likely needed",$C1498="Nutrition_Data_Archived_Tables","Worth keeping",$C1498="EU_Data","Static lookup tables — scripts still reference (smoke-test risk)",TRUE,"Review"),OR($A1498="thg-influencer",$A1498="thg-ingenuity",$A1498="thg-central-marketing",$A1498="thg-seoclarity"),"HOLD — Charlie Stringer to review before deletion",TRUE,"")</f>
        <v>Review</v>
      </c>
      <c r="S1498" t="s">
        <v>1631</v>
      </c>
    </row>
    <row r="1499" spans="1:19" ht="45.75" hidden="1">
      <c r="A1499" t="s">
        <v>89</v>
      </c>
      <c r="B1499" t="s">
        <v>1619</v>
      </c>
      <c r="C1499" t="s">
        <v>981</v>
      </c>
      <c r="D1499" s="2" t="s">
        <v>1621</v>
      </c>
      <c r="E1499">
        <v>52.19</v>
      </c>
      <c r="F1499">
        <v>1.04</v>
      </c>
      <c r="G1499" t="s">
        <v>72</v>
      </c>
      <c r="H1499" t="s">
        <v>3457</v>
      </c>
      <c r="I1499">
        <v>35</v>
      </c>
      <c r="J1499">
        <v>723</v>
      </c>
      <c r="K1499" s="5">
        <v>46161.587058182871</v>
      </c>
      <c r="M1499" s="2" t="s">
        <v>3440</v>
      </c>
      <c r="N1499" s="2" t="s">
        <v>1701</v>
      </c>
      <c r="O1499" s="5">
        <v>45474.273897094907</v>
      </c>
      <c r="P1499" t="str">
        <f>IF($Q1499="DELETE",IF($S1499="CONFIRMED: NO MODS &gt; 1YR","CONFIRMED: NO MODS &gt; 1YR","DO NOT DELETE — not defensibly confirmed"),IF($Q1499="HOLD","DO NOT DELETE — HOLD (Charlie review)",IF($Q1499="KEEP","DO NOT DELETE — KEEP",IF(ISNUMBER(SEARCH("REVIEW",$Q1499)),"DO NOT DELETE — REVIEW pending",$S1499))))</f>
        <v>DO NOT DELETE — REVIEW pending</v>
      </c>
      <c r="Q1499" t="str" cm="1">
        <f t="array" ref="Q1499">_xlfn.IFS(AND($A1499="thg-beauty",ISNUMBER(SEARCH("liveramp",$C1499))),"DELETE",$A1499="agile-bonbon-662",_xlfn.IFS(LEFT($G1499,9)="Tranche 1","DELETE",$C1499="Sessions_Level_1_All_Sites","KEEP",ISNUMBER(--$C1499),"REVIEW — UA raw logs",$C1499="Emag_Reporting","KEEP",$C1499="Nutrition_Data_Archived_Tables","KEEP",$C1499="EU_Data","KEEP",TRUE,"REVIEW"),OR($A1499="thg-influencer",$A1499="thg-ingenuity",$A1499="thg-central-marketing",$A1499="thg-seoclarity"),"HOLD",TRUE,"")</f>
        <v>REVIEW — UA raw logs</v>
      </c>
      <c r="R1499" t="str" cm="1">
        <f t="array" ref="R1499">_xlfn.IFS(AND($A1499="thg-beauty",ISNUMBER(SEARCH("liveramp",$C1499))),"thg-beauty Liveramp dataset — confirmed safe to delete",$A1499="agile-bonbon-662",_xlfn.IFS(LEFT($G1499,9)="Tranche 1","Tranche 1: cleared",$C1499="Sessions_Level_1_All_Sites","Downstream aggregation of UA raw logs — keep if raw tables go",ISNUMBER(--$C1499),"UA raw site logs (account ID) — keep pending audit-retention check",$C1499="Emag_Reporting","Legacy but likely needed",$C1499="Nutrition_Data_Archived_Tables","Worth keeping",$C1499="EU_Data","Static lookup tables — scripts still reference (smoke-test risk)",TRUE,"Review"),OR($A1499="thg-influencer",$A1499="thg-ingenuity",$A1499="thg-central-marketing",$A1499="thg-seoclarity"),"HOLD — Charlie Stringer to review before deletion",TRUE,"")</f>
        <v>UA raw site logs (account ID) — keep pending audit-retention check</v>
      </c>
      <c r="S1499" t="s">
        <v>1631</v>
      </c>
    </row>
    <row r="1500" spans="1:19" ht="45.75" hidden="1">
      <c r="A1500" t="s">
        <v>89</v>
      </c>
      <c r="B1500" t="s">
        <v>1619</v>
      </c>
      <c r="C1500" t="s">
        <v>990</v>
      </c>
      <c r="D1500" s="2" t="s">
        <v>1621</v>
      </c>
      <c r="E1500">
        <v>52.15</v>
      </c>
      <c r="F1500">
        <v>1.04</v>
      </c>
      <c r="G1500" t="s">
        <v>72</v>
      </c>
      <c r="H1500" t="s">
        <v>3457</v>
      </c>
      <c r="I1500">
        <v>35</v>
      </c>
      <c r="J1500">
        <v>594</v>
      </c>
      <c r="K1500" s="5">
        <v>46161.619156250003</v>
      </c>
      <c r="M1500" s="2" t="s">
        <v>1981</v>
      </c>
      <c r="N1500" s="2" t="s">
        <v>1701</v>
      </c>
      <c r="O1500" s="5">
        <v>45603.390658483797</v>
      </c>
      <c r="P1500" t="str">
        <f>IF($Q1500="DELETE",IF($S1500="CONFIRMED: NO MODS &gt; 1YR","CONFIRMED: NO MODS &gt; 1YR","DO NOT DELETE — not defensibly confirmed"),IF($Q1500="HOLD","DO NOT DELETE — HOLD (Charlie review)",IF($Q1500="KEEP","DO NOT DELETE — KEEP",IF(ISNUMBER(SEARCH("REVIEW",$Q1500)),"DO NOT DELETE — REVIEW pending",$S1500))))</f>
        <v>DO NOT DELETE — REVIEW pending</v>
      </c>
      <c r="Q1500" t="str" cm="1">
        <f t="array" ref="Q1500">_xlfn.IFS(AND($A1500="thg-beauty",ISNUMBER(SEARCH("liveramp",$C1500))),"DELETE",$A1500="agile-bonbon-662",_xlfn.IFS(LEFT($G1500,9)="Tranche 1","DELETE",$C1500="Sessions_Level_1_All_Sites","KEEP",ISNUMBER(--$C1500),"REVIEW — UA raw logs",$C1500="Emag_Reporting","KEEP",$C1500="Nutrition_Data_Archived_Tables","KEEP",$C1500="EU_Data","KEEP",TRUE,"REVIEW"),OR($A1500="thg-influencer",$A1500="thg-ingenuity",$A1500="thg-central-marketing",$A1500="thg-seoclarity"),"HOLD",TRUE,"")</f>
        <v>REVIEW</v>
      </c>
      <c r="R1500" t="str" cm="1">
        <f t="array" ref="R1500">_xlfn.IFS(AND($A1500="thg-beauty",ISNUMBER(SEARCH("liveramp",$C1500))),"thg-beauty Liveramp dataset — confirmed safe to delete",$A1500="agile-bonbon-662",_xlfn.IFS(LEFT($G1500,9)="Tranche 1","Tranche 1: cleared",$C1500="Sessions_Level_1_All_Sites","Downstream aggregation of UA raw logs — keep if raw tables go",ISNUMBER(--$C1500),"UA raw site logs (account ID) — keep pending audit-retention check",$C1500="Emag_Reporting","Legacy but likely needed",$C1500="Nutrition_Data_Archived_Tables","Worth keeping",$C1500="EU_Data","Static lookup tables — scripts still reference (smoke-test risk)",TRUE,"Review"),OR($A1500="thg-influencer",$A1500="thg-ingenuity",$A1500="thg-central-marketing",$A1500="thg-seoclarity"),"HOLD — Charlie Stringer to review before deletion",TRUE,"")</f>
        <v>Review</v>
      </c>
      <c r="S1500" t="s">
        <v>1631</v>
      </c>
    </row>
    <row r="1501" spans="1:19" ht="45.75" hidden="1">
      <c r="A1501" t="s">
        <v>89</v>
      </c>
      <c r="B1501" t="s">
        <v>1619</v>
      </c>
      <c r="C1501" t="s">
        <v>995</v>
      </c>
      <c r="D1501" s="2" t="s">
        <v>1621</v>
      </c>
      <c r="E1501">
        <v>51.93</v>
      </c>
      <c r="F1501">
        <v>1.04</v>
      </c>
      <c r="G1501" t="s">
        <v>72</v>
      </c>
      <c r="H1501" t="s">
        <v>3457</v>
      </c>
      <c r="I1501">
        <v>35</v>
      </c>
      <c r="J1501">
        <v>723</v>
      </c>
      <c r="K1501" s="5">
        <v>46161.588318506947</v>
      </c>
      <c r="M1501" s="2" t="s">
        <v>3403</v>
      </c>
      <c r="N1501" s="2" t="s">
        <v>1701</v>
      </c>
      <c r="O1501" s="5">
        <v>45474.274074398149</v>
      </c>
      <c r="P1501" t="str">
        <f>IF($Q1501="DELETE",IF($S1501="CONFIRMED: NO MODS &gt; 1YR","CONFIRMED: NO MODS &gt; 1YR","DO NOT DELETE — not defensibly confirmed"),IF($Q1501="HOLD","DO NOT DELETE — HOLD (Charlie review)",IF($Q1501="KEEP","DO NOT DELETE — KEEP",IF(ISNUMBER(SEARCH("REVIEW",$Q1501)),"DO NOT DELETE — REVIEW pending",$S1501))))</f>
        <v>DO NOT DELETE — REVIEW pending</v>
      </c>
      <c r="Q1501" t="str" cm="1">
        <f t="array" ref="Q1501">_xlfn.IFS(AND($A1501="thg-beauty",ISNUMBER(SEARCH("liveramp",$C1501))),"DELETE",$A1501="agile-bonbon-662",_xlfn.IFS(LEFT($G1501,9)="Tranche 1","DELETE",$C1501="Sessions_Level_1_All_Sites","KEEP",ISNUMBER(--$C1501),"REVIEW — UA raw logs",$C1501="Emag_Reporting","KEEP",$C1501="Nutrition_Data_Archived_Tables","KEEP",$C1501="EU_Data","KEEP",TRUE,"REVIEW"),OR($A1501="thg-influencer",$A1501="thg-ingenuity",$A1501="thg-central-marketing",$A1501="thg-seoclarity"),"HOLD",TRUE,"")</f>
        <v>REVIEW — UA raw logs</v>
      </c>
      <c r="R1501" t="str" cm="1">
        <f t="array" ref="R1501">_xlfn.IFS(AND($A1501="thg-beauty",ISNUMBER(SEARCH("liveramp",$C1501))),"thg-beauty Liveramp dataset — confirmed safe to delete",$A1501="agile-bonbon-662",_xlfn.IFS(LEFT($G1501,9)="Tranche 1","Tranche 1: cleared",$C1501="Sessions_Level_1_All_Sites","Downstream aggregation of UA raw logs — keep if raw tables go",ISNUMBER(--$C1501),"UA raw site logs (account ID) — keep pending audit-retention check",$C1501="Emag_Reporting","Legacy but likely needed",$C1501="Nutrition_Data_Archived_Tables","Worth keeping",$C1501="EU_Data","Static lookup tables — scripts still reference (smoke-test risk)",TRUE,"Review"),OR($A1501="thg-influencer",$A1501="thg-ingenuity",$A1501="thg-central-marketing",$A1501="thg-seoclarity"),"HOLD — Charlie Stringer to review before deletion",TRUE,"")</f>
        <v>UA raw site logs (account ID) — keep pending audit-retention check</v>
      </c>
      <c r="S1501" t="s">
        <v>1631</v>
      </c>
    </row>
    <row r="1502" spans="1:19" ht="60.75" hidden="1">
      <c r="A1502" t="s">
        <v>89</v>
      </c>
      <c r="B1502" t="s">
        <v>1619</v>
      </c>
      <c r="C1502" t="s">
        <v>985</v>
      </c>
      <c r="D1502" s="2" t="s">
        <v>1621</v>
      </c>
      <c r="E1502">
        <v>51.89</v>
      </c>
      <c r="F1502">
        <v>1.04</v>
      </c>
      <c r="G1502" t="s">
        <v>72</v>
      </c>
      <c r="H1502" t="s">
        <v>3457</v>
      </c>
      <c r="I1502">
        <v>35</v>
      </c>
      <c r="J1502">
        <v>1497</v>
      </c>
      <c r="K1502" s="5">
        <v>46161.581515162034</v>
      </c>
      <c r="M1502" s="2" t="s">
        <v>2032</v>
      </c>
      <c r="N1502" s="2" t="s">
        <v>1701</v>
      </c>
      <c r="O1502" s="5">
        <v>44700.249068124998</v>
      </c>
      <c r="P1502" t="str">
        <f>IF($Q1502="DELETE",IF($S1502="CONFIRMED: NO MODS &gt; 1YR","CONFIRMED: NO MODS &gt; 1YR","DO NOT DELETE — not defensibly confirmed"),IF($Q1502="HOLD","DO NOT DELETE — HOLD (Charlie review)",IF($Q1502="KEEP","DO NOT DELETE — KEEP",IF(ISNUMBER(SEARCH("REVIEW",$Q1502)),"DO NOT DELETE — REVIEW pending",$S1502))))</f>
        <v>DO NOT DELETE — REVIEW pending</v>
      </c>
      <c r="Q1502" t="str" cm="1">
        <f t="array" ref="Q1502">_xlfn.IFS(AND($A1502="thg-beauty",ISNUMBER(SEARCH("liveramp",$C1502))),"DELETE",$A1502="agile-bonbon-662",_xlfn.IFS(LEFT($G1502,9)="Tranche 1","DELETE",$C1502="Sessions_Level_1_All_Sites","KEEP",ISNUMBER(--$C1502),"REVIEW — UA raw logs",$C1502="Emag_Reporting","KEEP",$C1502="Nutrition_Data_Archived_Tables","KEEP",$C1502="EU_Data","KEEP",TRUE,"REVIEW"),OR($A1502="thg-influencer",$A1502="thg-ingenuity",$A1502="thg-central-marketing",$A1502="thg-seoclarity"),"HOLD",TRUE,"")</f>
        <v>REVIEW</v>
      </c>
      <c r="R1502" t="str" cm="1">
        <f t="array" ref="R1502">_xlfn.IFS(AND($A1502="thg-beauty",ISNUMBER(SEARCH("liveramp",$C1502))),"thg-beauty Liveramp dataset — confirmed safe to delete",$A1502="agile-bonbon-662",_xlfn.IFS(LEFT($G1502,9)="Tranche 1","Tranche 1: cleared",$C1502="Sessions_Level_1_All_Sites","Downstream aggregation of UA raw logs — keep if raw tables go",ISNUMBER(--$C1502),"UA raw site logs (account ID) — keep pending audit-retention check",$C1502="Emag_Reporting","Legacy but likely needed",$C1502="Nutrition_Data_Archived_Tables","Worth keeping",$C1502="EU_Data","Static lookup tables — scripts still reference (smoke-test risk)",TRUE,"Review"),OR($A1502="thg-influencer",$A1502="thg-ingenuity",$A1502="thg-central-marketing",$A1502="thg-seoclarity"),"HOLD — Charlie Stringer to review before deletion",TRUE,"")</f>
        <v>Review</v>
      </c>
      <c r="S1502" t="s">
        <v>1624</v>
      </c>
    </row>
    <row r="1503" spans="1:19" ht="45.75" hidden="1">
      <c r="A1503" t="s">
        <v>89</v>
      </c>
      <c r="B1503" t="s">
        <v>1619</v>
      </c>
      <c r="C1503" t="s">
        <v>999</v>
      </c>
      <c r="D1503" s="2" t="s">
        <v>1621</v>
      </c>
      <c r="E1503">
        <v>51.12</v>
      </c>
      <c r="F1503">
        <v>1.02</v>
      </c>
      <c r="G1503" t="s">
        <v>72</v>
      </c>
      <c r="H1503" t="s">
        <v>3457</v>
      </c>
      <c r="I1503">
        <v>35</v>
      </c>
      <c r="J1503">
        <v>723</v>
      </c>
      <c r="K1503" s="5">
        <v>46161.586650370373</v>
      </c>
      <c r="M1503" s="2" t="s">
        <v>3429</v>
      </c>
      <c r="N1503" s="2" t="s">
        <v>1701</v>
      </c>
      <c r="O1503" s="5">
        <v>45474.273793888889</v>
      </c>
      <c r="P1503" t="str">
        <f>IF($Q1503="DELETE",IF($S1503="CONFIRMED: NO MODS &gt; 1YR","CONFIRMED: NO MODS &gt; 1YR","DO NOT DELETE — not defensibly confirmed"),IF($Q1503="HOLD","DO NOT DELETE — HOLD (Charlie review)",IF($Q1503="KEEP","DO NOT DELETE — KEEP",IF(ISNUMBER(SEARCH("REVIEW",$Q1503)),"DO NOT DELETE — REVIEW pending",$S1503))))</f>
        <v>DO NOT DELETE — REVIEW pending</v>
      </c>
      <c r="Q1503" t="str" cm="1">
        <f t="array" ref="Q1503">_xlfn.IFS(AND($A1503="thg-beauty",ISNUMBER(SEARCH("liveramp",$C1503))),"DELETE",$A1503="agile-bonbon-662",_xlfn.IFS(LEFT($G1503,9)="Tranche 1","DELETE",$C1503="Sessions_Level_1_All_Sites","KEEP",ISNUMBER(--$C1503),"REVIEW — UA raw logs",$C1503="Emag_Reporting","KEEP",$C1503="Nutrition_Data_Archived_Tables","KEEP",$C1503="EU_Data","KEEP",TRUE,"REVIEW"),OR($A1503="thg-influencer",$A1503="thg-ingenuity",$A1503="thg-central-marketing",$A1503="thg-seoclarity"),"HOLD",TRUE,"")</f>
        <v>REVIEW — UA raw logs</v>
      </c>
      <c r="R1503" t="str" cm="1">
        <f t="array" ref="R1503">_xlfn.IFS(AND($A1503="thg-beauty",ISNUMBER(SEARCH("liveramp",$C1503))),"thg-beauty Liveramp dataset — confirmed safe to delete",$A1503="agile-bonbon-662",_xlfn.IFS(LEFT($G1503,9)="Tranche 1","Tranche 1: cleared",$C1503="Sessions_Level_1_All_Sites","Downstream aggregation of UA raw logs — keep if raw tables go",ISNUMBER(--$C1503),"UA raw site logs (account ID) — keep pending audit-retention check",$C1503="Emag_Reporting","Legacy but likely needed",$C1503="Nutrition_Data_Archived_Tables","Worth keeping",$C1503="EU_Data","Static lookup tables — scripts still reference (smoke-test risk)",TRUE,"Review"),OR($A1503="thg-influencer",$A1503="thg-ingenuity",$A1503="thg-central-marketing",$A1503="thg-seoclarity"),"HOLD — Charlie Stringer to review before deletion",TRUE,"")</f>
        <v>UA raw site logs (account ID) — keep pending audit-retention check</v>
      </c>
      <c r="S1503" t="s">
        <v>1631</v>
      </c>
    </row>
    <row r="1504" spans="1:19" ht="76.5" hidden="1">
      <c r="A1504" t="s">
        <v>89</v>
      </c>
      <c r="B1504" t="s">
        <v>1619</v>
      </c>
      <c r="C1504" t="s">
        <v>1003</v>
      </c>
      <c r="D1504" s="2" t="s">
        <v>1621</v>
      </c>
      <c r="E1504">
        <v>49.95</v>
      </c>
      <c r="F1504">
        <v>1</v>
      </c>
      <c r="G1504" t="s">
        <v>72</v>
      </c>
      <c r="H1504" t="s">
        <v>3457</v>
      </c>
      <c r="I1504">
        <v>35</v>
      </c>
      <c r="J1504">
        <v>723</v>
      </c>
      <c r="K1504" s="5">
        <v>46161.581640925928</v>
      </c>
      <c r="M1504" s="2" t="s">
        <v>3899</v>
      </c>
      <c r="N1504" s="2" t="s">
        <v>1701</v>
      </c>
      <c r="O1504" s="5">
        <v>45474.335753287043</v>
      </c>
      <c r="P1504" t="str">
        <f>IF($Q1504="DELETE",IF($S1504="CONFIRMED: NO MODS &gt; 1YR","CONFIRMED: NO MODS &gt; 1YR","DO NOT DELETE — not defensibly confirmed"),IF($Q1504="HOLD","DO NOT DELETE — HOLD (Charlie review)",IF($Q1504="KEEP","DO NOT DELETE — KEEP",IF(ISNUMBER(SEARCH("REVIEW",$Q1504)),"DO NOT DELETE — REVIEW pending",$S1504))))</f>
        <v>DO NOT DELETE — REVIEW pending</v>
      </c>
      <c r="Q1504" t="str" cm="1">
        <f t="array" ref="Q1504">_xlfn.IFS(AND($A1504="thg-beauty",ISNUMBER(SEARCH("liveramp",$C1504))),"DELETE",$A1504="agile-bonbon-662",_xlfn.IFS(LEFT($G1504,9)="Tranche 1","DELETE",$C1504="Sessions_Level_1_All_Sites","KEEP",ISNUMBER(--$C1504),"REVIEW — UA raw logs",$C1504="Emag_Reporting","KEEP",$C1504="Nutrition_Data_Archived_Tables","KEEP",$C1504="EU_Data","KEEP",TRUE,"REVIEW"),OR($A1504="thg-influencer",$A1504="thg-ingenuity",$A1504="thg-central-marketing",$A1504="thg-seoclarity"),"HOLD",TRUE,"")</f>
        <v>REVIEW — UA raw logs</v>
      </c>
      <c r="R1504" t="str" cm="1">
        <f t="array" ref="R1504">_xlfn.IFS(AND($A1504="thg-beauty",ISNUMBER(SEARCH("liveramp",$C1504))),"thg-beauty Liveramp dataset — confirmed safe to delete",$A1504="agile-bonbon-662",_xlfn.IFS(LEFT($G1504,9)="Tranche 1","Tranche 1: cleared",$C1504="Sessions_Level_1_All_Sites","Downstream aggregation of UA raw logs — keep if raw tables go",ISNUMBER(--$C1504),"UA raw site logs (account ID) — keep pending audit-retention check",$C1504="Emag_Reporting","Legacy but likely needed",$C1504="Nutrition_Data_Archived_Tables","Worth keeping",$C1504="EU_Data","Static lookup tables — scripts still reference (smoke-test risk)",TRUE,"Review"),OR($A1504="thg-influencer",$A1504="thg-ingenuity",$A1504="thg-central-marketing",$A1504="thg-seoclarity"),"HOLD — Charlie Stringer to review before deletion",TRUE,"")</f>
        <v>UA raw site logs (account ID) — keep pending audit-retention check</v>
      </c>
      <c r="S1504" t="s">
        <v>1631</v>
      </c>
    </row>
    <row r="1505" spans="1:19" ht="45.75" hidden="1">
      <c r="A1505" t="s">
        <v>89</v>
      </c>
      <c r="B1505" t="s">
        <v>1619</v>
      </c>
      <c r="C1505" t="s">
        <v>1007</v>
      </c>
      <c r="D1505" s="2" t="s">
        <v>1621</v>
      </c>
      <c r="E1505">
        <v>49.34</v>
      </c>
      <c r="F1505">
        <v>0.99</v>
      </c>
      <c r="G1505" t="s">
        <v>72</v>
      </c>
      <c r="H1505" t="s">
        <v>3457</v>
      </c>
      <c r="I1505">
        <v>35</v>
      </c>
      <c r="J1505">
        <v>723</v>
      </c>
      <c r="K1505" s="5">
        <v>46161.585431041669</v>
      </c>
      <c r="M1505" s="2" t="s">
        <v>3414</v>
      </c>
      <c r="N1505" s="2" t="s">
        <v>1701</v>
      </c>
      <c r="O1505" s="5">
        <v>45474.273532060193</v>
      </c>
      <c r="P1505" t="str">
        <f>IF($Q1505="DELETE",IF($S1505="CONFIRMED: NO MODS &gt; 1YR","CONFIRMED: NO MODS &gt; 1YR","DO NOT DELETE — not defensibly confirmed"),IF($Q1505="HOLD","DO NOT DELETE — HOLD (Charlie review)",IF($Q1505="KEEP","DO NOT DELETE — KEEP",IF(ISNUMBER(SEARCH("REVIEW",$Q1505)),"DO NOT DELETE — REVIEW pending",$S1505))))</f>
        <v>DO NOT DELETE — REVIEW pending</v>
      </c>
      <c r="Q1505" t="str" cm="1">
        <f t="array" ref="Q1505">_xlfn.IFS(AND($A1505="thg-beauty",ISNUMBER(SEARCH("liveramp",$C1505))),"DELETE",$A1505="agile-bonbon-662",_xlfn.IFS(LEFT($G1505,9)="Tranche 1","DELETE",$C1505="Sessions_Level_1_All_Sites","KEEP",ISNUMBER(--$C1505),"REVIEW — UA raw logs",$C1505="Emag_Reporting","KEEP",$C1505="Nutrition_Data_Archived_Tables","KEEP",$C1505="EU_Data","KEEP",TRUE,"REVIEW"),OR($A1505="thg-influencer",$A1505="thg-ingenuity",$A1505="thg-central-marketing",$A1505="thg-seoclarity"),"HOLD",TRUE,"")</f>
        <v>REVIEW — UA raw logs</v>
      </c>
      <c r="R1505" t="str" cm="1">
        <f t="array" ref="R1505">_xlfn.IFS(AND($A1505="thg-beauty",ISNUMBER(SEARCH("liveramp",$C1505))),"thg-beauty Liveramp dataset — confirmed safe to delete",$A1505="agile-bonbon-662",_xlfn.IFS(LEFT($G1505,9)="Tranche 1","Tranche 1: cleared",$C1505="Sessions_Level_1_All_Sites","Downstream aggregation of UA raw logs — keep if raw tables go",ISNUMBER(--$C1505),"UA raw site logs (account ID) — keep pending audit-retention check",$C1505="Emag_Reporting","Legacy but likely needed",$C1505="Nutrition_Data_Archived_Tables","Worth keeping",$C1505="EU_Data","Static lookup tables — scripts still reference (smoke-test risk)",TRUE,"Review"),OR($A1505="thg-influencer",$A1505="thg-ingenuity",$A1505="thg-central-marketing",$A1505="thg-seoclarity"),"HOLD — Charlie Stringer to review before deletion",TRUE,"")</f>
        <v>UA raw site logs (account ID) — keep pending audit-retention check</v>
      </c>
      <c r="S1505" t="s">
        <v>1631</v>
      </c>
    </row>
    <row r="1506" spans="1:19" ht="45.75" hidden="1">
      <c r="A1506" t="s">
        <v>89</v>
      </c>
      <c r="B1506" t="s">
        <v>1619</v>
      </c>
      <c r="C1506" t="s">
        <v>1011</v>
      </c>
      <c r="D1506" s="2" t="s">
        <v>1621</v>
      </c>
      <c r="E1506">
        <v>48.11</v>
      </c>
      <c r="F1506">
        <v>0.96</v>
      </c>
      <c r="G1506" t="s">
        <v>72</v>
      </c>
      <c r="H1506" t="s">
        <v>3457</v>
      </c>
      <c r="I1506">
        <v>35</v>
      </c>
      <c r="J1506">
        <v>723</v>
      </c>
      <c r="K1506" s="5">
        <v>46161.599471041663</v>
      </c>
      <c r="M1506" s="2" t="s">
        <v>3415</v>
      </c>
      <c r="N1506" s="2" t="s">
        <v>1701</v>
      </c>
      <c r="O1506" s="5">
        <v>45474.339426655089</v>
      </c>
      <c r="P1506" t="str">
        <f>IF($Q1506="DELETE",IF($S1506="CONFIRMED: NO MODS &gt; 1YR","CONFIRMED: NO MODS &gt; 1YR","DO NOT DELETE — not defensibly confirmed"),IF($Q1506="HOLD","DO NOT DELETE — HOLD (Charlie review)",IF($Q1506="KEEP","DO NOT DELETE — KEEP",IF(ISNUMBER(SEARCH("REVIEW",$Q1506)),"DO NOT DELETE — REVIEW pending",$S1506))))</f>
        <v>DO NOT DELETE — REVIEW pending</v>
      </c>
      <c r="Q1506" t="str" cm="1">
        <f t="array" ref="Q1506">_xlfn.IFS(AND($A1506="thg-beauty",ISNUMBER(SEARCH("liveramp",$C1506))),"DELETE",$A1506="agile-bonbon-662",_xlfn.IFS(LEFT($G1506,9)="Tranche 1","DELETE",$C1506="Sessions_Level_1_All_Sites","KEEP",ISNUMBER(--$C1506),"REVIEW — UA raw logs",$C1506="Emag_Reporting","KEEP",$C1506="Nutrition_Data_Archived_Tables","KEEP",$C1506="EU_Data","KEEP",TRUE,"REVIEW"),OR($A1506="thg-influencer",$A1506="thg-ingenuity",$A1506="thg-central-marketing",$A1506="thg-seoclarity"),"HOLD",TRUE,"")</f>
        <v>REVIEW — UA raw logs</v>
      </c>
      <c r="R1506" t="str" cm="1">
        <f t="array" ref="R1506">_xlfn.IFS(AND($A1506="thg-beauty",ISNUMBER(SEARCH("liveramp",$C1506))),"thg-beauty Liveramp dataset — confirmed safe to delete",$A1506="agile-bonbon-662",_xlfn.IFS(LEFT($G1506,9)="Tranche 1","Tranche 1: cleared",$C1506="Sessions_Level_1_All_Sites","Downstream aggregation of UA raw logs — keep if raw tables go",ISNUMBER(--$C1506),"UA raw site logs (account ID) — keep pending audit-retention check",$C1506="Emag_Reporting","Legacy but likely needed",$C1506="Nutrition_Data_Archived_Tables","Worth keeping",$C1506="EU_Data","Static lookup tables — scripts still reference (smoke-test risk)",TRUE,"Review"),OR($A1506="thg-influencer",$A1506="thg-ingenuity",$A1506="thg-central-marketing",$A1506="thg-seoclarity"),"HOLD — Charlie Stringer to review before deletion",TRUE,"")</f>
        <v>UA raw site logs (account ID) — keep pending audit-retention check</v>
      </c>
      <c r="S1506" t="s">
        <v>1631</v>
      </c>
    </row>
    <row r="1507" spans="1:19" ht="45.75" hidden="1">
      <c r="A1507" t="s">
        <v>89</v>
      </c>
      <c r="B1507" t="s">
        <v>1619</v>
      </c>
      <c r="C1507" t="s">
        <v>1015</v>
      </c>
      <c r="D1507" s="2" t="s">
        <v>1621</v>
      </c>
      <c r="E1507">
        <v>47.62</v>
      </c>
      <c r="F1507">
        <v>0.95</v>
      </c>
      <c r="G1507" t="s">
        <v>72</v>
      </c>
      <c r="H1507" t="s">
        <v>3457</v>
      </c>
      <c r="I1507">
        <v>35</v>
      </c>
      <c r="J1507">
        <v>723</v>
      </c>
      <c r="K1507" s="5">
        <v>46161.584967418981</v>
      </c>
      <c r="M1507" s="2" t="s">
        <v>3438</v>
      </c>
      <c r="N1507" s="2" t="s">
        <v>1701</v>
      </c>
      <c r="O1507" s="5">
        <v>45474.27350560185</v>
      </c>
      <c r="P1507" t="str">
        <f>IF($Q1507="DELETE",IF($S1507="CONFIRMED: NO MODS &gt; 1YR","CONFIRMED: NO MODS &gt; 1YR","DO NOT DELETE — not defensibly confirmed"),IF($Q1507="HOLD","DO NOT DELETE — HOLD (Charlie review)",IF($Q1507="KEEP","DO NOT DELETE — KEEP",IF(ISNUMBER(SEARCH("REVIEW",$Q1507)),"DO NOT DELETE — REVIEW pending",$S1507))))</f>
        <v>DO NOT DELETE — REVIEW pending</v>
      </c>
      <c r="Q1507" t="str" cm="1">
        <f t="array" ref="Q1507">_xlfn.IFS(AND($A1507="thg-beauty",ISNUMBER(SEARCH("liveramp",$C1507))),"DELETE",$A1507="agile-bonbon-662",_xlfn.IFS(LEFT($G1507,9)="Tranche 1","DELETE",$C1507="Sessions_Level_1_All_Sites","KEEP",ISNUMBER(--$C1507),"REVIEW — UA raw logs",$C1507="Emag_Reporting","KEEP",$C1507="Nutrition_Data_Archived_Tables","KEEP",$C1507="EU_Data","KEEP",TRUE,"REVIEW"),OR($A1507="thg-influencer",$A1507="thg-ingenuity",$A1507="thg-central-marketing",$A1507="thg-seoclarity"),"HOLD",TRUE,"")</f>
        <v>REVIEW — UA raw logs</v>
      </c>
      <c r="R1507" t="str" cm="1">
        <f t="array" ref="R1507">_xlfn.IFS(AND($A1507="thg-beauty",ISNUMBER(SEARCH("liveramp",$C1507))),"thg-beauty Liveramp dataset — confirmed safe to delete",$A1507="agile-bonbon-662",_xlfn.IFS(LEFT($G1507,9)="Tranche 1","Tranche 1: cleared",$C1507="Sessions_Level_1_All_Sites","Downstream aggregation of UA raw logs — keep if raw tables go",ISNUMBER(--$C1507),"UA raw site logs (account ID) — keep pending audit-retention check",$C1507="Emag_Reporting","Legacy but likely needed",$C1507="Nutrition_Data_Archived_Tables","Worth keeping",$C1507="EU_Data","Static lookup tables — scripts still reference (smoke-test risk)",TRUE,"Review"),OR($A1507="thg-influencer",$A1507="thg-ingenuity",$A1507="thg-central-marketing",$A1507="thg-seoclarity"),"HOLD — Charlie Stringer to review before deletion",TRUE,"")</f>
        <v>UA raw site logs (account ID) — keep pending audit-retention check</v>
      </c>
      <c r="S1507" t="s">
        <v>1631</v>
      </c>
    </row>
    <row r="1508" spans="1:19" ht="45.75" hidden="1">
      <c r="A1508" t="s">
        <v>89</v>
      </c>
      <c r="B1508" t="s">
        <v>1619</v>
      </c>
      <c r="C1508" t="s">
        <v>1019</v>
      </c>
      <c r="D1508" s="2" t="s">
        <v>1621</v>
      </c>
      <c r="E1508">
        <v>46.7</v>
      </c>
      <c r="F1508">
        <v>0.93</v>
      </c>
      <c r="G1508" t="s">
        <v>72</v>
      </c>
      <c r="H1508" t="s">
        <v>3457</v>
      </c>
      <c r="I1508">
        <v>35</v>
      </c>
      <c r="J1508">
        <v>723</v>
      </c>
      <c r="K1508" s="5">
        <v>46161.59253141204</v>
      </c>
      <c r="M1508" s="2" t="s">
        <v>3405</v>
      </c>
      <c r="N1508" s="2" t="s">
        <v>1701</v>
      </c>
      <c r="O1508" s="5">
        <v>45474.279693935183</v>
      </c>
      <c r="P1508" t="str">
        <f>IF($Q1508="DELETE",IF($S1508="CONFIRMED: NO MODS &gt; 1YR","CONFIRMED: NO MODS &gt; 1YR","DO NOT DELETE — not defensibly confirmed"),IF($Q1508="HOLD","DO NOT DELETE — HOLD (Charlie review)",IF($Q1508="KEEP","DO NOT DELETE — KEEP",IF(ISNUMBER(SEARCH("REVIEW",$Q1508)),"DO NOT DELETE — REVIEW pending",$S1508))))</f>
        <v>DO NOT DELETE — REVIEW pending</v>
      </c>
      <c r="Q1508" t="str" cm="1">
        <f t="array" ref="Q1508">_xlfn.IFS(AND($A1508="thg-beauty",ISNUMBER(SEARCH("liveramp",$C1508))),"DELETE",$A1508="agile-bonbon-662",_xlfn.IFS(LEFT($G1508,9)="Tranche 1","DELETE",$C1508="Sessions_Level_1_All_Sites","KEEP",ISNUMBER(--$C1508),"REVIEW — UA raw logs",$C1508="Emag_Reporting","KEEP",$C1508="Nutrition_Data_Archived_Tables","KEEP",$C1508="EU_Data","KEEP",TRUE,"REVIEW"),OR($A1508="thg-influencer",$A1508="thg-ingenuity",$A1508="thg-central-marketing",$A1508="thg-seoclarity"),"HOLD",TRUE,"")</f>
        <v>REVIEW — UA raw logs</v>
      </c>
      <c r="R1508" t="str" cm="1">
        <f t="array" ref="R1508">_xlfn.IFS(AND($A1508="thg-beauty",ISNUMBER(SEARCH("liveramp",$C1508))),"thg-beauty Liveramp dataset — confirmed safe to delete",$A1508="agile-bonbon-662",_xlfn.IFS(LEFT($G1508,9)="Tranche 1","Tranche 1: cleared",$C1508="Sessions_Level_1_All_Sites","Downstream aggregation of UA raw logs — keep if raw tables go",ISNUMBER(--$C1508),"UA raw site logs (account ID) — keep pending audit-retention check",$C1508="Emag_Reporting","Legacy but likely needed",$C1508="Nutrition_Data_Archived_Tables","Worth keeping",$C1508="EU_Data","Static lookup tables — scripts still reference (smoke-test risk)",TRUE,"Review"),OR($A1508="thg-influencer",$A1508="thg-ingenuity",$A1508="thg-central-marketing",$A1508="thg-seoclarity"),"HOLD — Charlie Stringer to review before deletion",TRUE,"")</f>
        <v>UA raw site logs (account ID) — keep pending audit-retention check</v>
      </c>
      <c r="S1508" t="s">
        <v>1631</v>
      </c>
    </row>
    <row r="1509" spans="1:19" ht="45.75" hidden="1">
      <c r="A1509" t="s">
        <v>89</v>
      </c>
      <c r="B1509" t="s">
        <v>1619</v>
      </c>
      <c r="C1509" t="s">
        <v>1023</v>
      </c>
      <c r="D1509" s="2" t="s">
        <v>1621</v>
      </c>
      <c r="E1509">
        <v>45.82</v>
      </c>
      <c r="F1509">
        <v>0.92</v>
      </c>
      <c r="G1509" t="s">
        <v>72</v>
      </c>
      <c r="H1509" t="s">
        <v>3457</v>
      </c>
      <c r="I1509">
        <v>35</v>
      </c>
      <c r="J1509">
        <v>723</v>
      </c>
      <c r="K1509" s="5">
        <v>46161.593383900457</v>
      </c>
      <c r="M1509" s="2" t="s">
        <v>3900</v>
      </c>
      <c r="N1509" s="2" t="s">
        <v>1701</v>
      </c>
      <c r="O1509" s="5">
        <v>45474.28117490741</v>
      </c>
      <c r="P1509" t="str">
        <f>IF($Q1509="DELETE",IF($S1509="CONFIRMED: NO MODS &gt; 1YR","CONFIRMED: NO MODS &gt; 1YR","DO NOT DELETE — not defensibly confirmed"),IF($Q1509="HOLD","DO NOT DELETE — HOLD (Charlie review)",IF($Q1509="KEEP","DO NOT DELETE — KEEP",IF(ISNUMBER(SEARCH("REVIEW",$Q1509)),"DO NOT DELETE — REVIEW pending",$S1509))))</f>
        <v>DO NOT DELETE — REVIEW pending</v>
      </c>
      <c r="Q1509" t="str" cm="1">
        <f t="array" ref="Q1509">_xlfn.IFS(AND($A1509="thg-beauty",ISNUMBER(SEARCH("liveramp",$C1509))),"DELETE",$A1509="agile-bonbon-662",_xlfn.IFS(LEFT($G1509,9)="Tranche 1","DELETE",$C1509="Sessions_Level_1_All_Sites","KEEP",ISNUMBER(--$C1509),"REVIEW — UA raw logs",$C1509="Emag_Reporting","KEEP",$C1509="Nutrition_Data_Archived_Tables","KEEP",$C1509="EU_Data","KEEP",TRUE,"REVIEW"),OR($A1509="thg-influencer",$A1509="thg-ingenuity",$A1509="thg-central-marketing",$A1509="thg-seoclarity"),"HOLD",TRUE,"")</f>
        <v>REVIEW — UA raw logs</v>
      </c>
      <c r="R1509" t="str" cm="1">
        <f t="array" ref="R1509">_xlfn.IFS(AND($A1509="thg-beauty",ISNUMBER(SEARCH("liveramp",$C1509))),"thg-beauty Liveramp dataset — confirmed safe to delete",$A1509="agile-bonbon-662",_xlfn.IFS(LEFT($G1509,9)="Tranche 1","Tranche 1: cleared",$C1509="Sessions_Level_1_All_Sites","Downstream aggregation of UA raw logs — keep if raw tables go",ISNUMBER(--$C1509),"UA raw site logs (account ID) — keep pending audit-retention check",$C1509="Emag_Reporting","Legacy but likely needed",$C1509="Nutrition_Data_Archived_Tables","Worth keeping",$C1509="EU_Data","Static lookup tables — scripts still reference (smoke-test risk)",TRUE,"Review"),OR($A1509="thg-influencer",$A1509="thg-ingenuity",$A1509="thg-central-marketing",$A1509="thg-seoclarity"),"HOLD — Charlie Stringer to review before deletion",TRUE,"")</f>
        <v>UA raw site logs (account ID) — keep pending audit-retention check</v>
      </c>
      <c r="S1509" t="s">
        <v>1631</v>
      </c>
    </row>
    <row r="1510" spans="1:19" ht="45.75" hidden="1">
      <c r="A1510" t="s">
        <v>89</v>
      </c>
      <c r="B1510" t="s">
        <v>1619</v>
      </c>
      <c r="C1510" t="s">
        <v>1027</v>
      </c>
      <c r="D1510" s="2" t="s">
        <v>1621</v>
      </c>
      <c r="E1510">
        <v>43.09</v>
      </c>
      <c r="F1510">
        <v>0.86</v>
      </c>
      <c r="G1510" t="s">
        <v>72</v>
      </c>
      <c r="H1510" t="s">
        <v>3457</v>
      </c>
      <c r="I1510">
        <v>35</v>
      </c>
      <c r="J1510">
        <v>723</v>
      </c>
      <c r="K1510" s="5">
        <v>46161.585614965283</v>
      </c>
      <c r="M1510" s="2" t="s">
        <v>3414</v>
      </c>
      <c r="N1510" s="2" t="s">
        <v>1701</v>
      </c>
      <c r="O1510" s="5">
        <v>45474.273524976852</v>
      </c>
      <c r="P1510" t="str">
        <f>IF($Q1510="DELETE",IF($S1510="CONFIRMED: NO MODS &gt; 1YR","CONFIRMED: NO MODS &gt; 1YR","DO NOT DELETE — not defensibly confirmed"),IF($Q1510="HOLD","DO NOT DELETE — HOLD (Charlie review)",IF($Q1510="KEEP","DO NOT DELETE — KEEP",IF(ISNUMBER(SEARCH("REVIEW",$Q1510)),"DO NOT DELETE — REVIEW pending",$S1510))))</f>
        <v>DO NOT DELETE — REVIEW pending</v>
      </c>
      <c r="Q1510" t="str" cm="1">
        <f t="array" ref="Q1510">_xlfn.IFS(AND($A1510="thg-beauty",ISNUMBER(SEARCH("liveramp",$C1510))),"DELETE",$A1510="agile-bonbon-662",_xlfn.IFS(LEFT($G1510,9)="Tranche 1","DELETE",$C1510="Sessions_Level_1_All_Sites","KEEP",ISNUMBER(--$C1510),"REVIEW — UA raw logs",$C1510="Emag_Reporting","KEEP",$C1510="Nutrition_Data_Archived_Tables","KEEP",$C1510="EU_Data","KEEP",TRUE,"REVIEW"),OR($A1510="thg-influencer",$A1510="thg-ingenuity",$A1510="thg-central-marketing",$A1510="thg-seoclarity"),"HOLD",TRUE,"")</f>
        <v>REVIEW — UA raw logs</v>
      </c>
      <c r="R1510" t="str" cm="1">
        <f t="array" ref="R1510">_xlfn.IFS(AND($A1510="thg-beauty",ISNUMBER(SEARCH("liveramp",$C1510))),"thg-beauty Liveramp dataset — confirmed safe to delete",$A1510="agile-bonbon-662",_xlfn.IFS(LEFT($G1510,9)="Tranche 1","Tranche 1: cleared",$C1510="Sessions_Level_1_All_Sites","Downstream aggregation of UA raw logs — keep if raw tables go",ISNUMBER(--$C1510),"UA raw site logs (account ID) — keep pending audit-retention check",$C1510="Emag_Reporting","Legacy but likely needed",$C1510="Nutrition_Data_Archived_Tables","Worth keeping",$C1510="EU_Data","Static lookup tables — scripts still reference (smoke-test risk)",TRUE,"Review"),OR($A1510="thg-influencer",$A1510="thg-ingenuity",$A1510="thg-central-marketing",$A1510="thg-seoclarity"),"HOLD — Charlie Stringer to review before deletion",TRUE,"")</f>
        <v>UA raw site logs (account ID) — keep pending audit-retention check</v>
      </c>
      <c r="S1510" t="s">
        <v>1631</v>
      </c>
    </row>
    <row r="1511" spans="1:19" ht="45.75" hidden="1">
      <c r="A1511" t="s">
        <v>89</v>
      </c>
      <c r="B1511" t="s">
        <v>1619</v>
      </c>
      <c r="C1511" t="s">
        <v>1040</v>
      </c>
      <c r="D1511" s="2" t="s">
        <v>1621</v>
      </c>
      <c r="E1511">
        <v>42.72</v>
      </c>
      <c r="F1511">
        <v>0.85</v>
      </c>
      <c r="G1511" t="s">
        <v>72</v>
      </c>
      <c r="H1511" t="s">
        <v>3457</v>
      </c>
      <c r="I1511">
        <v>35</v>
      </c>
      <c r="J1511">
        <v>845</v>
      </c>
      <c r="K1511" s="5">
        <v>46161.615653877307</v>
      </c>
      <c r="M1511" s="2" t="s">
        <v>1928</v>
      </c>
      <c r="N1511" s="2" t="s">
        <v>1701</v>
      </c>
      <c r="O1511" s="5">
        <v>45352.302673993057</v>
      </c>
      <c r="P1511" t="str">
        <f>IF($Q1511="DELETE",IF($S1511="CONFIRMED: NO MODS &gt; 1YR","CONFIRMED: NO MODS &gt; 1YR","DO NOT DELETE — not defensibly confirmed"),IF($Q1511="HOLD","DO NOT DELETE — HOLD (Charlie review)",IF($Q1511="KEEP","DO NOT DELETE — KEEP",IF(ISNUMBER(SEARCH("REVIEW",$Q1511)),"DO NOT DELETE — REVIEW pending",$S1511))))</f>
        <v>DO NOT DELETE — REVIEW pending</v>
      </c>
      <c r="Q1511" t="str" cm="1">
        <f t="array" ref="Q1511">_xlfn.IFS(AND($A1511="thg-beauty",ISNUMBER(SEARCH("liveramp",$C1511))),"DELETE",$A1511="agile-bonbon-662",_xlfn.IFS(LEFT($G1511,9)="Tranche 1","DELETE",$C1511="Sessions_Level_1_All_Sites","KEEP",ISNUMBER(--$C1511),"REVIEW — UA raw logs",$C1511="Emag_Reporting","KEEP",$C1511="Nutrition_Data_Archived_Tables","KEEP",$C1511="EU_Data","KEEP",TRUE,"REVIEW"),OR($A1511="thg-influencer",$A1511="thg-ingenuity",$A1511="thg-central-marketing",$A1511="thg-seoclarity"),"HOLD",TRUE,"")</f>
        <v>REVIEW</v>
      </c>
      <c r="R1511" t="str" cm="1">
        <f t="array" ref="R1511">_xlfn.IFS(AND($A1511="thg-beauty",ISNUMBER(SEARCH("liveramp",$C1511))),"thg-beauty Liveramp dataset — confirmed safe to delete",$A1511="agile-bonbon-662",_xlfn.IFS(LEFT($G1511,9)="Tranche 1","Tranche 1: cleared",$C1511="Sessions_Level_1_All_Sites","Downstream aggregation of UA raw logs — keep if raw tables go",ISNUMBER(--$C1511),"UA raw site logs (account ID) — keep pending audit-retention check",$C1511="Emag_Reporting","Legacy but likely needed",$C1511="Nutrition_Data_Archived_Tables","Worth keeping",$C1511="EU_Data","Static lookup tables — scripts still reference (smoke-test risk)",TRUE,"Review"),OR($A1511="thg-influencer",$A1511="thg-ingenuity",$A1511="thg-central-marketing",$A1511="thg-seoclarity"),"HOLD — Charlie Stringer to review before deletion",TRUE,"")</f>
        <v>Review</v>
      </c>
      <c r="S1511" t="s">
        <v>1631</v>
      </c>
    </row>
    <row r="1512" spans="1:19" ht="45.75" hidden="1">
      <c r="A1512" t="s">
        <v>89</v>
      </c>
      <c r="B1512" t="s">
        <v>1619</v>
      </c>
      <c r="C1512" t="s">
        <v>1044</v>
      </c>
      <c r="D1512" s="2" t="s">
        <v>1621</v>
      </c>
      <c r="E1512">
        <v>42.66</v>
      </c>
      <c r="F1512">
        <v>0.85</v>
      </c>
      <c r="G1512" t="s">
        <v>72</v>
      </c>
      <c r="H1512" t="s">
        <v>3457</v>
      </c>
      <c r="I1512">
        <v>35</v>
      </c>
      <c r="J1512">
        <v>1005</v>
      </c>
      <c r="K1512" s="5">
        <v>46161.61759263889</v>
      </c>
      <c r="M1512" s="2" t="s">
        <v>1957</v>
      </c>
      <c r="N1512" s="2" t="s">
        <v>1701</v>
      </c>
      <c r="O1512" s="5">
        <v>45192.344911203712</v>
      </c>
      <c r="P1512" t="str">
        <f>IF($Q1512="DELETE",IF($S1512="CONFIRMED: NO MODS &gt; 1YR","CONFIRMED: NO MODS &gt; 1YR","DO NOT DELETE — not defensibly confirmed"),IF($Q1512="HOLD","DO NOT DELETE — HOLD (Charlie review)",IF($Q1512="KEEP","DO NOT DELETE — KEEP",IF(ISNUMBER(SEARCH("REVIEW",$Q1512)),"DO NOT DELETE — REVIEW pending",$S1512))))</f>
        <v>DO NOT DELETE — REVIEW pending</v>
      </c>
      <c r="Q1512" t="str" cm="1">
        <f t="array" ref="Q1512">_xlfn.IFS(AND($A1512="thg-beauty",ISNUMBER(SEARCH("liveramp",$C1512))),"DELETE",$A1512="agile-bonbon-662",_xlfn.IFS(LEFT($G1512,9)="Tranche 1","DELETE",$C1512="Sessions_Level_1_All_Sites","KEEP",ISNUMBER(--$C1512),"REVIEW — UA raw logs",$C1512="Emag_Reporting","KEEP",$C1512="Nutrition_Data_Archived_Tables","KEEP",$C1512="EU_Data","KEEP",TRUE,"REVIEW"),OR($A1512="thg-influencer",$A1512="thg-ingenuity",$A1512="thg-central-marketing",$A1512="thg-seoclarity"),"HOLD",TRUE,"")</f>
        <v>REVIEW</v>
      </c>
      <c r="R1512" t="str" cm="1">
        <f t="array" ref="R1512">_xlfn.IFS(AND($A1512="thg-beauty",ISNUMBER(SEARCH("liveramp",$C1512))),"thg-beauty Liveramp dataset — confirmed safe to delete",$A1512="agile-bonbon-662",_xlfn.IFS(LEFT($G1512,9)="Tranche 1","Tranche 1: cleared",$C1512="Sessions_Level_1_All_Sites","Downstream aggregation of UA raw logs — keep if raw tables go",ISNUMBER(--$C1512),"UA raw site logs (account ID) — keep pending audit-retention check",$C1512="Emag_Reporting","Legacy but likely needed",$C1512="Nutrition_Data_Archived_Tables","Worth keeping",$C1512="EU_Data","Static lookup tables — scripts still reference (smoke-test risk)",TRUE,"Review"),OR($A1512="thg-influencer",$A1512="thg-ingenuity",$A1512="thg-central-marketing",$A1512="thg-seoclarity"),"HOLD — Charlie Stringer to review before deletion",TRUE,"")</f>
        <v>Review</v>
      </c>
      <c r="S1512" t="s">
        <v>1631</v>
      </c>
    </row>
    <row r="1513" spans="1:19" ht="45.75" hidden="1">
      <c r="A1513" t="s">
        <v>89</v>
      </c>
      <c r="B1513" t="s">
        <v>1619</v>
      </c>
      <c r="C1513" t="s">
        <v>1049</v>
      </c>
      <c r="D1513" s="2" t="s">
        <v>1621</v>
      </c>
      <c r="E1513">
        <v>42.56</v>
      </c>
      <c r="F1513">
        <v>0.85</v>
      </c>
      <c r="G1513" t="s">
        <v>72</v>
      </c>
      <c r="H1513" t="s">
        <v>3457</v>
      </c>
      <c r="I1513">
        <v>35</v>
      </c>
      <c r="J1513">
        <v>602</v>
      </c>
      <c r="K1513" s="5">
        <v>46161.623386030093</v>
      </c>
      <c r="M1513" s="2" t="s">
        <v>1933</v>
      </c>
      <c r="N1513" s="2" t="s">
        <v>1701</v>
      </c>
      <c r="O1513" s="5">
        <v>45594.627415532414</v>
      </c>
      <c r="P1513" t="str">
        <f>IF($Q1513="DELETE",IF($S1513="CONFIRMED: NO MODS &gt; 1YR","CONFIRMED: NO MODS &gt; 1YR","DO NOT DELETE — not defensibly confirmed"),IF($Q1513="HOLD","DO NOT DELETE — HOLD (Charlie review)",IF($Q1513="KEEP","DO NOT DELETE — KEEP",IF(ISNUMBER(SEARCH("REVIEW",$Q1513)),"DO NOT DELETE — REVIEW pending",$S1513))))</f>
        <v>DO NOT DELETE — REVIEW pending</v>
      </c>
      <c r="Q1513" t="str" cm="1">
        <f t="array" ref="Q1513">_xlfn.IFS(AND($A1513="thg-beauty",ISNUMBER(SEARCH("liveramp",$C1513))),"DELETE",$A1513="agile-bonbon-662",_xlfn.IFS(LEFT($G1513,9)="Tranche 1","DELETE",$C1513="Sessions_Level_1_All_Sites","KEEP",ISNUMBER(--$C1513),"REVIEW — UA raw logs",$C1513="Emag_Reporting","KEEP",$C1513="Nutrition_Data_Archived_Tables","KEEP",$C1513="EU_Data","KEEP",TRUE,"REVIEW"),OR($A1513="thg-influencer",$A1513="thg-ingenuity",$A1513="thg-central-marketing",$A1513="thg-seoclarity"),"HOLD",TRUE,"")</f>
        <v>REVIEW</v>
      </c>
      <c r="R1513" t="str" cm="1">
        <f t="array" ref="R1513">_xlfn.IFS(AND($A1513="thg-beauty",ISNUMBER(SEARCH("liveramp",$C1513))),"thg-beauty Liveramp dataset — confirmed safe to delete",$A1513="agile-bonbon-662",_xlfn.IFS(LEFT($G1513,9)="Tranche 1","Tranche 1: cleared",$C1513="Sessions_Level_1_All_Sites","Downstream aggregation of UA raw logs — keep if raw tables go",ISNUMBER(--$C1513),"UA raw site logs (account ID) — keep pending audit-retention check",$C1513="Emag_Reporting","Legacy but likely needed",$C1513="Nutrition_Data_Archived_Tables","Worth keeping",$C1513="EU_Data","Static lookup tables — scripts still reference (smoke-test risk)",TRUE,"Review"),OR($A1513="thg-influencer",$A1513="thg-ingenuity",$A1513="thg-central-marketing",$A1513="thg-seoclarity"),"HOLD — Charlie Stringer to review before deletion",TRUE,"")</f>
        <v>Review</v>
      </c>
      <c r="S1513" t="s">
        <v>1631</v>
      </c>
    </row>
    <row r="1514" spans="1:19" ht="45.75" hidden="1">
      <c r="A1514" t="s">
        <v>89</v>
      </c>
      <c r="B1514" t="s">
        <v>1619</v>
      </c>
      <c r="C1514" t="s">
        <v>1035</v>
      </c>
      <c r="D1514" s="2" t="s">
        <v>1621</v>
      </c>
      <c r="E1514">
        <v>42.34</v>
      </c>
      <c r="F1514">
        <v>0.85</v>
      </c>
      <c r="G1514" t="s">
        <v>72</v>
      </c>
      <c r="H1514" t="s">
        <v>3457</v>
      </c>
      <c r="I1514">
        <v>35</v>
      </c>
      <c r="J1514">
        <v>392</v>
      </c>
      <c r="K1514" s="5">
        <v>46161.6165903125</v>
      </c>
      <c r="M1514" s="2" t="s">
        <v>1984</v>
      </c>
      <c r="N1514" s="2" t="s">
        <v>1701</v>
      </c>
      <c r="O1514" s="5">
        <v>45805.371879814818</v>
      </c>
      <c r="P1514" t="str">
        <f>IF($Q1514="DELETE",IF($S1514="CONFIRMED: NO MODS &gt; 1YR","CONFIRMED: NO MODS &gt; 1YR","DO NOT DELETE — not defensibly confirmed"),IF($Q1514="HOLD","DO NOT DELETE — HOLD (Charlie review)",IF($Q1514="KEEP","DO NOT DELETE — KEEP",IF(ISNUMBER(SEARCH("REVIEW",$Q1514)),"DO NOT DELETE — REVIEW pending",$S1514))))</f>
        <v>DO NOT DELETE — REVIEW pending</v>
      </c>
      <c r="Q1514" t="str" cm="1">
        <f t="array" ref="Q1514">_xlfn.IFS(AND($A1514="thg-beauty",ISNUMBER(SEARCH("liveramp",$C1514))),"DELETE",$A1514="agile-bonbon-662",_xlfn.IFS(LEFT($G1514,9)="Tranche 1","DELETE",$C1514="Sessions_Level_1_All_Sites","KEEP",ISNUMBER(--$C1514),"REVIEW — UA raw logs",$C1514="Emag_Reporting","KEEP",$C1514="Nutrition_Data_Archived_Tables","KEEP",$C1514="EU_Data","KEEP",TRUE,"REVIEW"),OR($A1514="thg-influencer",$A1514="thg-ingenuity",$A1514="thg-central-marketing",$A1514="thg-seoclarity"),"HOLD",TRUE,"")</f>
        <v>REVIEW</v>
      </c>
      <c r="R1514" t="str" cm="1">
        <f t="array" ref="R1514">_xlfn.IFS(AND($A1514="thg-beauty",ISNUMBER(SEARCH("liveramp",$C1514))),"thg-beauty Liveramp dataset — confirmed safe to delete",$A1514="agile-bonbon-662",_xlfn.IFS(LEFT($G1514,9)="Tranche 1","Tranche 1: cleared",$C1514="Sessions_Level_1_All_Sites","Downstream aggregation of UA raw logs — keep if raw tables go",ISNUMBER(--$C1514),"UA raw site logs (account ID) — keep pending audit-retention check",$C1514="Emag_Reporting","Legacy but likely needed",$C1514="Nutrition_Data_Archived_Tables","Worth keeping",$C1514="EU_Data","Static lookup tables — scripts still reference (smoke-test risk)",TRUE,"Review"),OR($A1514="thg-influencer",$A1514="thg-ingenuity",$A1514="thg-central-marketing",$A1514="thg-seoclarity"),"HOLD — Charlie Stringer to review before deletion",TRUE,"")</f>
        <v>Review</v>
      </c>
      <c r="S1514" t="s">
        <v>1631</v>
      </c>
    </row>
    <row r="1515" spans="1:19" ht="45.75" hidden="1">
      <c r="A1515" t="s">
        <v>89</v>
      </c>
      <c r="B1515" t="s">
        <v>1619</v>
      </c>
      <c r="C1515" t="s">
        <v>1054</v>
      </c>
      <c r="D1515" s="2" t="s">
        <v>1621</v>
      </c>
      <c r="E1515">
        <v>41.37</v>
      </c>
      <c r="F1515">
        <v>0.83</v>
      </c>
      <c r="G1515" t="s">
        <v>72</v>
      </c>
      <c r="H1515" t="s">
        <v>3457</v>
      </c>
      <c r="I1515">
        <v>35</v>
      </c>
      <c r="J1515">
        <v>2476</v>
      </c>
      <c r="K1515" s="5">
        <v>46161.610363541673</v>
      </c>
      <c r="M1515" s="2" t="s">
        <v>3901</v>
      </c>
      <c r="N1515" s="2" t="s">
        <v>1701</v>
      </c>
      <c r="O1515" s="5">
        <v>43721.382632476852</v>
      </c>
      <c r="P1515" t="str">
        <f>IF($Q1515="DELETE",IF($S1515="CONFIRMED: NO MODS &gt; 1YR","CONFIRMED: NO MODS &gt; 1YR","DO NOT DELETE — not defensibly confirmed"),IF($Q1515="HOLD","DO NOT DELETE — HOLD (Charlie review)",IF($Q1515="KEEP","DO NOT DELETE — KEEP",IF(ISNUMBER(SEARCH("REVIEW",$Q1515)),"DO NOT DELETE — REVIEW pending",$S1515))))</f>
        <v>DO NOT DELETE — REVIEW pending</v>
      </c>
      <c r="Q1515" t="str" cm="1">
        <f t="array" ref="Q1515">_xlfn.IFS(AND($A1515="thg-beauty",ISNUMBER(SEARCH("liveramp",$C1515))),"DELETE",$A1515="agile-bonbon-662",_xlfn.IFS(LEFT($G1515,9)="Tranche 1","DELETE",$C1515="Sessions_Level_1_All_Sites","KEEP",ISNUMBER(--$C1515),"REVIEW — UA raw logs",$C1515="Emag_Reporting","KEEP",$C1515="Nutrition_Data_Archived_Tables","KEEP",$C1515="EU_Data","KEEP",TRUE,"REVIEW"),OR($A1515="thg-influencer",$A1515="thg-ingenuity",$A1515="thg-central-marketing",$A1515="thg-seoclarity"),"HOLD",TRUE,"")</f>
        <v>REVIEW</v>
      </c>
      <c r="R1515" t="str" cm="1">
        <f t="array" ref="R1515">_xlfn.IFS(AND($A1515="thg-beauty",ISNUMBER(SEARCH("liveramp",$C1515))),"thg-beauty Liveramp dataset — confirmed safe to delete",$A1515="agile-bonbon-662",_xlfn.IFS(LEFT($G1515,9)="Tranche 1","Tranche 1: cleared",$C1515="Sessions_Level_1_All_Sites","Downstream aggregation of UA raw logs — keep if raw tables go",ISNUMBER(--$C1515),"UA raw site logs (account ID) — keep pending audit-retention check",$C1515="Emag_Reporting","Legacy but likely needed",$C1515="Nutrition_Data_Archived_Tables","Worth keeping",$C1515="EU_Data","Static lookup tables — scripts still reference (smoke-test risk)",TRUE,"Review"),OR($A1515="thg-influencer",$A1515="thg-ingenuity",$A1515="thg-central-marketing",$A1515="thg-seoclarity"),"HOLD — Charlie Stringer to review before deletion",TRUE,"")</f>
        <v>Review</v>
      </c>
      <c r="S1515" t="s">
        <v>1631</v>
      </c>
    </row>
    <row r="1516" spans="1:19" ht="45.75" hidden="1">
      <c r="A1516" t="s">
        <v>89</v>
      </c>
      <c r="B1516" t="s">
        <v>1619</v>
      </c>
      <c r="C1516" t="s">
        <v>1059</v>
      </c>
      <c r="D1516" s="2" t="s">
        <v>1621</v>
      </c>
      <c r="E1516">
        <v>40.89</v>
      </c>
      <c r="F1516">
        <v>0.82</v>
      </c>
      <c r="G1516" t="s">
        <v>72</v>
      </c>
      <c r="H1516" t="s">
        <v>3457</v>
      </c>
      <c r="I1516">
        <v>35</v>
      </c>
      <c r="J1516">
        <v>1057</v>
      </c>
      <c r="K1516" s="5">
        <v>46161.617409571758</v>
      </c>
      <c r="M1516" s="2" t="s">
        <v>1921</v>
      </c>
      <c r="N1516" s="2" t="s">
        <v>1701</v>
      </c>
      <c r="O1516" s="5">
        <v>45139.588208252317</v>
      </c>
      <c r="P1516" t="str">
        <f>IF($Q1516="DELETE",IF($S1516="CONFIRMED: NO MODS &gt; 1YR","CONFIRMED: NO MODS &gt; 1YR","DO NOT DELETE — not defensibly confirmed"),IF($Q1516="HOLD","DO NOT DELETE — HOLD (Charlie review)",IF($Q1516="KEEP","DO NOT DELETE — KEEP",IF(ISNUMBER(SEARCH("REVIEW",$Q1516)),"DO NOT DELETE — REVIEW pending",$S1516))))</f>
        <v>DO NOT DELETE — REVIEW pending</v>
      </c>
      <c r="Q1516" t="str" cm="1">
        <f t="array" ref="Q1516">_xlfn.IFS(AND($A1516="thg-beauty",ISNUMBER(SEARCH("liveramp",$C1516))),"DELETE",$A1516="agile-bonbon-662",_xlfn.IFS(LEFT($G1516,9)="Tranche 1","DELETE",$C1516="Sessions_Level_1_All_Sites","KEEP",ISNUMBER(--$C1516),"REVIEW — UA raw logs",$C1516="Emag_Reporting","KEEP",$C1516="Nutrition_Data_Archived_Tables","KEEP",$C1516="EU_Data","KEEP",TRUE,"REVIEW"),OR($A1516="thg-influencer",$A1516="thg-ingenuity",$A1516="thg-central-marketing",$A1516="thg-seoclarity"),"HOLD",TRUE,"")</f>
        <v>REVIEW</v>
      </c>
      <c r="R1516" t="str" cm="1">
        <f t="array" ref="R1516">_xlfn.IFS(AND($A1516="thg-beauty",ISNUMBER(SEARCH("liveramp",$C1516))),"thg-beauty Liveramp dataset — confirmed safe to delete",$A1516="agile-bonbon-662",_xlfn.IFS(LEFT($G1516,9)="Tranche 1","Tranche 1: cleared",$C1516="Sessions_Level_1_All_Sites","Downstream aggregation of UA raw logs — keep if raw tables go",ISNUMBER(--$C1516),"UA raw site logs (account ID) — keep pending audit-retention check",$C1516="Emag_Reporting","Legacy but likely needed",$C1516="Nutrition_Data_Archived_Tables","Worth keeping",$C1516="EU_Data","Static lookup tables — scripts still reference (smoke-test risk)",TRUE,"Review"),OR($A1516="thg-influencer",$A1516="thg-ingenuity",$A1516="thg-central-marketing",$A1516="thg-seoclarity"),"HOLD — Charlie Stringer to review before deletion",TRUE,"")</f>
        <v>Review</v>
      </c>
      <c r="S1516" t="s">
        <v>1631</v>
      </c>
    </row>
    <row r="1517" spans="1:19" ht="45.75" hidden="1">
      <c r="A1517" t="s">
        <v>89</v>
      </c>
      <c r="B1517" t="s">
        <v>1619</v>
      </c>
      <c r="C1517" t="s">
        <v>1064</v>
      </c>
      <c r="D1517" s="2" t="s">
        <v>1621</v>
      </c>
      <c r="E1517">
        <v>40.47</v>
      </c>
      <c r="F1517">
        <v>0.81</v>
      </c>
      <c r="G1517" t="s">
        <v>72</v>
      </c>
      <c r="H1517" t="s">
        <v>3457</v>
      </c>
      <c r="I1517">
        <v>35</v>
      </c>
      <c r="J1517">
        <v>723</v>
      </c>
      <c r="K1517" s="5">
        <v>46161.598862673607</v>
      </c>
      <c r="M1517" s="2" t="s">
        <v>3401</v>
      </c>
      <c r="N1517" s="2" t="s">
        <v>1701</v>
      </c>
      <c r="O1517" s="5">
        <v>45474.339256747677</v>
      </c>
      <c r="P1517" t="str">
        <f>IF($Q1517="DELETE",IF($S1517="CONFIRMED: NO MODS &gt; 1YR","CONFIRMED: NO MODS &gt; 1YR","DO NOT DELETE — not defensibly confirmed"),IF($Q1517="HOLD","DO NOT DELETE — HOLD (Charlie review)",IF($Q1517="KEEP","DO NOT DELETE — KEEP",IF(ISNUMBER(SEARCH("REVIEW",$Q1517)),"DO NOT DELETE — REVIEW pending",$S1517))))</f>
        <v>DO NOT DELETE — REVIEW pending</v>
      </c>
      <c r="Q1517" t="str" cm="1">
        <f t="array" ref="Q1517">_xlfn.IFS(AND($A1517="thg-beauty",ISNUMBER(SEARCH("liveramp",$C1517))),"DELETE",$A1517="agile-bonbon-662",_xlfn.IFS(LEFT($G1517,9)="Tranche 1","DELETE",$C1517="Sessions_Level_1_All_Sites","KEEP",ISNUMBER(--$C1517),"REVIEW — UA raw logs",$C1517="Emag_Reporting","KEEP",$C1517="Nutrition_Data_Archived_Tables","KEEP",$C1517="EU_Data","KEEP",TRUE,"REVIEW"),OR($A1517="thg-influencer",$A1517="thg-ingenuity",$A1517="thg-central-marketing",$A1517="thg-seoclarity"),"HOLD",TRUE,"")</f>
        <v>REVIEW — UA raw logs</v>
      </c>
      <c r="R1517" t="str" cm="1">
        <f t="array" ref="R1517">_xlfn.IFS(AND($A1517="thg-beauty",ISNUMBER(SEARCH("liveramp",$C1517))),"thg-beauty Liveramp dataset — confirmed safe to delete",$A1517="agile-bonbon-662",_xlfn.IFS(LEFT($G1517,9)="Tranche 1","Tranche 1: cleared",$C1517="Sessions_Level_1_All_Sites","Downstream aggregation of UA raw logs — keep if raw tables go",ISNUMBER(--$C1517),"UA raw site logs (account ID) — keep pending audit-retention check",$C1517="Emag_Reporting","Legacy but likely needed",$C1517="Nutrition_Data_Archived_Tables","Worth keeping",$C1517="EU_Data","Static lookup tables — scripts still reference (smoke-test risk)",TRUE,"Review"),OR($A1517="thg-influencer",$A1517="thg-ingenuity",$A1517="thg-central-marketing",$A1517="thg-seoclarity"),"HOLD — Charlie Stringer to review before deletion",TRUE,"")</f>
        <v>UA raw site logs (account ID) — keep pending audit-retention check</v>
      </c>
      <c r="S1517" t="s">
        <v>1631</v>
      </c>
    </row>
    <row r="1518" spans="1:19" ht="45.75" hidden="1">
      <c r="A1518" t="s">
        <v>89</v>
      </c>
      <c r="B1518" t="s">
        <v>1619</v>
      </c>
      <c r="C1518" t="s">
        <v>1068</v>
      </c>
      <c r="D1518" s="2" t="s">
        <v>1621</v>
      </c>
      <c r="E1518">
        <v>39.43</v>
      </c>
      <c r="F1518">
        <v>0.79</v>
      </c>
      <c r="G1518" t="s">
        <v>72</v>
      </c>
      <c r="H1518" t="s">
        <v>3457</v>
      </c>
      <c r="I1518">
        <v>35</v>
      </c>
      <c r="J1518">
        <v>2689</v>
      </c>
      <c r="K1518" s="5">
        <v>46161.598639270836</v>
      </c>
      <c r="M1518" s="2" t="s">
        <v>3401</v>
      </c>
      <c r="N1518" s="2" t="s">
        <v>1701</v>
      </c>
      <c r="O1518" s="5">
        <v>43507.630520092593</v>
      </c>
      <c r="P1518" t="str">
        <f>IF($Q1518="DELETE",IF($S1518="CONFIRMED: NO MODS &gt; 1YR","CONFIRMED: NO MODS &gt; 1YR","DO NOT DELETE — not defensibly confirmed"),IF($Q1518="HOLD","DO NOT DELETE — HOLD (Charlie review)",IF($Q1518="KEEP","DO NOT DELETE — KEEP",IF(ISNUMBER(SEARCH("REVIEW",$Q1518)),"DO NOT DELETE — REVIEW pending",$S1518))))</f>
        <v>DO NOT DELETE — REVIEW pending</v>
      </c>
      <c r="Q1518" t="str" cm="1">
        <f t="array" ref="Q1518">_xlfn.IFS(AND($A1518="thg-beauty",ISNUMBER(SEARCH("liveramp",$C1518))),"DELETE",$A1518="agile-bonbon-662",_xlfn.IFS(LEFT($G1518,9)="Tranche 1","DELETE",$C1518="Sessions_Level_1_All_Sites","KEEP",ISNUMBER(--$C1518),"REVIEW — UA raw logs",$C1518="Emag_Reporting","KEEP",$C1518="Nutrition_Data_Archived_Tables","KEEP",$C1518="EU_Data","KEEP",TRUE,"REVIEW"),OR($A1518="thg-influencer",$A1518="thg-ingenuity",$A1518="thg-central-marketing",$A1518="thg-seoclarity"),"HOLD",TRUE,"")</f>
        <v>REVIEW — UA raw logs</v>
      </c>
      <c r="R1518" t="str" cm="1">
        <f t="array" ref="R1518">_xlfn.IFS(AND($A1518="thg-beauty",ISNUMBER(SEARCH("liveramp",$C1518))),"thg-beauty Liveramp dataset — confirmed safe to delete",$A1518="agile-bonbon-662",_xlfn.IFS(LEFT($G1518,9)="Tranche 1","Tranche 1: cleared",$C1518="Sessions_Level_1_All_Sites","Downstream aggregation of UA raw logs — keep if raw tables go",ISNUMBER(--$C1518),"UA raw site logs (account ID) — keep pending audit-retention check",$C1518="Emag_Reporting","Legacy but likely needed",$C1518="Nutrition_Data_Archived_Tables","Worth keeping",$C1518="EU_Data","Static lookup tables — scripts still reference (smoke-test risk)",TRUE,"Review"),OR($A1518="thg-influencer",$A1518="thg-ingenuity",$A1518="thg-central-marketing",$A1518="thg-seoclarity"),"HOLD — Charlie Stringer to review before deletion",TRUE,"")</f>
        <v>UA raw site logs (account ID) — keep pending audit-retention check</v>
      </c>
      <c r="S1518" t="s">
        <v>1631</v>
      </c>
    </row>
    <row r="1519" spans="1:19" ht="45.75" hidden="1">
      <c r="A1519" t="s">
        <v>89</v>
      </c>
      <c r="B1519" t="s">
        <v>1619</v>
      </c>
      <c r="C1519" t="s">
        <v>1077</v>
      </c>
      <c r="D1519" s="2" t="s">
        <v>1621</v>
      </c>
      <c r="E1519">
        <v>38.81</v>
      </c>
      <c r="F1519">
        <v>0.78</v>
      </c>
      <c r="G1519" t="s">
        <v>72</v>
      </c>
      <c r="H1519" t="s">
        <v>3457</v>
      </c>
      <c r="I1519">
        <v>35</v>
      </c>
      <c r="J1519">
        <v>723</v>
      </c>
      <c r="K1519" s="5">
        <v>46161.588881365737</v>
      </c>
      <c r="M1519" s="2" t="s">
        <v>3403</v>
      </c>
      <c r="N1519" s="2" t="s">
        <v>1701</v>
      </c>
      <c r="O1519" s="5">
        <v>45474.333150937498</v>
      </c>
      <c r="P1519" t="str">
        <f>IF($Q1519="DELETE",IF($S1519="CONFIRMED: NO MODS &gt; 1YR","CONFIRMED: NO MODS &gt; 1YR","DO NOT DELETE — not defensibly confirmed"),IF($Q1519="HOLD","DO NOT DELETE — HOLD (Charlie review)",IF($Q1519="KEEP","DO NOT DELETE — KEEP",IF(ISNUMBER(SEARCH("REVIEW",$Q1519)),"DO NOT DELETE — REVIEW pending",$S1519))))</f>
        <v>DO NOT DELETE — REVIEW pending</v>
      </c>
      <c r="Q1519" t="str" cm="1">
        <f t="array" ref="Q1519">_xlfn.IFS(AND($A1519="thg-beauty",ISNUMBER(SEARCH("liveramp",$C1519))),"DELETE",$A1519="agile-bonbon-662",_xlfn.IFS(LEFT($G1519,9)="Tranche 1","DELETE",$C1519="Sessions_Level_1_All_Sites","KEEP",ISNUMBER(--$C1519),"REVIEW — UA raw logs",$C1519="Emag_Reporting","KEEP",$C1519="Nutrition_Data_Archived_Tables","KEEP",$C1519="EU_Data","KEEP",TRUE,"REVIEW"),OR($A1519="thg-influencer",$A1519="thg-ingenuity",$A1519="thg-central-marketing",$A1519="thg-seoclarity"),"HOLD",TRUE,"")</f>
        <v>REVIEW — UA raw logs</v>
      </c>
      <c r="R1519" t="str" cm="1">
        <f t="array" ref="R1519">_xlfn.IFS(AND($A1519="thg-beauty",ISNUMBER(SEARCH("liveramp",$C1519))),"thg-beauty Liveramp dataset — confirmed safe to delete",$A1519="agile-bonbon-662",_xlfn.IFS(LEFT($G1519,9)="Tranche 1","Tranche 1: cleared",$C1519="Sessions_Level_1_All_Sites","Downstream aggregation of UA raw logs — keep if raw tables go",ISNUMBER(--$C1519),"UA raw site logs (account ID) — keep pending audit-retention check",$C1519="Emag_Reporting","Legacy but likely needed",$C1519="Nutrition_Data_Archived_Tables","Worth keeping",$C1519="EU_Data","Static lookup tables — scripts still reference (smoke-test risk)",TRUE,"Review"),OR($A1519="thg-influencer",$A1519="thg-ingenuity",$A1519="thg-central-marketing",$A1519="thg-seoclarity"),"HOLD — Charlie Stringer to review before deletion",TRUE,"")</f>
        <v>UA raw site logs (account ID) — keep pending audit-retention check</v>
      </c>
      <c r="S1519" t="s">
        <v>1631</v>
      </c>
    </row>
    <row r="1520" spans="1:19" ht="45.75" hidden="1">
      <c r="A1520" t="s">
        <v>89</v>
      </c>
      <c r="B1520" t="s">
        <v>1619</v>
      </c>
      <c r="C1520" t="s">
        <v>1073</v>
      </c>
      <c r="D1520" s="2" t="s">
        <v>1621</v>
      </c>
      <c r="E1520">
        <v>38.79</v>
      </c>
      <c r="F1520">
        <v>0.78</v>
      </c>
      <c r="G1520" t="s">
        <v>72</v>
      </c>
      <c r="H1520" t="s">
        <v>3457</v>
      </c>
      <c r="I1520">
        <v>35</v>
      </c>
      <c r="J1520">
        <v>723</v>
      </c>
      <c r="K1520" s="5">
        <v>46161.600471956022</v>
      </c>
      <c r="M1520" s="2" t="s">
        <v>3428</v>
      </c>
      <c r="N1520" s="2" t="s">
        <v>1701</v>
      </c>
      <c r="O1520" s="5">
        <v>45474.263473425934</v>
      </c>
      <c r="P1520" t="str">
        <f>IF($Q1520="DELETE",IF($S1520="CONFIRMED: NO MODS &gt; 1YR","CONFIRMED: NO MODS &gt; 1YR","DO NOT DELETE — not defensibly confirmed"),IF($Q1520="HOLD","DO NOT DELETE — HOLD (Charlie review)",IF($Q1520="KEEP","DO NOT DELETE — KEEP",IF(ISNUMBER(SEARCH("REVIEW",$Q1520)),"DO NOT DELETE — REVIEW pending",$S1520))))</f>
        <v>DO NOT DELETE — REVIEW pending</v>
      </c>
      <c r="Q1520" t="str" cm="1">
        <f t="array" ref="Q1520">_xlfn.IFS(AND($A1520="thg-beauty",ISNUMBER(SEARCH("liveramp",$C1520))),"DELETE",$A1520="agile-bonbon-662",_xlfn.IFS(LEFT($G1520,9)="Tranche 1","DELETE",$C1520="Sessions_Level_1_All_Sites","KEEP",ISNUMBER(--$C1520),"REVIEW — UA raw logs",$C1520="Emag_Reporting","KEEP",$C1520="Nutrition_Data_Archived_Tables","KEEP",$C1520="EU_Data","KEEP",TRUE,"REVIEW"),OR($A1520="thg-influencer",$A1520="thg-ingenuity",$A1520="thg-central-marketing",$A1520="thg-seoclarity"),"HOLD",TRUE,"")</f>
        <v>REVIEW — UA raw logs</v>
      </c>
      <c r="R1520" t="str" cm="1">
        <f t="array" ref="R1520">_xlfn.IFS(AND($A1520="thg-beauty",ISNUMBER(SEARCH("liveramp",$C1520))),"thg-beauty Liveramp dataset — confirmed safe to delete",$A1520="agile-bonbon-662",_xlfn.IFS(LEFT($G1520,9)="Tranche 1","Tranche 1: cleared",$C1520="Sessions_Level_1_All_Sites","Downstream aggregation of UA raw logs — keep if raw tables go",ISNUMBER(--$C1520),"UA raw site logs (account ID) — keep pending audit-retention check",$C1520="Emag_Reporting","Legacy but likely needed",$C1520="Nutrition_Data_Archived_Tables","Worth keeping",$C1520="EU_Data","Static lookup tables — scripts still reference (smoke-test risk)",TRUE,"Review"),OR($A1520="thg-influencer",$A1520="thg-ingenuity",$A1520="thg-central-marketing",$A1520="thg-seoclarity"),"HOLD — Charlie Stringer to review before deletion",TRUE,"")</f>
        <v>UA raw site logs (account ID) — keep pending audit-retention check</v>
      </c>
      <c r="S1520" t="s">
        <v>1624</v>
      </c>
    </row>
    <row r="1521" spans="1:19" ht="45.75" hidden="1">
      <c r="A1521" t="s">
        <v>89</v>
      </c>
      <c r="B1521" t="s">
        <v>1619</v>
      </c>
      <c r="C1521" t="s">
        <v>1081</v>
      </c>
      <c r="D1521" s="2" t="s">
        <v>1621</v>
      </c>
      <c r="E1521">
        <v>37.47</v>
      </c>
      <c r="F1521">
        <v>0.75</v>
      </c>
      <c r="G1521" t="s">
        <v>72</v>
      </c>
      <c r="H1521" t="s">
        <v>3457</v>
      </c>
      <c r="I1521">
        <v>35</v>
      </c>
      <c r="J1521">
        <v>723</v>
      </c>
      <c r="K1521" s="5">
        <v>46161.595084224537</v>
      </c>
      <c r="M1521" s="2" t="s">
        <v>3902</v>
      </c>
      <c r="N1521" s="2" t="s">
        <v>1701</v>
      </c>
      <c r="O1521" s="5">
        <v>45474.267289814823</v>
      </c>
      <c r="P1521" t="str">
        <f>IF($Q1521="DELETE",IF($S1521="CONFIRMED: NO MODS &gt; 1YR","CONFIRMED: NO MODS &gt; 1YR","DO NOT DELETE — not defensibly confirmed"),IF($Q1521="HOLD","DO NOT DELETE — HOLD (Charlie review)",IF($Q1521="KEEP","DO NOT DELETE — KEEP",IF(ISNUMBER(SEARCH("REVIEW",$Q1521)),"DO NOT DELETE — REVIEW pending",$S1521))))</f>
        <v>DO NOT DELETE — REVIEW pending</v>
      </c>
      <c r="Q1521" t="str" cm="1">
        <f t="array" ref="Q1521">_xlfn.IFS(AND($A1521="thg-beauty",ISNUMBER(SEARCH("liveramp",$C1521))),"DELETE",$A1521="agile-bonbon-662",_xlfn.IFS(LEFT($G1521,9)="Tranche 1","DELETE",$C1521="Sessions_Level_1_All_Sites","KEEP",ISNUMBER(--$C1521),"REVIEW — UA raw logs",$C1521="Emag_Reporting","KEEP",$C1521="Nutrition_Data_Archived_Tables","KEEP",$C1521="EU_Data","KEEP",TRUE,"REVIEW"),OR($A1521="thg-influencer",$A1521="thg-ingenuity",$A1521="thg-central-marketing",$A1521="thg-seoclarity"),"HOLD",TRUE,"")</f>
        <v>REVIEW — UA raw logs</v>
      </c>
      <c r="R1521" t="str" cm="1">
        <f t="array" ref="R1521">_xlfn.IFS(AND($A1521="thg-beauty",ISNUMBER(SEARCH("liveramp",$C1521))),"thg-beauty Liveramp dataset — confirmed safe to delete",$A1521="agile-bonbon-662",_xlfn.IFS(LEFT($G1521,9)="Tranche 1","Tranche 1: cleared",$C1521="Sessions_Level_1_All_Sites","Downstream aggregation of UA raw logs — keep if raw tables go",ISNUMBER(--$C1521),"UA raw site logs (account ID) — keep pending audit-retention check",$C1521="Emag_Reporting","Legacy but likely needed",$C1521="Nutrition_Data_Archived_Tables","Worth keeping",$C1521="EU_Data","Static lookup tables — scripts still reference (smoke-test risk)",TRUE,"Review"),OR($A1521="thg-influencer",$A1521="thg-ingenuity",$A1521="thg-central-marketing",$A1521="thg-seoclarity"),"HOLD — Charlie Stringer to review before deletion",TRUE,"")</f>
        <v>UA raw site logs (account ID) — keep pending audit-retention check</v>
      </c>
      <c r="S1521" t="s">
        <v>1624</v>
      </c>
    </row>
    <row r="1522" spans="1:19" ht="45.75" hidden="1">
      <c r="A1522" t="s">
        <v>89</v>
      </c>
      <c r="B1522" t="s">
        <v>1619</v>
      </c>
      <c r="C1522" t="s">
        <v>1090</v>
      </c>
      <c r="D1522" s="2" t="s">
        <v>1621</v>
      </c>
      <c r="E1522">
        <v>36.39</v>
      </c>
      <c r="F1522">
        <v>0.73</v>
      </c>
      <c r="G1522" t="s">
        <v>72</v>
      </c>
      <c r="H1522" t="s">
        <v>3457</v>
      </c>
      <c r="I1522">
        <v>35</v>
      </c>
      <c r="J1522">
        <v>910</v>
      </c>
      <c r="K1522" s="5">
        <v>46161.615881967591</v>
      </c>
      <c r="M1522" s="2" t="s">
        <v>1977</v>
      </c>
      <c r="N1522" s="2" t="s">
        <v>1701</v>
      </c>
      <c r="O1522" s="5">
        <v>45287.335290949071</v>
      </c>
      <c r="P1522" t="str">
        <f>IF($Q1522="DELETE",IF($S1522="CONFIRMED: NO MODS &gt; 1YR","CONFIRMED: NO MODS &gt; 1YR","DO NOT DELETE — not defensibly confirmed"),IF($Q1522="HOLD","DO NOT DELETE — HOLD (Charlie review)",IF($Q1522="KEEP","DO NOT DELETE — KEEP",IF(ISNUMBER(SEARCH("REVIEW",$Q1522)),"DO NOT DELETE — REVIEW pending",$S1522))))</f>
        <v>DO NOT DELETE — REVIEW pending</v>
      </c>
      <c r="Q1522" t="str" cm="1">
        <f t="array" ref="Q1522">_xlfn.IFS(AND($A1522="thg-beauty",ISNUMBER(SEARCH("liveramp",$C1522))),"DELETE",$A1522="agile-bonbon-662",_xlfn.IFS(LEFT($G1522,9)="Tranche 1","DELETE",$C1522="Sessions_Level_1_All_Sites","KEEP",ISNUMBER(--$C1522),"REVIEW — UA raw logs",$C1522="Emag_Reporting","KEEP",$C1522="Nutrition_Data_Archived_Tables","KEEP",$C1522="EU_Data","KEEP",TRUE,"REVIEW"),OR($A1522="thg-influencer",$A1522="thg-ingenuity",$A1522="thg-central-marketing",$A1522="thg-seoclarity"),"HOLD",TRUE,"")</f>
        <v>REVIEW</v>
      </c>
      <c r="R1522" t="str" cm="1">
        <f t="array" ref="R1522">_xlfn.IFS(AND($A1522="thg-beauty",ISNUMBER(SEARCH("liveramp",$C1522))),"thg-beauty Liveramp dataset — confirmed safe to delete",$A1522="agile-bonbon-662",_xlfn.IFS(LEFT($G1522,9)="Tranche 1","Tranche 1: cleared",$C1522="Sessions_Level_1_All_Sites","Downstream aggregation of UA raw logs — keep if raw tables go",ISNUMBER(--$C1522),"UA raw site logs (account ID) — keep pending audit-retention check",$C1522="Emag_Reporting","Legacy but likely needed",$C1522="Nutrition_Data_Archived_Tables","Worth keeping",$C1522="EU_Data","Static lookup tables — scripts still reference (smoke-test risk)",TRUE,"Review"),OR($A1522="thg-influencer",$A1522="thg-ingenuity",$A1522="thg-central-marketing",$A1522="thg-seoclarity"),"HOLD — Charlie Stringer to review before deletion",TRUE,"")</f>
        <v>Review</v>
      </c>
      <c r="S1522" t="s">
        <v>1631</v>
      </c>
    </row>
    <row r="1523" spans="1:19" ht="45.75" hidden="1">
      <c r="A1523" t="s">
        <v>89</v>
      </c>
      <c r="B1523" t="s">
        <v>1619</v>
      </c>
      <c r="C1523" t="s">
        <v>1095</v>
      </c>
      <c r="D1523" s="2" t="s">
        <v>1621</v>
      </c>
      <c r="E1523">
        <v>36.340000000000003</v>
      </c>
      <c r="F1523">
        <v>0.73</v>
      </c>
      <c r="G1523" t="s">
        <v>72</v>
      </c>
      <c r="H1523" t="s">
        <v>3457</v>
      </c>
      <c r="I1523">
        <v>35</v>
      </c>
      <c r="J1523">
        <v>723</v>
      </c>
      <c r="K1523" s="5">
        <v>46161.593607129631</v>
      </c>
      <c r="M1523" s="2" t="s">
        <v>3900</v>
      </c>
      <c r="N1523" s="2" t="s">
        <v>1701</v>
      </c>
      <c r="O1523" s="5">
        <v>45474.281530196757</v>
      </c>
      <c r="P1523" t="str">
        <f>IF($Q1523="DELETE",IF($S1523="CONFIRMED: NO MODS &gt; 1YR","CONFIRMED: NO MODS &gt; 1YR","DO NOT DELETE — not defensibly confirmed"),IF($Q1523="HOLD","DO NOT DELETE — HOLD (Charlie review)",IF($Q1523="KEEP","DO NOT DELETE — KEEP",IF(ISNUMBER(SEARCH("REVIEW",$Q1523)),"DO NOT DELETE — REVIEW pending",$S1523))))</f>
        <v>DO NOT DELETE — REVIEW pending</v>
      </c>
      <c r="Q1523" t="str" cm="1">
        <f t="array" ref="Q1523">_xlfn.IFS(AND($A1523="thg-beauty",ISNUMBER(SEARCH("liveramp",$C1523))),"DELETE",$A1523="agile-bonbon-662",_xlfn.IFS(LEFT($G1523,9)="Tranche 1","DELETE",$C1523="Sessions_Level_1_All_Sites","KEEP",ISNUMBER(--$C1523),"REVIEW — UA raw logs",$C1523="Emag_Reporting","KEEP",$C1523="Nutrition_Data_Archived_Tables","KEEP",$C1523="EU_Data","KEEP",TRUE,"REVIEW"),OR($A1523="thg-influencer",$A1523="thg-ingenuity",$A1523="thg-central-marketing",$A1523="thg-seoclarity"),"HOLD",TRUE,"")</f>
        <v>REVIEW — UA raw logs</v>
      </c>
      <c r="R1523" t="str" cm="1">
        <f t="array" ref="R1523">_xlfn.IFS(AND($A1523="thg-beauty",ISNUMBER(SEARCH("liveramp",$C1523))),"thg-beauty Liveramp dataset — confirmed safe to delete",$A1523="agile-bonbon-662",_xlfn.IFS(LEFT($G1523,9)="Tranche 1","Tranche 1: cleared",$C1523="Sessions_Level_1_All_Sites","Downstream aggregation of UA raw logs — keep if raw tables go",ISNUMBER(--$C1523),"UA raw site logs (account ID) — keep pending audit-retention check",$C1523="Emag_Reporting","Legacy but likely needed",$C1523="Nutrition_Data_Archived_Tables","Worth keeping",$C1523="EU_Data","Static lookup tables — scripts still reference (smoke-test risk)",TRUE,"Review"),OR($A1523="thg-influencer",$A1523="thg-ingenuity",$A1523="thg-central-marketing",$A1523="thg-seoclarity"),"HOLD — Charlie Stringer to review before deletion",TRUE,"")</f>
        <v>UA raw site logs (account ID) — keep pending audit-retention check</v>
      </c>
      <c r="S1523" t="s">
        <v>1631</v>
      </c>
    </row>
    <row r="1524" spans="1:19" ht="45.75" hidden="1">
      <c r="A1524" t="s">
        <v>89</v>
      </c>
      <c r="B1524" t="s">
        <v>1619</v>
      </c>
      <c r="C1524" t="s">
        <v>1099</v>
      </c>
      <c r="D1524" s="2" t="s">
        <v>1621</v>
      </c>
      <c r="E1524">
        <v>34.58</v>
      </c>
      <c r="F1524">
        <v>0.69</v>
      </c>
      <c r="G1524" t="s">
        <v>72</v>
      </c>
      <c r="H1524" t="s">
        <v>3457</v>
      </c>
      <c r="I1524">
        <v>35</v>
      </c>
      <c r="J1524">
        <v>795</v>
      </c>
      <c r="K1524" s="5">
        <v>46161.616253784719</v>
      </c>
      <c r="M1524" s="2" t="s">
        <v>1938</v>
      </c>
      <c r="N1524" s="2" t="s">
        <v>1701</v>
      </c>
      <c r="O1524" s="5">
        <v>45402.252704456019</v>
      </c>
      <c r="P1524" t="str">
        <f>IF($Q1524="DELETE",IF($S1524="CONFIRMED: NO MODS &gt; 1YR","CONFIRMED: NO MODS &gt; 1YR","DO NOT DELETE — not defensibly confirmed"),IF($Q1524="HOLD","DO NOT DELETE — HOLD (Charlie review)",IF($Q1524="KEEP","DO NOT DELETE — KEEP",IF(ISNUMBER(SEARCH("REVIEW",$Q1524)),"DO NOT DELETE — REVIEW pending",$S1524))))</f>
        <v>DO NOT DELETE — REVIEW pending</v>
      </c>
      <c r="Q1524" t="str" cm="1">
        <f t="array" ref="Q1524">_xlfn.IFS(AND($A1524="thg-beauty",ISNUMBER(SEARCH("liveramp",$C1524))),"DELETE",$A1524="agile-bonbon-662",_xlfn.IFS(LEFT($G1524,9)="Tranche 1","DELETE",$C1524="Sessions_Level_1_All_Sites","KEEP",ISNUMBER(--$C1524),"REVIEW — UA raw logs",$C1524="Emag_Reporting","KEEP",$C1524="Nutrition_Data_Archived_Tables","KEEP",$C1524="EU_Data","KEEP",TRUE,"REVIEW"),OR($A1524="thg-influencer",$A1524="thg-ingenuity",$A1524="thg-central-marketing",$A1524="thg-seoclarity"),"HOLD",TRUE,"")</f>
        <v>REVIEW</v>
      </c>
      <c r="R1524" t="str" cm="1">
        <f t="array" ref="R1524">_xlfn.IFS(AND($A1524="thg-beauty",ISNUMBER(SEARCH("liveramp",$C1524))),"thg-beauty Liveramp dataset — confirmed safe to delete",$A1524="agile-bonbon-662",_xlfn.IFS(LEFT($G1524,9)="Tranche 1","Tranche 1: cleared",$C1524="Sessions_Level_1_All_Sites","Downstream aggregation of UA raw logs — keep if raw tables go",ISNUMBER(--$C1524),"UA raw site logs (account ID) — keep pending audit-retention check",$C1524="Emag_Reporting","Legacy but likely needed",$C1524="Nutrition_Data_Archived_Tables","Worth keeping",$C1524="EU_Data","Static lookup tables — scripts still reference (smoke-test risk)",TRUE,"Review"),OR($A1524="thg-influencer",$A1524="thg-ingenuity",$A1524="thg-central-marketing",$A1524="thg-seoclarity"),"HOLD — Charlie Stringer to review before deletion",TRUE,"")</f>
        <v>Review</v>
      </c>
      <c r="S1524" t="s">
        <v>1624</v>
      </c>
    </row>
    <row r="1525" spans="1:19" ht="45.75" hidden="1">
      <c r="A1525" t="s">
        <v>89</v>
      </c>
      <c r="B1525" t="s">
        <v>1619</v>
      </c>
      <c r="C1525" t="s">
        <v>1103</v>
      </c>
      <c r="D1525" s="2" t="s">
        <v>1621</v>
      </c>
      <c r="E1525">
        <v>34.28</v>
      </c>
      <c r="F1525">
        <v>0.69</v>
      </c>
      <c r="G1525" t="s">
        <v>72</v>
      </c>
      <c r="H1525" t="s">
        <v>3457</v>
      </c>
      <c r="I1525">
        <v>35</v>
      </c>
      <c r="J1525">
        <v>452</v>
      </c>
      <c r="K1525" s="5">
        <v>46161.615831724543</v>
      </c>
      <c r="M1525" s="2" t="s">
        <v>1977</v>
      </c>
      <c r="N1525" s="2" t="s">
        <v>1701</v>
      </c>
      <c r="O1525" s="5">
        <v>45745.429099548608</v>
      </c>
      <c r="P1525" t="str">
        <f>IF($Q1525="DELETE",IF($S1525="CONFIRMED: NO MODS &gt; 1YR","CONFIRMED: NO MODS &gt; 1YR","DO NOT DELETE — not defensibly confirmed"),IF($Q1525="HOLD","DO NOT DELETE — HOLD (Charlie review)",IF($Q1525="KEEP","DO NOT DELETE — KEEP",IF(ISNUMBER(SEARCH("REVIEW",$Q1525)),"DO NOT DELETE — REVIEW pending",$S1525))))</f>
        <v>DO NOT DELETE — REVIEW pending</v>
      </c>
      <c r="Q1525" t="str" cm="1">
        <f t="array" ref="Q1525">_xlfn.IFS(AND($A1525="thg-beauty",ISNUMBER(SEARCH("liveramp",$C1525))),"DELETE",$A1525="agile-bonbon-662",_xlfn.IFS(LEFT($G1525,9)="Tranche 1","DELETE",$C1525="Sessions_Level_1_All_Sites","KEEP",ISNUMBER(--$C1525),"REVIEW — UA raw logs",$C1525="Emag_Reporting","KEEP",$C1525="Nutrition_Data_Archived_Tables","KEEP",$C1525="EU_Data","KEEP",TRUE,"REVIEW"),OR($A1525="thg-influencer",$A1525="thg-ingenuity",$A1525="thg-central-marketing",$A1525="thg-seoclarity"),"HOLD",TRUE,"")</f>
        <v>REVIEW</v>
      </c>
      <c r="R1525" t="str" cm="1">
        <f t="array" ref="R1525">_xlfn.IFS(AND($A1525="thg-beauty",ISNUMBER(SEARCH("liveramp",$C1525))),"thg-beauty Liveramp dataset — confirmed safe to delete",$A1525="agile-bonbon-662",_xlfn.IFS(LEFT($G1525,9)="Tranche 1","Tranche 1: cleared",$C1525="Sessions_Level_1_All_Sites","Downstream aggregation of UA raw logs — keep if raw tables go",ISNUMBER(--$C1525),"UA raw site logs (account ID) — keep pending audit-retention check",$C1525="Emag_Reporting","Legacy but likely needed",$C1525="Nutrition_Data_Archived_Tables","Worth keeping",$C1525="EU_Data","Static lookup tables — scripts still reference (smoke-test risk)",TRUE,"Review"),OR($A1525="thg-influencer",$A1525="thg-ingenuity",$A1525="thg-central-marketing",$A1525="thg-seoclarity"),"HOLD — Charlie Stringer to review before deletion",TRUE,"")</f>
        <v>Review</v>
      </c>
      <c r="S1525" t="s">
        <v>1631</v>
      </c>
    </row>
    <row r="1526" spans="1:19" ht="45.75" hidden="1">
      <c r="A1526" t="s">
        <v>89</v>
      </c>
      <c r="B1526" t="s">
        <v>1619</v>
      </c>
      <c r="C1526" t="s">
        <v>1108</v>
      </c>
      <c r="D1526" s="2" t="s">
        <v>1621</v>
      </c>
      <c r="E1526">
        <v>33.090000000000003</v>
      </c>
      <c r="F1526">
        <v>0.66</v>
      </c>
      <c r="G1526" t="s">
        <v>72</v>
      </c>
      <c r="H1526" t="s">
        <v>3457</v>
      </c>
      <c r="I1526">
        <v>35</v>
      </c>
      <c r="J1526">
        <v>723</v>
      </c>
      <c r="K1526" s="5">
        <v>46161.583907291657</v>
      </c>
      <c r="M1526" s="2" t="s">
        <v>3434</v>
      </c>
      <c r="N1526" s="2" t="s">
        <v>1701</v>
      </c>
      <c r="O1526" s="5">
        <v>45474.273444918981</v>
      </c>
      <c r="P1526" t="str">
        <f>IF($Q1526="DELETE",IF($S1526="CONFIRMED: NO MODS &gt; 1YR","CONFIRMED: NO MODS &gt; 1YR","DO NOT DELETE — not defensibly confirmed"),IF($Q1526="HOLD","DO NOT DELETE — HOLD (Charlie review)",IF($Q1526="KEEP","DO NOT DELETE — KEEP",IF(ISNUMBER(SEARCH("REVIEW",$Q1526)),"DO NOT DELETE — REVIEW pending",$S1526))))</f>
        <v>DO NOT DELETE — REVIEW pending</v>
      </c>
      <c r="Q1526" t="str" cm="1">
        <f t="array" ref="Q1526">_xlfn.IFS(AND($A1526="thg-beauty",ISNUMBER(SEARCH("liveramp",$C1526))),"DELETE",$A1526="agile-bonbon-662",_xlfn.IFS(LEFT($G1526,9)="Tranche 1","DELETE",$C1526="Sessions_Level_1_All_Sites","KEEP",ISNUMBER(--$C1526),"REVIEW — UA raw logs",$C1526="Emag_Reporting","KEEP",$C1526="Nutrition_Data_Archived_Tables","KEEP",$C1526="EU_Data","KEEP",TRUE,"REVIEW"),OR($A1526="thg-influencer",$A1526="thg-ingenuity",$A1526="thg-central-marketing",$A1526="thg-seoclarity"),"HOLD",TRUE,"")</f>
        <v>REVIEW — UA raw logs</v>
      </c>
      <c r="R1526" t="str" cm="1">
        <f t="array" ref="R1526">_xlfn.IFS(AND($A1526="thg-beauty",ISNUMBER(SEARCH("liveramp",$C1526))),"thg-beauty Liveramp dataset — confirmed safe to delete",$A1526="agile-bonbon-662",_xlfn.IFS(LEFT($G1526,9)="Tranche 1","Tranche 1: cleared",$C1526="Sessions_Level_1_All_Sites","Downstream aggregation of UA raw logs — keep if raw tables go",ISNUMBER(--$C1526),"UA raw site logs (account ID) — keep pending audit-retention check",$C1526="Emag_Reporting","Legacy but likely needed",$C1526="Nutrition_Data_Archived_Tables","Worth keeping",$C1526="EU_Data","Static lookup tables — scripts still reference (smoke-test risk)",TRUE,"Review"),OR($A1526="thg-influencer",$A1526="thg-ingenuity",$A1526="thg-central-marketing",$A1526="thg-seoclarity"),"HOLD — Charlie Stringer to review before deletion",TRUE,"")</f>
        <v>UA raw site logs (account ID) — keep pending audit-retention check</v>
      </c>
      <c r="S1526" t="s">
        <v>1631</v>
      </c>
    </row>
    <row r="1527" spans="1:19" ht="45.75" hidden="1">
      <c r="A1527" t="s">
        <v>89</v>
      </c>
      <c r="B1527" t="s">
        <v>1619</v>
      </c>
      <c r="C1527" t="s">
        <v>1112</v>
      </c>
      <c r="D1527" s="2" t="s">
        <v>1621</v>
      </c>
      <c r="E1527">
        <v>32.99</v>
      </c>
      <c r="F1527">
        <v>0.66</v>
      </c>
      <c r="G1527" t="s">
        <v>72</v>
      </c>
      <c r="H1527" t="s">
        <v>3457</v>
      </c>
      <c r="I1527">
        <v>35</v>
      </c>
      <c r="J1527">
        <v>839</v>
      </c>
      <c r="K1527" s="5">
        <v>46161.618011701386</v>
      </c>
      <c r="M1527" s="2" t="s">
        <v>1957</v>
      </c>
      <c r="N1527" s="2" t="s">
        <v>1701</v>
      </c>
      <c r="O1527" s="5">
        <v>45358.237647291673</v>
      </c>
      <c r="P1527" t="str">
        <f>IF($Q1527="DELETE",IF($S1527="CONFIRMED: NO MODS &gt; 1YR","CONFIRMED: NO MODS &gt; 1YR","DO NOT DELETE — not defensibly confirmed"),IF($Q1527="HOLD","DO NOT DELETE — HOLD (Charlie review)",IF($Q1527="KEEP","DO NOT DELETE — KEEP",IF(ISNUMBER(SEARCH("REVIEW",$Q1527)),"DO NOT DELETE — REVIEW pending",$S1527))))</f>
        <v>DO NOT DELETE — REVIEW pending</v>
      </c>
      <c r="Q1527" t="str" cm="1">
        <f t="array" ref="Q1527">_xlfn.IFS(AND($A1527="thg-beauty",ISNUMBER(SEARCH("liveramp",$C1527))),"DELETE",$A1527="agile-bonbon-662",_xlfn.IFS(LEFT($G1527,9)="Tranche 1","DELETE",$C1527="Sessions_Level_1_All_Sites","KEEP",ISNUMBER(--$C1527),"REVIEW — UA raw logs",$C1527="Emag_Reporting","KEEP",$C1527="Nutrition_Data_Archived_Tables","KEEP",$C1527="EU_Data","KEEP",TRUE,"REVIEW"),OR($A1527="thg-influencer",$A1527="thg-ingenuity",$A1527="thg-central-marketing",$A1527="thg-seoclarity"),"HOLD",TRUE,"")</f>
        <v>REVIEW</v>
      </c>
      <c r="R1527" t="str" cm="1">
        <f t="array" ref="R1527">_xlfn.IFS(AND($A1527="thg-beauty",ISNUMBER(SEARCH("liveramp",$C1527))),"thg-beauty Liveramp dataset — confirmed safe to delete",$A1527="agile-bonbon-662",_xlfn.IFS(LEFT($G1527,9)="Tranche 1","Tranche 1: cleared",$C1527="Sessions_Level_1_All_Sites","Downstream aggregation of UA raw logs — keep if raw tables go",ISNUMBER(--$C1527),"UA raw site logs (account ID) — keep pending audit-retention check",$C1527="Emag_Reporting","Legacy but likely needed",$C1527="Nutrition_Data_Archived_Tables","Worth keeping",$C1527="EU_Data","Static lookup tables — scripts still reference (smoke-test risk)",TRUE,"Review"),OR($A1527="thg-influencer",$A1527="thg-ingenuity",$A1527="thg-central-marketing",$A1527="thg-seoclarity"),"HOLD — Charlie Stringer to review before deletion",TRUE,"")</f>
        <v>Review</v>
      </c>
      <c r="S1527" t="s">
        <v>1631</v>
      </c>
    </row>
    <row r="1528" spans="1:19" ht="45.75" hidden="1">
      <c r="A1528" t="s">
        <v>89</v>
      </c>
      <c r="B1528" t="s">
        <v>1619</v>
      </c>
      <c r="C1528" t="s">
        <v>1121</v>
      </c>
      <c r="D1528" s="2" t="s">
        <v>1621</v>
      </c>
      <c r="E1528">
        <v>32.44</v>
      </c>
      <c r="F1528">
        <v>0.65</v>
      </c>
      <c r="G1528" t="s">
        <v>72</v>
      </c>
      <c r="H1528" t="s">
        <v>3457</v>
      </c>
      <c r="I1528">
        <v>35</v>
      </c>
      <c r="J1528">
        <v>720</v>
      </c>
      <c r="K1528" s="5">
        <v>46161.616830798608</v>
      </c>
      <c r="M1528" s="2" t="s">
        <v>1925</v>
      </c>
      <c r="N1528" s="2" t="s">
        <v>1701</v>
      </c>
      <c r="O1528" s="5">
        <v>45477.384667893522</v>
      </c>
      <c r="P1528" t="str">
        <f>IF($Q1528="DELETE",IF($S1528="CONFIRMED: NO MODS &gt; 1YR","CONFIRMED: NO MODS &gt; 1YR","DO NOT DELETE — not defensibly confirmed"),IF($Q1528="HOLD","DO NOT DELETE — HOLD (Charlie review)",IF($Q1528="KEEP","DO NOT DELETE — KEEP",IF(ISNUMBER(SEARCH("REVIEW",$Q1528)),"DO NOT DELETE — REVIEW pending",$S1528))))</f>
        <v>DO NOT DELETE — REVIEW pending</v>
      </c>
      <c r="Q1528" t="str" cm="1">
        <f t="array" ref="Q1528">_xlfn.IFS(AND($A1528="thg-beauty",ISNUMBER(SEARCH("liveramp",$C1528))),"DELETE",$A1528="agile-bonbon-662",_xlfn.IFS(LEFT($G1528,9)="Tranche 1","DELETE",$C1528="Sessions_Level_1_All_Sites","KEEP",ISNUMBER(--$C1528),"REVIEW — UA raw logs",$C1528="Emag_Reporting","KEEP",$C1528="Nutrition_Data_Archived_Tables","KEEP",$C1528="EU_Data","KEEP",TRUE,"REVIEW"),OR($A1528="thg-influencer",$A1528="thg-ingenuity",$A1528="thg-central-marketing",$A1528="thg-seoclarity"),"HOLD",TRUE,"")</f>
        <v>REVIEW</v>
      </c>
      <c r="R1528" t="str" cm="1">
        <f t="array" ref="R1528">_xlfn.IFS(AND($A1528="thg-beauty",ISNUMBER(SEARCH("liveramp",$C1528))),"thg-beauty Liveramp dataset — confirmed safe to delete",$A1528="agile-bonbon-662",_xlfn.IFS(LEFT($G1528,9)="Tranche 1","Tranche 1: cleared",$C1528="Sessions_Level_1_All_Sites","Downstream aggregation of UA raw logs — keep if raw tables go",ISNUMBER(--$C1528),"UA raw site logs (account ID) — keep pending audit-retention check",$C1528="Emag_Reporting","Legacy but likely needed",$C1528="Nutrition_Data_Archived_Tables","Worth keeping",$C1528="EU_Data","Static lookup tables — scripts still reference (smoke-test risk)",TRUE,"Review"),OR($A1528="thg-influencer",$A1528="thg-ingenuity",$A1528="thg-central-marketing",$A1528="thg-seoclarity"),"HOLD — Charlie Stringer to review before deletion",TRUE,"")</f>
        <v>Review</v>
      </c>
      <c r="S1528" t="s">
        <v>1631</v>
      </c>
    </row>
    <row r="1529" spans="1:19" ht="45.75" hidden="1">
      <c r="A1529" t="s">
        <v>89</v>
      </c>
      <c r="B1529" t="s">
        <v>1619</v>
      </c>
      <c r="C1529" t="s">
        <v>1116</v>
      </c>
      <c r="D1529" s="2" t="s">
        <v>1621</v>
      </c>
      <c r="E1529">
        <v>32.380000000000003</v>
      </c>
      <c r="F1529">
        <v>0.65</v>
      </c>
      <c r="G1529" t="s">
        <v>72</v>
      </c>
      <c r="H1529" t="s">
        <v>3457</v>
      </c>
      <c r="I1529">
        <v>35</v>
      </c>
      <c r="J1529">
        <v>1189</v>
      </c>
      <c r="K1529" s="5">
        <v>46161.617277256948</v>
      </c>
      <c r="M1529" s="2" t="s">
        <v>1947</v>
      </c>
      <c r="N1529" s="2" t="s">
        <v>1701</v>
      </c>
      <c r="O1529" s="5">
        <v>45007.728522604157</v>
      </c>
      <c r="P1529" t="str">
        <f>IF($Q1529="DELETE",IF($S1529="CONFIRMED: NO MODS &gt; 1YR","CONFIRMED: NO MODS &gt; 1YR","DO NOT DELETE — not defensibly confirmed"),IF($Q1529="HOLD","DO NOT DELETE — HOLD (Charlie review)",IF($Q1529="KEEP","DO NOT DELETE — KEEP",IF(ISNUMBER(SEARCH("REVIEW",$Q1529)),"DO NOT DELETE — REVIEW pending",$S1529))))</f>
        <v>DO NOT DELETE — REVIEW pending</v>
      </c>
      <c r="Q1529" t="str" cm="1">
        <f t="array" ref="Q1529">_xlfn.IFS(AND($A1529="thg-beauty",ISNUMBER(SEARCH("liveramp",$C1529))),"DELETE",$A1529="agile-bonbon-662",_xlfn.IFS(LEFT($G1529,9)="Tranche 1","DELETE",$C1529="Sessions_Level_1_All_Sites","KEEP",ISNUMBER(--$C1529),"REVIEW — UA raw logs",$C1529="Emag_Reporting","KEEP",$C1529="Nutrition_Data_Archived_Tables","KEEP",$C1529="EU_Data","KEEP",TRUE,"REVIEW"),OR($A1529="thg-influencer",$A1529="thg-ingenuity",$A1529="thg-central-marketing",$A1529="thg-seoclarity"),"HOLD",TRUE,"")</f>
        <v>REVIEW</v>
      </c>
      <c r="R1529" t="str" cm="1">
        <f t="array" ref="R1529">_xlfn.IFS(AND($A1529="thg-beauty",ISNUMBER(SEARCH("liveramp",$C1529))),"thg-beauty Liveramp dataset — confirmed safe to delete",$A1529="agile-bonbon-662",_xlfn.IFS(LEFT($G1529,9)="Tranche 1","Tranche 1: cleared",$C1529="Sessions_Level_1_All_Sites","Downstream aggregation of UA raw logs — keep if raw tables go",ISNUMBER(--$C1529),"UA raw site logs (account ID) — keep pending audit-retention check",$C1529="Emag_Reporting","Legacy but likely needed",$C1529="Nutrition_Data_Archived_Tables","Worth keeping",$C1529="EU_Data","Static lookup tables — scripts still reference (smoke-test risk)",TRUE,"Review"),OR($A1529="thg-influencer",$A1529="thg-ingenuity",$A1529="thg-central-marketing",$A1529="thg-seoclarity"),"HOLD — Charlie Stringer to review before deletion",TRUE,"")</f>
        <v>Review</v>
      </c>
      <c r="S1529" t="s">
        <v>1631</v>
      </c>
    </row>
    <row r="1530" spans="1:19" ht="45.75" hidden="1">
      <c r="A1530" t="s">
        <v>89</v>
      </c>
      <c r="B1530" t="s">
        <v>1619</v>
      </c>
      <c r="C1530" t="s">
        <v>1131</v>
      </c>
      <c r="D1530" s="2" t="s">
        <v>1621</v>
      </c>
      <c r="E1530">
        <v>30.99</v>
      </c>
      <c r="F1530">
        <v>0.62</v>
      </c>
      <c r="G1530" t="s">
        <v>72</v>
      </c>
      <c r="H1530" t="s">
        <v>3457</v>
      </c>
      <c r="I1530">
        <v>35</v>
      </c>
      <c r="J1530">
        <v>723</v>
      </c>
      <c r="K1530" s="5">
        <v>46161.592730335651</v>
      </c>
      <c r="M1530" s="2" t="s">
        <v>3405</v>
      </c>
      <c r="N1530" s="2" t="s">
        <v>1701</v>
      </c>
      <c r="O1530" s="5">
        <v>45474.279983182867</v>
      </c>
      <c r="P1530" t="str">
        <f>IF($Q1530="DELETE",IF($S1530="CONFIRMED: NO MODS &gt; 1YR","CONFIRMED: NO MODS &gt; 1YR","DO NOT DELETE — not defensibly confirmed"),IF($Q1530="HOLD","DO NOT DELETE — HOLD (Charlie review)",IF($Q1530="KEEP","DO NOT DELETE — KEEP",IF(ISNUMBER(SEARCH("REVIEW",$Q1530)),"DO NOT DELETE — REVIEW pending",$S1530))))</f>
        <v>DO NOT DELETE — REVIEW pending</v>
      </c>
      <c r="Q1530" t="str" cm="1">
        <f t="array" ref="Q1530">_xlfn.IFS(AND($A1530="thg-beauty",ISNUMBER(SEARCH("liveramp",$C1530))),"DELETE",$A1530="agile-bonbon-662",_xlfn.IFS(LEFT($G1530,9)="Tranche 1","DELETE",$C1530="Sessions_Level_1_All_Sites","KEEP",ISNUMBER(--$C1530),"REVIEW — UA raw logs",$C1530="Emag_Reporting","KEEP",$C1530="Nutrition_Data_Archived_Tables","KEEP",$C1530="EU_Data","KEEP",TRUE,"REVIEW"),OR($A1530="thg-influencer",$A1530="thg-ingenuity",$A1530="thg-central-marketing",$A1530="thg-seoclarity"),"HOLD",TRUE,"")</f>
        <v>REVIEW — UA raw logs</v>
      </c>
      <c r="R1530" t="str" cm="1">
        <f t="array" ref="R1530">_xlfn.IFS(AND($A1530="thg-beauty",ISNUMBER(SEARCH("liveramp",$C1530))),"thg-beauty Liveramp dataset — confirmed safe to delete",$A1530="agile-bonbon-662",_xlfn.IFS(LEFT($G1530,9)="Tranche 1","Tranche 1: cleared",$C1530="Sessions_Level_1_All_Sites","Downstream aggregation of UA raw logs — keep if raw tables go",ISNUMBER(--$C1530),"UA raw site logs (account ID) — keep pending audit-retention check",$C1530="Emag_Reporting","Legacy but likely needed",$C1530="Nutrition_Data_Archived_Tables","Worth keeping",$C1530="EU_Data","Static lookup tables — scripts still reference (smoke-test risk)",TRUE,"Review"),OR($A1530="thg-influencer",$A1530="thg-ingenuity",$A1530="thg-central-marketing",$A1530="thg-seoclarity"),"HOLD — Charlie Stringer to review before deletion",TRUE,"")</f>
        <v>UA raw site logs (account ID) — keep pending audit-retention check</v>
      </c>
      <c r="S1530" t="s">
        <v>1631</v>
      </c>
    </row>
    <row r="1531" spans="1:19" ht="45.75" hidden="1">
      <c r="A1531" t="s">
        <v>89</v>
      </c>
      <c r="B1531" t="s">
        <v>1619</v>
      </c>
      <c r="C1531" t="s">
        <v>1126</v>
      </c>
      <c r="D1531" s="2" t="s">
        <v>1621</v>
      </c>
      <c r="E1531">
        <v>30.89</v>
      </c>
      <c r="F1531">
        <v>0.62</v>
      </c>
      <c r="G1531" t="s">
        <v>72</v>
      </c>
      <c r="H1531" t="s">
        <v>3457</v>
      </c>
      <c r="I1531">
        <v>35</v>
      </c>
      <c r="J1531">
        <v>731</v>
      </c>
      <c r="K1531" s="5">
        <v>46161.597165451392</v>
      </c>
      <c r="M1531" s="2" t="s">
        <v>3411</v>
      </c>
      <c r="N1531" s="2" t="s">
        <v>1701</v>
      </c>
      <c r="O1531" s="5">
        <v>45466.203560810187</v>
      </c>
      <c r="P1531" t="str">
        <f>IF($Q1531="DELETE",IF($S1531="CONFIRMED: NO MODS &gt; 1YR","CONFIRMED: NO MODS &gt; 1YR","DO NOT DELETE — not defensibly confirmed"),IF($Q1531="HOLD","DO NOT DELETE — HOLD (Charlie review)",IF($Q1531="KEEP","DO NOT DELETE — KEEP",IF(ISNUMBER(SEARCH("REVIEW",$Q1531)),"DO NOT DELETE — REVIEW pending",$S1531))))</f>
        <v>DO NOT DELETE — REVIEW pending</v>
      </c>
      <c r="Q1531" t="str" cm="1">
        <f t="array" ref="Q1531">_xlfn.IFS(AND($A1531="thg-beauty",ISNUMBER(SEARCH("liveramp",$C1531))),"DELETE",$A1531="agile-bonbon-662",_xlfn.IFS(LEFT($G1531,9)="Tranche 1","DELETE",$C1531="Sessions_Level_1_All_Sites","KEEP",ISNUMBER(--$C1531),"REVIEW — UA raw logs",$C1531="Emag_Reporting","KEEP",$C1531="Nutrition_Data_Archived_Tables","KEEP",$C1531="EU_Data","KEEP",TRUE,"REVIEW"),OR($A1531="thg-influencer",$A1531="thg-ingenuity",$A1531="thg-central-marketing",$A1531="thg-seoclarity"),"HOLD",TRUE,"")</f>
        <v>REVIEW — UA raw logs</v>
      </c>
      <c r="R1531" t="str" cm="1">
        <f t="array" ref="R1531">_xlfn.IFS(AND($A1531="thg-beauty",ISNUMBER(SEARCH("liveramp",$C1531))),"thg-beauty Liveramp dataset — confirmed safe to delete",$A1531="agile-bonbon-662",_xlfn.IFS(LEFT($G1531,9)="Tranche 1","Tranche 1: cleared",$C1531="Sessions_Level_1_All_Sites","Downstream aggregation of UA raw logs — keep if raw tables go",ISNUMBER(--$C1531),"UA raw site logs (account ID) — keep pending audit-retention check",$C1531="Emag_Reporting","Legacy but likely needed",$C1531="Nutrition_Data_Archived_Tables","Worth keeping",$C1531="EU_Data","Static lookup tables — scripts still reference (smoke-test risk)",TRUE,"Review"),OR($A1531="thg-influencer",$A1531="thg-ingenuity",$A1531="thg-central-marketing",$A1531="thg-seoclarity"),"HOLD — Charlie Stringer to review before deletion",TRUE,"")</f>
        <v>UA raw site logs (account ID) — keep pending audit-retention check</v>
      </c>
      <c r="S1531" t="s">
        <v>1631</v>
      </c>
    </row>
    <row r="1532" spans="1:19" ht="45.75" hidden="1">
      <c r="A1532" t="s">
        <v>89</v>
      </c>
      <c r="B1532" t="s">
        <v>1619</v>
      </c>
      <c r="C1532" t="s">
        <v>1135</v>
      </c>
      <c r="D1532" s="2" t="s">
        <v>1621</v>
      </c>
      <c r="E1532">
        <v>30.78</v>
      </c>
      <c r="F1532">
        <v>0.62</v>
      </c>
      <c r="G1532" t="s">
        <v>72</v>
      </c>
      <c r="H1532" t="s">
        <v>3457</v>
      </c>
      <c r="I1532">
        <v>35</v>
      </c>
      <c r="J1532">
        <v>723</v>
      </c>
      <c r="K1532" s="5">
        <v>46161.583584733788</v>
      </c>
      <c r="M1532" s="2" t="s">
        <v>3434</v>
      </c>
      <c r="N1532" s="2" t="s">
        <v>1701</v>
      </c>
      <c r="O1532" s="5">
        <v>45474.27337091435</v>
      </c>
      <c r="P1532" t="str">
        <f>IF($Q1532="DELETE",IF($S1532="CONFIRMED: NO MODS &gt; 1YR","CONFIRMED: NO MODS &gt; 1YR","DO NOT DELETE — not defensibly confirmed"),IF($Q1532="HOLD","DO NOT DELETE — HOLD (Charlie review)",IF($Q1532="KEEP","DO NOT DELETE — KEEP",IF(ISNUMBER(SEARCH("REVIEW",$Q1532)),"DO NOT DELETE — REVIEW pending",$S1532))))</f>
        <v>DO NOT DELETE — REVIEW pending</v>
      </c>
      <c r="Q1532" t="str" cm="1">
        <f t="array" ref="Q1532">_xlfn.IFS(AND($A1532="thg-beauty",ISNUMBER(SEARCH("liveramp",$C1532))),"DELETE",$A1532="agile-bonbon-662",_xlfn.IFS(LEFT($G1532,9)="Tranche 1","DELETE",$C1532="Sessions_Level_1_All_Sites","KEEP",ISNUMBER(--$C1532),"REVIEW — UA raw logs",$C1532="Emag_Reporting","KEEP",$C1532="Nutrition_Data_Archived_Tables","KEEP",$C1532="EU_Data","KEEP",TRUE,"REVIEW"),OR($A1532="thg-influencer",$A1532="thg-ingenuity",$A1532="thg-central-marketing",$A1532="thg-seoclarity"),"HOLD",TRUE,"")</f>
        <v>REVIEW — UA raw logs</v>
      </c>
      <c r="R1532" t="str" cm="1">
        <f t="array" ref="R1532">_xlfn.IFS(AND($A1532="thg-beauty",ISNUMBER(SEARCH("liveramp",$C1532))),"thg-beauty Liveramp dataset — confirmed safe to delete",$A1532="agile-bonbon-662",_xlfn.IFS(LEFT($G1532,9)="Tranche 1","Tranche 1: cleared",$C1532="Sessions_Level_1_All_Sites","Downstream aggregation of UA raw logs — keep if raw tables go",ISNUMBER(--$C1532),"UA raw site logs (account ID) — keep pending audit-retention check",$C1532="Emag_Reporting","Legacy but likely needed",$C1532="Nutrition_Data_Archived_Tables","Worth keeping",$C1532="EU_Data","Static lookup tables — scripts still reference (smoke-test risk)",TRUE,"Review"),OR($A1532="thg-influencer",$A1532="thg-ingenuity",$A1532="thg-central-marketing",$A1532="thg-seoclarity"),"HOLD — Charlie Stringer to review before deletion",TRUE,"")</f>
        <v>UA raw site logs (account ID) — keep pending audit-retention check</v>
      </c>
      <c r="S1532" t="s">
        <v>1631</v>
      </c>
    </row>
    <row r="1533" spans="1:19" ht="45.75" hidden="1">
      <c r="A1533" t="s">
        <v>89</v>
      </c>
      <c r="B1533" t="s">
        <v>1619</v>
      </c>
      <c r="C1533" t="s">
        <v>1139</v>
      </c>
      <c r="D1533" s="2" t="s">
        <v>1621</v>
      </c>
      <c r="E1533">
        <v>30.65</v>
      </c>
      <c r="F1533">
        <v>0.61</v>
      </c>
      <c r="G1533" t="s">
        <v>72</v>
      </c>
      <c r="H1533" t="s">
        <v>3457</v>
      </c>
      <c r="I1533">
        <v>35</v>
      </c>
      <c r="J1533">
        <v>849</v>
      </c>
      <c r="K1533" s="5">
        <v>46161.615614756942</v>
      </c>
      <c r="M1533" s="2" t="s">
        <v>1928</v>
      </c>
      <c r="N1533" s="2" t="s">
        <v>1701</v>
      </c>
      <c r="O1533" s="5">
        <v>45348.243349999997</v>
      </c>
      <c r="P1533" t="str">
        <f>IF($Q1533="DELETE",IF($S1533="CONFIRMED: NO MODS &gt; 1YR","CONFIRMED: NO MODS &gt; 1YR","DO NOT DELETE — not defensibly confirmed"),IF($Q1533="HOLD","DO NOT DELETE — HOLD (Charlie review)",IF($Q1533="KEEP","DO NOT DELETE — KEEP",IF(ISNUMBER(SEARCH("REVIEW",$Q1533)),"DO NOT DELETE — REVIEW pending",$S1533))))</f>
        <v>DO NOT DELETE — REVIEW pending</v>
      </c>
      <c r="Q1533" t="str" cm="1">
        <f t="array" ref="Q1533">_xlfn.IFS(AND($A1533="thg-beauty",ISNUMBER(SEARCH("liveramp",$C1533))),"DELETE",$A1533="agile-bonbon-662",_xlfn.IFS(LEFT($G1533,9)="Tranche 1","DELETE",$C1533="Sessions_Level_1_All_Sites","KEEP",ISNUMBER(--$C1533),"REVIEW — UA raw logs",$C1533="Emag_Reporting","KEEP",$C1533="Nutrition_Data_Archived_Tables","KEEP",$C1533="EU_Data","KEEP",TRUE,"REVIEW"),OR($A1533="thg-influencer",$A1533="thg-ingenuity",$A1533="thg-central-marketing",$A1533="thg-seoclarity"),"HOLD",TRUE,"")</f>
        <v>REVIEW</v>
      </c>
      <c r="R1533" t="str" cm="1">
        <f t="array" ref="R1533">_xlfn.IFS(AND($A1533="thg-beauty",ISNUMBER(SEARCH("liveramp",$C1533))),"thg-beauty Liveramp dataset — confirmed safe to delete",$A1533="agile-bonbon-662",_xlfn.IFS(LEFT($G1533,9)="Tranche 1","Tranche 1: cleared",$C1533="Sessions_Level_1_All_Sites","Downstream aggregation of UA raw logs — keep if raw tables go",ISNUMBER(--$C1533),"UA raw site logs (account ID) — keep pending audit-retention check",$C1533="Emag_Reporting","Legacy but likely needed",$C1533="Nutrition_Data_Archived_Tables","Worth keeping",$C1533="EU_Data","Static lookup tables — scripts still reference (smoke-test risk)",TRUE,"Review"),OR($A1533="thg-influencer",$A1533="thg-ingenuity",$A1533="thg-central-marketing",$A1533="thg-seoclarity"),"HOLD — Charlie Stringer to review before deletion",TRUE,"")</f>
        <v>Review</v>
      </c>
      <c r="S1533" t="s">
        <v>1631</v>
      </c>
    </row>
    <row r="1534" spans="1:19" ht="45.75" hidden="1">
      <c r="A1534" t="s">
        <v>89</v>
      </c>
      <c r="B1534" t="s">
        <v>1619</v>
      </c>
      <c r="C1534" t="s">
        <v>1144</v>
      </c>
      <c r="D1534" s="2" t="s">
        <v>1621</v>
      </c>
      <c r="E1534">
        <v>29.78</v>
      </c>
      <c r="F1534">
        <v>0.6</v>
      </c>
      <c r="G1534" t="s">
        <v>72</v>
      </c>
      <c r="H1534" t="s">
        <v>3457</v>
      </c>
      <c r="I1534">
        <v>35</v>
      </c>
      <c r="J1534">
        <v>1887</v>
      </c>
      <c r="K1534" s="5">
        <v>46161.611392233797</v>
      </c>
      <c r="M1534" s="2" t="s">
        <v>3397</v>
      </c>
      <c r="N1534" s="2" t="s">
        <v>1701</v>
      </c>
      <c r="O1534" s="5">
        <v>44309.534668587963</v>
      </c>
      <c r="P1534" t="str">
        <f>IF($Q1534="DELETE",IF($S1534="CONFIRMED: NO MODS &gt; 1YR","CONFIRMED: NO MODS &gt; 1YR","DO NOT DELETE — not defensibly confirmed"),IF($Q1534="HOLD","DO NOT DELETE — HOLD (Charlie review)",IF($Q1534="KEEP","DO NOT DELETE — KEEP",IF(ISNUMBER(SEARCH("REVIEW",$Q1534)),"DO NOT DELETE — REVIEW pending",$S1534))))</f>
        <v>DO NOT DELETE — REVIEW pending</v>
      </c>
      <c r="Q1534" t="str" cm="1">
        <f t="array" ref="Q1534">_xlfn.IFS(AND($A1534="thg-beauty",ISNUMBER(SEARCH("liveramp",$C1534))),"DELETE",$A1534="agile-bonbon-662",_xlfn.IFS(LEFT($G1534,9)="Tranche 1","DELETE",$C1534="Sessions_Level_1_All_Sites","KEEP",ISNUMBER(--$C1534),"REVIEW — UA raw logs",$C1534="Emag_Reporting","KEEP",$C1534="Nutrition_Data_Archived_Tables","KEEP",$C1534="EU_Data","KEEP",TRUE,"REVIEW"),OR($A1534="thg-influencer",$A1534="thg-ingenuity",$A1534="thg-central-marketing",$A1534="thg-seoclarity"),"HOLD",TRUE,"")</f>
        <v>REVIEW</v>
      </c>
      <c r="R1534" t="str" cm="1">
        <f t="array" ref="R1534">_xlfn.IFS(AND($A1534="thg-beauty",ISNUMBER(SEARCH("liveramp",$C1534))),"thg-beauty Liveramp dataset — confirmed safe to delete",$A1534="agile-bonbon-662",_xlfn.IFS(LEFT($G1534,9)="Tranche 1","Tranche 1: cleared",$C1534="Sessions_Level_1_All_Sites","Downstream aggregation of UA raw logs — keep if raw tables go",ISNUMBER(--$C1534),"UA raw site logs (account ID) — keep pending audit-retention check",$C1534="Emag_Reporting","Legacy but likely needed",$C1534="Nutrition_Data_Archived_Tables","Worth keeping",$C1534="EU_Data","Static lookup tables — scripts still reference (smoke-test risk)",TRUE,"Review"),OR($A1534="thg-influencer",$A1534="thg-ingenuity",$A1534="thg-central-marketing",$A1534="thg-seoclarity"),"HOLD — Charlie Stringer to review before deletion",TRUE,"")</f>
        <v>Review</v>
      </c>
      <c r="S1534" t="s">
        <v>1631</v>
      </c>
    </row>
    <row r="1535" spans="1:19" ht="45.75" hidden="1">
      <c r="A1535" t="s">
        <v>89</v>
      </c>
      <c r="B1535" t="s">
        <v>1619</v>
      </c>
      <c r="C1535" t="s">
        <v>1149</v>
      </c>
      <c r="D1535" s="2" t="s">
        <v>1621</v>
      </c>
      <c r="E1535">
        <v>29.38</v>
      </c>
      <c r="F1535">
        <v>0.59</v>
      </c>
      <c r="G1535" t="s">
        <v>72</v>
      </c>
      <c r="H1535" t="s">
        <v>3457</v>
      </c>
      <c r="I1535">
        <v>35</v>
      </c>
      <c r="J1535">
        <v>407</v>
      </c>
      <c r="K1535" s="5">
        <v>46161.617757939814</v>
      </c>
      <c r="M1535" s="2" t="s">
        <v>1957</v>
      </c>
      <c r="N1535" s="2" t="s">
        <v>1701</v>
      </c>
      <c r="O1535" s="5">
        <v>45790.39780392361</v>
      </c>
      <c r="P1535" t="str">
        <f>IF($Q1535="DELETE",IF($S1535="CONFIRMED: NO MODS &gt; 1YR","CONFIRMED: NO MODS &gt; 1YR","DO NOT DELETE — not defensibly confirmed"),IF($Q1535="HOLD","DO NOT DELETE — HOLD (Charlie review)",IF($Q1535="KEEP","DO NOT DELETE — KEEP",IF(ISNUMBER(SEARCH("REVIEW",$Q1535)),"DO NOT DELETE — REVIEW pending",$S1535))))</f>
        <v>DO NOT DELETE — REVIEW pending</v>
      </c>
      <c r="Q1535" t="str" cm="1">
        <f t="array" ref="Q1535">_xlfn.IFS(AND($A1535="thg-beauty",ISNUMBER(SEARCH("liveramp",$C1535))),"DELETE",$A1535="agile-bonbon-662",_xlfn.IFS(LEFT($G1535,9)="Tranche 1","DELETE",$C1535="Sessions_Level_1_All_Sites","KEEP",ISNUMBER(--$C1535),"REVIEW — UA raw logs",$C1535="Emag_Reporting","KEEP",$C1535="Nutrition_Data_Archived_Tables","KEEP",$C1535="EU_Data","KEEP",TRUE,"REVIEW"),OR($A1535="thg-influencer",$A1535="thg-ingenuity",$A1535="thg-central-marketing",$A1535="thg-seoclarity"),"HOLD",TRUE,"")</f>
        <v>REVIEW</v>
      </c>
      <c r="R1535" t="str" cm="1">
        <f t="array" ref="R1535">_xlfn.IFS(AND($A1535="thg-beauty",ISNUMBER(SEARCH("liveramp",$C1535))),"thg-beauty Liveramp dataset — confirmed safe to delete",$A1535="agile-bonbon-662",_xlfn.IFS(LEFT($G1535,9)="Tranche 1","Tranche 1: cleared",$C1535="Sessions_Level_1_All_Sites","Downstream aggregation of UA raw logs — keep if raw tables go",ISNUMBER(--$C1535),"UA raw site logs (account ID) — keep pending audit-retention check",$C1535="Emag_Reporting","Legacy but likely needed",$C1535="Nutrition_Data_Archived_Tables","Worth keeping",$C1535="EU_Data","Static lookup tables — scripts still reference (smoke-test risk)",TRUE,"Review"),OR($A1535="thg-influencer",$A1535="thg-ingenuity",$A1535="thg-central-marketing",$A1535="thg-seoclarity"),"HOLD — Charlie Stringer to review before deletion",TRUE,"")</f>
        <v>Review</v>
      </c>
      <c r="S1535" t="s">
        <v>1631</v>
      </c>
    </row>
    <row r="1536" spans="1:19" ht="45.75" hidden="1">
      <c r="A1536" t="s">
        <v>89</v>
      </c>
      <c r="B1536" t="s">
        <v>1619</v>
      </c>
      <c r="C1536" t="s">
        <v>1154</v>
      </c>
      <c r="D1536" s="2" t="s">
        <v>1621</v>
      </c>
      <c r="E1536">
        <v>29.37</v>
      </c>
      <c r="F1536">
        <v>0.59</v>
      </c>
      <c r="G1536" t="s">
        <v>72</v>
      </c>
      <c r="H1536" t="s">
        <v>3457</v>
      </c>
      <c r="I1536">
        <v>35</v>
      </c>
      <c r="J1536">
        <v>1966</v>
      </c>
      <c r="K1536" s="5">
        <v>46161.621760104157</v>
      </c>
      <c r="M1536" s="2" t="s">
        <v>3359</v>
      </c>
      <c r="N1536" s="2" t="s">
        <v>1701</v>
      </c>
      <c r="O1536" s="5">
        <v>44230.922918136574</v>
      </c>
      <c r="P1536" t="str">
        <f>IF($Q1536="DELETE",IF($S1536="CONFIRMED: NO MODS &gt; 1YR","CONFIRMED: NO MODS &gt; 1YR","DO NOT DELETE — not defensibly confirmed"),IF($Q1536="HOLD","DO NOT DELETE — HOLD (Charlie review)",IF($Q1536="KEEP","DO NOT DELETE — KEEP",IF(ISNUMBER(SEARCH("REVIEW",$Q1536)),"DO NOT DELETE — REVIEW pending",$S1536))))</f>
        <v>DO NOT DELETE — REVIEW pending</v>
      </c>
      <c r="Q1536" t="str" cm="1">
        <f t="array" ref="Q1536">_xlfn.IFS(AND($A1536="thg-beauty",ISNUMBER(SEARCH("liveramp",$C1536))),"DELETE",$A1536="agile-bonbon-662",_xlfn.IFS(LEFT($G1536,9)="Tranche 1","DELETE",$C1536="Sessions_Level_1_All_Sites","KEEP",ISNUMBER(--$C1536),"REVIEW — UA raw logs",$C1536="Emag_Reporting","KEEP",$C1536="Nutrition_Data_Archived_Tables","KEEP",$C1536="EU_Data","KEEP",TRUE,"REVIEW"),OR($A1536="thg-influencer",$A1536="thg-ingenuity",$A1536="thg-central-marketing",$A1536="thg-seoclarity"),"HOLD",TRUE,"")</f>
        <v>REVIEW</v>
      </c>
      <c r="R1536" t="str" cm="1">
        <f t="array" ref="R1536">_xlfn.IFS(AND($A1536="thg-beauty",ISNUMBER(SEARCH("liveramp",$C1536))),"thg-beauty Liveramp dataset — confirmed safe to delete",$A1536="agile-bonbon-662",_xlfn.IFS(LEFT($G1536,9)="Tranche 1","Tranche 1: cleared",$C1536="Sessions_Level_1_All_Sites","Downstream aggregation of UA raw logs — keep if raw tables go",ISNUMBER(--$C1536),"UA raw site logs (account ID) — keep pending audit-retention check",$C1536="Emag_Reporting","Legacy but likely needed",$C1536="Nutrition_Data_Archived_Tables","Worth keeping",$C1536="EU_Data","Static lookup tables — scripts still reference (smoke-test risk)",TRUE,"Review"),OR($A1536="thg-influencer",$A1536="thg-ingenuity",$A1536="thg-central-marketing",$A1536="thg-seoclarity"),"HOLD — Charlie Stringer to review before deletion",TRUE,"")</f>
        <v>Review</v>
      </c>
      <c r="S1536" t="s">
        <v>1631</v>
      </c>
    </row>
    <row r="1537" spans="1:19" ht="45.75" hidden="1">
      <c r="A1537" t="s">
        <v>89</v>
      </c>
      <c r="B1537" t="s">
        <v>1619</v>
      </c>
      <c r="C1537" t="s">
        <v>1172</v>
      </c>
      <c r="D1537" s="2" t="s">
        <v>1621</v>
      </c>
      <c r="E1537">
        <v>28.74</v>
      </c>
      <c r="F1537">
        <v>0.56999999999999995</v>
      </c>
      <c r="G1537" t="s">
        <v>72</v>
      </c>
      <c r="H1537" t="s">
        <v>3457</v>
      </c>
      <c r="I1537">
        <v>35</v>
      </c>
      <c r="J1537">
        <v>939</v>
      </c>
      <c r="K1537" s="5">
        <v>46161.616672974538</v>
      </c>
      <c r="M1537" s="2" t="s">
        <v>1925</v>
      </c>
      <c r="N1537" s="2" t="s">
        <v>1701</v>
      </c>
      <c r="O1537" s="5">
        <v>45258.316179074071</v>
      </c>
      <c r="P1537" t="str">
        <f>IF($Q1537="DELETE",IF($S1537="CONFIRMED: NO MODS &gt; 1YR","CONFIRMED: NO MODS &gt; 1YR","DO NOT DELETE — not defensibly confirmed"),IF($Q1537="HOLD","DO NOT DELETE — HOLD (Charlie review)",IF($Q1537="KEEP","DO NOT DELETE — KEEP",IF(ISNUMBER(SEARCH("REVIEW",$Q1537)),"DO NOT DELETE — REVIEW pending",$S1537))))</f>
        <v>DO NOT DELETE — REVIEW pending</v>
      </c>
      <c r="Q1537" t="str" cm="1">
        <f t="array" ref="Q1537">_xlfn.IFS(AND($A1537="thg-beauty",ISNUMBER(SEARCH("liveramp",$C1537))),"DELETE",$A1537="agile-bonbon-662",_xlfn.IFS(LEFT($G1537,9)="Tranche 1","DELETE",$C1537="Sessions_Level_1_All_Sites","KEEP",ISNUMBER(--$C1537),"REVIEW — UA raw logs",$C1537="Emag_Reporting","KEEP",$C1537="Nutrition_Data_Archived_Tables","KEEP",$C1537="EU_Data","KEEP",TRUE,"REVIEW"),OR($A1537="thg-influencer",$A1537="thg-ingenuity",$A1537="thg-central-marketing",$A1537="thg-seoclarity"),"HOLD",TRUE,"")</f>
        <v>REVIEW</v>
      </c>
      <c r="R1537" t="str" cm="1">
        <f t="array" ref="R1537">_xlfn.IFS(AND($A1537="thg-beauty",ISNUMBER(SEARCH("liveramp",$C1537))),"thg-beauty Liveramp dataset — confirmed safe to delete",$A1537="agile-bonbon-662",_xlfn.IFS(LEFT($G1537,9)="Tranche 1","Tranche 1: cleared",$C1537="Sessions_Level_1_All_Sites","Downstream aggregation of UA raw logs — keep if raw tables go",ISNUMBER(--$C1537),"UA raw site logs (account ID) — keep pending audit-retention check",$C1537="Emag_Reporting","Legacy but likely needed",$C1537="Nutrition_Data_Archived_Tables","Worth keeping",$C1537="EU_Data","Static lookup tables — scripts still reference (smoke-test risk)",TRUE,"Review"),OR($A1537="thg-influencer",$A1537="thg-ingenuity",$A1537="thg-central-marketing",$A1537="thg-seoclarity"),"HOLD — Charlie Stringer to review before deletion",TRUE,"")</f>
        <v>Review</v>
      </c>
      <c r="S1537" t="s">
        <v>1631</v>
      </c>
    </row>
    <row r="1538" spans="1:19" ht="45.75" hidden="1">
      <c r="A1538" t="s">
        <v>89</v>
      </c>
      <c r="B1538" t="s">
        <v>1619</v>
      </c>
      <c r="C1538" t="s">
        <v>1163</v>
      </c>
      <c r="D1538" s="2" t="s">
        <v>1621</v>
      </c>
      <c r="E1538">
        <v>28.59</v>
      </c>
      <c r="F1538">
        <v>0.56999999999999995</v>
      </c>
      <c r="G1538" t="s">
        <v>72</v>
      </c>
      <c r="H1538" t="s">
        <v>3457</v>
      </c>
      <c r="I1538">
        <v>35</v>
      </c>
      <c r="J1538">
        <v>1966</v>
      </c>
      <c r="K1538" s="5">
        <v>46161.621733229164</v>
      </c>
      <c r="M1538" s="2" t="s">
        <v>3359</v>
      </c>
      <c r="N1538" s="2" t="s">
        <v>1701</v>
      </c>
      <c r="O1538" s="5">
        <v>44230.887773726849</v>
      </c>
      <c r="P1538" t="str">
        <f>IF($Q1538="DELETE",IF($S1538="CONFIRMED: NO MODS &gt; 1YR","CONFIRMED: NO MODS &gt; 1YR","DO NOT DELETE — not defensibly confirmed"),IF($Q1538="HOLD","DO NOT DELETE — HOLD (Charlie review)",IF($Q1538="KEEP","DO NOT DELETE — KEEP",IF(ISNUMBER(SEARCH("REVIEW",$Q1538)),"DO NOT DELETE — REVIEW pending",$S1538))))</f>
        <v>DO NOT DELETE — REVIEW pending</v>
      </c>
      <c r="Q1538" t="str" cm="1">
        <f t="array" ref="Q1538">_xlfn.IFS(AND($A1538="thg-beauty",ISNUMBER(SEARCH("liveramp",$C1538))),"DELETE",$A1538="agile-bonbon-662",_xlfn.IFS(LEFT($G1538,9)="Tranche 1","DELETE",$C1538="Sessions_Level_1_All_Sites","KEEP",ISNUMBER(--$C1538),"REVIEW — UA raw logs",$C1538="Emag_Reporting","KEEP",$C1538="Nutrition_Data_Archived_Tables","KEEP",$C1538="EU_Data","KEEP",TRUE,"REVIEW"),OR($A1538="thg-influencer",$A1538="thg-ingenuity",$A1538="thg-central-marketing",$A1538="thg-seoclarity"),"HOLD",TRUE,"")</f>
        <v>REVIEW</v>
      </c>
      <c r="R1538" t="str" cm="1">
        <f t="array" ref="R1538">_xlfn.IFS(AND($A1538="thg-beauty",ISNUMBER(SEARCH("liveramp",$C1538))),"thg-beauty Liveramp dataset — confirmed safe to delete",$A1538="agile-bonbon-662",_xlfn.IFS(LEFT($G1538,9)="Tranche 1","Tranche 1: cleared",$C1538="Sessions_Level_1_All_Sites","Downstream aggregation of UA raw logs — keep if raw tables go",ISNUMBER(--$C1538),"UA raw site logs (account ID) — keep pending audit-retention check",$C1538="Emag_Reporting","Legacy but likely needed",$C1538="Nutrition_Data_Archived_Tables","Worth keeping",$C1538="EU_Data","Static lookup tables — scripts still reference (smoke-test risk)",TRUE,"Review"),OR($A1538="thg-influencer",$A1538="thg-ingenuity",$A1538="thg-central-marketing",$A1538="thg-seoclarity"),"HOLD — Charlie Stringer to review before deletion",TRUE,"")</f>
        <v>Review</v>
      </c>
      <c r="S1538" t="s">
        <v>1624</v>
      </c>
    </row>
    <row r="1539" spans="1:19" ht="60.75" hidden="1">
      <c r="A1539" t="s">
        <v>89</v>
      </c>
      <c r="B1539" t="s">
        <v>1619</v>
      </c>
      <c r="C1539" t="s">
        <v>1158</v>
      </c>
      <c r="D1539" s="2" t="s">
        <v>1621</v>
      </c>
      <c r="E1539">
        <v>28.57</v>
      </c>
      <c r="F1539">
        <v>0.56999999999999995</v>
      </c>
      <c r="G1539" t="s">
        <v>72</v>
      </c>
      <c r="H1539" t="s">
        <v>3457</v>
      </c>
      <c r="I1539">
        <v>35</v>
      </c>
      <c r="J1539">
        <v>887</v>
      </c>
      <c r="K1539" s="5">
        <v>46161.581526898153</v>
      </c>
      <c r="M1539" s="2" t="s">
        <v>2032</v>
      </c>
      <c r="N1539" s="2" t="s">
        <v>1701</v>
      </c>
      <c r="O1539" s="5">
        <v>45310.3950084838</v>
      </c>
      <c r="P1539" t="str">
        <f>IF($Q1539="DELETE",IF($S1539="CONFIRMED: NO MODS &gt; 1YR","CONFIRMED: NO MODS &gt; 1YR","DO NOT DELETE — not defensibly confirmed"),IF($Q1539="HOLD","DO NOT DELETE — HOLD (Charlie review)",IF($Q1539="KEEP","DO NOT DELETE — KEEP",IF(ISNUMBER(SEARCH("REVIEW",$Q1539)),"DO NOT DELETE — REVIEW pending",$S1539))))</f>
        <v>DO NOT DELETE — REVIEW pending</v>
      </c>
      <c r="Q1539" t="str" cm="1">
        <f t="array" ref="Q1539">_xlfn.IFS(AND($A1539="thg-beauty",ISNUMBER(SEARCH("liveramp",$C1539))),"DELETE",$A1539="agile-bonbon-662",_xlfn.IFS(LEFT($G1539,9)="Tranche 1","DELETE",$C1539="Sessions_Level_1_All_Sites","KEEP",ISNUMBER(--$C1539),"REVIEW — UA raw logs",$C1539="Emag_Reporting","KEEP",$C1539="Nutrition_Data_Archived_Tables","KEEP",$C1539="EU_Data","KEEP",TRUE,"REVIEW"),OR($A1539="thg-influencer",$A1539="thg-ingenuity",$A1539="thg-central-marketing",$A1539="thg-seoclarity"),"HOLD",TRUE,"")</f>
        <v>REVIEW</v>
      </c>
      <c r="R1539" t="str" cm="1">
        <f t="array" ref="R1539">_xlfn.IFS(AND($A1539="thg-beauty",ISNUMBER(SEARCH("liveramp",$C1539))),"thg-beauty Liveramp dataset — confirmed safe to delete",$A1539="agile-bonbon-662",_xlfn.IFS(LEFT($G1539,9)="Tranche 1","Tranche 1: cleared",$C1539="Sessions_Level_1_All_Sites","Downstream aggregation of UA raw logs — keep if raw tables go",ISNUMBER(--$C1539),"UA raw site logs (account ID) — keep pending audit-retention check",$C1539="Emag_Reporting","Legacy but likely needed",$C1539="Nutrition_Data_Archived_Tables","Worth keeping",$C1539="EU_Data","Static lookup tables — scripts still reference (smoke-test risk)",TRUE,"Review"),OR($A1539="thg-influencer",$A1539="thg-ingenuity",$A1539="thg-central-marketing",$A1539="thg-seoclarity"),"HOLD — Charlie Stringer to review before deletion",TRUE,"")</f>
        <v>Review</v>
      </c>
      <c r="S1539" t="s">
        <v>1631</v>
      </c>
    </row>
    <row r="1540" spans="1:19" ht="45.75" hidden="1">
      <c r="A1540" t="s">
        <v>89</v>
      </c>
      <c r="B1540" t="s">
        <v>1619</v>
      </c>
      <c r="C1540" t="s">
        <v>1167</v>
      </c>
      <c r="D1540" s="2" t="s">
        <v>1621</v>
      </c>
      <c r="E1540">
        <v>28.38</v>
      </c>
      <c r="F1540">
        <v>0.56999999999999995</v>
      </c>
      <c r="G1540" t="s">
        <v>72</v>
      </c>
      <c r="H1540" t="s">
        <v>3457</v>
      </c>
      <c r="I1540">
        <v>35</v>
      </c>
      <c r="J1540">
        <v>919</v>
      </c>
      <c r="K1540" s="5">
        <v>46161.61628357639</v>
      </c>
      <c r="M1540" s="2" t="s">
        <v>1984</v>
      </c>
      <c r="N1540" s="2" t="s">
        <v>1701</v>
      </c>
      <c r="O1540" s="5">
        <v>45277.458808252311</v>
      </c>
      <c r="P1540" t="str">
        <f>IF($Q1540="DELETE",IF($S1540="CONFIRMED: NO MODS &gt; 1YR","CONFIRMED: NO MODS &gt; 1YR","DO NOT DELETE — not defensibly confirmed"),IF($Q1540="HOLD","DO NOT DELETE — HOLD (Charlie review)",IF($Q1540="KEEP","DO NOT DELETE — KEEP",IF(ISNUMBER(SEARCH("REVIEW",$Q1540)),"DO NOT DELETE — REVIEW pending",$S1540))))</f>
        <v>DO NOT DELETE — REVIEW pending</v>
      </c>
      <c r="Q1540" t="str" cm="1">
        <f t="array" ref="Q1540">_xlfn.IFS(AND($A1540="thg-beauty",ISNUMBER(SEARCH("liveramp",$C1540))),"DELETE",$A1540="agile-bonbon-662",_xlfn.IFS(LEFT($G1540,9)="Tranche 1","DELETE",$C1540="Sessions_Level_1_All_Sites","KEEP",ISNUMBER(--$C1540),"REVIEW — UA raw logs",$C1540="Emag_Reporting","KEEP",$C1540="Nutrition_Data_Archived_Tables","KEEP",$C1540="EU_Data","KEEP",TRUE,"REVIEW"),OR($A1540="thg-influencer",$A1540="thg-ingenuity",$A1540="thg-central-marketing",$A1540="thg-seoclarity"),"HOLD",TRUE,"")</f>
        <v>REVIEW</v>
      </c>
      <c r="R1540" t="str" cm="1">
        <f t="array" ref="R1540">_xlfn.IFS(AND($A1540="thg-beauty",ISNUMBER(SEARCH("liveramp",$C1540))),"thg-beauty Liveramp dataset — confirmed safe to delete",$A1540="agile-bonbon-662",_xlfn.IFS(LEFT($G1540,9)="Tranche 1","Tranche 1: cleared",$C1540="Sessions_Level_1_All_Sites","Downstream aggregation of UA raw logs — keep if raw tables go",ISNUMBER(--$C1540),"UA raw site logs (account ID) — keep pending audit-retention check",$C1540="Emag_Reporting","Legacy but likely needed",$C1540="Nutrition_Data_Archived_Tables","Worth keeping",$C1540="EU_Data","Static lookup tables — scripts still reference (smoke-test risk)",TRUE,"Review"),OR($A1540="thg-influencer",$A1540="thg-ingenuity",$A1540="thg-central-marketing",$A1540="thg-seoclarity"),"HOLD — Charlie Stringer to review before deletion",TRUE,"")</f>
        <v>Review</v>
      </c>
      <c r="S1540" t="s">
        <v>1624</v>
      </c>
    </row>
    <row r="1541" spans="1:19" ht="45.75" hidden="1">
      <c r="A1541" t="s">
        <v>89</v>
      </c>
      <c r="B1541" t="s">
        <v>1619</v>
      </c>
      <c r="C1541" t="s">
        <v>1182</v>
      </c>
      <c r="D1541" s="2" t="s">
        <v>1621</v>
      </c>
      <c r="E1541">
        <v>28</v>
      </c>
      <c r="F1541">
        <v>0.56000000000000005</v>
      </c>
      <c r="G1541" t="s">
        <v>72</v>
      </c>
      <c r="H1541" t="s">
        <v>3457</v>
      </c>
      <c r="I1541">
        <v>35</v>
      </c>
      <c r="J1541">
        <v>1192</v>
      </c>
      <c r="K1541" s="5">
        <v>46161.611732812496</v>
      </c>
      <c r="M1541" s="2" t="s">
        <v>3898</v>
      </c>
      <c r="N1541" s="2" t="s">
        <v>1701</v>
      </c>
      <c r="O1541" s="5">
        <v>45005.282209317127</v>
      </c>
      <c r="P1541" t="str">
        <f>IF($Q1541="DELETE",IF($S1541="CONFIRMED: NO MODS &gt; 1YR","CONFIRMED: NO MODS &gt; 1YR","DO NOT DELETE — not defensibly confirmed"),IF($Q1541="HOLD","DO NOT DELETE — HOLD (Charlie review)",IF($Q1541="KEEP","DO NOT DELETE — KEEP",IF(ISNUMBER(SEARCH("REVIEW",$Q1541)),"DO NOT DELETE — REVIEW pending",$S1541))))</f>
        <v>DO NOT DELETE — REVIEW pending</v>
      </c>
      <c r="Q1541" t="str" cm="1">
        <f t="array" ref="Q1541">_xlfn.IFS(AND($A1541="thg-beauty",ISNUMBER(SEARCH("liveramp",$C1541))),"DELETE",$A1541="agile-bonbon-662",_xlfn.IFS(LEFT($G1541,9)="Tranche 1","DELETE",$C1541="Sessions_Level_1_All_Sites","KEEP",ISNUMBER(--$C1541),"REVIEW — UA raw logs",$C1541="Emag_Reporting","KEEP",$C1541="Nutrition_Data_Archived_Tables","KEEP",$C1541="EU_Data","KEEP",TRUE,"REVIEW"),OR($A1541="thg-influencer",$A1541="thg-ingenuity",$A1541="thg-central-marketing",$A1541="thg-seoclarity"),"HOLD",TRUE,"")</f>
        <v>REVIEW</v>
      </c>
      <c r="R1541" t="str" cm="1">
        <f t="array" ref="R1541">_xlfn.IFS(AND($A1541="thg-beauty",ISNUMBER(SEARCH("liveramp",$C1541))),"thg-beauty Liveramp dataset — confirmed safe to delete",$A1541="agile-bonbon-662",_xlfn.IFS(LEFT($G1541,9)="Tranche 1","Tranche 1: cleared",$C1541="Sessions_Level_1_All_Sites","Downstream aggregation of UA raw logs — keep if raw tables go",ISNUMBER(--$C1541),"UA raw site logs (account ID) — keep pending audit-retention check",$C1541="Emag_Reporting","Legacy but likely needed",$C1541="Nutrition_Data_Archived_Tables","Worth keeping",$C1541="EU_Data","Static lookup tables — scripts still reference (smoke-test risk)",TRUE,"Review"),OR($A1541="thg-influencer",$A1541="thg-ingenuity",$A1541="thg-central-marketing",$A1541="thg-seoclarity"),"HOLD — Charlie Stringer to review before deletion",TRUE,"")</f>
        <v>Review</v>
      </c>
      <c r="S1541" t="s">
        <v>1631</v>
      </c>
    </row>
    <row r="1542" spans="1:19" ht="45.75" hidden="1">
      <c r="A1542" t="s">
        <v>89</v>
      </c>
      <c r="B1542" t="s">
        <v>1619</v>
      </c>
      <c r="C1542" t="s">
        <v>1177</v>
      </c>
      <c r="D1542" s="2" t="s">
        <v>1621</v>
      </c>
      <c r="E1542">
        <v>27.95</v>
      </c>
      <c r="F1542">
        <v>0.56000000000000005</v>
      </c>
      <c r="G1542" t="s">
        <v>72</v>
      </c>
      <c r="H1542" t="s">
        <v>3457</v>
      </c>
      <c r="I1542">
        <v>35</v>
      </c>
      <c r="J1542">
        <v>927</v>
      </c>
      <c r="K1542" s="5">
        <v>46161.620592210653</v>
      </c>
      <c r="M1542" s="2" t="s">
        <v>1943</v>
      </c>
      <c r="N1542" s="2" t="s">
        <v>1701</v>
      </c>
      <c r="O1542" s="5">
        <v>45269.490374791669</v>
      </c>
      <c r="P1542" t="str">
        <f>IF($Q1542="DELETE",IF($S1542="CONFIRMED: NO MODS &gt; 1YR","CONFIRMED: NO MODS &gt; 1YR","DO NOT DELETE — not defensibly confirmed"),IF($Q1542="HOLD","DO NOT DELETE — HOLD (Charlie review)",IF($Q1542="KEEP","DO NOT DELETE — KEEP",IF(ISNUMBER(SEARCH("REVIEW",$Q1542)),"DO NOT DELETE — REVIEW pending",$S1542))))</f>
        <v>DO NOT DELETE — REVIEW pending</v>
      </c>
      <c r="Q1542" t="str" cm="1">
        <f t="array" ref="Q1542">_xlfn.IFS(AND($A1542="thg-beauty",ISNUMBER(SEARCH("liveramp",$C1542))),"DELETE",$A1542="agile-bonbon-662",_xlfn.IFS(LEFT($G1542,9)="Tranche 1","DELETE",$C1542="Sessions_Level_1_All_Sites","KEEP",ISNUMBER(--$C1542),"REVIEW — UA raw logs",$C1542="Emag_Reporting","KEEP",$C1542="Nutrition_Data_Archived_Tables","KEEP",$C1542="EU_Data","KEEP",TRUE,"REVIEW"),OR($A1542="thg-influencer",$A1542="thg-ingenuity",$A1542="thg-central-marketing",$A1542="thg-seoclarity"),"HOLD",TRUE,"")</f>
        <v>REVIEW</v>
      </c>
      <c r="R1542" t="str" cm="1">
        <f t="array" ref="R1542">_xlfn.IFS(AND($A1542="thg-beauty",ISNUMBER(SEARCH("liveramp",$C1542))),"thg-beauty Liveramp dataset — confirmed safe to delete",$A1542="agile-bonbon-662",_xlfn.IFS(LEFT($G1542,9)="Tranche 1","Tranche 1: cleared",$C1542="Sessions_Level_1_All_Sites","Downstream aggregation of UA raw logs — keep if raw tables go",ISNUMBER(--$C1542),"UA raw site logs (account ID) — keep pending audit-retention check",$C1542="Emag_Reporting","Legacy but likely needed",$C1542="Nutrition_Data_Archived_Tables","Worth keeping",$C1542="EU_Data","Static lookup tables — scripts still reference (smoke-test risk)",TRUE,"Review"),OR($A1542="thg-influencer",$A1542="thg-ingenuity",$A1542="thg-central-marketing",$A1542="thg-seoclarity"),"HOLD — Charlie Stringer to review before deletion",TRUE,"")</f>
        <v>Review</v>
      </c>
      <c r="S1542" t="s">
        <v>1631</v>
      </c>
    </row>
    <row r="1543" spans="1:19" ht="45.75" hidden="1">
      <c r="A1543" t="s">
        <v>89</v>
      </c>
      <c r="B1543" t="s">
        <v>1619</v>
      </c>
      <c r="C1543" t="s">
        <v>1192</v>
      </c>
      <c r="D1543" s="2" t="s">
        <v>1621</v>
      </c>
      <c r="E1543">
        <v>27.2</v>
      </c>
      <c r="F1543">
        <v>0.54</v>
      </c>
      <c r="G1543" t="s">
        <v>72</v>
      </c>
      <c r="H1543" t="s">
        <v>3457</v>
      </c>
      <c r="I1543">
        <v>35</v>
      </c>
      <c r="J1543">
        <v>1185</v>
      </c>
      <c r="K1543" s="5">
        <v>46161.604645057872</v>
      </c>
      <c r="M1543" s="2" t="s">
        <v>3177</v>
      </c>
      <c r="N1543" s="2" t="s">
        <v>1701</v>
      </c>
      <c r="O1543" s="5">
        <v>45012.021209398154</v>
      </c>
      <c r="P1543" t="str">
        <f>IF($Q1543="DELETE",IF($S1543="CONFIRMED: NO MODS &gt; 1YR","CONFIRMED: NO MODS &gt; 1YR","DO NOT DELETE — not defensibly confirmed"),IF($Q1543="HOLD","DO NOT DELETE — HOLD (Charlie review)",IF($Q1543="KEEP","DO NOT DELETE — KEEP",IF(ISNUMBER(SEARCH("REVIEW",$Q1543)),"DO NOT DELETE — REVIEW pending",$S1543))))</f>
        <v>DO NOT DELETE — REVIEW pending</v>
      </c>
      <c r="Q1543" t="str" cm="1">
        <f t="array" ref="Q1543">_xlfn.IFS(AND($A1543="thg-beauty",ISNUMBER(SEARCH("liveramp",$C1543))),"DELETE",$A1543="agile-bonbon-662",_xlfn.IFS(LEFT($G1543,9)="Tranche 1","DELETE",$C1543="Sessions_Level_1_All_Sites","KEEP",ISNUMBER(--$C1543),"REVIEW — UA raw logs",$C1543="Emag_Reporting","KEEP",$C1543="Nutrition_Data_Archived_Tables","KEEP",$C1543="EU_Data","KEEP",TRUE,"REVIEW"),OR($A1543="thg-influencer",$A1543="thg-ingenuity",$A1543="thg-central-marketing",$A1543="thg-seoclarity"),"HOLD",TRUE,"")</f>
        <v>REVIEW</v>
      </c>
      <c r="R1543" t="str" cm="1">
        <f t="array" ref="R1543">_xlfn.IFS(AND($A1543="thg-beauty",ISNUMBER(SEARCH("liveramp",$C1543))),"thg-beauty Liveramp dataset — confirmed safe to delete",$A1543="agile-bonbon-662",_xlfn.IFS(LEFT($G1543,9)="Tranche 1","Tranche 1: cleared",$C1543="Sessions_Level_1_All_Sites","Downstream aggregation of UA raw logs — keep if raw tables go",ISNUMBER(--$C1543),"UA raw site logs (account ID) — keep pending audit-retention check",$C1543="Emag_Reporting","Legacy but likely needed",$C1543="Nutrition_Data_Archived_Tables","Worth keeping",$C1543="EU_Data","Static lookup tables — scripts still reference (smoke-test risk)",TRUE,"Review"),OR($A1543="thg-influencer",$A1543="thg-ingenuity",$A1543="thg-central-marketing",$A1543="thg-seoclarity"),"HOLD — Charlie Stringer to review before deletion",TRUE,"")</f>
        <v>Review</v>
      </c>
      <c r="S1543" t="s">
        <v>1631</v>
      </c>
    </row>
    <row r="1544" spans="1:19" ht="45.75" hidden="1">
      <c r="A1544" t="s">
        <v>89</v>
      </c>
      <c r="B1544" t="s">
        <v>1619</v>
      </c>
      <c r="C1544" t="s">
        <v>1197</v>
      </c>
      <c r="D1544" s="2" t="s">
        <v>1621</v>
      </c>
      <c r="E1544">
        <v>26.3</v>
      </c>
      <c r="F1544">
        <v>0.53</v>
      </c>
      <c r="G1544" t="s">
        <v>72</v>
      </c>
      <c r="H1544" t="s">
        <v>3457</v>
      </c>
      <c r="I1544">
        <v>35</v>
      </c>
      <c r="J1544">
        <v>723</v>
      </c>
      <c r="K1544" s="5">
        <v>46161.592340752322</v>
      </c>
      <c r="M1544" s="2" t="s">
        <v>3903</v>
      </c>
      <c r="N1544" s="2" t="s">
        <v>1701</v>
      </c>
      <c r="O1544" s="5">
        <v>45474.279181736107</v>
      </c>
      <c r="P1544" t="str">
        <f>IF($Q1544="DELETE",IF($S1544="CONFIRMED: NO MODS &gt; 1YR","CONFIRMED: NO MODS &gt; 1YR","DO NOT DELETE — not defensibly confirmed"),IF($Q1544="HOLD","DO NOT DELETE — HOLD (Charlie review)",IF($Q1544="KEEP","DO NOT DELETE — KEEP",IF(ISNUMBER(SEARCH("REVIEW",$Q1544)),"DO NOT DELETE — REVIEW pending",$S1544))))</f>
        <v>DO NOT DELETE — REVIEW pending</v>
      </c>
      <c r="Q1544" t="str" cm="1">
        <f t="array" ref="Q1544">_xlfn.IFS(AND($A1544="thg-beauty",ISNUMBER(SEARCH("liveramp",$C1544))),"DELETE",$A1544="agile-bonbon-662",_xlfn.IFS(LEFT($G1544,9)="Tranche 1","DELETE",$C1544="Sessions_Level_1_All_Sites","KEEP",ISNUMBER(--$C1544),"REVIEW — UA raw logs",$C1544="Emag_Reporting","KEEP",$C1544="Nutrition_Data_Archived_Tables","KEEP",$C1544="EU_Data","KEEP",TRUE,"REVIEW"),OR($A1544="thg-influencer",$A1544="thg-ingenuity",$A1544="thg-central-marketing",$A1544="thg-seoclarity"),"HOLD",TRUE,"")</f>
        <v>REVIEW — UA raw logs</v>
      </c>
      <c r="R1544" t="str" cm="1">
        <f t="array" ref="R1544">_xlfn.IFS(AND($A1544="thg-beauty",ISNUMBER(SEARCH("liveramp",$C1544))),"thg-beauty Liveramp dataset — confirmed safe to delete",$A1544="agile-bonbon-662",_xlfn.IFS(LEFT($G1544,9)="Tranche 1","Tranche 1: cleared",$C1544="Sessions_Level_1_All_Sites","Downstream aggregation of UA raw logs — keep if raw tables go",ISNUMBER(--$C1544),"UA raw site logs (account ID) — keep pending audit-retention check",$C1544="Emag_Reporting","Legacy but likely needed",$C1544="Nutrition_Data_Archived_Tables","Worth keeping",$C1544="EU_Data","Static lookup tables — scripts still reference (smoke-test risk)",TRUE,"Review"),OR($A1544="thg-influencer",$A1544="thg-ingenuity",$A1544="thg-central-marketing",$A1544="thg-seoclarity"),"HOLD — Charlie Stringer to review before deletion",TRUE,"")</f>
        <v>UA raw site logs (account ID) — keep pending audit-retention check</v>
      </c>
      <c r="S1544" t="s">
        <v>1631</v>
      </c>
    </row>
    <row r="1545" spans="1:19" ht="45.75" hidden="1">
      <c r="A1545" t="s">
        <v>89</v>
      </c>
      <c r="B1545" t="s">
        <v>1619</v>
      </c>
      <c r="C1545" t="s">
        <v>1201</v>
      </c>
      <c r="D1545" s="2" t="s">
        <v>1621</v>
      </c>
      <c r="E1545">
        <v>25.68</v>
      </c>
      <c r="F1545">
        <v>0.51</v>
      </c>
      <c r="G1545" t="s">
        <v>72</v>
      </c>
      <c r="H1545" t="s">
        <v>3457</v>
      </c>
      <c r="I1545">
        <v>35</v>
      </c>
      <c r="J1545">
        <v>723</v>
      </c>
      <c r="K1545" s="5">
        <v>46161.593957569443</v>
      </c>
      <c r="M1545" s="2" t="s">
        <v>2273</v>
      </c>
      <c r="N1545" s="2" t="s">
        <v>1701</v>
      </c>
      <c r="O1545" s="5">
        <v>45474.281906377313</v>
      </c>
      <c r="P1545" t="str">
        <f>IF($Q1545="DELETE",IF($S1545="CONFIRMED: NO MODS &gt; 1YR","CONFIRMED: NO MODS &gt; 1YR","DO NOT DELETE — not defensibly confirmed"),IF($Q1545="HOLD","DO NOT DELETE — HOLD (Charlie review)",IF($Q1545="KEEP","DO NOT DELETE — KEEP",IF(ISNUMBER(SEARCH("REVIEW",$Q1545)),"DO NOT DELETE — REVIEW pending",$S1545))))</f>
        <v>DO NOT DELETE — REVIEW pending</v>
      </c>
      <c r="Q1545" t="str" cm="1">
        <f t="array" ref="Q1545">_xlfn.IFS(AND($A1545="thg-beauty",ISNUMBER(SEARCH("liveramp",$C1545))),"DELETE",$A1545="agile-bonbon-662",_xlfn.IFS(LEFT($G1545,9)="Tranche 1","DELETE",$C1545="Sessions_Level_1_All_Sites","KEEP",ISNUMBER(--$C1545),"REVIEW — UA raw logs",$C1545="Emag_Reporting","KEEP",$C1545="Nutrition_Data_Archived_Tables","KEEP",$C1545="EU_Data","KEEP",TRUE,"REVIEW"),OR($A1545="thg-influencer",$A1545="thg-ingenuity",$A1545="thg-central-marketing",$A1545="thg-seoclarity"),"HOLD",TRUE,"")</f>
        <v>REVIEW — UA raw logs</v>
      </c>
      <c r="R1545" t="str" cm="1">
        <f t="array" ref="R1545">_xlfn.IFS(AND($A1545="thg-beauty",ISNUMBER(SEARCH("liveramp",$C1545))),"thg-beauty Liveramp dataset — confirmed safe to delete",$A1545="agile-bonbon-662",_xlfn.IFS(LEFT($G1545,9)="Tranche 1","Tranche 1: cleared",$C1545="Sessions_Level_1_All_Sites","Downstream aggregation of UA raw logs — keep if raw tables go",ISNUMBER(--$C1545),"UA raw site logs (account ID) — keep pending audit-retention check",$C1545="Emag_Reporting","Legacy but likely needed",$C1545="Nutrition_Data_Archived_Tables","Worth keeping",$C1545="EU_Data","Static lookup tables — scripts still reference (smoke-test risk)",TRUE,"Review"),OR($A1545="thg-influencer",$A1545="thg-ingenuity",$A1545="thg-central-marketing",$A1545="thg-seoclarity"),"HOLD — Charlie Stringer to review before deletion",TRUE,"")</f>
        <v>UA raw site logs (account ID) — keep pending audit-retention check</v>
      </c>
      <c r="S1545" t="s">
        <v>1624</v>
      </c>
    </row>
    <row r="1546" spans="1:19" ht="45.75" hidden="1">
      <c r="A1546" t="s">
        <v>89</v>
      </c>
      <c r="B1546" t="s">
        <v>1619</v>
      </c>
      <c r="C1546" t="s">
        <v>1205</v>
      </c>
      <c r="D1546" s="2" t="s">
        <v>1621</v>
      </c>
      <c r="E1546">
        <v>24.38</v>
      </c>
      <c r="F1546">
        <v>0.49</v>
      </c>
      <c r="G1546" t="s">
        <v>72</v>
      </c>
      <c r="H1546" t="s">
        <v>3457</v>
      </c>
      <c r="I1546">
        <v>35</v>
      </c>
      <c r="J1546">
        <v>417</v>
      </c>
      <c r="K1546" s="5">
        <v>46161.619973159723</v>
      </c>
      <c r="M1546" s="2" t="s">
        <v>1972</v>
      </c>
      <c r="N1546" s="2" t="s">
        <v>1701</v>
      </c>
      <c r="O1546" s="5">
        <v>45780.40266378472</v>
      </c>
      <c r="P1546" t="str">
        <f>IF($Q1546="DELETE",IF($S1546="CONFIRMED: NO MODS &gt; 1YR","CONFIRMED: NO MODS &gt; 1YR","DO NOT DELETE — not defensibly confirmed"),IF($Q1546="HOLD","DO NOT DELETE — HOLD (Charlie review)",IF($Q1546="KEEP","DO NOT DELETE — KEEP",IF(ISNUMBER(SEARCH("REVIEW",$Q1546)),"DO NOT DELETE — REVIEW pending",$S1546))))</f>
        <v>DO NOT DELETE — REVIEW pending</v>
      </c>
      <c r="Q1546" t="str" cm="1">
        <f t="array" ref="Q1546">_xlfn.IFS(AND($A1546="thg-beauty",ISNUMBER(SEARCH("liveramp",$C1546))),"DELETE",$A1546="agile-bonbon-662",_xlfn.IFS(LEFT($G1546,9)="Tranche 1","DELETE",$C1546="Sessions_Level_1_All_Sites","KEEP",ISNUMBER(--$C1546),"REVIEW — UA raw logs",$C1546="Emag_Reporting","KEEP",$C1546="Nutrition_Data_Archived_Tables","KEEP",$C1546="EU_Data","KEEP",TRUE,"REVIEW"),OR($A1546="thg-influencer",$A1546="thg-ingenuity",$A1546="thg-central-marketing",$A1546="thg-seoclarity"),"HOLD",TRUE,"")</f>
        <v>REVIEW</v>
      </c>
      <c r="R1546" t="str" cm="1">
        <f t="array" ref="R1546">_xlfn.IFS(AND($A1546="thg-beauty",ISNUMBER(SEARCH("liveramp",$C1546))),"thg-beauty Liveramp dataset — confirmed safe to delete",$A1546="agile-bonbon-662",_xlfn.IFS(LEFT($G1546,9)="Tranche 1","Tranche 1: cleared",$C1546="Sessions_Level_1_All_Sites","Downstream aggregation of UA raw logs — keep if raw tables go",ISNUMBER(--$C1546),"UA raw site logs (account ID) — keep pending audit-retention check",$C1546="Emag_Reporting","Legacy but likely needed",$C1546="Nutrition_Data_Archived_Tables","Worth keeping",$C1546="EU_Data","Static lookup tables — scripts still reference (smoke-test risk)",TRUE,"Review"),OR($A1546="thg-influencer",$A1546="thg-ingenuity",$A1546="thg-central-marketing",$A1546="thg-seoclarity"),"HOLD — Charlie Stringer to review before deletion",TRUE,"")</f>
        <v>Review</v>
      </c>
      <c r="S1546" t="s">
        <v>1631</v>
      </c>
    </row>
    <row r="1547" spans="1:19" ht="76.5" hidden="1">
      <c r="A1547" t="s">
        <v>89</v>
      </c>
      <c r="B1547" t="s">
        <v>1619</v>
      </c>
      <c r="C1547" t="s">
        <v>1210</v>
      </c>
      <c r="D1547" s="2" t="s">
        <v>1621</v>
      </c>
      <c r="E1547">
        <v>24.18</v>
      </c>
      <c r="F1547">
        <v>0.48</v>
      </c>
      <c r="G1547" t="s">
        <v>72</v>
      </c>
      <c r="H1547" t="s">
        <v>3457</v>
      </c>
      <c r="I1547">
        <v>35</v>
      </c>
      <c r="J1547">
        <v>715</v>
      </c>
      <c r="K1547" s="5">
        <v>46161.611246678243</v>
      </c>
      <c r="M1547" s="2" t="s">
        <v>3904</v>
      </c>
      <c r="N1547" s="2" t="s">
        <v>1701</v>
      </c>
      <c r="O1547" s="5">
        <v>45482.104888993053</v>
      </c>
      <c r="P1547" t="str">
        <f>IF($Q1547="DELETE",IF($S1547="CONFIRMED: NO MODS &gt; 1YR","CONFIRMED: NO MODS &gt; 1YR","DO NOT DELETE — not defensibly confirmed"),IF($Q1547="HOLD","DO NOT DELETE — HOLD (Charlie review)",IF($Q1547="KEEP","DO NOT DELETE — KEEP",IF(ISNUMBER(SEARCH("REVIEW",$Q1547)),"DO NOT DELETE — REVIEW pending",$S1547))))</f>
        <v>DO NOT DELETE — REVIEW pending</v>
      </c>
      <c r="Q1547" t="str" cm="1">
        <f t="array" ref="Q1547">_xlfn.IFS(AND($A1547="thg-beauty",ISNUMBER(SEARCH("liveramp",$C1547))),"DELETE",$A1547="agile-bonbon-662",_xlfn.IFS(LEFT($G1547,9)="Tranche 1","DELETE",$C1547="Sessions_Level_1_All_Sites","KEEP",ISNUMBER(--$C1547),"REVIEW — UA raw logs",$C1547="Emag_Reporting","KEEP",$C1547="Nutrition_Data_Archived_Tables","KEEP",$C1547="EU_Data","KEEP",TRUE,"REVIEW"),OR($A1547="thg-influencer",$A1547="thg-ingenuity",$A1547="thg-central-marketing",$A1547="thg-seoclarity"),"HOLD",TRUE,"")</f>
        <v>REVIEW</v>
      </c>
      <c r="R1547" t="str" cm="1">
        <f t="array" ref="R1547">_xlfn.IFS(AND($A1547="thg-beauty",ISNUMBER(SEARCH("liveramp",$C1547))),"thg-beauty Liveramp dataset — confirmed safe to delete",$A1547="agile-bonbon-662",_xlfn.IFS(LEFT($G1547,9)="Tranche 1","Tranche 1: cleared",$C1547="Sessions_Level_1_All_Sites","Downstream aggregation of UA raw logs — keep if raw tables go",ISNUMBER(--$C1547),"UA raw site logs (account ID) — keep pending audit-retention check",$C1547="Emag_Reporting","Legacy but likely needed",$C1547="Nutrition_Data_Archived_Tables","Worth keeping",$C1547="EU_Data","Static lookup tables — scripts still reference (smoke-test risk)",TRUE,"Review"),OR($A1547="thg-influencer",$A1547="thg-ingenuity",$A1547="thg-central-marketing",$A1547="thg-seoclarity"),"HOLD — Charlie Stringer to review before deletion",TRUE,"")</f>
        <v>Review</v>
      </c>
      <c r="S1547" t="s">
        <v>1631</v>
      </c>
    </row>
    <row r="1548" spans="1:19" ht="45.75" hidden="1">
      <c r="A1548" t="s">
        <v>89</v>
      </c>
      <c r="B1548" t="s">
        <v>1619</v>
      </c>
      <c r="C1548" t="s">
        <v>1218</v>
      </c>
      <c r="D1548" s="2" t="s">
        <v>1621</v>
      </c>
      <c r="E1548">
        <v>23.68</v>
      </c>
      <c r="F1548">
        <v>0.47</v>
      </c>
      <c r="G1548" t="s">
        <v>72</v>
      </c>
      <c r="H1548" t="s">
        <v>3457</v>
      </c>
      <c r="I1548">
        <v>35</v>
      </c>
      <c r="J1548">
        <v>723</v>
      </c>
      <c r="K1548" s="5">
        <v>46161.593708275461</v>
      </c>
      <c r="M1548" s="2" t="s">
        <v>3905</v>
      </c>
      <c r="N1548" s="2" t="s">
        <v>1701</v>
      </c>
      <c r="O1548" s="5">
        <v>45474.281732164352</v>
      </c>
      <c r="P1548" t="str">
        <f>IF($Q1548="DELETE",IF($S1548="CONFIRMED: NO MODS &gt; 1YR","CONFIRMED: NO MODS &gt; 1YR","DO NOT DELETE — not defensibly confirmed"),IF($Q1548="HOLD","DO NOT DELETE — HOLD (Charlie review)",IF($Q1548="KEEP","DO NOT DELETE — KEEP",IF(ISNUMBER(SEARCH("REVIEW",$Q1548)),"DO NOT DELETE — REVIEW pending",$S1548))))</f>
        <v>DO NOT DELETE — REVIEW pending</v>
      </c>
      <c r="Q1548" t="str" cm="1">
        <f t="array" ref="Q1548">_xlfn.IFS(AND($A1548="thg-beauty",ISNUMBER(SEARCH("liveramp",$C1548))),"DELETE",$A1548="agile-bonbon-662",_xlfn.IFS(LEFT($G1548,9)="Tranche 1","DELETE",$C1548="Sessions_Level_1_All_Sites","KEEP",ISNUMBER(--$C1548),"REVIEW — UA raw logs",$C1548="Emag_Reporting","KEEP",$C1548="Nutrition_Data_Archived_Tables","KEEP",$C1548="EU_Data","KEEP",TRUE,"REVIEW"),OR($A1548="thg-influencer",$A1548="thg-ingenuity",$A1548="thg-central-marketing",$A1548="thg-seoclarity"),"HOLD",TRUE,"")</f>
        <v>REVIEW — UA raw logs</v>
      </c>
      <c r="R1548" t="str" cm="1">
        <f t="array" ref="R1548">_xlfn.IFS(AND($A1548="thg-beauty",ISNUMBER(SEARCH("liveramp",$C1548))),"thg-beauty Liveramp dataset — confirmed safe to delete",$A1548="agile-bonbon-662",_xlfn.IFS(LEFT($G1548,9)="Tranche 1","Tranche 1: cleared",$C1548="Sessions_Level_1_All_Sites","Downstream aggregation of UA raw logs — keep if raw tables go",ISNUMBER(--$C1548),"UA raw site logs (account ID) — keep pending audit-retention check",$C1548="Emag_Reporting","Legacy but likely needed",$C1548="Nutrition_Data_Archived_Tables","Worth keeping",$C1548="EU_Data","Static lookup tables — scripts still reference (smoke-test risk)",TRUE,"Review"),OR($A1548="thg-influencer",$A1548="thg-ingenuity",$A1548="thg-central-marketing",$A1548="thg-seoclarity"),"HOLD — Charlie Stringer to review before deletion",TRUE,"")</f>
        <v>UA raw site logs (account ID) — keep pending audit-retention check</v>
      </c>
      <c r="S1548" t="s">
        <v>1631</v>
      </c>
    </row>
    <row r="1549" spans="1:19" ht="45.75" hidden="1">
      <c r="A1549" t="s">
        <v>89</v>
      </c>
      <c r="B1549" t="s">
        <v>1619</v>
      </c>
      <c r="C1549" t="s">
        <v>1214</v>
      </c>
      <c r="D1549" s="2" t="s">
        <v>1621</v>
      </c>
      <c r="E1549">
        <v>23.4</v>
      </c>
      <c r="F1549">
        <v>0.47</v>
      </c>
      <c r="G1549" t="s">
        <v>72</v>
      </c>
      <c r="H1549" t="s">
        <v>3457</v>
      </c>
      <c r="I1549">
        <v>35</v>
      </c>
      <c r="J1549">
        <v>723</v>
      </c>
      <c r="K1549" s="5">
        <v>46161.59896891204</v>
      </c>
      <c r="M1549" s="2" t="s">
        <v>3401</v>
      </c>
      <c r="N1549" s="2" t="s">
        <v>1701</v>
      </c>
      <c r="O1549" s="5">
        <v>45474.275758877317</v>
      </c>
      <c r="P1549" t="str">
        <f>IF($Q1549="DELETE",IF($S1549="CONFIRMED: NO MODS &gt; 1YR","CONFIRMED: NO MODS &gt; 1YR","DO NOT DELETE — not defensibly confirmed"),IF($Q1549="HOLD","DO NOT DELETE — HOLD (Charlie review)",IF($Q1549="KEEP","DO NOT DELETE — KEEP",IF(ISNUMBER(SEARCH("REVIEW",$Q1549)),"DO NOT DELETE — REVIEW pending",$S1549))))</f>
        <v>DO NOT DELETE — REVIEW pending</v>
      </c>
      <c r="Q1549" t="str" cm="1">
        <f t="array" ref="Q1549">_xlfn.IFS(AND($A1549="thg-beauty",ISNUMBER(SEARCH("liveramp",$C1549))),"DELETE",$A1549="agile-bonbon-662",_xlfn.IFS(LEFT($G1549,9)="Tranche 1","DELETE",$C1549="Sessions_Level_1_All_Sites","KEEP",ISNUMBER(--$C1549),"REVIEW — UA raw logs",$C1549="Emag_Reporting","KEEP",$C1549="Nutrition_Data_Archived_Tables","KEEP",$C1549="EU_Data","KEEP",TRUE,"REVIEW"),OR($A1549="thg-influencer",$A1549="thg-ingenuity",$A1549="thg-central-marketing",$A1549="thg-seoclarity"),"HOLD",TRUE,"")</f>
        <v>REVIEW — UA raw logs</v>
      </c>
      <c r="R1549" t="str" cm="1">
        <f t="array" ref="R1549">_xlfn.IFS(AND($A1549="thg-beauty",ISNUMBER(SEARCH("liveramp",$C1549))),"thg-beauty Liveramp dataset — confirmed safe to delete",$A1549="agile-bonbon-662",_xlfn.IFS(LEFT($G1549,9)="Tranche 1","Tranche 1: cleared",$C1549="Sessions_Level_1_All_Sites","Downstream aggregation of UA raw logs — keep if raw tables go",ISNUMBER(--$C1549),"UA raw site logs (account ID) — keep pending audit-retention check",$C1549="Emag_Reporting","Legacy but likely needed",$C1549="Nutrition_Data_Archived_Tables","Worth keeping",$C1549="EU_Data","Static lookup tables — scripts still reference (smoke-test risk)",TRUE,"Review"),OR($A1549="thg-influencer",$A1549="thg-ingenuity",$A1549="thg-central-marketing",$A1549="thg-seoclarity"),"HOLD — Charlie Stringer to review before deletion",TRUE,"")</f>
        <v>UA raw site logs (account ID) — keep pending audit-retention check</v>
      </c>
      <c r="S1549" t="s">
        <v>1631</v>
      </c>
    </row>
    <row r="1550" spans="1:19" ht="45.75" hidden="1">
      <c r="A1550" t="s">
        <v>89</v>
      </c>
      <c r="B1550" t="s">
        <v>1619</v>
      </c>
      <c r="C1550" t="s">
        <v>1222</v>
      </c>
      <c r="D1550" s="2" t="s">
        <v>1621</v>
      </c>
      <c r="E1550">
        <v>23.27</v>
      </c>
      <c r="F1550">
        <v>0.47</v>
      </c>
      <c r="G1550" t="s">
        <v>72</v>
      </c>
      <c r="H1550" t="s">
        <v>3457</v>
      </c>
      <c r="I1550">
        <v>35</v>
      </c>
      <c r="J1550">
        <v>1000</v>
      </c>
      <c r="K1550" s="5">
        <v>46161.606272928242</v>
      </c>
      <c r="M1550" s="2" t="s">
        <v>3906</v>
      </c>
      <c r="N1550" s="2" t="s">
        <v>1701</v>
      </c>
      <c r="O1550" s="5">
        <v>45196.96368403935</v>
      </c>
      <c r="P1550" t="str">
        <f>IF($Q1550="DELETE",IF($S1550="CONFIRMED: NO MODS &gt; 1YR","CONFIRMED: NO MODS &gt; 1YR","DO NOT DELETE — not defensibly confirmed"),IF($Q1550="HOLD","DO NOT DELETE — HOLD (Charlie review)",IF($Q1550="KEEP","DO NOT DELETE — KEEP",IF(ISNUMBER(SEARCH("REVIEW",$Q1550)),"DO NOT DELETE — REVIEW pending",$S1550))))</f>
        <v>DO NOT DELETE — REVIEW pending</v>
      </c>
      <c r="Q1550" t="str" cm="1">
        <f t="array" ref="Q1550">_xlfn.IFS(AND($A1550="thg-beauty",ISNUMBER(SEARCH("liveramp",$C1550))),"DELETE",$A1550="agile-bonbon-662",_xlfn.IFS(LEFT($G1550,9)="Tranche 1","DELETE",$C1550="Sessions_Level_1_All_Sites","KEEP",ISNUMBER(--$C1550),"REVIEW — UA raw logs",$C1550="Emag_Reporting","KEEP",$C1550="Nutrition_Data_Archived_Tables","KEEP",$C1550="EU_Data","KEEP",TRUE,"REVIEW"),OR($A1550="thg-influencer",$A1550="thg-ingenuity",$A1550="thg-central-marketing",$A1550="thg-seoclarity"),"HOLD",TRUE,"")</f>
        <v>REVIEW</v>
      </c>
      <c r="R1550" t="str" cm="1">
        <f t="array" ref="R1550">_xlfn.IFS(AND($A1550="thg-beauty",ISNUMBER(SEARCH("liveramp",$C1550))),"thg-beauty Liveramp dataset — confirmed safe to delete",$A1550="agile-bonbon-662",_xlfn.IFS(LEFT($G1550,9)="Tranche 1","Tranche 1: cleared",$C1550="Sessions_Level_1_All_Sites","Downstream aggregation of UA raw logs — keep if raw tables go",ISNUMBER(--$C1550),"UA raw site logs (account ID) — keep pending audit-retention check",$C1550="Emag_Reporting","Legacy but likely needed",$C1550="Nutrition_Data_Archived_Tables","Worth keeping",$C1550="EU_Data","Static lookup tables — scripts still reference (smoke-test risk)",TRUE,"Review"),OR($A1550="thg-influencer",$A1550="thg-ingenuity",$A1550="thg-central-marketing",$A1550="thg-seoclarity"),"HOLD — Charlie Stringer to review before deletion",TRUE,"")</f>
        <v>Review</v>
      </c>
      <c r="S1550" t="s">
        <v>1631</v>
      </c>
    </row>
    <row r="1551" spans="1:19" ht="45.75" hidden="1">
      <c r="A1551" t="s">
        <v>89</v>
      </c>
      <c r="B1551" t="s">
        <v>1619</v>
      </c>
      <c r="C1551" t="s">
        <v>1227</v>
      </c>
      <c r="D1551" s="2" t="s">
        <v>1621</v>
      </c>
      <c r="E1551">
        <v>23.15</v>
      </c>
      <c r="F1551">
        <v>0.46</v>
      </c>
      <c r="G1551" t="s">
        <v>72</v>
      </c>
      <c r="H1551" t="s">
        <v>3457</v>
      </c>
      <c r="I1551">
        <v>35</v>
      </c>
      <c r="J1551">
        <v>449</v>
      </c>
      <c r="K1551" s="5">
        <v>46161.615411145831</v>
      </c>
      <c r="M1551" s="2" t="s">
        <v>1928</v>
      </c>
      <c r="N1551" s="2" t="s">
        <v>1701</v>
      </c>
      <c r="O1551" s="5">
        <v>45748.401355833332</v>
      </c>
      <c r="P1551" t="str">
        <f>IF($Q1551="DELETE",IF($S1551="CONFIRMED: NO MODS &gt; 1YR","CONFIRMED: NO MODS &gt; 1YR","DO NOT DELETE — not defensibly confirmed"),IF($Q1551="HOLD","DO NOT DELETE — HOLD (Charlie review)",IF($Q1551="KEEP","DO NOT DELETE — KEEP",IF(ISNUMBER(SEARCH("REVIEW",$Q1551)),"DO NOT DELETE — REVIEW pending",$S1551))))</f>
        <v>DO NOT DELETE — REVIEW pending</v>
      </c>
      <c r="Q1551" t="str" cm="1">
        <f t="array" ref="Q1551">_xlfn.IFS(AND($A1551="thg-beauty",ISNUMBER(SEARCH("liveramp",$C1551))),"DELETE",$A1551="agile-bonbon-662",_xlfn.IFS(LEFT($G1551,9)="Tranche 1","DELETE",$C1551="Sessions_Level_1_All_Sites","KEEP",ISNUMBER(--$C1551),"REVIEW — UA raw logs",$C1551="Emag_Reporting","KEEP",$C1551="Nutrition_Data_Archived_Tables","KEEP",$C1551="EU_Data","KEEP",TRUE,"REVIEW"),OR($A1551="thg-influencer",$A1551="thg-ingenuity",$A1551="thg-central-marketing",$A1551="thg-seoclarity"),"HOLD",TRUE,"")</f>
        <v>REVIEW</v>
      </c>
      <c r="R1551" t="str" cm="1">
        <f t="array" ref="R1551">_xlfn.IFS(AND($A1551="thg-beauty",ISNUMBER(SEARCH("liveramp",$C1551))),"thg-beauty Liveramp dataset — confirmed safe to delete",$A1551="agile-bonbon-662",_xlfn.IFS(LEFT($G1551,9)="Tranche 1","Tranche 1: cleared",$C1551="Sessions_Level_1_All_Sites","Downstream aggregation of UA raw logs — keep if raw tables go",ISNUMBER(--$C1551),"UA raw site logs (account ID) — keep pending audit-retention check",$C1551="Emag_Reporting","Legacy but likely needed",$C1551="Nutrition_Data_Archived_Tables","Worth keeping",$C1551="EU_Data","Static lookup tables — scripts still reference (smoke-test risk)",TRUE,"Review"),OR($A1551="thg-influencer",$A1551="thg-ingenuity",$A1551="thg-central-marketing",$A1551="thg-seoclarity"),"HOLD — Charlie Stringer to review before deletion",TRUE,"")</f>
        <v>Review</v>
      </c>
      <c r="S1551" t="s">
        <v>1631</v>
      </c>
    </row>
    <row r="1552" spans="1:19" ht="45.75" hidden="1">
      <c r="A1552" t="s">
        <v>89</v>
      </c>
      <c r="B1552" t="s">
        <v>1619</v>
      </c>
      <c r="C1552" t="s">
        <v>1236</v>
      </c>
      <c r="D1552" s="2" t="s">
        <v>1621</v>
      </c>
      <c r="E1552">
        <v>23.11</v>
      </c>
      <c r="F1552">
        <v>0.46</v>
      </c>
      <c r="G1552" t="s">
        <v>72</v>
      </c>
      <c r="H1552" t="s">
        <v>3457</v>
      </c>
      <c r="I1552">
        <v>35</v>
      </c>
      <c r="J1552">
        <v>931</v>
      </c>
      <c r="K1552" s="5">
        <v>46161.62094346065</v>
      </c>
      <c r="M1552" s="2" t="s">
        <v>1960</v>
      </c>
      <c r="N1552" s="2" t="s">
        <v>1701</v>
      </c>
      <c r="O1552" s="5">
        <v>45266.239241747688</v>
      </c>
      <c r="P1552" t="str">
        <f>IF($Q1552="DELETE",IF($S1552="CONFIRMED: NO MODS &gt; 1YR","CONFIRMED: NO MODS &gt; 1YR","DO NOT DELETE — not defensibly confirmed"),IF($Q1552="HOLD","DO NOT DELETE — HOLD (Charlie review)",IF($Q1552="KEEP","DO NOT DELETE — KEEP",IF(ISNUMBER(SEARCH("REVIEW",$Q1552)),"DO NOT DELETE — REVIEW pending",$S1552))))</f>
        <v>DO NOT DELETE — REVIEW pending</v>
      </c>
      <c r="Q1552" t="str" cm="1">
        <f t="array" ref="Q1552">_xlfn.IFS(AND($A1552="thg-beauty",ISNUMBER(SEARCH("liveramp",$C1552))),"DELETE",$A1552="agile-bonbon-662",_xlfn.IFS(LEFT($G1552,9)="Tranche 1","DELETE",$C1552="Sessions_Level_1_All_Sites","KEEP",ISNUMBER(--$C1552),"REVIEW — UA raw logs",$C1552="Emag_Reporting","KEEP",$C1552="Nutrition_Data_Archived_Tables","KEEP",$C1552="EU_Data","KEEP",TRUE,"REVIEW"),OR($A1552="thg-influencer",$A1552="thg-ingenuity",$A1552="thg-central-marketing",$A1552="thg-seoclarity"),"HOLD",TRUE,"")</f>
        <v>REVIEW</v>
      </c>
      <c r="R1552" t="str" cm="1">
        <f t="array" ref="R1552">_xlfn.IFS(AND($A1552="thg-beauty",ISNUMBER(SEARCH("liveramp",$C1552))),"thg-beauty Liveramp dataset — confirmed safe to delete",$A1552="agile-bonbon-662",_xlfn.IFS(LEFT($G1552,9)="Tranche 1","Tranche 1: cleared",$C1552="Sessions_Level_1_All_Sites","Downstream aggregation of UA raw logs — keep if raw tables go",ISNUMBER(--$C1552),"UA raw site logs (account ID) — keep pending audit-retention check",$C1552="Emag_Reporting","Legacy but likely needed",$C1552="Nutrition_Data_Archived_Tables","Worth keeping",$C1552="EU_Data","Static lookup tables — scripts still reference (smoke-test risk)",TRUE,"Review"),OR($A1552="thg-influencer",$A1552="thg-ingenuity",$A1552="thg-central-marketing",$A1552="thg-seoclarity"),"HOLD — Charlie Stringer to review before deletion",TRUE,"")</f>
        <v>Review</v>
      </c>
      <c r="S1552" t="s">
        <v>1631</v>
      </c>
    </row>
    <row r="1553" spans="1:19" ht="45.75" hidden="1">
      <c r="A1553" t="s">
        <v>89</v>
      </c>
      <c r="B1553" t="s">
        <v>1619</v>
      </c>
      <c r="C1553" t="s">
        <v>1232</v>
      </c>
      <c r="D1553" s="2" t="s">
        <v>1621</v>
      </c>
      <c r="E1553">
        <v>22.81</v>
      </c>
      <c r="F1553">
        <v>0.46</v>
      </c>
      <c r="G1553" t="s">
        <v>72</v>
      </c>
      <c r="H1553" t="s">
        <v>3457</v>
      </c>
      <c r="I1553">
        <v>35</v>
      </c>
      <c r="J1553">
        <v>723</v>
      </c>
      <c r="K1553" s="5">
        <v>46161.58857407407</v>
      </c>
      <c r="M1553" s="2" t="s">
        <v>3403</v>
      </c>
      <c r="N1553" s="2" t="s">
        <v>1701</v>
      </c>
      <c r="O1553" s="5">
        <v>45474.274222928238</v>
      </c>
      <c r="P1553" t="str">
        <f>IF($Q1553="DELETE",IF($S1553="CONFIRMED: NO MODS &gt; 1YR","CONFIRMED: NO MODS &gt; 1YR","DO NOT DELETE — not defensibly confirmed"),IF($Q1553="HOLD","DO NOT DELETE — HOLD (Charlie review)",IF($Q1553="KEEP","DO NOT DELETE — KEEP",IF(ISNUMBER(SEARCH("REVIEW",$Q1553)),"DO NOT DELETE — REVIEW pending",$S1553))))</f>
        <v>DO NOT DELETE — REVIEW pending</v>
      </c>
      <c r="Q1553" t="str" cm="1">
        <f t="array" ref="Q1553">_xlfn.IFS(AND($A1553="thg-beauty",ISNUMBER(SEARCH("liveramp",$C1553))),"DELETE",$A1553="agile-bonbon-662",_xlfn.IFS(LEFT($G1553,9)="Tranche 1","DELETE",$C1553="Sessions_Level_1_All_Sites","KEEP",ISNUMBER(--$C1553),"REVIEW — UA raw logs",$C1553="Emag_Reporting","KEEP",$C1553="Nutrition_Data_Archived_Tables","KEEP",$C1553="EU_Data","KEEP",TRUE,"REVIEW"),OR($A1553="thg-influencer",$A1553="thg-ingenuity",$A1553="thg-central-marketing",$A1553="thg-seoclarity"),"HOLD",TRUE,"")</f>
        <v>REVIEW — UA raw logs</v>
      </c>
      <c r="R1553" t="str" cm="1">
        <f t="array" ref="R1553">_xlfn.IFS(AND($A1553="thg-beauty",ISNUMBER(SEARCH("liveramp",$C1553))),"thg-beauty Liveramp dataset — confirmed safe to delete",$A1553="agile-bonbon-662",_xlfn.IFS(LEFT($G1553,9)="Tranche 1","Tranche 1: cleared",$C1553="Sessions_Level_1_All_Sites","Downstream aggregation of UA raw logs — keep if raw tables go",ISNUMBER(--$C1553),"UA raw site logs (account ID) — keep pending audit-retention check",$C1553="Emag_Reporting","Legacy but likely needed",$C1553="Nutrition_Data_Archived_Tables","Worth keeping",$C1553="EU_Data","Static lookup tables — scripts still reference (smoke-test risk)",TRUE,"Review"),OR($A1553="thg-influencer",$A1553="thg-ingenuity",$A1553="thg-central-marketing",$A1553="thg-seoclarity"),"HOLD — Charlie Stringer to review before deletion",TRUE,"")</f>
        <v>UA raw site logs (account ID) — keep pending audit-retention check</v>
      </c>
      <c r="S1553" t="s">
        <v>1631</v>
      </c>
    </row>
    <row r="1554" spans="1:19" ht="45.75" hidden="1">
      <c r="A1554" t="s">
        <v>89</v>
      </c>
      <c r="B1554" t="s">
        <v>1619</v>
      </c>
      <c r="C1554" t="s">
        <v>1241</v>
      </c>
      <c r="D1554" s="2" t="s">
        <v>1621</v>
      </c>
      <c r="E1554">
        <v>22.7</v>
      </c>
      <c r="F1554">
        <v>0.45</v>
      </c>
      <c r="G1554" t="s">
        <v>72</v>
      </c>
      <c r="H1554" t="s">
        <v>3457</v>
      </c>
      <c r="I1554">
        <v>35</v>
      </c>
      <c r="J1554">
        <v>1966</v>
      </c>
      <c r="K1554" s="5">
        <v>46161.622342430557</v>
      </c>
      <c r="M1554" s="2" t="s">
        <v>3907</v>
      </c>
      <c r="N1554" s="2" t="s">
        <v>1701</v>
      </c>
      <c r="O1554" s="5">
        <v>44230.865192974539</v>
      </c>
      <c r="P1554" t="str">
        <f>IF($Q1554="DELETE",IF($S1554="CONFIRMED: NO MODS &gt; 1YR","CONFIRMED: NO MODS &gt; 1YR","DO NOT DELETE — not defensibly confirmed"),IF($Q1554="HOLD","DO NOT DELETE — HOLD (Charlie review)",IF($Q1554="KEEP","DO NOT DELETE — KEEP",IF(ISNUMBER(SEARCH("REVIEW",$Q1554)),"DO NOT DELETE — REVIEW pending",$S1554))))</f>
        <v>DO NOT DELETE — REVIEW pending</v>
      </c>
      <c r="Q1554" t="str" cm="1">
        <f t="array" ref="Q1554">_xlfn.IFS(AND($A1554="thg-beauty",ISNUMBER(SEARCH("liveramp",$C1554))),"DELETE",$A1554="agile-bonbon-662",_xlfn.IFS(LEFT($G1554,9)="Tranche 1","DELETE",$C1554="Sessions_Level_1_All_Sites","KEEP",ISNUMBER(--$C1554),"REVIEW — UA raw logs",$C1554="Emag_Reporting","KEEP",$C1554="Nutrition_Data_Archived_Tables","KEEP",$C1554="EU_Data","KEEP",TRUE,"REVIEW"),OR($A1554="thg-influencer",$A1554="thg-ingenuity",$A1554="thg-central-marketing",$A1554="thg-seoclarity"),"HOLD",TRUE,"")</f>
        <v>REVIEW</v>
      </c>
      <c r="R1554" t="str" cm="1">
        <f t="array" ref="R1554">_xlfn.IFS(AND($A1554="thg-beauty",ISNUMBER(SEARCH("liveramp",$C1554))),"thg-beauty Liveramp dataset — confirmed safe to delete",$A1554="agile-bonbon-662",_xlfn.IFS(LEFT($G1554,9)="Tranche 1","Tranche 1: cleared",$C1554="Sessions_Level_1_All_Sites","Downstream aggregation of UA raw logs — keep if raw tables go",ISNUMBER(--$C1554),"UA raw site logs (account ID) — keep pending audit-retention check",$C1554="Emag_Reporting","Legacy but likely needed",$C1554="Nutrition_Data_Archived_Tables","Worth keeping",$C1554="EU_Data","Static lookup tables — scripts still reference (smoke-test risk)",TRUE,"Review"),OR($A1554="thg-influencer",$A1554="thg-ingenuity",$A1554="thg-central-marketing",$A1554="thg-seoclarity"),"HOLD — Charlie Stringer to review before deletion",TRUE,"")</f>
        <v>Review</v>
      </c>
      <c r="S1554" t="s">
        <v>1631</v>
      </c>
    </row>
    <row r="1555" spans="1:19" ht="45.75" hidden="1">
      <c r="A1555" t="s">
        <v>89</v>
      </c>
      <c r="B1555" t="s">
        <v>1619</v>
      </c>
      <c r="C1555" t="s">
        <v>1245</v>
      </c>
      <c r="D1555" s="2" t="s">
        <v>1621</v>
      </c>
      <c r="E1555">
        <v>22.66</v>
      </c>
      <c r="F1555">
        <v>0.45</v>
      </c>
      <c r="G1555" t="s">
        <v>72</v>
      </c>
      <c r="H1555" t="s">
        <v>3457</v>
      </c>
      <c r="I1555">
        <v>35</v>
      </c>
      <c r="J1555">
        <v>723</v>
      </c>
      <c r="K1555" s="5">
        <v>46161.590204930559</v>
      </c>
      <c r="M1555" s="2" t="s">
        <v>3402</v>
      </c>
      <c r="N1555" s="2" t="s">
        <v>1701</v>
      </c>
      <c r="O1555" s="5">
        <v>45474.275873645827</v>
      </c>
      <c r="P1555" t="str">
        <f>IF($Q1555="DELETE",IF($S1555="CONFIRMED: NO MODS &gt; 1YR","CONFIRMED: NO MODS &gt; 1YR","DO NOT DELETE — not defensibly confirmed"),IF($Q1555="HOLD","DO NOT DELETE — HOLD (Charlie review)",IF($Q1555="KEEP","DO NOT DELETE — KEEP",IF(ISNUMBER(SEARCH("REVIEW",$Q1555)),"DO NOT DELETE — REVIEW pending",$S1555))))</f>
        <v>DO NOT DELETE — REVIEW pending</v>
      </c>
      <c r="Q1555" t="str" cm="1">
        <f t="array" ref="Q1555">_xlfn.IFS(AND($A1555="thg-beauty",ISNUMBER(SEARCH("liveramp",$C1555))),"DELETE",$A1555="agile-bonbon-662",_xlfn.IFS(LEFT($G1555,9)="Tranche 1","DELETE",$C1555="Sessions_Level_1_All_Sites","KEEP",ISNUMBER(--$C1555),"REVIEW — UA raw logs",$C1555="Emag_Reporting","KEEP",$C1555="Nutrition_Data_Archived_Tables","KEEP",$C1555="EU_Data","KEEP",TRUE,"REVIEW"),OR($A1555="thg-influencer",$A1555="thg-ingenuity",$A1555="thg-central-marketing",$A1555="thg-seoclarity"),"HOLD",TRUE,"")</f>
        <v>REVIEW — UA raw logs</v>
      </c>
      <c r="R1555" t="str" cm="1">
        <f t="array" ref="R1555">_xlfn.IFS(AND($A1555="thg-beauty",ISNUMBER(SEARCH("liveramp",$C1555))),"thg-beauty Liveramp dataset — confirmed safe to delete",$A1555="agile-bonbon-662",_xlfn.IFS(LEFT($G1555,9)="Tranche 1","Tranche 1: cleared",$C1555="Sessions_Level_1_All_Sites","Downstream aggregation of UA raw logs — keep if raw tables go",ISNUMBER(--$C1555),"UA raw site logs (account ID) — keep pending audit-retention check",$C1555="Emag_Reporting","Legacy but likely needed",$C1555="Nutrition_Data_Archived_Tables","Worth keeping",$C1555="EU_Data","Static lookup tables — scripts still reference (smoke-test risk)",TRUE,"Review"),OR($A1555="thg-influencer",$A1555="thg-ingenuity",$A1555="thg-central-marketing",$A1555="thg-seoclarity"),"HOLD — Charlie Stringer to review before deletion",TRUE,"")</f>
        <v>UA raw site logs (account ID) — keep pending audit-retention check</v>
      </c>
      <c r="S1555" t="s">
        <v>1631</v>
      </c>
    </row>
    <row r="1556" spans="1:19" ht="45.75" hidden="1">
      <c r="A1556" t="s">
        <v>89</v>
      </c>
      <c r="B1556" t="s">
        <v>1619</v>
      </c>
      <c r="C1556" t="s">
        <v>1249</v>
      </c>
      <c r="D1556" s="2" t="s">
        <v>1621</v>
      </c>
      <c r="E1556">
        <v>22.37</v>
      </c>
      <c r="F1556">
        <v>0.45</v>
      </c>
      <c r="G1556" t="s">
        <v>72</v>
      </c>
      <c r="H1556" t="s">
        <v>3457</v>
      </c>
      <c r="I1556">
        <v>35</v>
      </c>
      <c r="J1556">
        <v>723</v>
      </c>
      <c r="K1556" s="5">
        <v>46161.583374675924</v>
      </c>
      <c r="M1556" s="2" t="s">
        <v>3442</v>
      </c>
      <c r="N1556" s="2" t="s">
        <v>1701</v>
      </c>
      <c r="O1556" s="5">
        <v>45474.258084513887</v>
      </c>
      <c r="P1556" t="str">
        <f>IF($Q1556="DELETE",IF($S1556="CONFIRMED: NO MODS &gt; 1YR","CONFIRMED: NO MODS &gt; 1YR","DO NOT DELETE — not defensibly confirmed"),IF($Q1556="HOLD","DO NOT DELETE — HOLD (Charlie review)",IF($Q1556="KEEP","DO NOT DELETE — KEEP",IF(ISNUMBER(SEARCH("REVIEW",$Q1556)),"DO NOT DELETE — REVIEW pending",$S1556))))</f>
        <v>DO NOT DELETE — REVIEW pending</v>
      </c>
      <c r="Q1556" t="str" cm="1">
        <f t="array" ref="Q1556">_xlfn.IFS(AND($A1556="thg-beauty",ISNUMBER(SEARCH("liveramp",$C1556))),"DELETE",$A1556="agile-bonbon-662",_xlfn.IFS(LEFT($G1556,9)="Tranche 1","DELETE",$C1556="Sessions_Level_1_All_Sites","KEEP",ISNUMBER(--$C1556),"REVIEW — UA raw logs",$C1556="Emag_Reporting","KEEP",$C1556="Nutrition_Data_Archived_Tables","KEEP",$C1556="EU_Data","KEEP",TRUE,"REVIEW"),OR($A1556="thg-influencer",$A1556="thg-ingenuity",$A1556="thg-central-marketing",$A1556="thg-seoclarity"),"HOLD",TRUE,"")</f>
        <v>REVIEW — UA raw logs</v>
      </c>
      <c r="R1556" t="str" cm="1">
        <f t="array" ref="R1556">_xlfn.IFS(AND($A1556="thg-beauty",ISNUMBER(SEARCH("liveramp",$C1556))),"thg-beauty Liveramp dataset — confirmed safe to delete",$A1556="agile-bonbon-662",_xlfn.IFS(LEFT($G1556,9)="Tranche 1","Tranche 1: cleared",$C1556="Sessions_Level_1_All_Sites","Downstream aggregation of UA raw logs — keep if raw tables go",ISNUMBER(--$C1556),"UA raw site logs (account ID) — keep pending audit-retention check",$C1556="Emag_Reporting","Legacy but likely needed",$C1556="Nutrition_Data_Archived_Tables","Worth keeping",$C1556="EU_Data","Static lookup tables — scripts still reference (smoke-test risk)",TRUE,"Review"),OR($A1556="thg-influencer",$A1556="thg-ingenuity",$A1556="thg-central-marketing",$A1556="thg-seoclarity"),"HOLD — Charlie Stringer to review before deletion",TRUE,"")</f>
        <v>UA raw site logs (account ID) — keep pending audit-retention check</v>
      </c>
      <c r="S1556" t="s">
        <v>1631</v>
      </c>
    </row>
    <row r="1557" spans="1:19" ht="45.75" hidden="1">
      <c r="A1557" t="s">
        <v>89</v>
      </c>
      <c r="B1557" t="s">
        <v>1619</v>
      </c>
      <c r="C1557" t="s">
        <v>1253</v>
      </c>
      <c r="D1557" s="2" t="s">
        <v>1621</v>
      </c>
      <c r="E1557">
        <v>22.13</v>
      </c>
      <c r="F1557">
        <v>0.44</v>
      </c>
      <c r="G1557" t="s">
        <v>72</v>
      </c>
      <c r="H1557" t="s">
        <v>3457</v>
      </c>
      <c r="I1557">
        <v>35</v>
      </c>
      <c r="J1557">
        <v>723</v>
      </c>
      <c r="K1557" s="5">
        <v>46161.585135648151</v>
      </c>
      <c r="M1557" s="2" t="s">
        <v>3438</v>
      </c>
      <c r="N1557" s="2" t="s">
        <v>1701</v>
      </c>
      <c r="O1557" s="5">
        <v>45474.273506666657</v>
      </c>
      <c r="P1557" t="str">
        <f>IF($Q1557="DELETE",IF($S1557="CONFIRMED: NO MODS &gt; 1YR","CONFIRMED: NO MODS &gt; 1YR","DO NOT DELETE — not defensibly confirmed"),IF($Q1557="HOLD","DO NOT DELETE — HOLD (Charlie review)",IF($Q1557="KEEP","DO NOT DELETE — KEEP",IF(ISNUMBER(SEARCH("REVIEW",$Q1557)),"DO NOT DELETE — REVIEW pending",$S1557))))</f>
        <v>DO NOT DELETE — REVIEW pending</v>
      </c>
      <c r="Q1557" t="str" cm="1">
        <f t="array" ref="Q1557">_xlfn.IFS(AND($A1557="thg-beauty",ISNUMBER(SEARCH("liveramp",$C1557))),"DELETE",$A1557="agile-bonbon-662",_xlfn.IFS(LEFT($G1557,9)="Tranche 1","DELETE",$C1557="Sessions_Level_1_All_Sites","KEEP",ISNUMBER(--$C1557),"REVIEW — UA raw logs",$C1557="Emag_Reporting","KEEP",$C1557="Nutrition_Data_Archived_Tables","KEEP",$C1557="EU_Data","KEEP",TRUE,"REVIEW"),OR($A1557="thg-influencer",$A1557="thg-ingenuity",$A1557="thg-central-marketing",$A1557="thg-seoclarity"),"HOLD",TRUE,"")</f>
        <v>REVIEW — UA raw logs</v>
      </c>
      <c r="R1557" t="str" cm="1">
        <f t="array" ref="R1557">_xlfn.IFS(AND($A1557="thg-beauty",ISNUMBER(SEARCH("liveramp",$C1557))),"thg-beauty Liveramp dataset — confirmed safe to delete",$A1557="agile-bonbon-662",_xlfn.IFS(LEFT($G1557,9)="Tranche 1","Tranche 1: cleared",$C1557="Sessions_Level_1_All_Sites","Downstream aggregation of UA raw logs — keep if raw tables go",ISNUMBER(--$C1557),"UA raw site logs (account ID) — keep pending audit-retention check",$C1557="Emag_Reporting","Legacy but likely needed",$C1557="Nutrition_Data_Archived_Tables","Worth keeping",$C1557="EU_Data","Static lookup tables — scripts still reference (smoke-test risk)",TRUE,"Review"),OR($A1557="thg-influencer",$A1557="thg-ingenuity",$A1557="thg-central-marketing",$A1557="thg-seoclarity"),"HOLD — Charlie Stringer to review before deletion",TRUE,"")</f>
        <v>UA raw site logs (account ID) — keep pending audit-retention check</v>
      </c>
      <c r="S1557" t="s">
        <v>1631</v>
      </c>
    </row>
    <row r="1558" spans="1:19" ht="45.75" hidden="1">
      <c r="A1558" t="s">
        <v>89</v>
      </c>
      <c r="B1558" t="s">
        <v>1619</v>
      </c>
      <c r="C1558" t="s">
        <v>1257</v>
      </c>
      <c r="D1558" s="2" t="s">
        <v>1621</v>
      </c>
      <c r="E1558">
        <v>21.11</v>
      </c>
      <c r="F1558">
        <v>0.42</v>
      </c>
      <c r="G1558" t="s">
        <v>72</v>
      </c>
      <c r="H1558" t="s">
        <v>3457</v>
      </c>
      <c r="I1558">
        <v>35</v>
      </c>
      <c r="J1558">
        <v>983</v>
      </c>
      <c r="K1558" s="5">
        <v>46161.617456712956</v>
      </c>
      <c r="M1558" s="2" t="s">
        <v>1921</v>
      </c>
      <c r="N1558" s="2" t="s">
        <v>1701</v>
      </c>
      <c r="O1558" s="5">
        <v>45214.289461828703</v>
      </c>
      <c r="P1558" t="str">
        <f>IF($Q1558="DELETE",IF($S1558="CONFIRMED: NO MODS &gt; 1YR","CONFIRMED: NO MODS &gt; 1YR","DO NOT DELETE — not defensibly confirmed"),IF($Q1558="HOLD","DO NOT DELETE — HOLD (Charlie review)",IF($Q1558="KEEP","DO NOT DELETE — KEEP",IF(ISNUMBER(SEARCH("REVIEW",$Q1558)),"DO NOT DELETE — REVIEW pending",$S1558))))</f>
        <v>DO NOT DELETE — REVIEW pending</v>
      </c>
      <c r="Q1558" t="str" cm="1">
        <f t="array" ref="Q1558">_xlfn.IFS(AND($A1558="thg-beauty",ISNUMBER(SEARCH("liveramp",$C1558))),"DELETE",$A1558="agile-bonbon-662",_xlfn.IFS(LEFT($G1558,9)="Tranche 1","DELETE",$C1558="Sessions_Level_1_All_Sites","KEEP",ISNUMBER(--$C1558),"REVIEW — UA raw logs",$C1558="Emag_Reporting","KEEP",$C1558="Nutrition_Data_Archived_Tables","KEEP",$C1558="EU_Data","KEEP",TRUE,"REVIEW"),OR($A1558="thg-influencer",$A1558="thg-ingenuity",$A1558="thg-central-marketing",$A1558="thg-seoclarity"),"HOLD",TRUE,"")</f>
        <v>REVIEW</v>
      </c>
      <c r="R1558" t="str" cm="1">
        <f t="array" ref="R1558">_xlfn.IFS(AND($A1558="thg-beauty",ISNUMBER(SEARCH("liveramp",$C1558))),"thg-beauty Liveramp dataset — confirmed safe to delete",$A1558="agile-bonbon-662",_xlfn.IFS(LEFT($G1558,9)="Tranche 1","Tranche 1: cleared",$C1558="Sessions_Level_1_All_Sites","Downstream aggregation of UA raw logs — keep if raw tables go",ISNUMBER(--$C1558),"UA raw site logs (account ID) — keep pending audit-retention check",$C1558="Emag_Reporting","Legacy but likely needed",$C1558="Nutrition_Data_Archived_Tables","Worth keeping",$C1558="EU_Data","Static lookup tables — scripts still reference (smoke-test risk)",TRUE,"Review"),OR($A1558="thg-influencer",$A1558="thg-ingenuity",$A1558="thg-central-marketing",$A1558="thg-seoclarity"),"HOLD — Charlie Stringer to review before deletion",TRUE,"")</f>
        <v>Review</v>
      </c>
      <c r="S1558" t="s">
        <v>1631</v>
      </c>
    </row>
    <row r="1559" spans="1:19" ht="45.75" hidden="1">
      <c r="A1559" t="s">
        <v>89</v>
      </c>
      <c r="B1559" t="s">
        <v>1619</v>
      </c>
      <c r="C1559" t="s">
        <v>1262</v>
      </c>
      <c r="D1559" s="2" t="s">
        <v>1621</v>
      </c>
      <c r="E1559">
        <v>21</v>
      </c>
      <c r="F1559">
        <v>0.42</v>
      </c>
      <c r="G1559" t="s">
        <v>72</v>
      </c>
      <c r="H1559" t="s">
        <v>3457</v>
      </c>
      <c r="I1559">
        <v>35</v>
      </c>
      <c r="J1559">
        <v>1860</v>
      </c>
      <c r="K1559" s="5">
        <v>46161.610542071758</v>
      </c>
      <c r="M1559" s="2" t="s">
        <v>3908</v>
      </c>
      <c r="N1559" s="2" t="s">
        <v>1701</v>
      </c>
      <c r="O1559" s="5">
        <v>44336.527273425927</v>
      </c>
      <c r="P1559" t="str">
        <f>IF($Q1559="DELETE",IF($S1559="CONFIRMED: NO MODS &gt; 1YR","CONFIRMED: NO MODS &gt; 1YR","DO NOT DELETE — not defensibly confirmed"),IF($Q1559="HOLD","DO NOT DELETE — HOLD (Charlie review)",IF($Q1559="KEEP","DO NOT DELETE — KEEP",IF(ISNUMBER(SEARCH("REVIEW",$Q1559)),"DO NOT DELETE — REVIEW pending",$S1559))))</f>
        <v>DO NOT DELETE — REVIEW pending</v>
      </c>
      <c r="Q1559" t="str" cm="1">
        <f t="array" ref="Q1559">_xlfn.IFS(AND($A1559="thg-beauty",ISNUMBER(SEARCH("liveramp",$C1559))),"DELETE",$A1559="agile-bonbon-662",_xlfn.IFS(LEFT($G1559,9)="Tranche 1","DELETE",$C1559="Sessions_Level_1_All_Sites","KEEP",ISNUMBER(--$C1559),"REVIEW — UA raw logs",$C1559="Emag_Reporting","KEEP",$C1559="Nutrition_Data_Archived_Tables","KEEP",$C1559="EU_Data","KEEP",TRUE,"REVIEW"),OR($A1559="thg-influencer",$A1559="thg-ingenuity",$A1559="thg-central-marketing",$A1559="thg-seoclarity"),"HOLD",TRUE,"")</f>
        <v>REVIEW</v>
      </c>
      <c r="R1559" t="str" cm="1">
        <f t="array" ref="R1559">_xlfn.IFS(AND($A1559="thg-beauty",ISNUMBER(SEARCH("liveramp",$C1559))),"thg-beauty Liveramp dataset — confirmed safe to delete",$A1559="agile-bonbon-662",_xlfn.IFS(LEFT($G1559,9)="Tranche 1","Tranche 1: cleared",$C1559="Sessions_Level_1_All_Sites","Downstream aggregation of UA raw logs — keep if raw tables go",ISNUMBER(--$C1559),"UA raw site logs (account ID) — keep pending audit-retention check",$C1559="Emag_Reporting","Legacy but likely needed",$C1559="Nutrition_Data_Archived_Tables","Worth keeping",$C1559="EU_Data","Static lookup tables — scripts still reference (smoke-test risk)",TRUE,"Review"),OR($A1559="thg-influencer",$A1559="thg-ingenuity",$A1559="thg-central-marketing",$A1559="thg-seoclarity"),"HOLD — Charlie Stringer to review before deletion",TRUE,"")</f>
        <v>Review</v>
      </c>
      <c r="S1559" t="s">
        <v>1624</v>
      </c>
    </row>
    <row r="1560" spans="1:19" ht="45.75" hidden="1">
      <c r="A1560" t="s">
        <v>89</v>
      </c>
      <c r="B1560" t="s">
        <v>1619</v>
      </c>
      <c r="C1560" t="s">
        <v>1271</v>
      </c>
      <c r="D1560" s="2" t="s">
        <v>1621</v>
      </c>
      <c r="E1560">
        <v>20.399999999999999</v>
      </c>
      <c r="F1560">
        <v>0.41</v>
      </c>
      <c r="G1560" t="s">
        <v>72</v>
      </c>
      <c r="H1560" t="s">
        <v>3457</v>
      </c>
      <c r="I1560">
        <v>35</v>
      </c>
      <c r="J1560">
        <v>723</v>
      </c>
      <c r="K1560" s="5">
        <v>46161.59967196759</v>
      </c>
      <c r="M1560" s="2" t="s">
        <v>3415</v>
      </c>
      <c r="N1560" s="2" t="s">
        <v>1701</v>
      </c>
      <c r="O1560" s="5">
        <v>45474.263173148152</v>
      </c>
      <c r="P1560" t="str">
        <f>IF($Q1560="DELETE",IF($S1560="CONFIRMED: NO MODS &gt; 1YR","CONFIRMED: NO MODS &gt; 1YR","DO NOT DELETE — not defensibly confirmed"),IF($Q1560="HOLD","DO NOT DELETE — HOLD (Charlie review)",IF($Q1560="KEEP","DO NOT DELETE — KEEP",IF(ISNUMBER(SEARCH("REVIEW",$Q1560)),"DO NOT DELETE — REVIEW pending",$S1560))))</f>
        <v>DO NOT DELETE — REVIEW pending</v>
      </c>
      <c r="Q1560" t="str" cm="1">
        <f t="array" ref="Q1560">_xlfn.IFS(AND($A1560="thg-beauty",ISNUMBER(SEARCH("liveramp",$C1560))),"DELETE",$A1560="agile-bonbon-662",_xlfn.IFS(LEFT($G1560,9)="Tranche 1","DELETE",$C1560="Sessions_Level_1_All_Sites","KEEP",ISNUMBER(--$C1560),"REVIEW — UA raw logs",$C1560="Emag_Reporting","KEEP",$C1560="Nutrition_Data_Archived_Tables","KEEP",$C1560="EU_Data","KEEP",TRUE,"REVIEW"),OR($A1560="thg-influencer",$A1560="thg-ingenuity",$A1560="thg-central-marketing",$A1560="thg-seoclarity"),"HOLD",TRUE,"")</f>
        <v>REVIEW — UA raw logs</v>
      </c>
      <c r="R1560" t="str" cm="1">
        <f t="array" ref="R1560">_xlfn.IFS(AND($A1560="thg-beauty",ISNUMBER(SEARCH("liveramp",$C1560))),"thg-beauty Liveramp dataset — confirmed safe to delete",$A1560="agile-bonbon-662",_xlfn.IFS(LEFT($G1560,9)="Tranche 1","Tranche 1: cleared",$C1560="Sessions_Level_1_All_Sites","Downstream aggregation of UA raw logs — keep if raw tables go",ISNUMBER(--$C1560),"UA raw site logs (account ID) — keep pending audit-retention check",$C1560="Emag_Reporting","Legacy but likely needed",$C1560="Nutrition_Data_Archived_Tables","Worth keeping",$C1560="EU_Data","Static lookup tables — scripts still reference (smoke-test risk)",TRUE,"Review"),OR($A1560="thg-influencer",$A1560="thg-ingenuity",$A1560="thg-central-marketing",$A1560="thg-seoclarity"),"HOLD — Charlie Stringer to review before deletion",TRUE,"")</f>
        <v>UA raw site logs (account ID) — keep pending audit-retention check</v>
      </c>
      <c r="S1560" t="s">
        <v>1624</v>
      </c>
    </row>
    <row r="1561" spans="1:19" ht="45.75" hidden="1">
      <c r="A1561" t="s">
        <v>89</v>
      </c>
      <c r="B1561" t="s">
        <v>1619</v>
      </c>
      <c r="C1561" t="s">
        <v>1275</v>
      </c>
      <c r="D1561" s="2" t="s">
        <v>1621</v>
      </c>
      <c r="E1561">
        <v>20.260000000000002</v>
      </c>
      <c r="F1561">
        <v>0.41</v>
      </c>
      <c r="G1561" t="s">
        <v>72</v>
      </c>
      <c r="H1561" t="s">
        <v>3457</v>
      </c>
      <c r="I1561">
        <v>35</v>
      </c>
      <c r="J1561">
        <v>931</v>
      </c>
      <c r="K1561" s="5">
        <v>46161.61675321759</v>
      </c>
      <c r="M1561" s="2" t="s">
        <v>1925</v>
      </c>
      <c r="N1561" s="2" t="s">
        <v>1701</v>
      </c>
      <c r="O1561" s="5">
        <v>45266.442626643518</v>
      </c>
      <c r="P1561" t="str">
        <f>IF($Q1561="DELETE",IF($S1561="CONFIRMED: NO MODS &gt; 1YR","CONFIRMED: NO MODS &gt; 1YR","DO NOT DELETE — not defensibly confirmed"),IF($Q1561="HOLD","DO NOT DELETE — HOLD (Charlie review)",IF($Q1561="KEEP","DO NOT DELETE — KEEP",IF(ISNUMBER(SEARCH("REVIEW",$Q1561)),"DO NOT DELETE — REVIEW pending",$S1561))))</f>
        <v>DO NOT DELETE — REVIEW pending</v>
      </c>
      <c r="Q1561" t="str" cm="1">
        <f t="array" ref="Q1561">_xlfn.IFS(AND($A1561="thg-beauty",ISNUMBER(SEARCH("liveramp",$C1561))),"DELETE",$A1561="agile-bonbon-662",_xlfn.IFS(LEFT($G1561,9)="Tranche 1","DELETE",$C1561="Sessions_Level_1_All_Sites","KEEP",ISNUMBER(--$C1561),"REVIEW — UA raw logs",$C1561="Emag_Reporting","KEEP",$C1561="Nutrition_Data_Archived_Tables","KEEP",$C1561="EU_Data","KEEP",TRUE,"REVIEW"),OR($A1561="thg-influencer",$A1561="thg-ingenuity",$A1561="thg-central-marketing",$A1561="thg-seoclarity"),"HOLD",TRUE,"")</f>
        <v>REVIEW</v>
      </c>
      <c r="R1561" t="str" cm="1">
        <f t="array" ref="R1561">_xlfn.IFS(AND($A1561="thg-beauty",ISNUMBER(SEARCH("liveramp",$C1561))),"thg-beauty Liveramp dataset — confirmed safe to delete",$A1561="agile-bonbon-662",_xlfn.IFS(LEFT($G1561,9)="Tranche 1","Tranche 1: cleared",$C1561="Sessions_Level_1_All_Sites","Downstream aggregation of UA raw logs — keep if raw tables go",ISNUMBER(--$C1561),"UA raw site logs (account ID) — keep pending audit-retention check",$C1561="Emag_Reporting","Legacy but likely needed",$C1561="Nutrition_Data_Archived_Tables","Worth keeping",$C1561="EU_Data","Static lookup tables — scripts still reference (smoke-test risk)",TRUE,"Review"),OR($A1561="thg-influencer",$A1561="thg-ingenuity",$A1561="thg-central-marketing",$A1561="thg-seoclarity"),"HOLD — Charlie Stringer to review before deletion",TRUE,"")</f>
        <v>Review</v>
      </c>
      <c r="S1561" t="s">
        <v>1624</v>
      </c>
    </row>
    <row r="1562" spans="1:19" ht="45.75" hidden="1">
      <c r="A1562" t="s">
        <v>89</v>
      </c>
      <c r="B1562" t="s">
        <v>1619</v>
      </c>
      <c r="C1562" t="s">
        <v>1279</v>
      </c>
      <c r="D1562" s="2" t="s">
        <v>1621</v>
      </c>
      <c r="E1562">
        <v>19.79</v>
      </c>
      <c r="F1562">
        <v>0.4</v>
      </c>
      <c r="G1562" t="s">
        <v>72</v>
      </c>
      <c r="H1562" t="s">
        <v>3457</v>
      </c>
      <c r="I1562">
        <v>35</v>
      </c>
      <c r="J1562">
        <v>723</v>
      </c>
      <c r="K1562" s="5">
        <v>46161.600322824073</v>
      </c>
      <c r="M1562" s="2" t="s">
        <v>3428</v>
      </c>
      <c r="N1562" s="2" t="s">
        <v>1701</v>
      </c>
      <c r="O1562" s="5">
        <v>45474.224607384262</v>
      </c>
      <c r="P1562" t="str">
        <f>IF($Q1562="DELETE",IF($S1562="CONFIRMED: NO MODS &gt; 1YR","CONFIRMED: NO MODS &gt; 1YR","DO NOT DELETE — not defensibly confirmed"),IF($Q1562="HOLD","DO NOT DELETE — HOLD (Charlie review)",IF($Q1562="KEEP","DO NOT DELETE — KEEP",IF(ISNUMBER(SEARCH("REVIEW",$Q1562)),"DO NOT DELETE — REVIEW pending",$S1562))))</f>
        <v>DO NOT DELETE — REVIEW pending</v>
      </c>
      <c r="Q1562" t="str" cm="1">
        <f t="array" ref="Q1562">_xlfn.IFS(AND($A1562="thg-beauty",ISNUMBER(SEARCH("liveramp",$C1562))),"DELETE",$A1562="agile-bonbon-662",_xlfn.IFS(LEFT($G1562,9)="Tranche 1","DELETE",$C1562="Sessions_Level_1_All_Sites","KEEP",ISNUMBER(--$C1562),"REVIEW — UA raw logs",$C1562="Emag_Reporting","KEEP",$C1562="Nutrition_Data_Archived_Tables","KEEP",$C1562="EU_Data","KEEP",TRUE,"REVIEW"),OR($A1562="thg-influencer",$A1562="thg-ingenuity",$A1562="thg-central-marketing",$A1562="thg-seoclarity"),"HOLD",TRUE,"")</f>
        <v>REVIEW — UA raw logs</v>
      </c>
      <c r="R1562" t="str" cm="1">
        <f t="array" ref="R1562">_xlfn.IFS(AND($A1562="thg-beauty",ISNUMBER(SEARCH("liveramp",$C1562))),"thg-beauty Liveramp dataset — confirmed safe to delete",$A1562="agile-bonbon-662",_xlfn.IFS(LEFT($G1562,9)="Tranche 1","Tranche 1: cleared",$C1562="Sessions_Level_1_All_Sites","Downstream aggregation of UA raw logs — keep if raw tables go",ISNUMBER(--$C1562),"UA raw site logs (account ID) — keep pending audit-retention check",$C1562="Emag_Reporting","Legacy but likely needed",$C1562="Nutrition_Data_Archived_Tables","Worth keeping",$C1562="EU_Data","Static lookup tables — scripts still reference (smoke-test risk)",TRUE,"Review"),OR($A1562="thg-influencer",$A1562="thg-ingenuity",$A1562="thg-central-marketing",$A1562="thg-seoclarity"),"HOLD — Charlie Stringer to review before deletion",TRUE,"")</f>
        <v>UA raw site logs (account ID) — keep pending audit-retention check</v>
      </c>
      <c r="S1562" t="s">
        <v>1624</v>
      </c>
    </row>
    <row r="1563" spans="1:19" ht="45.75" hidden="1">
      <c r="A1563" t="s">
        <v>89</v>
      </c>
      <c r="B1563" t="s">
        <v>1619</v>
      </c>
      <c r="C1563" t="s">
        <v>1292</v>
      </c>
      <c r="D1563" s="2" t="s">
        <v>1621</v>
      </c>
      <c r="E1563">
        <v>19.600000000000001</v>
      </c>
      <c r="F1563">
        <v>0.39</v>
      </c>
      <c r="G1563" t="s">
        <v>72</v>
      </c>
      <c r="H1563" t="s">
        <v>3457</v>
      </c>
      <c r="I1563">
        <v>35</v>
      </c>
      <c r="J1563">
        <v>723</v>
      </c>
      <c r="K1563" s="5">
        <v>46161.587435266207</v>
      </c>
      <c r="M1563" s="2" t="s">
        <v>3440</v>
      </c>
      <c r="N1563" s="2" t="s">
        <v>1701</v>
      </c>
      <c r="O1563" s="5">
        <v>45474.273913113429</v>
      </c>
      <c r="P1563" t="str">
        <f>IF($Q1563="DELETE",IF($S1563="CONFIRMED: NO MODS &gt; 1YR","CONFIRMED: NO MODS &gt; 1YR","DO NOT DELETE — not defensibly confirmed"),IF($Q1563="HOLD","DO NOT DELETE — HOLD (Charlie review)",IF($Q1563="KEEP","DO NOT DELETE — KEEP",IF(ISNUMBER(SEARCH("REVIEW",$Q1563)),"DO NOT DELETE — REVIEW pending",$S1563))))</f>
        <v>DO NOT DELETE — REVIEW pending</v>
      </c>
      <c r="Q1563" t="str" cm="1">
        <f t="array" ref="Q1563">_xlfn.IFS(AND($A1563="thg-beauty",ISNUMBER(SEARCH("liveramp",$C1563))),"DELETE",$A1563="agile-bonbon-662",_xlfn.IFS(LEFT($G1563,9)="Tranche 1","DELETE",$C1563="Sessions_Level_1_All_Sites","KEEP",ISNUMBER(--$C1563),"REVIEW — UA raw logs",$C1563="Emag_Reporting","KEEP",$C1563="Nutrition_Data_Archived_Tables","KEEP",$C1563="EU_Data","KEEP",TRUE,"REVIEW"),OR($A1563="thg-influencer",$A1563="thg-ingenuity",$A1563="thg-central-marketing",$A1563="thg-seoclarity"),"HOLD",TRUE,"")</f>
        <v>REVIEW — UA raw logs</v>
      </c>
      <c r="R1563" t="str" cm="1">
        <f t="array" ref="R1563">_xlfn.IFS(AND($A1563="thg-beauty",ISNUMBER(SEARCH("liveramp",$C1563))),"thg-beauty Liveramp dataset — confirmed safe to delete",$A1563="agile-bonbon-662",_xlfn.IFS(LEFT($G1563,9)="Tranche 1","Tranche 1: cleared",$C1563="Sessions_Level_1_All_Sites","Downstream aggregation of UA raw logs — keep if raw tables go",ISNUMBER(--$C1563),"UA raw site logs (account ID) — keep pending audit-retention check",$C1563="Emag_Reporting","Legacy but likely needed",$C1563="Nutrition_Data_Archived_Tables","Worth keeping",$C1563="EU_Data","Static lookup tables — scripts still reference (smoke-test risk)",TRUE,"Review"),OR($A1563="thg-influencer",$A1563="thg-ingenuity",$A1563="thg-central-marketing",$A1563="thg-seoclarity"),"HOLD — Charlie Stringer to review before deletion",TRUE,"")</f>
        <v>UA raw site logs (account ID) — keep pending audit-retention check</v>
      </c>
      <c r="S1563" t="s">
        <v>1624</v>
      </c>
    </row>
    <row r="1564" spans="1:19" ht="45.75" hidden="1">
      <c r="A1564" t="s">
        <v>89</v>
      </c>
      <c r="B1564" t="s">
        <v>1619</v>
      </c>
      <c r="C1564" t="s">
        <v>1288</v>
      </c>
      <c r="D1564" s="2" t="s">
        <v>1621</v>
      </c>
      <c r="E1564">
        <v>19.57</v>
      </c>
      <c r="F1564">
        <v>0.39</v>
      </c>
      <c r="G1564" t="s">
        <v>72</v>
      </c>
      <c r="H1564" t="s">
        <v>3457</v>
      </c>
      <c r="I1564">
        <v>35</v>
      </c>
      <c r="J1564">
        <v>723</v>
      </c>
      <c r="K1564" s="5">
        <v>46161.594754837963</v>
      </c>
      <c r="M1564" s="2" t="s">
        <v>3902</v>
      </c>
      <c r="N1564" s="2" t="s">
        <v>1701</v>
      </c>
      <c r="O1564" s="5">
        <v>45474.297333842587</v>
      </c>
      <c r="P1564" t="str">
        <f>IF($Q1564="DELETE",IF($S1564="CONFIRMED: NO MODS &gt; 1YR","CONFIRMED: NO MODS &gt; 1YR","DO NOT DELETE — not defensibly confirmed"),IF($Q1564="HOLD","DO NOT DELETE — HOLD (Charlie review)",IF($Q1564="KEEP","DO NOT DELETE — KEEP",IF(ISNUMBER(SEARCH("REVIEW",$Q1564)),"DO NOT DELETE — REVIEW pending",$S1564))))</f>
        <v>DO NOT DELETE — REVIEW pending</v>
      </c>
      <c r="Q1564" t="str" cm="1">
        <f t="array" ref="Q1564">_xlfn.IFS(AND($A1564="thg-beauty",ISNUMBER(SEARCH("liveramp",$C1564))),"DELETE",$A1564="agile-bonbon-662",_xlfn.IFS(LEFT($G1564,9)="Tranche 1","DELETE",$C1564="Sessions_Level_1_All_Sites","KEEP",ISNUMBER(--$C1564),"REVIEW — UA raw logs",$C1564="Emag_Reporting","KEEP",$C1564="Nutrition_Data_Archived_Tables","KEEP",$C1564="EU_Data","KEEP",TRUE,"REVIEW"),OR($A1564="thg-influencer",$A1564="thg-ingenuity",$A1564="thg-central-marketing",$A1564="thg-seoclarity"),"HOLD",TRUE,"")</f>
        <v>REVIEW — UA raw logs</v>
      </c>
      <c r="R1564" t="str" cm="1">
        <f t="array" ref="R1564">_xlfn.IFS(AND($A1564="thg-beauty",ISNUMBER(SEARCH("liveramp",$C1564))),"thg-beauty Liveramp dataset — confirmed safe to delete",$A1564="agile-bonbon-662",_xlfn.IFS(LEFT($G1564,9)="Tranche 1","Tranche 1: cleared",$C1564="Sessions_Level_1_All_Sites","Downstream aggregation of UA raw logs — keep if raw tables go",ISNUMBER(--$C1564),"UA raw site logs (account ID) — keep pending audit-retention check",$C1564="Emag_Reporting","Legacy but likely needed",$C1564="Nutrition_Data_Archived_Tables","Worth keeping",$C1564="EU_Data","Static lookup tables — scripts still reference (smoke-test risk)",TRUE,"Review"),OR($A1564="thg-influencer",$A1564="thg-ingenuity",$A1564="thg-central-marketing",$A1564="thg-seoclarity"),"HOLD — Charlie Stringer to review before deletion",TRUE,"")</f>
        <v>UA raw site logs (account ID) — keep pending audit-retention check</v>
      </c>
      <c r="S1564" t="s">
        <v>1624</v>
      </c>
    </row>
    <row r="1565" spans="1:19" ht="45.75" hidden="1">
      <c r="A1565" t="s">
        <v>89</v>
      </c>
      <c r="B1565" t="s">
        <v>1619</v>
      </c>
      <c r="C1565" t="s">
        <v>1296</v>
      </c>
      <c r="D1565" s="2" t="s">
        <v>1621</v>
      </c>
      <c r="E1565">
        <v>19.46</v>
      </c>
      <c r="F1565">
        <v>0.39</v>
      </c>
      <c r="G1565" t="s">
        <v>72</v>
      </c>
      <c r="H1565" t="s">
        <v>3457</v>
      </c>
      <c r="I1565">
        <v>35</v>
      </c>
      <c r="J1565">
        <v>1715</v>
      </c>
      <c r="K1565" s="5">
        <v>46161.607357222223</v>
      </c>
      <c r="M1565" s="2" t="s">
        <v>3909</v>
      </c>
      <c r="N1565" s="2" t="s">
        <v>1701</v>
      </c>
      <c r="O1565" s="5">
        <v>44482.23143753472</v>
      </c>
      <c r="P1565" t="str">
        <f>IF($Q1565="DELETE",IF($S1565="CONFIRMED: NO MODS &gt; 1YR","CONFIRMED: NO MODS &gt; 1YR","DO NOT DELETE — not defensibly confirmed"),IF($Q1565="HOLD","DO NOT DELETE — HOLD (Charlie review)",IF($Q1565="KEEP","DO NOT DELETE — KEEP",IF(ISNUMBER(SEARCH("REVIEW",$Q1565)),"DO NOT DELETE — REVIEW pending",$S1565))))</f>
        <v>DO NOT DELETE — REVIEW pending</v>
      </c>
      <c r="Q1565" t="str" cm="1">
        <f t="array" ref="Q1565">_xlfn.IFS(AND($A1565="thg-beauty",ISNUMBER(SEARCH("liveramp",$C1565))),"DELETE",$A1565="agile-bonbon-662",_xlfn.IFS(LEFT($G1565,9)="Tranche 1","DELETE",$C1565="Sessions_Level_1_All_Sites","KEEP",ISNUMBER(--$C1565),"REVIEW — UA raw logs",$C1565="Emag_Reporting","KEEP",$C1565="Nutrition_Data_Archived_Tables","KEEP",$C1565="EU_Data","KEEP",TRUE,"REVIEW"),OR($A1565="thg-influencer",$A1565="thg-ingenuity",$A1565="thg-central-marketing",$A1565="thg-seoclarity"),"HOLD",TRUE,"")</f>
        <v>REVIEW</v>
      </c>
      <c r="R1565" t="str" cm="1">
        <f t="array" ref="R1565">_xlfn.IFS(AND($A1565="thg-beauty",ISNUMBER(SEARCH("liveramp",$C1565))),"thg-beauty Liveramp dataset — confirmed safe to delete",$A1565="agile-bonbon-662",_xlfn.IFS(LEFT($G1565,9)="Tranche 1","Tranche 1: cleared",$C1565="Sessions_Level_1_All_Sites","Downstream aggregation of UA raw logs — keep if raw tables go",ISNUMBER(--$C1565),"UA raw site logs (account ID) — keep pending audit-retention check",$C1565="Emag_Reporting","Legacy but likely needed",$C1565="Nutrition_Data_Archived_Tables","Worth keeping",$C1565="EU_Data","Static lookup tables — scripts still reference (smoke-test risk)",TRUE,"Review"),OR($A1565="thg-influencer",$A1565="thg-ingenuity",$A1565="thg-central-marketing",$A1565="thg-seoclarity"),"HOLD — Charlie Stringer to review before deletion",TRUE,"")</f>
        <v>Review</v>
      </c>
      <c r="S1565" t="s">
        <v>1624</v>
      </c>
    </row>
    <row r="1566" spans="1:19" ht="45.75" hidden="1">
      <c r="A1566" t="s">
        <v>89</v>
      </c>
      <c r="B1566" t="s">
        <v>1619</v>
      </c>
      <c r="C1566" t="s">
        <v>1283</v>
      </c>
      <c r="D1566" s="2" t="s">
        <v>1621</v>
      </c>
      <c r="E1566">
        <v>19.32</v>
      </c>
      <c r="F1566">
        <v>0.39</v>
      </c>
      <c r="G1566" t="s">
        <v>72</v>
      </c>
      <c r="H1566" t="s">
        <v>3457</v>
      </c>
      <c r="I1566">
        <v>35</v>
      </c>
      <c r="J1566">
        <v>865</v>
      </c>
      <c r="K1566" s="5">
        <v>46161.594647523147</v>
      </c>
      <c r="M1566" s="2" t="s">
        <v>3902</v>
      </c>
      <c r="N1566" s="2" t="s">
        <v>1701</v>
      </c>
      <c r="O1566" s="5">
        <v>45332.265176863417</v>
      </c>
      <c r="P1566" t="str">
        <f>IF($Q1566="DELETE",IF($S1566="CONFIRMED: NO MODS &gt; 1YR","CONFIRMED: NO MODS &gt; 1YR","DO NOT DELETE — not defensibly confirmed"),IF($Q1566="HOLD","DO NOT DELETE — HOLD (Charlie review)",IF($Q1566="KEEP","DO NOT DELETE — KEEP",IF(ISNUMBER(SEARCH("REVIEW",$Q1566)),"DO NOT DELETE — REVIEW pending",$S1566))))</f>
        <v>DO NOT DELETE — REVIEW pending</v>
      </c>
      <c r="Q1566" t="str" cm="1">
        <f t="array" ref="Q1566">_xlfn.IFS(AND($A1566="thg-beauty",ISNUMBER(SEARCH("liveramp",$C1566))),"DELETE",$A1566="agile-bonbon-662",_xlfn.IFS(LEFT($G1566,9)="Tranche 1","DELETE",$C1566="Sessions_Level_1_All_Sites","KEEP",ISNUMBER(--$C1566),"REVIEW — UA raw logs",$C1566="Emag_Reporting","KEEP",$C1566="Nutrition_Data_Archived_Tables","KEEP",$C1566="EU_Data","KEEP",TRUE,"REVIEW"),OR($A1566="thg-influencer",$A1566="thg-ingenuity",$A1566="thg-central-marketing",$A1566="thg-seoclarity"),"HOLD",TRUE,"")</f>
        <v>REVIEW — UA raw logs</v>
      </c>
      <c r="R1566" t="str" cm="1">
        <f t="array" ref="R1566">_xlfn.IFS(AND($A1566="thg-beauty",ISNUMBER(SEARCH("liveramp",$C1566))),"thg-beauty Liveramp dataset — confirmed safe to delete",$A1566="agile-bonbon-662",_xlfn.IFS(LEFT($G1566,9)="Tranche 1","Tranche 1: cleared",$C1566="Sessions_Level_1_All_Sites","Downstream aggregation of UA raw logs — keep if raw tables go",ISNUMBER(--$C1566),"UA raw site logs (account ID) — keep pending audit-retention check",$C1566="Emag_Reporting","Legacy but likely needed",$C1566="Nutrition_Data_Archived_Tables","Worth keeping",$C1566="EU_Data","Static lookup tables — scripts still reference (smoke-test risk)",TRUE,"Review"),OR($A1566="thg-influencer",$A1566="thg-ingenuity",$A1566="thg-central-marketing",$A1566="thg-seoclarity"),"HOLD — Charlie Stringer to review before deletion",TRUE,"")</f>
        <v>UA raw site logs (account ID) — keep pending audit-retention check</v>
      </c>
      <c r="S1566" t="s">
        <v>1624</v>
      </c>
    </row>
    <row r="1567" spans="1:19" ht="45.75" hidden="1">
      <c r="A1567" t="s">
        <v>89</v>
      </c>
      <c r="B1567" t="s">
        <v>1619</v>
      </c>
      <c r="C1567" t="s">
        <v>1320</v>
      </c>
      <c r="D1567" s="2" t="s">
        <v>1621</v>
      </c>
      <c r="E1567">
        <v>19.12</v>
      </c>
      <c r="F1567">
        <v>0.38</v>
      </c>
      <c r="G1567" t="s">
        <v>72</v>
      </c>
      <c r="H1567" t="s">
        <v>3457</v>
      </c>
      <c r="I1567">
        <v>35</v>
      </c>
      <c r="J1567">
        <v>723</v>
      </c>
      <c r="K1567" s="5">
        <v>46161.590926724537</v>
      </c>
      <c r="M1567" s="2" t="s">
        <v>3447</v>
      </c>
      <c r="N1567" s="2" t="s">
        <v>1701</v>
      </c>
      <c r="O1567" s="5">
        <v>45474.276547893518</v>
      </c>
      <c r="P1567" t="str">
        <f>IF($Q1567="DELETE",IF($S1567="CONFIRMED: NO MODS &gt; 1YR","CONFIRMED: NO MODS &gt; 1YR","DO NOT DELETE — not defensibly confirmed"),IF($Q1567="HOLD","DO NOT DELETE — HOLD (Charlie review)",IF($Q1567="KEEP","DO NOT DELETE — KEEP",IF(ISNUMBER(SEARCH("REVIEW",$Q1567)),"DO NOT DELETE — REVIEW pending",$S1567))))</f>
        <v>DO NOT DELETE — REVIEW pending</v>
      </c>
      <c r="Q1567" t="str" cm="1">
        <f t="array" ref="Q1567">_xlfn.IFS(AND($A1567="thg-beauty",ISNUMBER(SEARCH("liveramp",$C1567))),"DELETE",$A1567="agile-bonbon-662",_xlfn.IFS(LEFT($G1567,9)="Tranche 1","DELETE",$C1567="Sessions_Level_1_All_Sites","KEEP",ISNUMBER(--$C1567),"REVIEW — UA raw logs",$C1567="Emag_Reporting","KEEP",$C1567="Nutrition_Data_Archived_Tables","KEEP",$C1567="EU_Data","KEEP",TRUE,"REVIEW"),OR($A1567="thg-influencer",$A1567="thg-ingenuity",$A1567="thg-central-marketing",$A1567="thg-seoclarity"),"HOLD",TRUE,"")</f>
        <v>REVIEW — UA raw logs</v>
      </c>
      <c r="R1567" t="str" cm="1">
        <f t="array" ref="R1567">_xlfn.IFS(AND($A1567="thg-beauty",ISNUMBER(SEARCH("liveramp",$C1567))),"thg-beauty Liveramp dataset — confirmed safe to delete",$A1567="agile-bonbon-662",_xlfn.IFS(LEFT($G1567,9)="Tranche 1","Tranche 1: cleared",$C1567="Sessions_Level_1_All_Sites","Downstream aggregation of UA raw logs — keep if raw tables go",ISNUMBER(--$C1567),"UA raw site logs (account ID) — keep pending audit-retention check",$C1567="Emag_Reporting","Legacy but likely needed",$C1567="Nutrition_Data_Archived_Tables","Worth keeping",$C1567="EU_Data","Static lookup tables — scripts still reference (smoke-test risk)",TRUE,"Review"),OR($A1567="thg-influencer",$A1567="thg-ingenuity",$A1567="thg-central-marketing",$A1567="thg-seoclarity"),"HOLD — Charlie Stringer to review before deletion",TRUE,"")</f>
        <v>UA raw site logs (account ID) — keep pending audit-retention check</v>
      </c>
      <c r="S1567" t="s">
        <v>1624</v>
      </c>
    </row>
    <row r="1568" spans="1:19" ht="45.75" hidden="1">
      <c r="A1568" t="s">
        <v>89</v>
      </c>
      <c r="B1568" t="s">
        <v>1619</v>
      </c>
      <c r="C1568" t="s">
        <v>1310</v>
      </c>
      <c r="D1568" s="2" t="s">
        <v>1621</v>
      </c>
      <c r="E1568">
        <v>19.04</v>
      </c>
      <c r="F1568">
        <v>0.38</v>
      </c>
      <c r="G1568" t="s">
        <v>72</v>
      </c>
      <c r="H1568" t="s">
        <v>3457</v>
      </c>
      <c r="I1568">
        <v>35</v>
      </c>
      <c r="J1568">
        <v>1874</v>
      </c>
      <c r="K1568" s="5">
        <v>46161.623718530092</v>
      </c>
      <c r="M1568" s="2" t="s">
        <v>3352</v>
      </c>
      <c r="N1568" s="2" t="s">
        <v>1701</v>
      </c>
      <c r="O1568" s="5">
        <v>44323.32863517361</v>
      </c>
      <c r="P1568" t="str">
        <f>IF($Q1568="DELETE",IF($S1568="CONFIRMED: NO MODS &gt; 1YR","CONFIRMED: NO MODS &gt; 1YR","DO NOT DELETE — not defensibly confirmed"),IF($Q1568="HOLD","DO NOT DELETE — HOLD (Charlie review)",IF($Q1568="KEEP","DO NOT DELETE — KEEP",IF(ISNUMBER(SEARCH("REVIEW",$Q1568)),"DO NOT DELETE — REVIEW pending",$S1568))))</f>
        <v>DO NOT DELETE — REVIEW pending</v>
      </c>
      <c r="Q1568" t="str" cm="1">
        <f t="array" ref="Q1568">_xlfn.IFS(AND($A1568="thg-beauty",ISNUMBER(SEARCH("liveramp",$C1568))),"DELETE",$A1568="agile-bonbon-662",_xlfn.IFS(LEFT($G1568,9)="Tranche 1","DELETE",$C1568="Sessions_Level_1_All_Sites","KEEP",ISNUMBER(--$C1568),"REVIEW — UA raw logs",$C1568="Emag_Reporting","KEEP",$C1568="Nutrition_Data_Archived_Tables","KEEP",$C1568="EU_Data","KEEP",TRUE,"REVIEW"),OR($A1568="thg-influencer",$A1568="thg-ingenuity",$A1568="thg-central-marketing",$A1568="thg-seoclarity"),"HOLD",TRUE,"")</f>
        <v>REVIEW</v>
      </c>
      <c r="R1568" t="str" cm="1">
        <f t="array" ref="R1568">_xlfn.IFS(AND($A1568="thg-beauty",ISNUMBER(SEARCH("liveramp",$C1568))),"thg-beauty Liveramp dataset — confirmed safe to delete",$A1568="agile-bonbon-662",_xlfn.IFS(LEFT($G1568,9)="Tranche 1","Tranche 1: cleared",$C1568="Sessions_Level_1_All_Sites","Downstream aggregation of UA raw logs — keep if raw tables go",ISNUMBER(--$C1568),"UA raw site logs (account ID) — keep pending audit-retention check",$C1568="Emag_Reporting","Legacy but likely needed",$C1568="Nutrition_Data_Archived_Tables","Worth keeping",$C1568="EU_Data","Static lookup tables — scripts still reference (smoke-test risk)",TRUE,"Review"),OR($A1568="thg-influencer",$A1568="thg-ingenuity",$A1568="thg-central-marketing",$A1568="thg-seoclarity"),"HOLD — Charlie Stringer to review before deletion",TRUE,"")</f>
        <v>Review</v>
      </c>
      <c r="S1568" t="s">
        <v>1631</v>
      </c>
    </row>
    <row r="1569" spans="1:19" ht="45.75" hidden="1">
      <c r="A1569" t="s">
        <v>89</v>
      </c>
      <c r="B1569" t="s">
        <v>1619</v>
      </c>
      <c r="C1569" t="s">
        <v>1315</v>
      </c>
      <c r="D1569" s="2" t="s">
        <v>1621</v>
      </c>
      <c r="E1569">
        <v>18.98</v>
      </c>
      <c r="F1569">
        <v>0.38</v>
      </c>
      <c r="G1569" t="s">
        <v>72</v>
      </c>
      <c r="H1569" t="s">
        <v>3457</v>
      </c>
      <c r="I1569">
        <v>35</v>
      </c>
      <c r="J1569">
        <v>1874</v>
      </c>
      <c r="K1569" s="5">
        <v>46161.623696192131</v>
      </c>
      <c r="M1569" s="2" t="s">
        <v>3352</v>
      </c>
      <c r="N1569" s="2" t="s">
        <v>1701</v>
      </c>
      <c r="O1569" s="5">
        <v>44322.603989641197</v>
      </c>
      <c r="P1569" t="str">
        <f>IF($Q1569="DELETE",IF($S1569="CONFIRMED: NO MODS &gt; 1YR","CONFIRMED: NO MODS &gt; 1YR","DO NOT DELETE — not defensibly confirmed"),IF($Q1569="HOLD","DO NOT DELETE — HOLD (Charlie review)",IF($Q1569="KEEP","DO NOT DELETE — KEEP",IF(ISNUMBER(SEARCH("REVIEW",$Q1569)),"DO NOT DELETE — REVIEW pending",$S1569))))</f>
        <v>DO NOT DELETE — REVIEW pending</v>
      </c>
      <c r="Q1569" t="str" cm="1">
        <f t="array" ref="Q1569">_xlfn.IFS(AND($A1569="thg-beauty",ISNUMBER(SEARCH("liveramp",$C1569))),"DELETE",$A1569="agile-bonbon-662",_xlfn.IFS(LEFT($G1569,9)="Tranche 1","DELETE",$C1569="Sessions_Level_1_All_Sites","KEEP",ISNUMBER(--$C1569),"REVIEW — UA raw logs",$C1569="Emag_Reporting","KEEP",$C1569="Nutrition_Data_Archived_Tables","KEEP",$C1569="EU_Data","KEEP",TRUE,"REVIEW"),OR($A1569="thg-influencer",$A1569="thg-ingenuity",$A1569="thg-central-marketing",$A1569="thg-seoclarity"),"HOLD",TRUE,"")</f>
        <v>REVIEW</v>
      </c>
      <c r="R1569" t="str" cm="1">
        <f t="array" ref="R1569">_xlfn.IFS(AND($A1569="thg-beauty",ISNUMBER(SEARCH("liveramp",$C1569))),"thg-beauty Liveramp dataset — confirmed safe to delete",$A1569="agile-bonbon-662",_xlfn.IFS(LEFT($G1569,9)="Tranche 1","Tranche 1: cleared",$C1569="Sessions_Level_1_All_Sites","Downstream aggregation of UA raw logs — keep if raw tables go",ISNUMBER(--$C1569),"UA raw site logs (account ID) — keep pending audit-retention check",$C1569="Emag_Reporting","Legacy but likely needed",$C1569="Nutrition_Data_Archived_Tables","Worth keeping",$C1569="EU_Data","Static lookup tables — scripts still reference (smoke-test risk)",TRUE,"Review"),OR($A1569="thg-influencer",$A1569="thg-ingenuity",$A1569="thg-central-marketing",$A1569="thg-seoclarity"),"HOLD — Charlie Stringer to review before deletion",TRUE,"")</f>
        <v>Review</v>
      </c>
      <c r="S1569" t="s">
        <v>1631</v>
      </c>
    </row>
    <row r="1570" spans="1:19" ht="45.75" hidden="1">
      <c r="A1570" t="s">
        <v>89</v>
      </c>
      <c r="B1570" t="s">
        <v>1619</v>
      </c>
      <c r="C1570" t="s">
        <v>1324</v>
      </c>
      <c r="D1570" s="2" t="s">
        <v>1621</v>
      </c>
      <c r="E1570">
        <v>18.899999999999999</v>
      </c>
      <c r="F1570">
        <v>0.38</v>
      </c>
      <c r="G1570" t="s">
        <v>72</v>
      </c>
      <c r="H1570" t="s">
        <v>3457</v>
      </c>
      <c r="I1570">
        <v>35</v>
      </c>
      <c r="J1570">
        <v>723</v>
      </c>
      <c r="K1570" s="5">
        <v>46161.591859930559</v>
      </c>
      <c r="M1570" s="2" t="s">
        <v>3448</v>
      </c>
      <c r="N1570" s="2" t="s">
        <v>1701</v>
      </c>
      <c r="O1570" s="5">
        <v>45474.278877731478</v>
      </c>
      <c r="P1570" t="str">
        <f>IF($Q1570="DELETE",IF($S1570="CONFIRMED: NO MODS &gt; 1YR","CONFIRMED: NO MODS &gt; 1YR","DO NOT DELETE — not defensibly confirmed"),IF($Q1570="HOLD","DO NOT DELETE — HOLD (Charlie review)",IF($Q1570="KEEP","DO NOT DELETE — KEEP",IF(ISNUMBER(SEARCH("REVIEW",$Q1570)),"DO NOT DELETE — REVIEW pending",$S1570))))</f>
        <v>DO NOT DELETE — REVIEW pending</v>
      </c>
      <c r="Q1570" t="str" cm="1">
        <f t="array" ref="Q1570">_xlfn.IFS(AND($A1570="thg-beauty",ISNUMBER(SEARCH("liveramp",$C1570))),"DELETE",$A1570="agile-bonbon-662",_xlfn.IFS(LEFT($G1570,9)="Tranche 1","DELETE",$C1570="Sessions_Level_1_All_Sites","KEEP",ISNUMBER(--$C1570),"REVIEW — UA raw logs",$C1570="Emag_Reporting","KEEP",$C1570="Nutrition_Data_Archived_Tables","KEEP",$C1570="EU_Data","KEEP",TRUE,"REVIEW"),OR($A1570="thg-influencer",$A1570="thg-ingenuity",$A1570="thg-central-marketing",$A1570="thg-seoclarity"),"HOLD",TRUE,"")</f>
        <v>REVIEW — UA raw logs</v>
      </c>
      <c r="R1570" t="str" cm="1">
        <f t="array" ref="R1570">_xlfn.IFS(AND($A1570="thg-beauty",ISNUMBER(SEARCH("liveramp",$C1570))),"thg-beauty Liveramp dataset — confirmed safe to delete",$A1570="agile-bonbon-662",_xlfn.IFS(LEFT($G1570,9)="Tranche 1","Tranche 1: cleared",$C1570="Sessions_Level_1_All_Sites","Downstream aggregation of UA raw logs — keep if raw tables go",ISNUMBER(--$C1570),"UA raw site logs (account ID) — keep pending audit-retention check",$C1570="Emag_Reporting","Legacy but likely needed",$C1570="Nutrition_Data_Archived_Tables","Worth keeping",$C1570="EU_Data","Static lookup tables — scripts still reference (smoke-test risk)",TRUE,"Review"),OR($A1570="thg-influencer",$A1570="thg-ingenuity",$A1570="thg-central-marketing",$A1570="thg-seoclarity"),"HOLD — Charlie Stringer to review before deletion",TRUE,"")</f>
        <v>UA raw site logs (account ID) — keep pending audit-retention check</v>
      </c>
      <c r="S1570" t="s">
        <v>1631</v>
      </c>
    </row>
    <row r="1571" spans="1:19" ht="45.75" hidden="1">
      <c r="A1571" t="s">
        <v>89</v>
      </c>
      <c r="B1571" t="s">
        <v>1619</v>
      </c>
      <c r="C1571" t="s">
        <v>1328</v>
      </c>
      <c r="D1571" s="2" t="s">
        <v>1621</v>
      </c>
      <c r="E1571">
        <v>18.8</v>
      </c>
      <c r="F1571">
        <v>0.38</v>
      </c>
      <c r="G1571" t="s">
        <v>72</v>
      </c>
      <c r="H1571" t="s">
        <v>3457</v>
      </c>
      <c r="I1571">
        <v>35</v>
      </c>
      <c r="J1571">
        <v>723</v>
      </c>
      <c r="K1571" s="5">
        <v>46161.582015891203</v>
      </c>
      <c r="M1571" s="2" t="s">
        <v>3444</v>
      </c>
      <c r="N1571" s="2" t="s">
        <v>1701</v>
      </c>
      <c r="O1571" s="5">
        <v>45474.335939861106</v>
      </c>
      <c r="P1571" t="str">
        <f>IF($Q1571="DELETE",IF($S1571="CONFIRMED: NO MODS &gt; 1YR","CONFIRMED: NO MODS &gt; 1YR","DO NOT DELETE — not defensibly confirmed"),IF($Q1571="HOLD","DO NOT DELETE — HOLD (Charlie review)",IF($Q1571="KEEP","DO NOT DELETE — KEEP",IF(ISNUMBER(SEARCH("REVIEW",$Q1571)),"DO NOT DELETE — REVIEW pending",$S1571))))</f>
        <v>DO NOT DELETE — REVIEW pending</v>
      </c>
      <c r="Q1571" t="str" cm="1">
        <f t="array" ref="Q1571">_xlfn.IFS(AND($A1571="thg-beauty",ISNUMBER(SEARCH("liveramp",$C1571))),"DELETE",$A1571="agile-bonbon-662",_xlfn.IFS(LEFT($G1571,9)="Tranche 1","DELETE",$C1571="Sessions_Level_1_All_Sites","KEEP",ISNUMBER(--$C1571),"REVIEW — UA raw logs",$C1571="Emag_Reporting","KEEP",$C1571="Nutrition_Data_Archived_Tables","KEEP",$C1571="EU_Data","KEEP",TRUE,"REVIEW"),OR($A1571="thg-influencer",$A1571="thg-ingenuity",$A1571="thg-central-marketing",$A1571="thg-seoclarity"),"HOLD",TRUE,"")</f>
        <v>REVIEW — UA raw logs</v>
      </c>
      <c r="R1571" t="str" cm="1">
        <f t="array" ref="R1571">_xlfn.IFS(AND($A1571="thg-beauty",ISNUMBER(SEARCH("liveramp",$C1571))),"thg-beauty Liveramp dataset — confirmed safe to delete",$A1571="agile-bonbon-662",_xlfn.IFS(LEFT($G1571,9)="Tranche 1","Tranche 1: cleared",$C1571="Sessions_Level_1_All_Sites","Downstream aggregation of UA raw logs — keep if raw tables go",ISNUMBER(--$C1571),"UA raw site logs (account ID) — keep pending audit-retention check",$C1571="Emag_Reporting","Legacy but likely needed",$C1571="Nutrition_Data_Archived_Tables","Worth keeping",$C1571="EU_Data","Static lookup tables — scripts still reference (smoke-test risk)",TRUE,"Review"),OR($A1571="thg-influencer",$A1571="thg-ingenuity",$A1571="thg-central-marketing",$A1571="thg-seoclarity"),"HOLD — Charlie Stringer to review before deletion",TRUE,"")</f>
        <v>UA raw site logs (account ID) — keep pending audit-retention check</v>
      </c>
      <c r="S1571" t="s">
        <v>1631</v>
      </c>
    </row>
    <row r="1572" spans="1:19" ht="45.75" hidden="1">
      <c r="A1572" t="s">
        <v>89</v>
      </c>
      <c r="B1572" t="s">
        <v>1619</v>
      </c>
      <c r="C1572" t="s">
        <v>1305</v>
      </c>
      <c r="D1572" s="2" t="s">
        <v>1621</v>
      </c>
      <c r="E1572">
        <v>18.77</v>
      </c>
      <c r="F1572">
        <v>0.38</v>
      </c>
      <c r="G1572" t="s">
        <v>72</v>
      </c>
      <c r="H1572" t="s">
        <v>3457</v>
      </c>
      <c r="I1572">
        <v>35</v>
      </c>
      <c r="J1572">
        <v>760</v>
      </c>
      <c r="K1572" s="5">
        <v>46161.60024670139</v>
      </c>
      <c r="M1572" s="2" t="s">
        <v>3428</v>
      </c>
      <c r="N1572" s="2" t="s">
        <v>1701</v>
      </c>
      <c r="O1572" s="5">
        <v>45437.218903981477</v>
      </c>
      <c r="P1572" t="str">
        <f>IF($Q1572="DELETE",IF($S1572="CONFIRMED: NO MODS &gt; 1YR","CONFIRMED: NO MODS &gt; 1YR","DO NOT DELETE — not defensibly confirmed"),IF($Q1572="HOLD","DO NOT DELETE — HOLD (Charlie review)",IF($Q1572="KEEP","DO NOT DELETE — KEEP",IF(ISNUMBER(SEARCH("REVIEW",$Q1572)),"DO NOT DELETE — REVIEW pending",$S1572))))</f>
        <v>DO NOT DELETE — REVIEW pending</v>
      </c>
      <c r="Q1572" t="str" cm="1">
        <f t="array" ref="Q1572">_xlfn.IFS(AND($A1572="thg-beauty",ISNUMBER(SEARCH("liveramp",$C1572))),"DELETE",$A1572="agile-bonbon-662",_xlfn.IFS(LEFT($G1572,9)="Tranche 1","DELETE",$C1572="Sessions_Level_1_All_Sites","KEEP",ISNUMBER(--$C1572),"REVIEW — UA raw logs",$C1572="Emag_Reporting","KEEP",$C1572="Nutrition_Data_Archived_Tables","KEEP",$C1572="EU_Data","KEEP",TRUE,"REVIEW"),OR($A1572="thg-influencer",$A1572="thg-ingenuity",$A1572="thg-central-marketing",$A1572="thg-seoclarity"),"HOLD",TRUE,"")</f>
        <v>REVIEW — UA raw logs</v>
      </c>
      <c r="R1572" t="str" cm="1">
        <f t="array" ref="R1572">_xlfn.IFS(AND($A1572="thg-beauty",ISNUMBER(SEARCH("liveramp",$C1572))),"thg-beauty Liveramp dataset — confirmed safe to delete",$A1572="agile-bonbon-662",_xlfn.IFS(LEFT($G1572,9)="Tranche 1","Tranche 1: cleared",$C1572="Sessions_Level_1_All_Sites","Downstream aggregation of UA raw logs — keep if raw tables go",ISNUMBER(--$C1572),"UA raw site logs (account ID) — keep pending audit-retention check",$C1572="Emag_Reporting","Legacy but likely needed",$C1572="Nutrition_Data_Archived_Tables","Worth keeping",$C1572="EU_Data","Static lookup tables — scripts still reference (smoke-test risk)",TRUE,"Review"),OR($A1572="thg-influencer",$A1572="thg-ingenuity",$A1572="thg-central-marketing",$A1572="thg-seoclarity"),"HOLD — Charlie Stringer to review before deletion",TRUE,"")</f>
        <v>UA raw site logs (account ID) — keep pending audit-retention check</v>
      </c>
      <c r="S1572" t="s">
        <v>1631</v>
      </c>
    </row>
    <row r="1573" spans="1:19" ht="76.5" hidden="1">
      <c r="A1573" t="s">
        <v>89</v>
      </c>
      <c r="B1573" t="s">
        <v>1619</v>
      </c>
      <c r="C1573" t="s">
        <v>1332</v>
      </c>
      <c r="D1573" s="2" t="s">
        <v>1621</v>
      </c>
      <c r="E1573">
        <v>18.73</v>
      </c>
      <c r="F1573">
        <v>0.37</v>
      </c>
      <c r="G1573" t="s">
        <v>72</v>
      </c>
      <c r="H1573" t="s">
        <v>3457</v>
      </c>
      <c r="I1573">
        <v>35</v>
      </c>
      <c r="J1573">
        <v>1706</v>
      </c>
      <c r="K1573" s="5">
        <v>46161.604333252311</v>
      </c>
      <c r="M1573" s="2" t="s">
        <v>3910</v>
      </c>
      <c r="N1573" s="2" t="s">
        <v>1701</v>
      </c>
      <c r="O1573" s="5">
        <v>44491.313279606482</v>
      </c>
      <c r="P1573" t="str">
        <f>IF($Q1573="DELETE",IF($S1573="CONFIRMED: NO MODS &gt; 1YR","CONFIRMED: NO MODS &gt; 1YR","DO NOT DELETE — not defensibly confirmed"),IF($Q1573="HOLD","DO NOT DELETE — HOLD (Charlie review)",IF($Q1573="KEEP","DO NOT DELETE — KEEP",IF(ISNUMBER(SEARCH("REVIEW",$Q1573)),"DO NOT DELETE — REVIEW pending",$S1573))))</f>
        <v>DO NOT DELETE — REVIEW pending</v>
      </c>
      <c r="Q1573" t="str" cm="1">
        <f t="array" ref="Q1573">_xlfn.IFS(AND($A1573="thg-beauty",ISNUMBER(SEARCH("liveramp",$C1573))),"DELETE",$A1573="agile-bonbon-662",_xlfn.IFS(LEFT($G1573,9)="Tranche 1","DELETE",$C1573="Sessions_Level_1_All_Sites","KEEP",ISNUMBER(--$C1573),"REVIEW — UA raw logs",$C1573="Emag_Reporting","KEEP",$C1573="Nutrition_Data_Archived_Tables","KEEP",$C1573="EU_Data","KEEP",TRUE,"REVIEW"),OR($A1573="thg-influencer",$A1573="thg-ingenuity",$A1573="thg-central-marketing",$A1573="thg-seoclarity"),"HOLD",TRUE,"")</f>
        <v>REVIEW</v>
      </c>
      <c r="R1573" t="str" cm="1">
        <f t="array" ref="R1573">_xlfn.IFS(AND($A1573="thg-beauty",ISNUMBER(SEARCH("liveramp",$C1573))),"thg-beauty Liveramp dataset — confirmed safe to delete",$A1573="agile-bonbon-662",_xlfn.IFS(LEFT($G1573,9)="Tranche 1","Tranche 1: cleared",$C1573="Sessions_Level_1_All_Sites","Downstream aggregation of UA raw logs — keep if raw tables go",ISNUMBER(--$C1573),"UA raw site logs (account ID) — keep pending audit-retention check",$C1573="Emag_Reporting","Legacy but likely needed",$C1573="Nutrition_Data_Archived_Tables","Worth keeping",$C1573="EU_Data","Static lookup tables — scripts still reference (smoke-test risk)",TRUE,"Review"),OR($A1573="thg-influencer",$A1573="thg-ingenuity",$A1573="thg-central-marketing",$A1573="thg-seoclarity"),"HOLD — Charlie Stringer to review before deletion",TRUE,"")</f>
        <v>Review</v>
      </c>
      <c r="S1573" t="s">
        <v>1631</v>
      </c>
    </row>
    <row r="1574" spans="1:19" ht="45.75" hidden="1">
      <c r="A1574" t="s">
        <v>89</v>
      </c>
      <c r="B1574" t="s">
        <v>1619</v>
      </c>
      <c r="C1574" t="s">
        <v>1337</v>
      </c>
      <c r="D1574" s="2" t="s">
        <v>1621</v>
      </c>
      <c r="E1574">
        <v>18.28</v>
      </c>
      <c r="F1574">
        <v>0.37</v>
      </c>
      <c r="G1574" t="s">
        <v>72</v>
      </c>
      <c r="H1574" t="s">
        <v>3457</v>
      </c>
      <c r="I1574">
        <v>35</v>
      </c>
      <c r="J1574">
        <v>723</v>
      </c>
      <c r="K1574" s="5">
        <v>46161.586975740742</v>
      </c>
      <c r="M1574" s="2" t="s">
        <v>3440</v>
      </c>
      <c r="N1574" s="2" t="s">
        <v>1701</v>
      </c>
      <c r="O1574" s="5">
        <v>45474.273886469913</v>
      </c>
      <c r="P1574" t="str">
        <f>IF($Q1574="DELETE",IF($S1574="CONFIRMED: NO MODS &gt; 1YR","CONFIRMED: NO MODS &gt; 1YR","DO NOT DELETE — not defensibly confirmed"),IF($Q1574="HOLD","DO NOT DELETE — HOLD (Charlie review)",IF($Q1574="KEEP","DO NOT DELETE — KEEP",IF(ISNUMBER(SEARCH("REVIEW",$Q1574)),"DO NOT DELETE — REVIEW pending",$S1574))))</f>
        <v>DO NOT DELETE — REVIEW pending</v>
      </c>
      <c r="Q1574" t="str" cm="1">
        <f t="array" ref="Q1574">_xlfn.IFS(AND($A1574="thg-beauty",ISNUMBER(SEARCH("liveramp",$C1574))),"DELETE",$A1574="agile-bonbon-662",_xlfn.IFS(LEFT($G1574,9)="Tranche 1","DELETE",$C1574="Sessions_Level_1_All_Sites","KEEP",ISNUMBER(--$C1574),"REVIEW — UA raw logs",$C1574="Emag_Reporting","KEEP",$C1574="Nutrition_Data_Archived_Tables","KEEP",$C1574="EU_Data","KEEP",TRUE,"REVIEW"),OR($A1574="thg-influencer",$A1574="thg-ingenuity",$A1574="thg-central-marketing",$A1574="thg-seoclarity"),"HOLD",TRUE,"")</f>
        <v>REVIEW — UA raw logs</v>
      </c>
      <c r="R1574" t="str" cm="1">
        <f t="array" ref="R1574">_xlfn.IFS(AND($A1574="thg-beauty",ISNUMBER(SEARCH("liveramp",$C1574))),"thg-beauty Liveramp dataset — confirmed safe to delete",$A1574="agile-bonbon-662",_xlfn.IFS(LEFT($G1574,9)="Tranche 1","Tranche 1: cleared",$C1574="Sessions_Level_1_All_Sites","Downstream aggregation of UA raw logs — keep if raw tables go",ISNUMBER(--$C1574),"UA raw site logs (account ID) — keep pending audit-retention check",$C1574="Emag_Reporting","Legacy but likely needed",$C1574="Nutrition_Data_Archived_Tables","Worth keeping",$C1574="EU_Data","Static lookup tables — scripts still reference (smoke-test risk)",TRUE,"Review"),OR($A1574="thg-influencer",$A1574="thg-ingenuity",$A1574="thg-central-marketing",$A1574="thg-seoclarity"),"HOLD — Charlie Stringer to review before deletion",TRUE,"")</f>
        <v>UA raw site logs (account ID) — keep pending audit-retention check</v>
      </c>
      <c r="S1574" t="s">
        <v>1631</v>
      </c>
    </row>
    <row r="1575" spans="1:19" ht="45.75" hidden="1">
      <c r="A1575" t="s">
        <v>89</v>
      </c>
      <c r="B1575" t="s">
        <v>1619</v>
      </c>
      <c r="C1575" t="s">
        <v>1341</v>
      </c>
      <c r="D1575" s="2" t="s">
        <v>1621</v>
      </c>
      <c r="E1575">
        <v>17.89</v>
      </c>
      <c r="F1575">
        <v>0.36</v>
      </c>
      <c r="G1575" t="s">
        <v>72</v>
      </c>
      <c r="H1575" t="s">
        <v>3457</v>
      </c>
      <c r="I1575">
        <v>35</v>
      </c>
      <c r="J1575">
        <v>723</v>
      </c>
      <c r="K1575" s="5">
        <v>46161.592059363429</v>
      </c>
      <c r="M1575" s="2" t="s">
        <v>3448</v>
      </c>
      <c r="N1575" s="2" t="s">
        <v>1701</v>
      </c>
      <c r="O1575" s="5">
        <v>45474.278893576389</v>
      </c>
      <c r="P1575" t="str">
        <f>IF($Q1575="DELETE",IF($S1575="CONFIRMED: NO MODS &gt; 1YR","CONFIRMED: NO MODS &gt; 1YR","DO NOT DELETE — not defensibly confirmed"),IF($Q1575="HOLD","DO NOT DELETE — HOLD (Charlie review)",IF($Q1575="KEEP","DO NOT DELETE — KEEP",IF(ISNUMBER(SEARCH("REVIEW",$Q1575)),"DO NOT DELETE — REVIEW pending",$S1575))))</f>
        <v>DO NOT DELETE — REVIEW pending</v>
      </c>
      <c r="Q1575" t="str" cm="1">
        <f t="array" ref="Q1575">_xlfn.IFS(AND($A1575="thg-beauty",ISNUMBER(SEARCH("liveramp",$C1575))),"DELETE",$A1575="agile-bonbon-662",_xlfn.IFS(LEFT($G1575,9)="Tranche 1","DELETE",$C1575="Sessions_Level_1_All_Sites","KEEP",ISNUMBER(--$C1575),"REVIEW — UA raw logs",$C1575="Emag_Reporting","KEEP",$C1575="Nutrition_Data_Archived_Tables","KEEP",$C1575="EU_Data","KEEP",TRUE,"REVIEW"),OR($A1575="thg-influencer",$A1575="thg-ingenuity",$A1575="thg-central-marketing",$A1575="thg-seoclarity"),"HOLD",TRUE,"")</f>
        <v>REVIEW — UA raw logs</v>
      </c>
      <c r="R1575" t="str" cm="1">
        <f t="array" ref="R1575">_xlfn.IFS(AND($A1575="thg-beauty",ISNUMBER(SEARCH("liveramp",$C1575))),"thg-beauty Liveramp dataset — confirmed safe to delete",$A1575="agile-bonbon-662",_xlfn.IFS(LEFT($G1575,9)="Tranche 1","Tranche 1: cleared",$C1575="Sessions_Level_1_All_Sites","Downstream aggregation of UA raw logs — keep if raw tables go",ISNUMBER(--$C1575),"UA raw site logs (account ID) — keep pending audit-retention check",$C1575="Emag_Reporting","Legacy but likely needed",$C1575="Nutrition_Data_Archived_Tables","Worth keeping",$C1575="EU_Data","Static lookup tables — scripts still reference (smoke-test risk)",TRUE,"Review"),OR($A1575="thg-influencer",$A1575="thg-ingenuity",$A1575="thg-central-marketing",$A1575="thg-seoclarity"),"HOLD — Charlie Stringer to review before deletion",TRUE,"")</f>
        <v>UA raw site logs (account ID) — keep pending audit-retention check</v>
      </c>
      <c r="S1575" t="s">
        <v>1631</v>
      </c>
    </row>
    <row r="1576" spans="1:19" ht="45.75" hidden="1">
      <c r="A1576" t="s">
        <v>89</v>
      </c>
      <c r="B1576" t="s">
        <v>1619</v>
      </c>
      <c r="C1576" t="s">
        <v>1350</v>
      </c>
      <c r="D1576" s="2" t="s">
        <v>1621</v>
      </c>
      <c r="E1576">
        <v>17.37</v>
      </c>
      <c r="F1576">
        <v>0.35</v>
      </c>
      <c r="G1576" t="s">
        <v>72</v>
      </c>
      <c r="H1576" t="s">
        <v>3457</v>
      </c>
      <c r="I1576">
        <v>35</v>
      </c>
      <c r="J1576">
        <v>864</v>
      </c>
      <c r="K1576" s="5">
        <v>46161.61604695602</v>
      </c>
      <c r="M1576" s="2" t="s">
        <v>1938</v>
      </c>
      <c r="N1576" s="2" t="s">
        <v>1701</v>
      </c>
      <c r="O1576" s="5">
        <v>45333.285581550917</v>
      </c>
      <c r="P1576" t="str">
        <f>IF($Q1576="DELETE",IF($S1576="CONFIRMED: NO MODS &gt; 1YR","CONFIRMED: NO MODS &gt; 1YR","DO NOT DELETE — not defensibly confirmed"),IF($Q1576="HOLD","DO NOT DELETE — HOLD (Charlie review)",IF($Q1576="KEEP","DO NOT DELETE — KEEP",IF(ISNUMBER(SEARCH("REVIEW",$Q1576)),"DO NOT DELETE — REVIEW pending",$S1576))))</f>
        <v>DO NOT DELETE — REVIEW pending</v>
      </c>
      <c r="Q1576" t="str" cm="1">
        <f t="array" ref="Q1576">_xlfn.IFS(AND($A1576="thg-beauty",ISNUMBER(SEARCH("liveramp",$C1576))),"DELETE",$A1576="agile-bonbon-662",_xlfn.IFS(LEFT($G1576,9)="Tranche 1","DELETE",$C1576="Sessions_Level_1_All_Sites","KEEP",ISNUMBER(--$C1576),"REVIEW — UA raw logs",$C1576="Emag_Reporting","KEEP",$C1576="Nutrition_Data_Archived_Tables","KEEP",$C1576="EU_Data","KEEP",TRUE,"REVIEW"),OR($A1576="thg-influencer",$A1576="thg-ingenuity",$A1576="thg-central-marketing",$A1576="thg-seoclarity"),"HOLD",TRUE,"")</f>
        <v>REVIEW</v>
      </c>
      <c r="R1576" t="str" cm="1">
        <f t="array" ref="R1576">_xlfn.IFS(AND($A1576="thg-beauty",ISNUMBER(SEARCH("liveramp",$C1576))),"thg-beauty Liveramp dataset — confirmed safe to delete",$A1576="agile-bonbon-662",_xlfn.IFS(LEFT($G1576,9)="Tranche 1","Tranche 1: cleared",$C1576="Sessions_Level_1_All_Sites","Downstream aggregation of UA raw logs — keep if raw tables go",ISNUMBER(--$C1576),"UA raw site logs (account ID) — keep pending audit-retention check",$C1576="Emag_Reporting","Legacy but likely needed",$C1576="Nutrition_Data_Archived_Tables","Worth keeping",$C1576="EU_Data","Static lookup tables — scripts still reference (smoke-test risk)",TRUE,"Review"),OR($A1576="thg-influencer",$A1576="thg-ingenuity",$A1576="thg-central-marketing",$A1576="thg-seoclarity"),"HOLD — Charlie Stringer to review before deletion",TRUE,"")</f>
        <v>Review</v>
      </c>
      <c r="S1576" t="s">
        <v>1631</v>
      </c>
    </row>
    <row r="1577" spans="1:19" ht="45.75" hidden="1">
      <c r="A1577" t="s">
        <v>89</v>
      </c>
      <c r="B1577" t="s">
        <v>1619</v>
      </c>
      <c r="C1577" t="s">
        <v>1368</v>
      </c>
      <c r="D1577" s="2" t="s">
        <v>1621</v>
      </c>
      <c r="E1577">
        <v>16.59</v>
      </c>
      <c r="F1577">
        <v>0.33</v>
      </c>
      <c r="G1577" t="s">
        <v>72</v>
      </c>
      <c r="H1577" t="s">
        <v>3457</v>
      </c>
      <c r="I1577">
        <v>35</v>
      </c>
      <c r="J1577">
        <v>1056</v>
      </c>
      <c r="K1577" s="5">
        <v>46161.617250173607</v>
      </c>
      <c r="M1577" s="2" t="s">
        <v>1947</v>
      </c>
      <c r="N1577" s="2" t="s">
        <v>1701</v>
      </c>
      <c r="O1577" s="5">
        <v>45140.521340902778</v>
      </c>
      <c r="P1577" t="str">
        <f>IF($Q1577="DELETE",IF($S1577="CONFIRMED: NO MODS &gt; 1YR","CONFIRMED: NO MODS &gt; 1YR","DO NOT DELETE — not defensibly confirmed"),IF($Q1577="HOLD","DO NOT DELETE — HOLD (Charlie review)",IF($Q1577="KEEP","DO NOT DELETE — KEEP",IF(ISNUMBER(SEARCH("REVIEW",$Q1577)),"DO NOT DELETE — REVIEW pending",$S1577))))</f>
        <v>DO NOT DELETE — REVIEW pending</v>
      </c>
      <c r="Q1577" t="str" cm="1">
        <f t="array" ref="Q1577">_xlfn.IFS(AND($A1577="thg-beauty",ISNUMBER(SEARCH("liveramp",$C1577))),"DELETE",$A1577="agile-bonbon-662",_xlfn.IFS(LEFT($G1577,9)="Tranche 1","DELETE",$C1577="Sessions_Level_1_All_Sites","KEEP",ISNUMBER(--$C1577),"REVIEW — UA raw logs",$C1577="Emag_Reporting","KEEP",$C1577="Nutrition_Data_Archived_Tables","KEEP",$C1577="EU_Data","KEEP",TRUE,"REVIEW"),OR($A1577="thg-influencer",$A1577="thg-ingenuity",$A1577="thg-central-marketing",$A1577="thg-seoclarity"),"HOLD",TRUE,"")</f>
        <v>REVIEW</v>
      </c>
      <c r="R1577" t="str" cm="1">
        <f t="array" ref="R1577">_xlfn.IFS(AND($A1577="thg-beauty",ISNUMBER(SEARCH("liveramp",$C1577))),"thg-beauty Liveramp dataset — confirmed safe to delete",$A1577="agile-bonbon-662",_xlfn.IFS(LEFT($G1577,9)="Tranche 1","Tranche 1: cleared",$C1577="Sessions_Level_1_All_Sites","Downstream aggregation of UA raw logs — keep if raw tables go",ISNUMBER(--$C1577),"UA raw site logs (account ID) — keep pending audit-retention check",$C1577="Emag_Reporting","Legacy but likely needed",$C1577="Nutrition_Data_Archived_Tables","Worth keeping",$C1577="EU_Data","Static lookup tables — scripts still reference (smoke-test risk)",TRUE,"Review"),OR($A1577="thg-influencer",$A1577="thg-ingenuity",$A1577="thg-central-marketing",$A1577="thg-seoclarity"),"HOLD — Charlie Stringer to review before deletion",TRUE,"")</f>
        <v>Review</v>
      </c>
      <c r="S1577" t="s">
        <v>1631</v>
      </c>
    </row>
    <row r="1578" spans="1:19" ht="45.75" hidden="1">
      <c r="A1578" t="s">
        <v>89</v>
      </c>
      <c r="B1578" t="s">
        <v>1619</v>
      </c>
      <c r="C1578" t="s">
        <v>1360</v>
      </c>
      <c r="D1578" s="2" t="s">
        <v>1621</v>
      </c>
      <c r="E1578">
        <v>16.43</v>
      </c>
      <c r="F1578">
        <v>0.33</v>
      </c>
      <c r="G1578" t="s">
        <v>72</v>
      </c>
      <c r="H1578" t="s">
        <v>3457</v>
      </c>
      <c r="I1578">
        <v>35</v>
      </c>
      <c r="J1578">
        <v>939</v>
      </c>
      <c r="K1578" s="5">
        <v>46161.617337326388</v>
      </c>
      <c r="M1578" s="2" t="s">
        <v>1947</v>
      </c>
      <c r="N1578" s="2" t="s">
        <v>1701</v>
      </c>
      <c r="O1578" s="5">
        <v>45258.291517789352</v>
      </c>
      <c r="P1578" t="str">
        <f>IF($Q1578="DELETE",IF($S1578="CONFIRMED: NO MODS &gt; 1YR","CONFIRMED: NO MODS &gt; 1YR","DO NOT DELETE — not defensibly confirmed"),IF($Q1578="HOLD","DO NOT DELETE — HOLD (Charlie review)",IF($Q1578="KEEP","DO NOT DELETE — KEEP",IF(ISNUMBER(SEARCH("REVIEW",$Q1578)),"DO NOT DELETE — REVIEW pending",$S1578))))</f>
        <v>DO NOT DELETE — REVIEW pending</v>
      </c>
      <c r="Q1578" t="str" cm="1">
        <f t="array" ref="Q1578">_xlfn.IFS(AND($A1578="thg-beauty",ISNUMBER(SEARCH("liveramp",$C1578))),"DELETE",$A1578="agile-bonbon-662",_xlfn.IFS(LEFT($G1578,9)="Tranche 1","DELETE",$C1578="Sessions_Level_1_All_Sites","KEEP",ISNUMBER(--$C1578),"REVIEW — UA raw logs",$C1578="Emag_Reporting","KEEP",$C1578="Nutrition_Data_Archived_Tables","KEEP",$C1578="EU_Data","KEEP",TRUE,"REVIEW"),OR($A1578="thg-influencer",$A1578="thg-ingenuity",$A1578="thg-central-marketing",$A1578="thg-seoclarity"),"HOLD",TRUE,"")</f>
        <v>REVIEW</v>
      </c>
      <c r="R1578" t="str" cm="1">
        <f t="array" ref="R1578">_xlfn.IFS(AND($A1578="thg-beauty",ISNUMBER(SEARCH("liveramp",$C1578))),"thg-beauty Liveramp dataset — confirmed safe to delete",$A1578="agile-bonbon-662",_xlfn.IFS(LEFT($G1578,9)="Tranche 1","Tranche 1: cleared",$C1578="Sessions_Level_1_All_Sites","Downstream aggregation of UA raw logs — keep if raw tables go",ISNUMBER(--$C1578),"UA raw site logs (account ID) — keep pending audit-retention check",$C1578="Emag_Reporting","Legacy but likely needed",$C1578="Nutrition_Data_Archived_Tables","Worth keeping",$C1578="EU_Data","Static lookup tables — scripts still reference (smoke-test risk)",TRUE,"Review"),OR($A1578="thg-influencer",$A1578="thg-ingenuity",$A1578="thg-central-marketing",$A1578="thg-seoclarity"),"HOLD — Charlie Stringer to review before deletion",TRUE,"")</f>
        <v>Review</v>
      </c>
      <c r="S1578" t="s">
        <v>1631</v>
      </c>
    </row>
    <row r="1579" spans="1:19" ht="45.75" hidden="1">
      <c r="A1579" t="s">
        <v>89</v>
      </c>
      <c r="B1579" t="s">
        <v>1619</v>
      </c>
      <c r="C1579" t="s">
        <v>1364</v>
      </c>
      <c r="D1579" s="2" t="s">
        <v>1621</v>
      </c>
      <c r="E1579">
        <v>16.420000000000002</v>
      </c>
      <c r="F1579">
        <v>0.33</v>
      </c>
      <c r="G1579" t="s">
        <v>72</v>
      </c>
      <c r="H1579" t="s">
        <v>3457</v>
      </c>
      <c r="I1579">
        <v>35</v>
      </c>
      <c r="J1579">
        <v>723</v>
      </c>
      <c r="K1579" s="5">
        <v>46161.593659537037</v>
      </c>
      <c r="M1579" s="2" t="s">
        <v>3905</v>
      </c>
      <c r="N1579" s="2" t="s">
        <v>1701</v>
      </c>
      <c r="O1579" s="5">
        <v>45474.281577615737</v>
      </c>
      <c r="P1579" t="str">
        <f>IF($Q1579="DELETE",IF($S1579="CONFIRMED: NO MODS &gt; 1YR","CONFIRMED: NO MODS &gt; 1YR","DO NOT DELETE — not defensibly confirmed"),IF($Q1579="HOLD","DO NOT DELETE — HOLD (Charlie review)",IF($Q1579="KEEP","DO NOT DELETE — KEEP",IF(ISNUMBER(SEARCH("REVIEW",$Q1579)),"DO NOT DELETE — REVIEW pending",$S1579))))</f>
        <v>DO NOT DELETE — REVIEW pending</v>
      </c>
      <c r="Q1579" t="str" cm="1">
        <f t="array" ref="Q1579">_xlfn.IFS(AND($A1579="thg-beauty",ISNUMBER(SEARCH("liveramp",$C1579))),"DELETE",$A1579="agile-bonbon-662",_xlfn.IFS(LEFT($G1579,9)="Tranche 1","DELETE",$C1579="Sessions_Level_1_All_Sites","KEEP",ISNUMBER(--$C1579),"REVIEW — UA raw logs",$C1579="Emag_Reporting","KEEP",$C1579="Nutrition_Data_Archived_Tables","KEEP",$C1579="EU_Data","KEEP",TRUE,"REVIEW"),OR($A1579="thg-influencer",$A1579="thg-ingenuity",$A1579="thg-central-marketing",$A1579="thg-seoclarity"),"HOLD",TRUE,"")</f>
        <v>REVIEW — UA raw logs</v>
      </c>
      <c r="R1579" t="str" cm="1">
        <f t="array" ref="R1579">_xlfn.IFS(AND($A1579="thg-beauty",ISNUMBER(SEARCH("liveramp",$C1579))),"thg-beauty Liveramp dataset — confirmed safe to delete",$A1579="agile-bonbon-662",_xlfn.IFS(LEFT($G1579,9)="Tranche 1","Tranche 1: cleared",$C1579="Sessions_Level_1_All_Sites","Downstream aggregation of UA raw logs — keep if raw tables go",ISNUMBER(--$C1579),"UA raw site logs (account ID) — keep pending audit-retention check",$C1579="Emag_Reporting","Legacy but likely needed",$C1579="Nutrition_Data_Archived_Tables","Worth keeping",$C1579="EU_Data","Static lookup tables — scripts still reference (smoke-test risk)",TRUE,"Review"),OR($A1579="thg-influencer",$A1579="thg-ingenuity",$A1579="thg-central-marketing",$A1579="thg-seoclarity"),"HOLD — Charlie Stringer to review before deletion",TRUE,"")</f>
        <v>UA raw site logs (account ID) — keep pending audit-retention check</v>
      </c>
      <c r="S1579" t="s">
        <v>1631</v>
      </c>
    </row>
    <row r="1580" spans="1:19" ht="45.75" hidden="1">
      <c r="A1580" t="s">
        <v>89</v>
      </c>
      <c r="B1580" t="s">
        <v>1619</v>
      </c>
      <c r="C1580" t="s">
        <v>1373</v>
      </c>
      <c r="D1580" s="2" t="s">
        <v>1621</v>
      </c>
      <c r="E1580">
        <v>16.03</v>
      </c>
      <c r="F1580">
        <v>0.32</v>
      </c>
      <c r="G1580" t="s">
        <v>72</v>
      </c>
      <c r="H1580" t="s">
        <v>3457</v>
      </c>
      <c r="I1580">
        <v>35</v>
      </c>
      <c r="J1580">
        <v>723</v>
      </c>
      <c r="K1580" s="5">
        <v>46161.584874062501</v>
      </c>
      <c r="M1580" s="2" t="s">
        <v>3449</v>
      </c>
      <c r="N1580" s="2" t="s">
        <v>1701</v>
      </c>
      <c r="O1580" s="5">
        <v>45474.336323020827</v>
      </c>
      <c r="P1580" t="str">
        <f>IF($Q1580="DELETE",IF($S1580="CONFIRMED: NO MODS &gt; 1YR","CONFIRMED: NO MODS &gt; 1YR","DO NOT DELETE — not defensibly confirmed"),IF($Q1580="HOLD","DO NOT DELETE — HOLD (Charlie review)",IF($Q1580="KEEP","DO NOT DELETE — KEEP",IF(ISNUMBER(SEARCH("REVIEW",$Q1580)),"DO NOT DELETE — REVIEW pending",$S1580))))</f>
        <v>DO NOT DELETE — REVIEW pending</v>
      </c>
      <c r="Q1580" t="str" cm="1">
        <f t="array" ref="Q1580">_xlfn.IFS(AND($A1580="thg-beauty",ISNUMBER(SEARCH("liveramp",$C1580))),"DELETE",$A1580="agile-bonbon-662",_xlfn.IFS(LEFT($G1580,9)="Tranche 1","DELETE",$C1580="Sessions_Level_1_All_Sites","KEEP",ISNUMBER(--$C1580),"REVIEW — UA raw logs",$C1580="Emag_Reporting","KEEP",$C1580="Nutrition_Data_Archived_Tables","KEEP",$C1580="EU_Data","KEEP",TRUE,"REVIEW"),OR($A1580="thg-influencer",$A1580="thg-ingenuity",$A1580="thg-central-marketing",$A1580="thg-seoclarity"),"HOLD",TRUE,"")</f>
        <v>REVIEW — UA raw logs</v>
      </c>
      <c r="R1580" t="str" cm="1">
        <f t="array" ref="R1580">_xlfn.IFS(AND($A1580="thg-beauty",ISNUMBER(SEARCH("liveramp",$C1580))),"thg-beauty Liveramp dataset — confirmed safe to delete",$A1580="agile-bonbon-662",_xlfn.IFS(LEFT($G1580,9)="Tranche 1","Tranche 1: cleared",$C1580="Sessions_Level_1_All_Sites","Downstream aggregation of UA raw logs — keep if raw tables go",ISNUMBER(--$C1580),"UA raw site logs (account ID) — keep pending audit-retention check",$C1580="Emag_Reporting","Legacy but likely needed",$C1580="Nutrition_Data_Archived_Tables","Worth keeping",$C1580="EU_Data","Static lookup tables — scripts still reference (smoke-test risk)",TRUE,"Review"),OR($A1580="thg-influencer",$A1580="thg-ingenuity",$A1580="thg-central-marketing",$A1580="thg-seoclarity"),"HOLD — Charlie Stringer to review before deletion",TRUE,"")</f>
        <v>UA raw site logs (account ID) — keep pending audit-retention check</v>
      </c>
      <c r="S1580" t="s">
        <v>1631</v>
      </c>
    </row>
    <row r="1581" spans="1:19" ht="45.75" hidden="1">
      <c r="A1581" t="s">
        <v>89</v>
      </c>
      <c r="B1581" t="s">
        <v>1619</v>
      </c>
      <c r="C1581" t="s">
        <v>1381</v>
      </c>
      <c r="D1581" s="2" t="s">
        <v>1621</v>
      </c>
      <c r="E1581">
        <v>16.03</v>
      </c>
      <c r="F1581">
        <v>0.32</v>
      </c>
      <c r="G1581" t="s">
        <v>72</v>
      </c>
      <c r="H1581" t="s">
        <v>3457</v>
      </c>
      <c r="I1581">
        <v>35</v>
      </c>
      <c r="J1581">
        <v>723</v>
      </c>
      <c r="K1581" s="5">
        <v>46161.586817916657</v>
      </c>
      <c r="M1581" s="2" t="s">
        <v>3911</v>
      </c>
      <c r="N1581" s="2" t="s">
        <v>1701</v>
      </c>
      <c r="O1581" s="5">
        <v>45474.273811620369</v>
      </c>
      <c r="P1581" t="str">
        <f>IF($Q1581="DELETE",IF($S1581="CONFIRMED: NO MODS &gt; 1YR","CONFIRMED: NO MODS &gt; 1YR","DO NOT DELETE — not defensibly confirmed"),IF($Q1581="HOLD","DO NOT DELETE — HOLD (Charlie review)",IF($Q1581="KEEP","DO NOT DELETE — KEEP",IF(ISNUMBER(SEARCH("REVIEW",$Q1581)),"DO NOT DELETE — REVIEW pending",$S1581))))</f>
        <v>DO NOT DELETE — REVIEW pending</v>
      </c>
      <c r="Q1581" t="str" cm="1">
        <f t="array" ref="Q1581">_xlfn.IFS(AND($A1581="thg-beauty",ISNUMBER(SEARCH("liveramp",$C1581))),"DELETE",$A1581="agile-bonbon-662",_xlfn.IFS(LEFT($G1581,9)="Tranche 1","DELETE",$C1581="Sessions_Level_1_All_Sites","KEEP",ISNUMBER(--$C1581),"REVIEW — UA raw logs",$C1581="Emag_Reporting","KEEP",$C1581="Nutrition_Data_Archived_Tables","KEEP",$C1581="EU_Data","KEEP",TRUE,"REVIEW"),OR($A1581="thg-influencer",$A1581="thg-ingenuity",$A1581="thg-central-marketing",$A1581="thg-seoclarity"),"HOLD",TRUE,"")</f>
        <v>REVIEW — UA raw logs</v>
      </c>
      <c r="R1581" t="str" cm="1">
        <f t="array" ref="R1581">_xlfn.IFS(AND($A1581="thg-beauty",ISNUMBER(SEARCH("liveramp",$C1581))),"thg-beauty Liveramp dataset — confirmed safe to delete",$A1581="agile-bonbon-662",_xlfn.IFS(LEFT($G1581,9)="Tranche 1","Tranche 1: cleared",$C1581="Sessions_Level_1_All_Sites","Downstream aggregation of UA raw logs — keep if raw tables go",ISNUMBER(--$C1581),"UA raw site logs (account ID) — keep pending audit-retention check",$C1581="Emag_Reporting","Legacy but likely needed",$C1581="Nutrition_Data_Archived_Tables","Worth keeping",$C1581="EU_Data","Static lookup tables — scripts still reference (smoke-test risk)",TRUE,"Review"),OR($A1581="thg-influencer",$A1581="thg-ingenuity",$A1581="thg-central-marketing",$A1581="thg-seoclarity"),"HOLD — Charlie Stringer to review before deletion",TRUE,"")</f>
        <v>UA raw site logs (account ID) — keep pending audit-retention check</v>
      </c>
      <c r="S1581" t="s">
        <v>1631</v>
      </c>
    </row>
    <row r="1582" spans="1:19" ht="45.75" hidden="1">
      <c r="A1582" t="s">
        <v>89</v>
      </c>
      <c r="B1582" t="s">
        <v>1619</v>
      </c>
      <c r="C1582" t="s">
        <v>1377</v>
      </c>
      <c r="D1582" s="2" t="s">
        <v>1621</v>
      </c>
      <c r="E1582">
        <v>15.92</v>
      </c>
      <c r="F1582">
        <v>0.32</v>
      </c>
      <c r="G1582" t="s">
        <v>72</v>
      </c>
      <c r="H1582" t="s">
        <v>3457</v>
      </c>
      <c r="I1582">
        <v>35</v>
      </c>
      <c r="J1582">
        <v>735</v>
      </c>
      <c r="K1582" s="5">
        <v>46161.592443182868</v>
      </c>
      <c r="M1582" s="2" t="s">
        <v>3405</v>
      </c>
      <c r="N1582" s="2" t="s">
        <v>1701</v>
      </c>
      <c r="O1582" s="5">
        <v>45462.255180520828</v>
      </c>
      <c r="P1582" t="str">
        <f>IF($Q1582="DELETE",IF($S1582="CONFIRMED: NO MODS &gt; 1YR","CONFIRMED: NO MODS &gt; 1YR","DO NOT DELETE — not defensibly confirmed"),IF($Q1582="HOLD","DO NOT DELETE — HOLD (Charlie review)",IF($Q1582="KEEP","DO NOT DELETE — KEEP",IF(ISNUMBER(SEARCH("REVIEW",$Q1582)),"DO NOT DELETE — REVIEW pending",$S1582))))</f>
        <v>DO NOT DELETE — REVIEW pending</v>
      </c>
      <c r="Q1582" t="str" cm="1">
        <f t="array" ref="Q1582">_xlfn.IFS(AND($A1582="thg-beauty",ISNUMBER(SEARCH("liveramp",$C1582))),"DELETE",$A1582="agile-bonbon-662",_xlfn.IFS(LEFT($G1582,9)="Tranche 1","DELETE",$C1582="Sessions_Level_1_All_Sites","KEEP",ISNUMBER(--$C1582),"REVIEW — UA raw logs",$C1582="Emag_Reporting","KEEP",$C1582="Nutrition_Data_Archived_Tables","KEEP",$C1582="EU_Data","KEEP",TRUE,"REVIEW"),OR($A1582="thg-influencer",$A1582="thg-ingenuity",$A1582="thg-central-marketing",$A1582="thg-seoclarity"),"HOLD",TRUE,"")</f>
        <v>REVIEW — UA raw logs</v>
      </c>
      <c r="R1582" t="str" cm="1">
        <f t="array" ref="R1582">_xlfn.IFS(AND($A1582="thg-beauty",ISNUMBER(SEARCH("liveramp",$C1582))),"thg-beauty Liveramp dataset — confirmed safe to delete",$A1582="agile-bonbon-662",_xlfn.IFS(LEFT($G1582,9)="Tranche 1","Tranche 1: cleared",$C1582="Sessions_Level_1_All_Sites","Downstream aggregation of UA raw logs — keep if raw tables go",ISNUMBER(--$C1582),"UA raw site logs (account ID) — keep pending audit-retention check",$C1582="Emag_Reporting","Legacy but likely needed",$C1582="Nutrition_Data_Archived_Tables","Worth keeping",$C1582="EU_Data","Static lookup tables — scripts still reference (smoke-test risk)",TRUE,"Review"),OR($A1582="thg-influencer",$A1582="thg-ingenuity",$A1582="thg-central-marketing",$A1582="thg-seoclarity"),"HOLD — Charlie Stringer to review before deletion",TRUE,"")</f>
        <v>UA raw site logs (account ID) — keep pending audit-retention check</v>
      </c>
      <c r="S1582" t="s">
        <v>1631</v>
      </c>
    </row>
    <row r="1583" spans="1:19" ht="45.75" hidden="1">
      <c r="A1583" t="s">
        <v>89</v>
      </c>
      <c r="B1583" t="s">
        <v>1619</v>
      </c>
      <c r="C1583" t="s">
        <v>1385</v>
      </c>
      <c r="D1583" s="2" t="s">
        <v>1621</v>
      </c>
      <c r="E1583">
        <v>15.92</v>
      </c>
      <c r="F1583">
        <v>0.32</v>
      </c>
      <c r="G1583" t="s">
        <v>72</v>
      </c>
      <c r="H1583" t="s">
        <v>3457</v>
      </c>
      <c r="I1583">
        <v>35</v>
      </c>
      <c r="J1583">
        <v>904</v>
      </c>
      <c r="K1583" s="5">
        <v>46161.615538414349</v>
      </c>
      <c r="M1583" s="2" t="s">
        <v>1928</v>
      </c>
      <c r="N1583" s="2" t="s">
        <v>1701</v>
      </c>
      <c r="O1583" s="5">
        <v>45293.331555625002</v>
      </c>
      <c r="P1583" t="str">
        <f>IF($Q1583="DELETE",IF($S1583="CONFIRMED: NO MODS &gt; 1YR","CONFIRMED: NO MODS &gt; 1YR","DO NOT DELETE — not defensibly confirmed"),IF($Q1583="HOLD","DO NOT DELETE — HOLD (Charlie review)",IF($Q1583="KEEP","DO NOT DELETE — KEEP",IF(ISNUMBER(SEARCH("REVIEW",$Q1583)),"DO NOT DELETE — REVIEW pending",$S1583))))</f>
        <v>DO NOT DELETE — REVIEW pending</v>
      </c>
      <c r="Q1583" t="str" cm="1">
        <f t="array" ref="Q1583">_xlfn.IFS(AND($A1583="thg-beauty",ISNUMBER(SEARCH("liveramp",$C1583))),"DELETE",$A1583="agile-bonbon-662",_xlfn.IFS(LEFT($G1583,9)="Tranche 1","DELETE",$C1583="Sessions_Level_1_All_Sites","KEEP",ISNUMBER(--$C1583),"REVIEW — UA raw logs",$C1583="Emag_Reporting","KEEP",$C1583="Nutrition_Data_Archived_Tables","KEEP",$C1583="EU_Data","KEEP",TRUE,"REVIEW"),OR($A1583="thg-influencer",$A1583="thg-ingenuity",$A1583="thg-central-marketing",$A1583="thg-seoclarity"),"HOLD",TRUE,"")</f>
        <v>REVIEW</v>
      </c>
      <c r="R1583" t="str" cm="1">
        <f t="array" ref="R1583">_xlfn.IFS(AND($A1583="thg-beauty",ISNUMBER(SEARCH("liveramp",$C1583))),"thg-beauty Liveramp dataset — confirmed safe to delete",$A1583="agile-bonbon-662",_xlfn.IFS(LEFT($G1583,9)="Tranche 1","Tranche 1: cleared",$C1583="Sessions_Level_1_All_Sites","Downstream aggregation of UA raw logs — keep if raw tables go",ISNUMBER(--$C1583),"UA raw site logs (account ID) — keep pending audit-retention check",$C1583="Emag_Reporting","Legacy but likely needed",$C1583="Nutrition_Data_Archived_Tables","Worth keeping",$C1583="EU_Data","Static lookup tables — scripts still reference (smoke-test risk)",TRUE,"Review"),OR($A1583="thg-influencer",$A1583="thg-ingenuity",$A1583="thg-central-marketing",$A1583="thg-seoclarity"),"HOLD — Charlie Stringer to review before deletion",TRUE,"")</f>
        <v>Review</v>
      </c>
      <c r="S1583" t="s">
        <v>1631</v>
      </c>
    </row>
    <row r="1584" spans="1:19" ht="45.75" hidden="1">
      <c r="A1584" t="s">
        <v>89</v>
      </c>
      <c r="B1584" t="s">
        <v>1619</v>
      </c>
      <c r="C1584" t="s">
        <v>1395</v>
      </c>
      <c r="D1584" s="2" t="s">
        <v>1621</v>
      </c>
      <c r="E1584">
        <v>15.88</v>
      </c>
      <c r="F1584">
        <v>0.32</v>
      </c>
      <c r="G1584" t="s">
        <v>72</v>
      </c>
      <c r="H1584" t="s">
        <v>3457</v>
      </c>
      <c r="I1584">
        <v>35</v>
      </c>
      <c r="J1584">
        <v>1018</v>
      </c>
      <c r="K1584" s="5">
        <v>46161.619562511572</v>
      </c>
      <c r="M1584" s="2" t="s">
        <v>1972</v>
      </c>
      <c r="N1584" s="2" t="s">
        <v>1701</v>
      </c>
      <c r="O1584" s="5">
        <v>45178.866872152779</v>
      </c>
      <c r="P1584" t="str">
        <f>IF($Q1584="DELETE",IF($S1584="CONFIRMED: NO MODS &gt; 1YR","CONFIRMED: NO MODS &gt; 1YR","DO NOT DELETE — not defensibly confirmed"),IF($Q1584="HOLD","DO NOT DELETE — HOLD (Charlie review)",IF($Q1584="KEEP","DO NOT DELETE — KEEP",IF(ISNUMBER(SEARCH("REVIEW",$Q1584)),"DO NOT DELETE — REVIEW pending",$S1584))))</f>
        <v>DO NOT DELETE — REVIEW pending</v>
      </c>
      <c r="Q1584" t="str" cm="1">
        <f t="array" ref="Q1584">_xlfn.IFS(AND($A1584="thg-beauty",ISNUMBER(SEARCH("liveramp",$C1584))),"DELETE",$A1584="agile-bonbon-662",_xlfn.IFS(LEFT($G1584,9)="Tranche 1","DELETE",$C1584="Sessions_Level_1_All_Sites","KEEP",ISNUMBER(--$C1584),"REVIEW — UA raw logs",$C1584="Emag_Reporting","KEEP",$C1584="Nutrition_Data_Archived_Tables","KEEP",$C1584="EU_Data","KEEP",TRUE,"REVIEW"),OR($A1584="thg-influencer",$A1584="thg-ingenuity",$A1584="thg-central-marketing",$A1584="thg-seoclarity"),"HOLD",TRUE,"")</f>
        <v>REVIEW</v>
      </c>
      <c r="R1584" t="str" cm="1">
        <f t="array" ref="R1584">_xlfn.IFS(AND($A1584="thg-beauty",ISNUMBER(SEARCH("liveramp",$C1584))),"thg-beauty Liveramp dataset — confirmed safe to delete",$A1584="agile-bonbon-662",_xlfn.IFS(LEFT($G1584,9)="Tranche 1","Tranche 1: cleared",$C1584="Sessions_Level_1_All_Sites","Downstream aggregation of UA raw logs — keep if raw tables go",ISNUMBER(--$C1584),"UA raw site logs (account ID) — keep pending audit-retention check",$C1584="Emag_Reporting","Legacy but likely needed",$C1584="Nutrition_Data_Archived_Tables","Worth keeping",$C1584="EU_Data","Static lookup tables — scripts still reference (smoke-test risk)",TRUE,"Review"),OR($A1584="thg-influencer",$A1584="thg-ingenuity",$A1584="thg-central-marketing",$A1584="thg-seoclarity"),"HOLD — Charlie Stringer to review before deletion",TRUE,"")</f>
        <v>Review</v>
      </c>
      <c r="S1584" t="s">
        <v>1631</v>
      </c>
    </row>
    <row r="1585" spans="1:19" ht="45.75" hidden="1">
      <c r="A1585" t="s">
        <v>89</v>
      </c>
      <c r="B1585" t="s">
        <v>1619</v>
      </c>
      <c r="C1585" t="s">
        <v>1390</v>
      </c>
      <c r="D1585" s="2" t="s">
        <v>1621</v>
      </c>
      <c r="E1585">
        <v>15.85</v>
      </c>
      <c r="F1585">
        <v>0.32</v>
      </c>
      <c r="G1585" t="s">
        <v>72</v>
      </c>
      <c r="H1585" t="s">
        <v>3457</v>
      </c>
      <c r="I1585">
        <v>35</v>
      </c>
      <c r="J1585">
        <v>803</v>
      </c>
      <c r="K1585" s="5">
        <v>46161.616697106481</v>
      </c>
      <c r="M1585" s="2" t="s">
        <v>1925</v>
      </c>
      <c r="N1585" s="2" t="s">
        <v>1701</v>
      </c>
      <c r="O1585" s="5">
        <v>45394.325342627308</v>
      </c>
      <c r="P1585" t="str">
        <f>IF($Q1585="DELETE",IF($S1585="CONFIRMED: NO MODS &gt; 1YR","CONFIRMED: NO MODS &gt; 1YR","DO NOT DELETE — not defensibly confirmed"),IF($Q1585="HOLD","DO NOT DELETE — HOLD (Charlie review)",IF($Q1585="KEEP","DO NOT DELETE — KEEP",IF(ISNUMBER(SEARCH("REVIEW",$Q1585)),"DO NOT DELETE — REVIEW pending",$S1585))))</f>
        <v>DO NOT DELETE — REVIEW pending</v>
      </c>
      <c r="Q1585" t="str" cm="1">
        <f t="array" ref="Q1585">_xlfn.IFS(AND($A1585="thg-beauty",ISNUMBER(SEARCH("liveramp",$C1585))),"DELETE",$A1585="agile-bonbon-662",_xlfn.IFS(LEFT($G1585,9)="Tranche 1","DELETE",$C1585="Sessions_Level_1_All_Sites","KEEP",ISNUMBER(--$C1585),"REVIEW — UA raw logs",$C1585="Emag_Reporting","KEEP",$C1585="Nutrition_Data_Archived_Tables","KEEP",$C1585="EU_Data","KEEP",TRUE,"REVIEW"),OR($A1585="thg-influencer",$A1585="thg-ingenuity",$A1585="thg-central-marketing",$A1585="thg-seoclarity"),"HOLD",TRUE,"")</f>
        <v>REVIEW</v>
      </c>
      <c r="R1585" t="str" cm="1">
        <f t="array" ref="R1585">_xlfn.IFS(AND($A1585="thg-beauty",ISNUMBER(SEARCH("liveramp",$C1585))),"thg-beauty Liveramp dataset — confirmed safe to delete",$A1585="agile-bonbon-662",_xlfn.IFS(LEFT($G1585,9)="Tranche 1","Tranche 1: cleared",$C1585="Sessions_Level_1_All_Sites","Downstream aggregation of UA raw logs — keep if raw tables go",ISNUMBER(--$C1585),"UA raw site logs (account ID) — keep pending audit-retention check",$C1585="Emag_Reporting","Legacy but likely needed",$C1585="Nutrition_Data_Archived_Tables","Worth keeping",$C1585="EU_Data","Static lookup tables — scripts still reference (smoke-test risk)",TRUE,"Review"),OR($A1585="thg-influencer",$A1585="thg-ingenuity",$A1585="thg-central-marketing",$A1585="thg-seoclarity"),"HOLD — Charlie Stringer to review before deletion",TRUE,"")</f>
        <v>Review</v>
      </c>
      <c r="S1585" t="s">
        <v>1631</v>
      </c>
    </row>
    <row r="1586" spans="1:19" ht="45.75" hidden="1">
      <c r="A1586" t="s">
        <v>89</v>
      </c>
      <c r="B1586" t="s">
        <v>1619</v>
      </c>
      <c r="C1586" t="s">
        <v>1400</v>
      </c>
      <c r="D1586" s="2" t="s">
        <v>1621</v>
      </c>
      <c r="E1586">
        <v>15.75</v>
      </c>
      <c r="F1586">
        <v>0.31</v>
      </c>
      <c r="G1586" t="s">
        <v>72</v>
      </c>
      <c r="H1586" t="s">
        <v>3457</v>
      </c>
      <c r="I1586">
        <v>35</v>
      </c>
      <c r="J1586">
        <v>1966</v>
      </c>
      <c r="K1586" s="5">
        <v>46161.621865983798</v>
      </c>
      <c r="M1586" s="2" t="s">
        <v>3359</v>
      </c>
      <c r="N1586" s="2" t="s">
        <v>1701</v>
      </c>
      <c r="O1586" s="5">
        <v>44230.99457185185</v>
      </c>
      <c r="P1586" t="str">
        <f>IF($Q1586="DELETE",IF($S1586="CONFIRMED: NO MODS &gt; 1YR","CONFIRMED: NO MODS &gt; 1YR","DO NOT DELETE — not defensibly confirmed"),IF($Q1586="HOLD","DO NOT DELETE — HOLD (Charlie review)",IF($Q1586="KEEP","DO NOT DELETE — KEEP",IF(ISNUMBER(SEARCH("REVIEW",$Q1586)),"DO NOT DELETE — REVIEW pending",$S1586))))</f>
        <v>DO NOT DELETE — REVIEW pending</v>
      </c>
      <c r="Q1586" t="str" cm="1">
        <f t="array" ref="Q1586">_xlfn.IFS(AND($A1586="thg-beauty",ISNUMBER(SEARCH("liveramp",$C1586))),"DELETE",$A1586="agile-bonbon-662",_xlfn.IFS(LEFT($G1586,9)="Tranche 1","DELETE",$C1586="Sessions_Level_1_All_Sites","KEEP",ISNUMBER(--$C1586),"REVIEW — UA raw logs",$C1586="Emag_Reporting","KEEP",$C1586="Nutrition_Data_Archived_Tables","KEEP",$C1586="EU_Data","KEEP",TRUE,"REVIEW"),OR($A1586="thg-influencer",$A1586="thg-ingenuity",$A1586="thg-central-marketing",$A1586="thg-seoclarity"),"HOLD",TRUE,"")</f>
        <v>REVIEW</v>
      </c>
      <c r="R1586" t="str" cm="1">
        <f t="array" ref="R1586">_xlfn.IFS(AND($A1586="thg-beauty",ISNUMBER(SEARCH("liveramp",$C1586))),"thg-beauty Liveramp dataset — confirmed safe to delete",$A1586="agile-bonbon-662",_xlfn.IFS(LEFT($G1586,9)="Tranche 1","Tranche 1: cleared",$C1586="Sessions_Level_1_All_Sites","Downstream aggregation of UA raw logs — keep if raw tables go",ISNUMBER(--$C1586),"UA raw site logs (account ID) — keep pending audit-retention check",$C1586="Emag_Reporting","Legacy but likely needed",$C1586="Nutrition_Data_Archived_Tables","Worth keeping",$C1586="EU_Data","Static lookup tables — scripts still reference (smoke-test risk)",TRUE,"Review"),OR($A1586="thg-influencer",$A1586="thg-ingenuity",$A1586="thg-central-marketing",$A1586="thg-seoclarity"),"HOLD — Charlie Stringer to review before deletion",TRUE,"")</f>
        <v>Review</v>
      </c>
      <c r="S1586" t="s">
        <v>1631</v>
      </c>
    </row>
    <row r="1587" spans="1:19" ht="45.75" hidden="1">
      <c r="A1587" t="s">
        <v>89</v>
      </c>
      <c r="B1587" t="s">
        <v>1619</v>
      </c>
      <c r="C1587" t="s">
        <v>1404</v>
      </c>
      <c r="D1587" s="2" t="s">
        <v>1621</v>
      </c>
      <c r="E1587">
        <v>15.54</v>
      </c>
      <c r="F1587">
        <v>0.31</v>
      </c>
      <c r="G1587" t="s">
        <v>72</v>
      </c>
      <c r="H1587" t="s">
        <v>3457</v>
      </c>
      <c r="I1587">
        <v>35</v>
      </c>
      <c r="J1587">
        <v>723</v>
      </c>
      <c r="K1587" s="5">
        <v>46161.59304605324</v>
      </c>
      <c r="M1587" s="2" t="s">
        <v>3912</v>
      </c>
      <c r="N1587" s="2" t="s">
        <v>1701</v>
      </c>
      <c r="O1587" s="5">
        <v>45474.280392141212</v>
      </c>
      <c r="P1587" t="str">
        <f>IF($Q1587="DELETE",IF($S1587="CONFIRMED: NO MODS &gt; 1YR","CONFIRMED: NO MODS &gt; 1YR","DO NOT DELETE — not defensibly confirmed"),IF($Q1587="HOLD","DO NOT DELETE — HOLD (Charlie review)",IF($Q1587="KEEP","DO NOT DELETE — KEEP",IF(ISNUMBER(SEARCH("REVIEW",$Q1587)),"DO NOT DELETE — REVIEW pending",$S1587))))</f>
        <v>DO NOT DELETE — REVIEW pending</v>
      </c>
      <c r="Q1587" t="str" cm="1">
        <f t="array" ref="Q1587">_xlfn.IFS(AND($A1587="thg-beauty",ISNUMBER(SEARCH("liveramp",$C1587))),"DELETE",$A1587="agile-bonbon-662",_xlfn.IFS(LEFT($G1587,9)="Tranche 1","DELETE",$C1587="Sessions_Level_1_All_Sites","KEEP",ISNUMBER(--$C1587),"REVIEW — UA raw logs",$C1587="Emag_Reporting","KEEP",$C1587="Nutrition_Data_Archived_Tables","KEEP",$C1587="EU_Data","KEEP",TRUE,"REVIEW"),OR($A1587="thg-influencer",$A1587="thg-ingenuity",$A1587="thg-central-marketing",$A1587="thg-seoclarity"),"HOLD",TRUE,"")</f>
        <v>REVIEW — UA raw logs</v>
      </c>
      <c r="R1587" t="str" cm="1">
        <f t="array" ref="R1587">_xlfn.IFS(AND($A1587="thg-beauty",ISNUMBER(SEARCH("liveramp",$C1587))),"thg-beauty Liveramp dataset — confirmed safe to delete",$A1587="agile-bonbon-662",_xlfn.IFS(LEFT($G1587,9)="Tranche 1","Tranche 1: cleared",$C1587="Sessions_Level_1_All_Sites","Downstream aggregation of UA raw logs — keep if raw tables go",ISNUMBER(--$C1587),"UA raw site logs (account ID) — keep pending audit-retention check",$C1587="Emag_Reporting","Legacy but likely needed",$C1587="Nutrition_Data_Archived_Tables","Worth keeping",$C1587="EU_Data","Static lookup tables — scripts still reference (smoke-test risk)",TRUE,"Review"),OR($A1587="thg-influencer",$A1587="thg-ingenuity",$A1587="thg-central-marketing",$A1587="thg-seoclarity"),"HOLD — Charlie Stringer to review before deletion",TRUE,"")</f>
        <v>UA raw site logs (account ID) — keep pending audit-retention check</v>
      </c>
      <c r="S1587" t="s">
        <v>1631</v>
      </c>
    </row>
    <row r="1588" spans="1:19" ht="45.75" hidden="1">
      <c r="A1588" t="s">
        <v>89</v>
      </c>
      <c r="B1588" t="s">
        <v>1619</v>
      </c>
      <c r="C1588" t="s">
        <v>1412</v>
      </c>
      <c r="D1588" s="2" t="s">
        <v>1621</v>
      </c>
      <c r="E1588">
        <v>15.18</v>
      </c>
      <c r="F1588">
        <v>0.3</v>
      </c>
      <c r="G1588" t="s">
        <v>72</v>
      </c>
      <c r="H1588" t="s">
        <v>3457</v>
      </c>
      <c r="I1588">
        <v>35</v>
      </c>
      <c r="J1588">
        <v>723</v>
      </c>
      <c r="K1588" s="5">
        <v>46161.591505300923</v>
      </c>
      <c r="M1588" s="2" t="s">
        <v>3418</v>
      </c>
      <c r="N1588" s="2" t="s">
        <v>1701</v>
      </c>
      <c r="O1588" s="5">
        <v>45474.277531319443</v>
      </c>
      <c r="P1588" t="str">
        <f>IF($Q1588="DELETE",IF($S1588="CONFIRMED: NO MODS &gt; 1YR","CONFIRMED: NO MODS &gt; 1YR","DO NOT DELETE — not defensibly confirmed"),IF($Q1588="HOLD","DO NOT DELETE — HOLD (Charlie review)",IF($Q1588="KEEP","DO NOT DELETE — KEEP",IF(ISNUMBER(SEARCH("REVIEW",$Q1588)),"DO NOT DELETE — REVIEW pending",$S1588))))</f>
        <v>DO NOT DELETE — REVIEW pending</v>
      </c>
      <c r="Q1588" t="str" cm="1">
        <f t="array" ref="Q1588">_xlfn.IFS(AND($A1588="thg-beauty",ISNUMBER(SEARCH("liveramp",$C1588))),"DELETE",$A1588="agile-bonbon-662",_xlfn.IFS(LEFT($G1588,9)="Tranche 1","DELETE",$C1588="Sessions_Level_1_All_Sites","KEEP",ISNUMBER(--$C1588),"REVIEW — UA raw logs",$C1588="Emag_Reporting","KEEP",$C1588="Nutrition_Data_Archived_Tables","KEEP",$C1588="EU_Data","KEEP",TRUE,"REVIEW"),OR($A1588="thg-influencer",$A1588="thg-ingenuity",$A1588="thg-central-marketing",$A1588="thg-seoclarity"),"HOLD",TRUE,"")</f>
        <v>REVIEW — UA raw logs</v>
      </c>
      <c r="R1588" t="str" cm="1">
        <f t="array" ref="R1588">_xlfn.IFS(AND($A1588="thg-beauty",ISNUMBER(SEARCH("liveramp",$C1588))),"thg-beauty Liveramp dataset — confirmed safe to delete",$A1588="agile-bonbon-662",_xlfn.IFS(LEFT($G1588,9)="Tranche 1","Tranche 1: cleared",$C1588="Sessions_Level_1_All_Sites","Downstream aggregation of UA raw logs — keep if raw tables go",ISNUMBER(--$C1588),"UA raw site logs (account ID) — keep pending audit-retention check",$C1588="Emag_Reporting","Legacy but likely needed",$C1588="Nutrition_Data_Archived_Tables","Worth keeping",$C1588="EU_Data","Static lookup tables — scripts still reference (smoke-test risk)",TRUE,"Review"),OR($A1588="thg-influencer",$A1588="thg-ingenuity",$A1588="thg-central-marketing",$A1588="thg-seoclarity"),"HOLD — Charlie Stringer to review before deletion",TRUE,"")</f>
        <v>UA raw site logs (account ID) — keep pending audit-retention check</v>
      </c>
      <c r="S1588" t="s">
        <v>1631</v>
      </c>
    </row>
    <row r="1589" spans="1:19" ht="45.75" hidden="1">
      <c r="A1589" t="s">
        <v>89</v>
      </c>
      <c r="B1589" t="s">
        <v>1619</v>
      </c>
      <c r="C1589" t="s">
        <v>1416</v>
      </c>
      <c r="D1589" s="2" t="s">
        <v>1621</v>
      </c>
      <c r="E1589">
        <v>14.82</v>
      </c>
      <c r="F1589">
        <v>0.3</v>
      </c>
      <c r="G1589" t="s">
        <v>72</v>
      </c>
      <c r="H1589" t="s">
        <v>3457</v>
      </c>
      <c r="I1589">
        <v>35</v>
      </c>
      <c r="J1589">
        <v>723</v>
      </c>
      <c r="K1589" s="5">
        <v>46161.591163333331</v>
      </c>
      <c r="M1589" s="2" t="s">
        <v>3418</v>
      </c>
      <c r="N1589" s="2" t="s">
        <v>1701</v>
      </c>
      <c r="O1589" s="5">
        <v>45474.276942627323</v>
      </c>
      <c r="P1589" t="str">
        <f>IF($Q1589="DELETE",IF($S1589="CONFIRMED: NO MODS &gt; 1YR","CONFIRMED: NO MODS &gt; 1YR","DO NOT DELETE — not defensibly confirmed"),IF($Q1589="HOLD","DO NOT DELETE — HOLD (Charlie review)",IF($Q1589="KEEP","DO NOT DELETE — KEEP",IF(ISNUMBER(SEARCH("REVIEW",$Q1589)),"DO NOT DELETE — REVIEW pending",$S1589))))</f>
        <v>DO NOT DELETE — REVIEW pending</v>
      </c>
      <c r="Q1589" t="str" cm="1">
        <f t="array" ref="Q1589">_xlfn.IFS(AND($A1589="thg-beauty",ISNUMBER(SEARCH("liveramp",$C1589))),"DELETE",$A1589="agile-bonbon-662",_xlfn.IFS(LEFT($G1589,9)="Tranche 1","DELETE",$C1589="Sessions_Level_1_All_Sites","KEEP",ISNUMBER(--$C1589),"REVIEW — UA raw logs",$C1589="Emag_Reporting","KEEP",$C1589="Nutrition_Data_Archived_Tables","KEEP",$C1589="EU_Data","KEEP",TRUE,"REVIEW"),OR($A1589="thg-influencer",$A1589="thg-ingenuity",$A1589="thg-central-marketing",$A1589="thg-seoclarity"),"HOLD",TRUE,"")</f>
        <v>REVIEW — UA raw logs</v>
      </c>
      <c r="R1589" t="str" cm="1">
        <f t="array" ref="R1589">_xlfn.IFS(AND($A1589="thg-beauty",ISNUMBER(SEARCH("liveramp",$C1589))),"thg-beauty Liveramp dataset — confirmed safe to delete",$A1589="agile-bonbon-662",_xlfn.IFS(LEFT($G1589,9)="Tranche 1","Tranche 1: cleared",$C1589="Sessions_Level_1_All_Sites","Downstream aggregation of UA raw logs — keep if raw tables go",ISNUMBER(--$C1589),"UA raw site logs (account ID) — keep pending audit-retention check",$C1589="Emag_Reporting","Legacy but likely needed",$C1589="Nutrition_Data_Archived_Tables","Worth keeping",$C1589="EU_Data","Static lookup tables — scripts still reference (smoke-test risk)",TRUE,"Review"),OR($A1589="thg-influencer",$A1589="thg-ingenuity",$A1589="thg-central-marketing",$A1589="thg-seoclarity"),"HOLD — Charlie Stringer to review before deletion",TRUE,"")</f>
        <v>UA raw site logs (account ID) — keep pending audit-retention check</v>
      </c>
      <c r="S1589" t="s">
        <v>1631</v>
      </c>
    </row>
    <row r="1590" spans="1:19" ht="45.75" hidden="1">
      <c r="A1590" t="s">
        <v>89</v>
      </c>
      <c r="B1590" t="s">
        <v>1619</v>
      </c>
      <c r="C1590" t="s">
        <v>1420</v>
      </c>
      <c r="D1590" s="2" t="s">
        <v>1621</v>
      </c>
      <c r="E1590">
        <v>14.81</v>
      </c>
      <c r="F1590">
        <v>0.3</v>
      </c>
      <c r="G1590" t="s">
        <v>72</v>
      </c>
      <c r="H1590" t="s">
        <v>3457</v>
      </c>
      <c r="I1590">
        <v>35</v>
      </c>
      <c r="J1590">
        <v>723</v>
      </c>
      <c r="K1590" s="5">
        <v>46161.59010666667</v>
      </c>
      <c r="M1590" s="2" t="s">
        <v>3402</v>
      </c>
      <c r="N1590" s="2" t="s">
        <v>1701</v>
      </c>
      <c r="O1590" s="5">
        <v>45474.275840439812</v>
      </c>
      <c r="P1590" t="str">
        <f>IF($Q1590="DELETE",IF($S1590="CONFIRMED: NO MODS &gt; 1YR","CONFIRMED: NO MODS &gt; 1YR","DO NOT DELETE — not defensibly confirmed"),IF($Q1590="HOLD","DO NOT DELETE — HOLD (Charlie review)",IF($Q1590="KEEP","DO NOT DELETE — KEEP",IF(ISNUMBER(SEARCH("REVIEW",$Q1590)),"DO NOT DELETE — REVIEW pending",$S1590))))</f>
        <v>DO NOT DELETE — REVIEW pending</v>
      </c>
      <c r="Q1590" t="str" cm="1">
        <f t="array" ref="Q1590">_xlfn.IFS(AND($A1590="thg-beauty",ISNUMBER(SEARCH("liveramp",$C1590))),"DELETE",$A1590="agile-bonbon-662",_xlfn.IFS(LEFT($G1590,9)="Tranche 1","DELETE",$C1590="Sessions_Level_1_All_Sites","KEEP",ISNUMBER(--$C1590),"REVIEW — UA raw logs",$C1590="Emag_Reporting","KEEP",$C1590="Nutrition_Data_Archived_Tables","KEEP",$C1590="EU_Data","KEEP",TRUE,"REVIEW"),OR($A1590="thg-influencer",$A1590="thg-ingenuity",$A1590="thg-central-marketing",$A1590="thg-seoclarity"),"HOLD",TRUE,"")</f>
        <v>REVIEW — UA raw logs</v>
      </c>
      <c r="R1590" t="str" cm="1">
        <f t="array" ref="R1590">_xlfn.IFS(AND($A1590="thg-beauty",ISNUMBER(SEARCH("liveramp",$C1590))),"thg-beauty Liveramp dataset — confirmed safe to delete",$A1590="agile-bonbon-662",_xlfn.IFS(LEFT($G1590,9)="Tranche 1","Tranche 1: cleared",$C1590="Sessions_Level_1_All_Sites","Downstream aggregation of UA raw logs — keep if raw tables go",ISNUMBER(--$C1590),"UA raw site logs (account ID) — keep pending audit-retention check",$C1590="Emag_Reporting","Legacy but likely needed",$C1590="Nutrition_Data_Archived_Tables","Worth keeping",$C1590="EU_Data","Static lookup tables — scripts still reference (smoke-test risk)",TRUE,"Review"),OR($A1590="thg-influencer",$A1590="thg-ingenuity",$A1590="thg-central-marketing",$A1590="thg-seoclarity"),"HOLD — Charlie Stringer to review before deletion",TRUE,"")</f>
        <v>UA raw site logs (account ID) — keep pending audit-retention check</v>
      </c>
      <c r="S1590" t="s">
        <v>1631</v>
      </c>
    </row>
    <row r="1591" spans="1:19" ht="45.75" hidden="1">
      <c r="A1591" t="s">
        <v>89</v>
      </c>
      <c r="B1591" t="s">
        <v>1619</v>
      </c>
      <c r="C1591" t="s">
        <v>1432</v>
      </c>
      <c r="D1591" s="2" t="s">
        <v>1621</v>
      </c>
      <c r="E1591">
        <v>14.36</v>
      </c>
      <c r="F1591">
        <v>0.28999999999999998</v>
      </c>
      <c r="G1591" t="s">
        <v>72</v>
      </c>
      <c r="H1591" t="s">
        <v>3457</v>
      </c>
      <c r="I1591">
        <v>35</v>
      </c>
      <c r="J1591">
        <v>990</v>
      </c>
      <c r="K1591" s="5">
        <v>46161.616454722222</v>
      </c>
      <c r="M1591" s="2" t="s">
        <v>1984</v>
      </c>
      <c r="N1591" s="2" t="s">
        <v>1701</v>
      </c>
      <c r="O1591" s="5">
        <v>45207.26134597222</v>
      </c>
      <c r="P1591" t="str">
        <f>IF($Q1591="DELETE",IF($S1591="CONFIRMED: NO MODS &gt; 1YR","CONFIRMED: NO MODS &gt; 1YR","DO NOT DELETE — not defensibly confirmed"),IF($Q1591="HOLD","DO NOT DELETE — HOLD (Charlie review)",IF($Q1591="KEEP","DO NOT DELETE — KEEP",IF(ISNUMBER(SEARCH("REVIEW",$Q1591)),"DO NOT DELETE — REVIEW pending",$S1591))))</f>
        <v>DO NOT DELETE — REVIEW pending</v>
      </c>
      <c r="Q1591" t="str" cm="1">
        <f t="array" ref="Q1591">_xlfn.IFS(AND($A1591="thg-beauty",ISNUMBER(SEARCH("liveramp",$C1591))),"DELETE",$A1591="agile-bonbon-662",_xlfn.IFS(LEFT($G1591,9)="Tranche 1","DELETE",$C1591="Sessions_Level_1_All_Sites","KEEP",ISNUMBER(--$C1591),"REVIEW — UA raw logs",$C1591="Emag_Reporting","KEEP",$C1591="Nutrition_Data_Archived_Tables","KEEP",$C1591="EU_Data","KEEP",TRUE,"REVIEW"),OR($A1591="thg-influencer",$A1591="thg-ingenuity",$A1591="thg-central-marketing",$A1591="thg-seoclarity"),"HOLD",TRUE,"")</f>
        <v>REVIEW</v>
      </c>
      <c r="R1591" t="str" cm="1">
        <f t="array" ref="R1591">_xlfn.IFS(AND($A1591="thg-beauty",ISNUMBER(SEARCH("liveramp",$C1591))),"thg-beauty Liveramp dataset — confirmed safe to delete",$A1591="agile-bonbon-662",_xlfn.IFS(LEFT($G1591,9)="Tranche 1","Tranche 1: cleared",$C1591="Sessions_Level_1_All_Sites","Downstream aggregation of UA raw logs — keep if raw tables go",ISNUMBER(--$C1591),"UA raw site logs (account ID) — keep pending audit-retention check",$C1591="Emag_Reporting","Legacy but likely needed",$C1591="Nutrition_Data_Archived_Tables","Worth keeping",$C1591="EU_Data","Static lookup tables — scripts still reference (smoke-test risk)",TRUE,"Review"),OR($A1591="thg-influencer",$A1591="thg-ingenuity",$A1591="thg-central-marketing",$A1591="thg-seoclarity"),"HOLD — Charlie Stringer to review before deletion",TRUE,"")</f>
        <v>Review</v>
      </c>
      <c r="S1591" t="s">
        <v>1631</v>
      </c>
    </row>
    <row r="1592" spans="1:19" ht="45.75" hidden="1">
      <c r="A1592" t="s">
        <v>89</v>
      </c>
      <c r="B1592" t="s">
        <v>1619</v>
      </c>
      <c r="C1592" t="s">
        <v>1428</v>
      </c>
      <c r="D1592" s="2" t="s">
        <v>1621</v>
      </c>
      <c r="E1592">
        <v>14.36</v>
      </c>
      <c r="F1592">
        <v>0.28999999999999998</v>
      </c>
      <c r="G1592" t="s">
        <v>72</v>
      </c>
      <c r="H1592" t="s">
        <v>3457</v>
      </c>
      <c r="I1592">
        <v>35</v>
      </c>
      <c r="J1592">
        <v>723</v>
      </c>
      <c r="K1592" s="5">
        <v>46161.588491446761</v>
      </c>
      <c r="M1592" s="2" t="s">
        <v>3403</v>
      </c>
      <c r="N1592" s="2" t="s">
        <v>1701</v>
      </c>
      <c r="O1592" s="5">
        <v>45474.26412659722</v>
      </c>
      <c r="P1592" t="str">
        <f>IF($Q1592="DELETE",IF($S1592="CONFIRMED: NO MODS &gt; 1YR","CONFIRMED: NO MODS &gt; 1YR","DO NOT DELETE — not defensibly confirmed"),IF($Q1592="HOLD","DO NOT DELETE — HOLD (Charlie review)",IF($Q1592="KEEP","DO NOT DELETE — KEEP",IF(ISNUMBER(SEARCH("REVIEW",$Q1592)),"DO NOT DELETE — REVIEW pending",$S1592))))</f>
        <v>DO NOT DELETE — REVIEW pending</v>
      </c>
      <c r="Q1592" t="str" cm="1">
        <f t="array" ref="Q1592">_xlfn.IFS(AND($A1592="thg-beauty",ISNUMBER(SEARCH("liveramp",$C1592))),"DELETE",$A1592="agile-bonbon-662",_xlfn.IFS(LEFT($G1592,9)="Tranche 1","DELETE",$C1592="Sessions_Level_1_All_Sites","KEEP",ISNUMBER(--$C1592),"REVIEW — UA raw logs",$C1592="Emag_Reporting","KEEP",$C1592="Nutrition_Data_Archived_Tables","KEEP",$C1592="EU_Data","KEEP",TRUE,"REVIEW"),OR($A1592="thg-influencer",$A1592="thg-ingenuity",$A1592="thg-central-marketing",$A1592="thg-seoclarity"),"HOLD",TRUE,"")</f>
        <v>REVIEW — UA raw logs</v>
      </c>
      <c r="R1592" t="str" cm="1">
        <f t="array" ref="R1592">_xlfn.IFS(AND($A1592="thg-beauty",ISNUMBER(SEARCH("liveramp",$C1592))),"thg-beauty Liveramp dataset — confirmed safe to delete",$A1592="agile-bonbon-662",_xlfn.IFS(LEFT($G1592,9)="Tranche 1","Tranche 1: cleared",$C1592="Sessions_Level_1_All_Sites","Downstream aggregation of UA raw logs — keep if raw tables go",ISNUMBER(--$C1592),"UA raw site logs (account ID) — keep pending audit-retention check",$C1592="Emag_Reporting","Legacy but likely needed",$C1592="Nutrition_Data_Archived_Tables","Worth keeping",$C1592="EU_Data","Static lookup tables — scripts still reference (smoke-test risk)",TRUE,"Review"),OR($A1592="thg-influencer",$A1592="thg-ingenuity",$A1592="thg-central-marketing",$A1592="thg-seoclarity"),"HOLD — Charlie Stringer to review before deletion",TRUE,"")</f>
        <v>UA raw site logs (account ID) — keep pending audit-retention check</v>
      </c>
      <c r="S1592" t="s">
        <v>1631</v>
      </c>
    </row>
    <row r="1593" spans="1:19" ht="45.75" hidden="1">
      <c r="A1593" t="s">
        <v>89</v>
      </c>
      <c r="B1593" t="s">
        <v>1619</v>
      </c>
      <c r="C1593" t="s">
        <v>1446</v>
      </c>
      <c r="D1593" s="2" t="s">
        <v>1621</v>
      </c>
      <c r="E1593">
        <v>14.02</v>
      </c>
      <c r="F1593">
        <v>0.28000000000000003</v>
      </c>
      <c r="G1593" t="s">
        <v>72</v>
      </c>
      <c r="H1593" t="s">
        <v>3457</v>
      </c>
      <c r="I1593">
        <v>35</v>
      </c>
      <c r="J1593">
        <v>723</v>
      </c>
      <c r="K1593" s="5">
        <v>46161.587969351851</v>
      </c>
      <c r="M1593" s="2" t="s">
        <v>3413</v>
      </c>
      <c r="N1593" s="2" t="s">
        <v>1701</v>
      </c>
      <c r="O1593" s="5">
        <v>45474.262682534732</v>
      </c>
      <c r="P1593" t="str">
        <f>IF($Q1593="DELETE",IF($S1593="CONFIRMED: NO MODS &gt; 1YR","CONFIRMED: NO MODS &gt; 1YR","DO NOT DELETE — not defensibly confirmed"),IF($Q1593="HOLD","DO NOT DELETE — HOLD (Charlie review)",IF($Q1593="KEEP","DO NOT DELETE — KEEP",IF(ISNUMBER(SEARCH("REVIEW",$Q1593)),"DO NOT DELETE — REVIEW pending",$S1593))))</f>
        <v>DO NOT DELETE — REVIEW pending</v>
      </c>
      <c r="Q1593" t="str" cm="1">
        <f t="array" ref="Q1593">_xlfn.IFS(AND($A1593="thg-beauty",ISNUMBER(SEARCH("liveramp",$C1593))),"DELETE",$A1593="agile-bonbon-662",_xlfn.IFS(LEFT($G1593,9)="Tranche 1","DELETE",$C1593="Sessions_Level_1_All_Sites","KEEP",ISNUMBER(--$C1593),"REVIEW — UA raw logs",$C1593="Emag_Reporting","KEEP",$C1593="Nutrition_Data_Archived_Tables","KEEP",$C1593="EU_Data","KEEP",TRUE,"REVIEW"),OR($A1593="thg-influencer",$A1593="thg-ingenuity",$A1593="thg-central-marketing",$A1593="thg-seoclarity"),"HOLD",TRUE,"")</f>
        <v>REVIEW — UA raw logs</v>
      </c>
      <c r="R1593" t="str" cm="1">
        <f t="array" ref="R1593">_xlfn.IFS(AND($A1593="thg-beauty",ISNUMBER(SEARCH("liveramp",$C1593))),"thg-beauty Liveramp dataset — confirmed safe to delete",$A1593="agile-bonbon-662",_xlfn.IFS(LEFT($G1593,9)="Tranche 1","Tranche 1: cleared",$C1593="Sessions_Level_1_All_Sites","Downstream aggregation of UA raw logs — keep if raw tables go",ISNUMBER(--$C1593),"UA raw site logs (account ID) — keep pending audit-retention check",$C1593="Emag_Reporting","Legacy but likely needed",$C1593="Nutrition_Data_Archived_Tables","Worth keeping",$C1593="EU_Data","Static lookup tables — scripts still reference (smoke-test risk)",TRUE,"Review"),OR($A1593="thg-influencer",$A1593="thg-ingenuity",$A1593="thg-central-marketing",$A1593="thg-seoclarity"),"HOLD — Charlie Stringer to review before deletion",TRUE,"")</f>
        <v>UA raw site logs (account ID) — keep pending audit-retention check</v>
      </c>
      <c r="S1593" t="s">
        <v>1631</v>
      </c>
    </row>
    <row r="1594" spans="1:19" ht="45.75" hidden="1">
      <c r="A1594" t="s">
        <v>89</v>
      </c>
      <c r="B1594" t="s">
        <v>1619</v>
      </c>
      <c r="C1594" t="s">
        <v>1442</v>
      </c>
      <c r="D1594" s="2" t="s">
        <v>1621</v>
      </c>
      <c r="E1594">
        <v>13.93</v>
      </c>
      <c r="F1594">
        <v>0.28000000000000003</v>
      </c>
      <c r="G1594" t="s">
        <v>72</v>
      </c>
      <c r="H1594" t="s">
        <v>3457</v>
      </c>
      <c r="I1594">
        <v>35</v>
      </c>
      <c r="J1594">
        <v>726</v>
      </c>
      <c r="K1594" s="5">
        <v>46161.592935104163</v>
      </c>
      <c r="M1594" s="2" t="s">
        <v>3405</v>
      </c>
      <c r="N1594" s="2" t="s">
        <v>1701</v>
      </c>
      <c r="O1594" s="5">
        <v>45471.259154143518</v>
      </c>
      <c r="P1594" t="str">
        <f>IF($Q1594="DELETE",IF($S1594="CONFIRMED: NO MODS &gt; 1YR","CONFIRMED: NO MODS &gt; 1YR","DO NOT DELETE — not defensibly confirmed"),IF($Q1594="HOLD","DO NOT DELETE — HOLD (Charlie review)",IF($Q1594="KEEP","DO NOT DELETE — KEEP",IF(ISNUMBER(SEARCH("REVIEW",$Q1594)),"DO NOT DELETE — REVIEW pending",$S1594))))</f>
        <v>DO NOT DELETE — REVIEW pending</v>
      </c>
      <c r="Q1594" t="str" cm="1">
        <f t="array" ref="Q1594">_xlfn.IFS(AND($A1594="thg-beauty",ISNUMBER(SEARCH("liveramp",$C1594))),"DELETE",$A1594="agile-bonbon-662",_xlfn.IFS(LEFT($G1594,9)="Tranche 1","DELETE",$C1594="Sessions_Level_1_All_Sites","KEEP",ISNUMBER(--$C1594),"REVIEW — UA raw logs",$C1594="Emag_Reporting","KEEP",$C1594="Nutrition_Data_Archived_Tables","KEEP",$C1594="EU_Data","KEEP",TRUE,"REVIEW"),OR($A1594="thg-influencer",$A1594="thg-ingenuity",$A1594="thg-central-marketing",$A1594="thg-seoclarity"),"HOLD",TRUE,"")</f>
        <v>REVIEW — UA raw logs</v>
      </c>
      <c r="R1594" t="str" cm="1">
        <f t="array" ref="R1594">_xlfn.IFS(AND($A1594="thg-beauty",ISNUMBER(SEARCH("liveramp",$C1594))),"thg-beauty Liveramp dataset — confirmed safe to delete",$A1594="agile-bonbon-662",_xlfn.IFS(LEFT($G1594,9)="Tranche 1","Tranche 1: cleared",$C1594="Sessions_Level_1_All_Sites","Downstream aggregation of UA raw logs — keep if raw tables go",ISNUMBER(--$C1594),"UA raw site logs (account ID) — keep pending audit-retention check",$C1594="Emag_Reporting","Legacy but likely needed",$C1594="Nutrition_Data_Archived_Tables","Worth keeping",$C1594="EU_Data","Static lookup tables — scripts still reference (smoke-test risk)",TRUE,"Review"),OR($A1594="thg-influencer",$A1594="thg-ingenuity",$A1594="thg-central-marketing",$A1594="thg-seoclarity"),"HOLD — Charlie Stringer to review before deletion",TRUE,"")</f>
        <v>UA raw site logs (account ID) — keep pending audit-retention check</v>
      </c>
      <c r="S1594" t="s">
        <v>1631</v>
      </c>
    </row>
    <row r="1595" spans="1:19" ht="45.75" hidden="1">
      <c r="A1595" t="s">
        <v>89</v>
      </c>
      <c r="B1595" t="s">
        <v>1619</v>
      </c>
      <c r="C1595" t="s">
        <v>1437</v>
      </c>
      <c r="D1595" s="2" t="s">
        <v>1621</v>
      </c>
      <c r="E1595">
        <v>13.81</v>
      </c>
      <c r="F1595">
        <v>0.28000000000000003</v>
      </c>
      <c r="G1595" t="s">
        <v>72</v>
      </c>
      <c r="H1595" t="s">
        <v>3457</v>
      </c>
      <c r="I1595">
        <v>35</v>
      </c>
      <c r="J1595">
        <v>944</v>
      </c>
      <c r="K1595" s="5">
        <v>46161.615807488422</v>
      </c>
      <c r="M1595" s="2" t="s">
        <v>1977</v>
      </c>
      <c r="N1595" s="2" t="s">
        <v>1701</v>
      </c>
      <c r="O1595" s="5">
        <v>45252.456569421287</v>
      </c>
      <c r="P1595" t="str">
        <f>IF($Q1595="DELETE",IF($S1595="CONFIRMED: NO MODS &gt; 1YR","CONFIRMED: NO MODS &gt; 1YR","DO NOT DELETE — not defensibly confirmed"),IF($Q1595="HOLD","DO NOT DELETE — HOLD (Charlie review)",IF($Q1595="KEEP","DO NOT DELETE — KEEP",IF(ISNUMBER(SEARCH("REVIEW",$Q1595)),"DO NOT DELETE — REVIEW pending",$S1595))))</f>
        <v>DO NOT DELETE — REVIEW pending</v>
      </c>
      <c r="Q1595" t="str" cm="1">
        <f t="array" ref="Q1595">_xlfn.IFS(AND($A1595="thg-beauty",ISNUMBER(SEARCH("liveramp",$C1595))),"DELETE",$A1595="agile-bonbon-662",_xlfn.IFS(LEFT($G1595,9)="Tranche 1","DELETE",$C1595="Sessions_Level_1_All_Sites","KEEP",ISNUMBER(--$C1595),"REVIEW — UA raw logs",$C1595="Emag_Reporting","KEEP",$C1595="Nutrition_Data_Archived_Tables","KEEP",$C1595="EU_Data","KEEP",TRUE,"REVIEW"),OR($A1595="thg-influencer",$A1595="thg-ingenuity",$A1595="thg-central-marketing",$A1595="thg-seoclarity"),"HOLD",TRUE,"")</f>
        <v>REVIEW</v>
      </c>
      <c r="R1595" t="str" cm="1">
        <f t="array" ref="R1595">_xlfn.IFS(AND($A1595="thg-beauty",ISNUMBER(SEARCH("liveramp",$C1595))),"thg-beauty Liveramp dataset — confirmed safe to delete",$A1595="agile-bonbon-662",_xlfn.IFS(LEFT($G1595,9)="Tranche 1","Tranche 1: cleared",$C1595="Sessions_Level_1_All_Sites","Downstream aggregation of UA raw logs — keep if raw tables go",ISNUMBER(--$C1595),"UA raw site logs (account ID) — keep pending audit-retention check",$C1595="Emag_Reporting","Legacy but likely needed",$C1595="Nutrition_Data_Archived_Tables","Worth keeping",$C1595="EU_Data","Static lookup tables — scripts still reference (smoke-test risk)",TRUE,"Review"),OR($A1595="thg-influencer",$A1595="thg-ingenuity",$A1595="thg-central-marketing",$A1595="thg-seoclarity"),"HOLD — Charlie Stringer to review before deletion",TRUE,"")</f>
        <v>Review</v>
      </c>
      <c r="S1595" t="s">
        <v>1631</v>
      </c>
    </row>
    <row r="1596" spans="1:19" ht="45.75" hidden="1">
      <c r="A1596" t="s">
        <v>89</v>
      </c>
      <c r="B1596" t="s">
        <v>1619</v>
      </c>
      <c r="C1596" t="s">
        <v>1467</v>
      </c>
      <c r="D1596" s="2" t="s">
        <v>1621</v>
      </c>
      <c r="E1596">
        <v>13.47</v>
      </c>
      <c r="F1596">
        <v>0.27</v>
      </c>
      <c r="G1596" t="s">
        <v>72</v>
      </c>
      <c r="H1596" t="s">
        <v>3457</v>
      </c>
      <c r="I1596">
        <v>35</v>
      </c>
      <c r="J1596">
        <v>723</v>
      </c>
      <c r="K1596" s="5">
        <v>46161.591797245368</v>
      </c>
      <c r="M1596" s="2" t="s">
        <v>3448</v>
      </c>
      <c r="N1596" s="2" t="s">
        <v>1701</v>
      </c>
      <c r="O1596" s="5">
        <v>45474.27505167824</v>
      </c>
      <c r="P1596" t="str">
        <f>IF($Q1596="DELETE",IF($S1596="CONFIRMED: NO MODS &gt; 1YR","CONFIRMED: NO MODS &gt; 1YR","DO NOT DELETE — not defensibly confirmed"),IF($Q1596="HOLD","DO NOT DELETE — HOLD (Charlie review)",IF($Q1596="KEEP","DO NOT DELETE — KEEP",IF(ISNUMBER(SEARCH("REVIEW",$Q1596)),"DO NOT DELETE — REVIEW pending",$S1596))))</f>
        <v>DO NOT DELETE — REVIEW pending</v>
      </c>
      <c r="Q1596" t="str" cm="1">
        <f t="array" ref="Q1596">_xlfn.IFS(AND($A1596="thg-beauty",ISNUMBER(SEARCH("liveramp",$C1596))),"DELETE",$A1596="agile-bonbon-662",_xlfn.IFS(LEFT($G1596,9)="Tranche 1","DELETE",$C1596="Sessions_Level_1_All_Sites","KEEP",ISNUMBER(--$C1596),"REVIEW — UA raw logs",$C1596="Emag_Reporting","KEEP",$C1596="Nutrition_Data_Archived_Tables","KEEP",$C1596="EU_Data","KEEP",TRUE,"REVIEW"),OR($A1596="thg-influencer",$A1596="thg-ingenuity",$A1596="thg-central-marketing",$A1596="thg-seoclarity"),"HOLD",TRUE,"")</f>
        <v>REVIEW — UA raw logs</v>
      </c>
      <c r="R1596" t="str" cm="1">
        <f t="array" ref="R1596">_xlfn.IFS(AND($A1596="thg-beauty",ISNUMBER(SEARCH("liveramp",$C1596))),"thg-beauty Liveramp dataset — confirmed safe to delete",$A1596="agile-bonbon-662",_xlfn.IFS(LEFT($G1596,9)="Tranche 1","Tranche 1: cleared",$C1596="Sessions_Level_1_All_Sites","Downstream aggregation of UA raw logs — keep if raw tables go",ISNUMBER(--$C1596),"UA raw site logs (account ID) — keep pending audit-retention check",$C1596="Emag_Reporting","Legacy but likely needed",$C1596="Nutrition_Data_Archived_Tables","Worth keeping",$C1596="EU_Data","Static lookup tables — scripts still reference (smoke-test risk)",TRUE,"Review"),OR($A1596="thg-influencer",$A1596="thg-ingenuity",$A1596="thg-central-marketing",$A1596="thg-seoclarity"),"HOLD — Charlie Stringer to review before deletion",TRUE,"")</f>
        <v>UA raw site logs (account ID) — keep pending audit-retention check</v>
      </c>
      <c r="S1596" t="s">
        <v>1631</v>
      </c>
    </row>
    <row r="1597" spans="1:19" ht="45.75" hidden="1">
      <c r="A1597" t="s">
        <v>89</v>
      </c>
      <c r="B1597" t="s">
        <v>1619</v>
      </c>
      <c r="C1597" t="s">
        <v>1454</v>
      </c>
      <c r="D1597" s="2" t="s">
        <v>1621</v>
      </c>
      <c r="E1597">
        <v>13.44</v>
      </c>
      <c r="F1597">
        <v>0.27</v>
      </c>
      <c r="G1597" t="s">
        <v>72</v>
      </c>
      <c r="H1597" t="s">
        <v>3457</v>
      </c>
      <c r="I1597">
        <v>35</v>
      </c>
      <c r="J1597">
        <v>723</v>
      </c>
      <c r="K1597" s="5">
        <v>46161.585276562502</v>
      </c>
      <c r="M1597" s="2" t="s">
        <v>3438</v>
      </c>
      <c r="N1597" s="2" t="s">
        <v>1701</v>
      </c>
      <c r="O1597" s="5">
        <v>45474.258196840281</v>
      </c>
      <c r="P1597" t="str">
        <f>IF($Q1597="DELETE",IF($S1597="CONFIRMED: NO MODS &gt; 1YR","CONFIRMED: NO MODS &gt; 1YR","DO NOT DELETE — not defensibly confirmed"),IF($Q1597="HOLD","DO NOT DELETE — HOLD (Charlie review)",IF($Q1597="KEEP","DO NOT DELETE — KEEP",IF(ISNUMBER(SEARCH("REVIEW",$Q1597)),"DO NOT DELETE — REVIEW pending",$S1597))))</f>
        <v>DO NOT DELETE — REVIEW pending</v>
      </c>
      <c r="Q1597" t="str" cm="1">
        <f t="array" ref="Q1597">_xlfn.IFS(AND($A1597="thg-beauty",ISNUMBER(SEARCH("liveramp",$C1597))),"DELETE",$A1597="agile-bonbon-662",_xlfn.IFS(LEFT($G1597,9)="Tranche 1","DELETE",$C1597="Sessions_Level_1_All_Sites","KEEP",ISNUMBER(--$C1597),"REVIEW — UA raw logs",$C1597="Emag_Reporting","KEEP",$C1597="Nutrition_Data_Archived_Tables","KEEP",$C1597="EU_Data","KEEP",TRUE,"REVIEW"),OR($A1597="thg-influencer",$A1597="thg-ingenuity",$A1597="thg-central-marketing",$A1597="thg-seoclarity"),"HOLD",TRUE,"")</f>
        <v>REVIEW — UA raw logs</v>
      </c>
      <c r="R1597" t="str" cm="1">
        <f t="array" ref="R1597">_xlfn.IFS(AND($A1597="thg-beauty",ISNUMBER(SEARCH("liveramp",$C1597))),"thg-beauty Liveramp dataset — confirmed safe to delete",$A1597="agile-bonbon-662",_xlfn.IFS(LEFT($G1597,9)="Tranche 1","Tranche 1: cleared",$C1597="Sessions_Level_1_All_Sites","Downstream aggregation of UA raw logs — keep if raw tables go",ISNUMBER(--$C1597),"UA raw site logs (account ID) — keep pending audit-retention check",$C1597="Emag_Reporting","Legacy but likely needed",$C1597="Nutrition_Data_Archived_Tables","Worth keeping",$C1597="EU_Data","Static lookup tables — scripts still reference (smoke-test risk)",TRUE,"Review"),OR($A1597="thg-influencer",$A1597="thg-ingenuity",$A1597="thg-central-marketing",$A1597="thg-seoclarity"),"HOLD — Charlie Stringer to review before deletion",TRUE,"")</f>
        <v>UA raw site logs (account ID) — keep pending audit-retention check</v>
      </c>
      <c r="S1597" t="s">
        <v>1631</v>
      </c>
    </row>
    <row r="1598" spans="1:19" ht="60.75" hidden="1">
      <c r="A1598" t="s">
        <v>89</v>
      </c>
      <c r="B1598" t="s">
        <v>1619</v>
      </c>
      <c r="C1598" t="s">
        <v>1462</v>
      </c>
      <c r="D1598" s="2" t="s">
        <v>1621</v>
      </c>
      <c r="E1598">
        <v>13.37</v>
      </c>
      <c r="F1598">
        <v>0.27</v>
      </c>
      <c r="G1598" t="s">
        <v>72</v>
      </c>
      <c r="H1598" t="s">
        <v>3457</v>
      </c>
      <c r="I1598">
        <v>35</v>
      </c>
      <c r="J1598">
        <v>1518</v>
      </c>
      <c r="K1598" s="5">
        <v>46161.58133666667</v>
      </c>
      <c r="M1598" s="2" t="s">
        <v>3913</v>
      </c>
      <c r="N1598" s="2" t="s">
        <v>1701</v>
      </c>
      <c r="O1598" s="5">
        <v>44678.607848842592</v>
      </c>
      <c r="P1598" t="str">
        <f>IF($Q1598="DELETE",IF($S1598="CONFIRMED: NO MODS &gt; 1YR","CONFIRMED: NO MODS &gt; 1YR","DO NOT DELETE — not defensibly confirmed"),IF($Q1598="HOLD","DO NOT DELETE — HOLD (Charlie review)",IF($Q1598="KEEP","DO NOT DELETE — KEEP",IF(ISNUMBER(SEARCH("REVIEW",$Q1598)),"DO NOT DELETE — REVIEW pending",$S1598))))</f>
        <v>DO NOT DELETE — REVIEW pending</v>
      </c>
      <c r="Q1598" t="str" cm="1">
        <f t="array" ref="Q1598">_xlfn.IFS(AND($A1598="thg-beauty",ISNUMBER(SEARCH("liveramp",$C1598))),"DELETE",$A1598="agile-bonbon-662",_xlfn.IFS(LEFT($G1598,9)="Tranche 1","DELETE",$C1598="Sessions_Level_1_All_Sites","KEEP",ISNUMBER(--$C1598),"REVIEW — UA raw logs",$C1598="Emag_Reporting","KEEP",$C1598="Nutrition_Data_Archived_Tables","KEEP",$C1598="EU_Data","KEEP",TRUE,"REVIEW"),OR($A1598="thg-influencer",$A1598="thg-ingenuity",$A1598="thg-central-marketing",$A1598="thg-seoclarity"),"HOLD",TRUE,"")</f>
        <v>REVIEW</v>
      </c>
      <c r="R1598" t="str" cm="1">
        <f t="array" ref="R1598">_xlfn.IFS(AND($A1598="thg-beauty",ISNUMBER(SEARCH("liveramp",$C1598))),"thg-beauty Liveramp dataset — confirmed safe to delete",$A1598="agile-bonbon-662",_xlfn.IFS(LEFT($G1598,9)="Tranche 1","Tranche 1: cleared",$C1598="Sessions_Level_1_All_Sites","Downstream aggregation of UA raw logs — keep if raw tables go",ISNUMBER(--$C1598),"UA raw site logs (account ID) — keep pending audit-retention check",$C1598="Emag_Reporting","Legacy but likely needed",$C1598="Nutrition_Data_Archived_Tables","Worth keeping",$C1598="EU_Data","Static lookup tables — scripts still reference (smoke-test risk)",TRUE,"Review"),OR($A1598="thg-influencer",$A1598="thg-ingenuity",$A1598="thg-central-marketing",$A1598="thg-seoclarity"),"HOLD — Charlie Stringer to review before deletion",TRUE,"")</f>
        <v>Review</v>
      </c>
      <c r="S1598" t="s">
        <v>1631</v>
      </c>
    </row>
    <row r="1599" spans="1:19" ht="45.75" hidden="1">
      <c r="A1599" t="s">
        <v>89</v>
      </c>
      <c r="B1599" t="s">
        <v>1619</v>
      </c>
      <c r="C1599" t="s">
        <v>1458</v>
      </c>
      <c r="D1599" s="2" t="s">
        <v>1621</v>
      </c>
      <c r="E1599">
        <v>13.35</v>
      </c>
      <c r="F1599">
        <v>0.27</v>
      </c>
      <c r="G1599" t="s">
        <v>72</v>
      </c>
      <c r="H1599" t="s">
        <v>3457</v>
      </c>
      <c r="I1599">
        <v>35</v>
      </c>
      <c r="J1599">
        <v>723</v>
      </c>
      <c r="K1599" s="5">
        <v>46161.594156018517</v>
      </c>
      <c r="M1599" s="2" t="s">
        <v>2273</v>
      </c>
      <c r="N1599" s="2" t="s">
        <v>1701</v>
      </c>
      <c r="O1599" s="5">
        <v>45474.281952094912</v>
      </c>
      <c r="P1599" t="str">
        <f>IF($Q1599="DELETE",IF($S1599="CONFIRMED: NO MODS &gt; 1YR","CONFIRMED: NO MODS &gt; 1YR","DO NOT DELETE — not defensibly confirmed"),IF($Q1599="HOLD","DO NOT DELETE — HOLD (Charlie review)",IF($Q1599="KEEP","DO NOT DELETE — KEEP",IF(ISNUMBER(SEARCH("REVIEW",$Q1599)),"DO NOT DELETE — REVIEW pending",$S1599))))</f>
        <v>DO NOT DELETE — REVIEW pending</v>
      </c>
      <c r="Q1599" t="str" cm="1">
        <f t="array" ref="Q1599">_xlfn.IFS(AND($A1599="thg-beauty",ISNUMBER(SEARCH("liveramp",$C1599))),"DELETE",$A1599="agile-bonbon-662",_xlfn.IFS(LEFT($G1599,9)="Tranche 1","DELETE",$C1599="Sessions_Level_1_All_Sites","KEEP",ISNUMBER(--$C1599),"REVIEW — UA raw logs",$C1599="Emag_Reporting","KEEP",$C1599="Nutrition_Data_Archived_Tables","KEEP",$C1599="EU_Data","KEEP",TRUE,"REVIEW"),OR($A1599="thg-influencer",$A1599="thg-ingenuity",$A1599="thg-central-marketing",$A1599="thg-seoclarity"),"HOLD",TRUE,"")</f>
        <v>REVIEW — UA raw logs</v>
      </c>
      <c r="R1599" t="str" cm="1">
        <f t="array" ref="R1599">_xlfn.IFS(AND($A1599="thg-beauty",ISNUMBER(SEARCH("liveramp",$C1599))),"thg-beauty Liveramp dataset — confirmed safe to delete",$A1599="agile-bonbon-662",_xlfn.IFS(LEFT($G1599,9)="Tranche 1","Tranche 1: cleared",$C1599="Sessions_Level_1_All_Sites","Downstream aggregation of UA raw logs — keep if raw tables go",ISNUMBER(--$C1599),"UA raw site logs (account ID) — keep pending audit-retention check",$C1599="Emag_Reporting","Legacy but likely needed",$C1599="Nutrition_Data_Archived_Tables","Worth keeping",$C1599="EU_Data","Static lookup tables — scripts still reference (smoke-test risk)",TRUE,"Review"),OR($A1599="thg-influencer",$A1599="thg-ingenuity",$A1599="thg-central-marketing",$A1599="thg-seoclarity"),"HOLD — Charlie Stringer to review before deletion",TRUE,"")</f>
        <v>UA raw site logs (account ID) — keep pending audit-retention check</v>
      </c>
      <c r="S1599" t="s">
        <v>1631</v>
      </c>
    </row>
    <row r="1600" spans="1:19" ht="45.75" hidden="1">
      <c r="A1600" t="s">
        <v>89</v>
      </c>
      <c r="B1600" t="s">
        <v>1619</v>
      </c>
      <c r="C1600" t="s">
        <v>1477</v>
      </c>
      <c r="D1600" s="2" t="s">
        <v>1621</v>
      </c>
      <c r="E1600">
        <v>12.87</v>
      </c>
      <c r="F1600">
        <v>0.26</v>
      </c>
      <c r="G1600" t="s">
        <v>72</v>
      </c>
      <c r="H1600" t="s">
        <v>3457</v>
      </c>
      <c r="I1600">
        <v>35</v>
      </c>
      <c r="J1600">
        <v>985</v>
      </c>
      <c r="K1600" s="5">
        <v>46161.616144918982</v>
      </c>
      <c r="M1600" s="2" t="s">
        <v>1938</v>
      </c>
      <c r="N1600" s="2" t="s">
        <v>1701</v>
      </c>
      <c r="O1600" s="5">
        <v>45212.412451145843</v>
      </c>
      <c r="P1600" t="str">
        <f>IF($Q1600="DELETE",IF($S1600="CONFIRMED: NO MODS &gt; 1YR","CONFIRMED: NO MODS &gt; 1YR","DO NOT DELETE — not defensibly confirmed"),IF($Q1600="HOLD","DO NOT DELETE — HOLD (Charlie review)",IF($Q1600="KEEP","DO NOT DELETE — KEEP",IF(ISNUMBER(SEARCH("REVIEW",$Q1600)),"DO NOT DELETE — REVIEW pending",$S1600))))</f>
        <v>DO NOT DELETE — REVIEW pending</v>
      </c>
      <c r="Q1600" t="str" cm="1">
        <f t="array" ref="Q1600">_xlfn.IFS(AND($A1600="thg-beauty",ISNUMBER(SEARCH("liveramp",$C1600))),"DELETE",$A1600="agile-bonbon-662",_xlfn.IFS(LEFT($G1600,9)="Tranche 1","DELETE",$C1600="Sessions_Level_1_All_Sites","KEEP",ISNUMBER(--$C1600),"REVIEW — UA raw logs",$C1600="Emag_Reporting","KEEP",$C1600="Nutrition_Data_Archived_Tables","KEEP",$C1600="EU_Data","KEEP",TRUE,"REVIEW"),OR($A1600="thg-influencer",$A1600="thg-ingenuity",$A1600="thg-central-marketing",$A1600="thg-seoclarity"),"HOLD",TRUE,"")</f>
        <v>REVIEW</v>
      </c>
      <c r="R1600" t="str" cm="1">
        <f t="array" ref="R1600">_xlfn.IFS(AND($A1600="thg-beauty",ISNUMBER(SEARCH("liveramp",$C1600))),"thg-beauty Liveramp dataset — confirmed safe to delete",$A1600="agile-bonbon-662",_xlfn.IFS(LEFT($G1600,9)="Tranche 1","Tranche 1: cleared",$C1600="Sessions_Level_1_All_Sites","Downstream aggregation of UA raw logs — keep if raw tables go",ISNUMBER(--$C1600),"UA raw site logs (account ID) — keep pending audit-retention check",$C1600="Emag_Reporting","Legacy but likely needed",$C1600="Nutrition_Data_Archived_Tables","Worth keeping",$C1600="EU_Data","Static lookup tables — scripts still reference (smoke-test risk)",TRUE,"Review"),OR($A1600="thg-influencer",$A1600="thg-ingenuity",$A1600="thg-central-marketing",$A1600="thg-seoclarity"),"HOLD — Charlie Stringer to review before deletion",TRUE,"")</f>
        <v>Review</v>
      </c>
      <c r="S1600" t="s">
        <v>1631</v>
      </c>
    </row>
    <row r="1601" spans="1:19" ht="45.75" hidden="1">
      <c r="A1601" t="s">
        <v>89</v>
      </c>
      <c r="B1601" t="s">
        <v>1619</v>
      </c>
      <c r="C1601" t="s">
        <v>1482</v>
      </c>
      <c r="D1601" s="2" t="s">
        <v>1621</v>
      </c>
      <c r="E1601">
        <v>12.84</v>
      </c>
      <c r="F1601">
        <v>0.26</v>
      </c>
      <c r="G1601" t="s">
        <v>72</v>
      </c>
      <c r="H1601" t="s">
        <v>3457</v>
      </c>
      <c r="I1601">
        <v>35</v>
      </c>
      <c r="J1601">
        <v>723</v>
      </c>
      <c r="K1601" s="5">
        <v>46161.593452488429</v>
      </c>
      <c r="M1601" s="2" t="s">
        <v>3900</v>
      </c>
      <c r="N1601" s="2" t="s">
        <v>1701</v>
      </c>
      <c r="O1601" s="5">
        <v>45474.281329155092</v>
      </c>
      <c r="P1601" t="str">
        <f>IF($Q1601="DELETE",IF($S1601="CONFIRMED: NO MODS &gt; 1YR","CONFIRMED: NO MODS &gt; 1YR","DO NOT DELETE — not defensibly confirmed"),IF($Q1601="HOLD","DO NOT DELETE — HOLD (Charlie review)",IF($Q1601="KEEP","DO NOT DELETE — KEEP",IF(ISNUMBER(SEARCH("REVIEW",$Q1601)),"DO NOT DELETE — REVIEW pending",$S1601))))</f>
        <v>DO NOT DELETE — REVIEW pending</v>
      </c>
      <c r="Q1601" t="str" cm="1">
        <f t="array" ref="Q1601">_xlfn.IFS(AND($A1601="thg-beauty",ISNUMBER(SEARCH("liveramp",$C1601))),"DELETE",$A1601="agile-bonbon-662",_xlfn.IFS(LEFT($G1601,9)="Tranche 1","DELETE",$C1601="Sessions_Level_1_All_Sites","KEEP",ISNUMBER(--$C1601),"REVIEW — UA raw logs",$C1601="Emag_Reporting","KEEP",$C1601="Nutrition_Data_Archived_Tables","KEEP",$C1601="EU_Data","KEEP",TRUE,"REVIEW"),OR($A1601="thg-influencer",$A1601="thg-ingenuity",$A1601="thg-central-marketing",$A1601="thg-seoclarity"),"HOLD",TRUE,"")</f>
        <v>REVIEW — UA raw logs</v>
      </c>
      <c r="R1601" t="str" cm="1">
        <f t="array" ref="R1601">_xlfn.IFS(AND($A1601="thg-beauty",ISNUMBER(SEARCH("liveramp",$C1601))),"thg-beauty Liveramp dataset — confirmed safe to delete",$A1601="agile-bonbon-662",_xlfn.IFS(LEFT($G1601,9)="Tranche 1","Tranche 1: cleared",$C1601="Sessions_Level_1_All_Sites","Downstream aggregation of UA raw logs — keep if raw tables go",ISNUMBER(--$C1601),"UA raw site logs (account ID) — keep pending audit-retention check",$C1601="Emag_Reporting","Legacy but likely needed",$C1601="Nutrition_Data_Archived_Tables","Worth keeping",$C1601="EU_Data","Static lookup tables — scripts still reference (smoke-test risk)",TRUE,"Review"),OR($A1601="thg-influencer",$A1601="thg-ingenuity",$A1601="thg-central-marketing",$A1601="thg-seoclarity"),"HOLD — Charlie Stringer to review before deletion",TRUE,"")</f>
        <v>UA raw site logs (account ID) — keep pending audit-retention check</v>
      </c>
      <c r="S1601" t="s">
        <v>1631</v>
      </c>
    </row>
    <row r="1602" spans="1:19" ht="45.75" hidden="1">
      <c r="A1602" t="s">
        <v>89</v>
      </c>
      <c r="B1602" t="s">
        <v>1619</v>
      </c>
      <c r="C1602" t="s">
        <v>1486</v>
      </c>
      <c r="D1602" s="2" t="s">
        <v>1621</v>
      </c>
      <c r="E1602">
        <v>12.7</v>
      </c>
      <c r="F1602">
        <v>0.25</v>
      </c>
      <c r="G1602" t="s">
        <v>72</v>
      </c>
      <c r="H1602" t="s">
        <v>3457</v>
      </c>
      <c r="I1602">
        <v>35</v>
      </c>
      <c r="J1602">
        <v>723</v>
      </c>
      <c r="K1602" s="5">
        <v>46161.584517256953</v>
      </c>
      <c r="M1602" s="2" t="s">
        <v>3446</v>
      </c>
      <c r="N1602" s="2" t="s">
        <v>1701</v>
      </c>
      <c r="O1602" s="5">
        <v>45474.2734709375</v>
      </c>
      <c r="P1602" t="str">
        <f>IF($Q1602="DELETE",IF($S1602="CONFIRMED: NO MODS &gt; 1YR","CONFIRMED: NO MODS &gt; 1YR","DO NOT DELETE — not defensibly confirmed"),IF($Q1602="HOLD","DO NOT DELETE — HOLD (Charlie review)",IF($Q1602="KEEP","DO NOT DELETE — KEEP",IF(ISNUMBER(SEARCH("REVIEW",$Q1602)),"DO NOT DELETE — REVIEW pending",$S1602))))</f>
        <v>DO NOT DELETE — REVIEW pending</v>
      </c>
      <c r="Q1602" t="str" cm="1">
        <f t="array" ref="Q1602">_xlfn.IFS(AND($A1602="thg-beauty",ISNUMBER(SEARCH("liveramp",$C1602))),"DELETE",$A1602="agile-bonbon-662",_xlfn.IFS(LEFT($G1602,9)="Tranche 1","DELETE",$C1602="Sessions_Level_1_All_Sites","KEEP",ISNUMBER(--$C1602),"REVIEW — UA raw logs",$C1602="Emag_Reporting","KEEP",$C1602="Nutrition_Data_Archived_Tables","KEEP",$C1602="EU_Data","KEEP",TRUE,"REVIEW"),OR($A1602="thg-influencer",$A1602="thg-ingenuity",$A1602="thg-central-marketing",$A1602="thg-seoclarity"),"HOLD",TRUE,"")</f>
        <v>REVIEW — UA raw logs</v>
      </c>
      <c r="R1602" t="str" cm="1">
        <f t="array" ref="R1602">_xlfn.IFS(AND($A1602="thg-beauty",ISNUMBER(SEARCH("liveramp",$C1602))),"thg-beauty Liveramp dataset — confirmed safe to delete",$A1602="agile-bonbon-662",_xlfn.IFS(LEFT($G1602,9)="Tranche 1","Tranche 1: cleared",$C1602="Sessions_Level_1_All_Sites","Downstream aggregation of UA raw logs — keep if raw tables go",ISNUMBER(--$C1602),"UA raw site logs (account ID) — keep pending audit-retention check",$C1602="Emag_Reporting","Legacy but likely needed",$C1602="Nutrition_Data_Archived_Tables","Worth keeping",$C1602="EU_Data","Static lookup tables — scripts still reference (smoke-test risk)",TRUE,"Review"),OR($A1602="thg-influencer",$A1602="thg-ingenuity",$A1602="thg-central-marketing",$A1602="thg-seoclarity"),"HOLD — Charlie Stringer to review before deletion",TRUE,"")</f>
        <v>UA raw site logs (account ID) — keep pending audit-retention check</v>
      </c>
      <c r="S1602" t="s">
        <v>1631</v>
      </c>
    </row>
    <row r="1603" spans="1:19" ht="45.75" hidden="1">
      <c r="A1603" t="s">
        <v>89</v>
      </c>
      <c r="B1603" t="s">
        <v>1619</v>
      </c>
      <c r="C1603" t="s">
        <v>1495</v>
      </c>
      <c r="D1603" s="2" t="s">
        <v>1621</v>
      </c>
      <c r="E1603">
        <v>12.57</v>
      </c>
      <c r="F1603">
        <v>0.25</v>
      </c>
      <c r="G1603" t="s">
        <v>72</v>
      </c>
      <c r="H1603" t="s">
        <v>3457</v>
      </c>
      <c r="I1603">
        <v>35</v>
      </c>
      <c r="J1603">
        <v>723</v>
      </c>
      <c r="K1603" s="5">
        <v>46161.592792928241</v>
      </c>
      <c r="M1603" s="2" t="s">
        <v>3405</v>
      </c>
      <c r="N1603" s="2" t="s">
        <v>1701</v>
      </c>
      <c r="O1603" s="5">
        <v>45474.25969770833</v>
      </c>
      <c r="P1603" t="str">
        <f>IF($Q1603="DELETE",IF($S1603="CONFIRMED: NO MODS &gt; 1YR","CONFIRMED: NO MODS &gt; 1YR","DO NOT DELETE — not defensibly confirmed"),IF($Q1603="HOLD","DO NOT DELETE — HOLD (Charlie review)",IF($Q1603="KEEP","DO NOT DELETE — KEEP",IF(ISNUMBER(SEARCH("REVIEW",$Q1603)),"DO NOT DELETE — REVIEW pending",$S1603))))</f>
        <v>DO NOT DELETE — REVIEW pending</v>
      </c>
      <c r="Q1603" t="str" cm="1">
        <f t="array" ref="Q1603">_xlfn.IFS(AND($A1603="thg-beauty",ISNUMBER(SEARCH("liveramp",$C1603))),"DELETE",$A1603="agile-bonbon-662",_xlfn.IFS(LEFT($G1603,9)="Tranche 1","DELETE",$C1603="Sessions_Level_1_All_Sites","KEEP",ISNUMBER(--$C1603),"REVIEW — UA raw logs",$C1603="Emag_Reporting","KEEP",$C1603="Nutrition_Data_Archived_Tables","KEEP",$C1603="EU_Data","KEEP",TRUE,"REVIEW"),OR($A1603="thg-influencer",$A1603="thg-ingenuity",$A1603="thg-central-marketing",$A1603="thg-seoclarity"),"HOLD",TRUE,"")</f>
        <v>REVIEW — UA raw logs</v>
      </c>
      <c r="R1603" t="str" cm="1">
        <f t="array" ref="R1603">_xlfn.IFS(AND($A1603="thg-beauty",ISNUMBER(SEARCH("liveramp",$C1603))),"thg-beauty Liveramp dataset — confirmed safe to delete",$A1603="agile-bonbon-662",_xlfn.IFS(LEFT($G1603,9)="Tranche 1","Tranche 1: cleared",$C1603="Sessions_Level_1_All_Sites","Downstream aggregation of UA raw logs — keep if raw tables go",ISNUMBER(--$C1603),"UA raw site logs (account ID) — keep pending audit-retention check",$C1603="Emag_Reporting","Legacy but likely needed",$C1603="Nutrition_Data_Archived_Tables","Worth keeping",$C1603="EU_Data","Static lookup tables — scripts still reference (smoke-test risk)",TRUE,"Review"),OR($A1603="thg-influencer",$A1603="thg-ingenuity",$A1603="thg-central-marketing",$A1603="thg-seoclarity"),"HOLD — Charlie Stringer to review before deletion",TRUE,"")</f>
        <v>UA raw site logs (account ID) — keep pending audit-retention check</v>
      </c>
      <c r="S1603" t="s">
        <v>1631</v>
      </c>
    </row>
    <row r="1604" spans="1:19" ht="45.75" hidden="1">
      <c r="A1604" t="s">
        <v>89</v>
      </c>
      <c r="B1604" t="s">
        <v>1619</v>
      </c>
      <c r="C1604" t="s">
        <v>1499</v>
      </c>
      <c r="D1604" s="2" t="s">
        <v>1621</v>
      </c>
      <c r="E1604">
        <v>12.44</v>
      </c>
      <c r="F1604">
        <v>0.25</v>
      </c>
      <c r="G1604" t="s">
        <v>72</v>
      </c>
      <c r="H1604" t="s">
        <v>3457</v>
      </c>
      <c r="I1604">
        <v>35</v>
      </c>
      <c r="J1604">
        <v>875</v>
      </c>
      <c r="K1604" s="5">
        <v>46161.620620740738</v>
      </c>
      <c r="M1604" s="2" t="s">
        <v>1943</v>
      </c>
      <c r="N1604" s="2" t="s">
        <v>1701</v>
      </c>
      <c r="O1604" s="5">
        <v>45322.225105879632</v>
      </c>
      <c r="P1604" t="str">
        <f>IF($Q1604="DELETE",IF($S1604="CONFIRMED: NO MODS &gt; 1YR","CONFIRMED: NO MODS &gt; 1YR","DO NOT DELETE — not defensibly confirmed"),IF($Q1604="HOLD","DO NOT DELETE — HOLD (Charlie review)",IF($Q1604="KEEP","DO NOT DELETE — KEEP",IF(ISNUMBER(SEARCH("REVIEW",$Q1604)),"DO NOT DELETE — REVIEW pending",$S1604))))</f>
        <v>DO NOT DELETE — REVIEW pending</v>
      </c>
      <c r="Q1604" t="str" cm="1">
        <f t="array" ref="Q1604">_xlfn.IFS(AND($A1604="thg-beauty",ISNUMBER(SEARCH("liveramp",$C1604))),"DELETE",$A1604="agile-bonbon-662",_xlfn.IFS(LEFT($G1604,9)="Tranche 1","DELETE",$C1604="Sessions_Level_1_All_Sites","KEEP",ISNUMBER(--$C1604),"REVIEW — UA raw logs",$C1604="Emag_Reporting","KEEP",$C1604="Nutrition_Data_Archived_Tables","KEEP",$C1604="EU_Data","KEEP",TRUE,"REVIEW"),OR($A1604="thg-influencer",$A1604="thg-ingenuity",$A1604="thg-central-marketing",$A1604="thg-seoclarity"),"HOLD",TRUE,"")</f>
        <v>REVIEW</v>
      </c>
      <c r="R1604" t="str" cm="1">
        <f t="array" ref="R1604">_xlfn.IFS(AND($A1604="thg-beauty",ISNUMBER(SEARCH("liveramp",$C1604))),"thg-beauty Liveramp dataset — confirmed safe to delete",$A1604="agile-bonbon-662",_xlfn.IFS(LEFT($G1604,9)="Tranche 1","Tranche 1: cleared",$C1604="Sessions_Level_1_All_Sites","Downstream aggregation of UA raw logs — keep if raw tables go",ISNUMBER(--$C1604),"UA raw site logs (account ID) — keep pending audit-retention check",$C1604="Emag_Reporting","Legacy but likely needed",$C1604="Nutrition_Data_Archived_Tables","Worth keeping",$C1604="EU_Data","Static lookup tables — scripts still reference (smoke-test risk)",TRUE,"Review"),OR($A1604="thg-influencer",$A1604="thg-ingenuity",$A1604="thg-central-marketing",$A1604="thg-seoclarity"),"HOLD — Charlie Stringer to review before deletion",TRUE,"")</f>
        <v>Review</v>
      </c>
      <c r="S1604" t="s">
        <v>1631</v>
      </c>
    </row>
    <row r="1605" spans="1:19" ht="45.75" hidden="1">
      <c r="A1605" t="s">
        <v>89</v>
      </c>
      <c r="B1605" t="s">
        <v>1619</v>
      </c>
      <c r="C1605" t="s">
        <v>1490</v>
      </c>
      <c r="D1605" s="2" t="s">
        <v>1621</v>
      </c>
      <c r="E1605">
        <v>12.37</v>
      </c>
      <c r="F1605">
        <v>0.25</v>
      </c>
      <c r="G1605" t="s">
        <v>72</v>
      </c>
      <c r="H1605" t="s">
        <v>3457</v>
      </c>
      <c r="I1605">
        <v>35</v>
      </c>
      <c r="J1605">
        <v>1063</v>
      </c>
      <c r="K1605" s="5">
        <v>46161.617683159733</v>
      </c>
      <c r="M1605" s="2" t="s">
        <v>1957</v>
      </c>
      <c r="N1605" s="2" t="s">
        <v>1701</v>
      </c>
      <c r="O1605" s="5">
        <v>45134.060866979169</v>
      </c>
      <c r="P1605" t="str">
        <f>IF($Q1605="DELETE",IF($S1605="CONFIRMED: NO MODS &gt; 1YR","CONFIRMED: NO MODS &gt; 1YR","DO NOT DELETE — not defensibly confirmed"),IF($Q1605="HOLD","DO NOT DELETE — HOLD (Charlie review)",IF($Q1605="KEEP","DO NOT DELETE — KEEP",IF(ISNUMBER(SEARCH("REVIEW",$Q1605)),"DO NOT DELETE — REVIEW pending",$S1605))))</f>
        <v>DO NOT DELETE — REVIEW pending</v>
      </c>
      <c r="Q1605" t="str" cm="1">
        <f t="array" ref="Q1605">_xlfn.IFS(AND($A1605="thg-beauty",ISNUMBER(SEARCH("liveramp",$C1605))),"DELETE",$A1605="agile-bonbon-662",_xlfn.IFS(LEFT($G1605,9)="Tranche 1","DELETE",$C1605="Sessions_Level_1_All_Sites","KEEP",ISNUMBER(--$C1605),"REVIEW — UA raw logs",$C1605="Emag_Reporting","KEEP",$C1605="Nutrition_Data_Archived_Tables","KEEP",$C1605="EU_Data","KEEP",TRUE,"REVIEW"),OR($A1605="thg-influencer",$A1605="thg-ingenuity",$A1605="thg-central-marketing",$A1605="thg-seoclarity"),"HOLD",TRUE,"")</f>
        <v>REVIEW</v>
      </c>
      <c r="R1605" t="str" cm="1">
        <f t="array" ref="R1605">_xlfn.IFS(AND($A1605="thg-beauty",ISNUMBER(SEARCH("liveramp",$C1605))),"thg-beauty Liveramp dataset — confirmed safe to delete",$A1605="agile-bonbon-662",_xlfn.IFS(LEFT($G1605,9)="Tranche 1","Tranche 1: cleared",$C1605="Sessions_Level_1_All_Sites","Downstream aggregation of UA raw logs — keep if raw tables go",ISNUMBER(--$C1605),"UA raw site logs (account ID) — keep pending audit-retention check",$C1605="Emag_Reporting","Legacy but likely needed",$C1605="Nutrition_Data_Archived_Tables","Worth keeping",$C1605="EU_Data","Static lookup tables — scripts still reference (smoke-test risk)",TRUE,"Review"),OR($A1605="thg-influencer",$A1605="thg-ingenuity",$A1605="thg-central-marketing",$A1605="thg-seoclarity"),"HOLD — Charlie Stringer to review before deletion",TRUE,"")</f>
        <v>Review</v>
      </c>
      <c r="S1605" t="s">
        <v>1631</v>
      </c>
    </row>
    <row r="1606" spans="1:19" ht="45.75" hidden="1">
      <c r="A1606" t="s">
        <v>89</v>
      </c>
      <c r="B1606" t="s">
        <v>1619</v>
      </c>
      <c r="C1606" t="s">
        <v>1514</v>
      </c>
      <c r="D1606" s="2" t="s">
        <v>1621</v>
      </c>
      <c r="E1606">
        <v>11.9</v>
      </c>
      <c r="F1606">
        <v>0.24</v>
      </c>
      <c r="G1606" t="s">
        <v>72</v>
      </c>
      <c r="H1606" t="s">
        <v>3457</v>
      </c>
      <c r="I1606">
        <v>35</v>
      </c>
      <c r="J1606">
        <v>1155</v>
      </c>
      <c r="K1606" s="5">
        <v>46161.617077893519</v>
      </c>
      <c r="M1606" s="2" t="s">
        <v>1947</v>
      </c>
      <c r="N1606" s="2" t="s">
        <v>1701</v>
      </c>
      <c r="O1606" s="5">
        <v>45042.348030694448</v>
      </c>
      <c r="P1606" t="str">
        <f>IF($Q1606="DELETE",IF($S1606="CONFIRMED: NO MODS &gt; 1YR","CONFIRMED: NO MODS &gt; 1YR","DO NOT DELETE — not defensibly confirmed"),IF($Q1606="HOLD","DO NOT DELETE — HOLD (Charlie review)",IF($Q1606="KEEP","DO NOT DELETE — KEEP",IF(ISNUMBER(SEARCH("REVIEW",$Q1606)),"DO NOT DELETE — REVIEW pending",$S1606))))</f>
        <v>DO NOT DELETE — REVIEW pending</v>
      </c>
      <c r="Q1606" t="str" cm="1">
        <f t="array" ref="Q1606">_xlfn.IFS(AND($A1606="thg-beauty",ISNUMBER(SEARCH("liveramp",$C1606))),"DELETE",$A1606="agile-bonbon-662",_xlfn.IFS(LEFT($G1606,9)="Tranche 1","DELETE",$C1606="Sessions_Level_1_All_Sites","KEEP",ISNUMBER(--$C1606),"REVIEW — UA raw logs",$C1606="Emag_Reporting","KEEP",$C1606="Nutrition_Data_Archived_Tables","KEEP",$C1606="EU_Data","KEEP",TRUE,"REVIEW"),OR($A1606="thg-influencer",$A1606="thg-ingenuity",$A1606="thg-central-marketing",$A1606="thg-seoclarity"),"HOLD",TRUE,"")</f>
        <v>REVIEW</v>
      </c>
      <c r="R1606" t="str" cm="1">
        <f t="array" ref="R1606">_xlfn.IFS(AND($A1606="thg-beauty",ISNUMBER(SEARCH("liveramp",$C1606))),"thg-beauty Liveramp dataset — confirmed safe to delete",$A1606="agile-bonbon-662",_xlfn.IFS(LEFT($G1606,9)="Tranche 1","Tranche 1: cleared",$C1606="Sessions_Level_1_All_Sites","Downstream aggregation of UA raw logs — keep if raw tables go",ISNUMBER(--$C1606),"UA raw site logs (account ID) — keep pending audit-retention check",$C1606="Emag_Reporting","Legacy but likely needed",$C1606="Nutrition_Data_Archived_Tables","Worth keeping",$C1606="EU_Data","Static lookup tables — scripts still reference (smoke-test risk)",TRUE,"Review"),OR($A1606="thg-influencer",$A1606="thg-ingenuity",$A1606="thg-central-marketing",$A1606="thg-seoclarity"),"HOLD — Charlie Stringer to review before deletion",TRUE,"")</f>
        <v>Review</v>
      </c>
      <c r="S1606" t="s">
        <v>1631</v>
      </c>
    </row>
    <row r="1607" spans="1:19" ht="45.75" hidden="1">
      <c r="A1607" t="s">
        <v>89</v>
      </c>
      <c r="B1607" t="s">
        <v>1619</v>
      </c>
      <c r="C1607" t="s">
        <v>1528</v>
      </c>
      <c r="D1607" s="2" t="s">
        <v>1621</v>
      </c>
      <c r="E1607">
        <v>11.52</v>
      </c>
      <c r="F1607">
        <v>0.23</v>
      </c>
      <c r="G1607" t="s">
        <v>72</v>
      </c>
      <c r="H1607" t="s">
        <v>3457</v>
      </c>
      <c r="I1607">
        <v>35</v>
      </c>
      <c r="J1607">
        <v>804</v>
      </c>
      <c r="K1607" s="5">
        <v>46161.617360023149</v>
      </c>
      <c r="M1607" s="2" t="s">
        <v>1947</v>
      </c>
      <c r="N1607" s="2" t="s">
        <v>1701</v>
      </c>
      <c r="O1607" s="5">
        <v>45393.220834282409</v>
      </c>
      <c r="P1607" t="str">
        <f>IF($Q1607="DELETE",IF($S1607="CONFIRMED: NO MODS &gt; 1YR","CONFIRMED: NO MODS &gt; 1YR","DO NOT DELETE — not defensibly confirmed"),IF($Q1607="HOLD","DO NOT DELETE — HOLD (Charlie review)",IF($Q1607="KEEP","DO NOT DELETE — KEEP",IF(ISNUMBER(SEARCH("REVIEW",$Q1607)),"DO NOT DELETE — REVIEW pending",$S1607))))</f>
        <v>DO NOT DELETE — REVIEW pending</v>
      </c>
      <c r="Q1607" t="str" cm="1">
        <f t="array" ref="Q1607">_xlfn.IFS(AND($A1607="thg-beauty",ISNUMBER(SEARCH("liveramp",$C1607))),"DELETE",$A1607="agile-bonbon-662",_xlfn.IFS(LEFT($G1607,9)="Tranche 1","DELETE",$C1607="Sessions_Level_1_All_Sites","KEEP",ISNUMBER(--$C1607),"REVIEW — UA raw logs",$C1607="Emag_Reporting","KEEP",$C1607="Nutrition_Data_Archived_Tables","KEEP",$C1607="EU_Data","KEEP",TRUE,"REVIEW"),OR($A1607="thg-influencer",$A1607="thg-ingenuity",$A1607="thg-central-marketing",$A1607="thg-seoclarity"),"HOLD",TRUE,"")</f>
        <v>REVIEW</v>
      </c>
      <c r="R1607" t="str" cm="1">
        <f t="array" ref="R1607">_xlfn.IFS(AND($A1607="thg-beauty",ISNUMBER(SEARCH("liveramp",$C1607))),"thg-beauty Liveramp dataset — confirmed safe to delete",$A1607="agile-bonbon-662",_xlfn.IFS(LEFT($G1607,9)="Tranche 1","Tranche 1: cleared",$C1607="Sessions_Level_1_All_Sites","Downstream aggregation of UA raw logs — keep if raw tables go",ISNUMBER(--$C1607),"UA raw site logs (account ID) — keep pending audit-retention check",$C1607="Emag_Reporting","Legacy but likely needed",$C1607="Nutrition_Data_Archived_Tables","Worth keeping",$C1607="EU_Data","Static lookup tables — scripts still reference (smoke-test risk)",TRUE,"Review"),OR($A1607="thg-influencer",$A1607="thg-ingenuity",$A1607="thg-central-marketing",$A1607="thg-seoclarity"),"HOLD — Charlie Stringer to review before deletion",TRUE,"")</f>
        <v>Review</v>
      </c>
      <c r="S1607" t="s">
        <v>1631</v>
      </c>
    </row>
    <row r="1608" spans="1:19" ht="76.5" hidden="1">
      <c r="A1608" t="s">
        <v>89</v>
      </c>
      <c r="B1608" t="s">
        <v>1619</v>
      </c>
      <c r="C1608" t="s">
        <v>1524</v>
      </c>
      <c r="D1608" s="2" t="s">
        <v>1621</v>
      </c>
      <c r="E1608">
        <v>11.36</v>
      </c>
      <c r="F1608">
        <v>0.23</v>
      </c>
      <c r="G1608" t="s">
        <v>72</v>
      </c>
      <c r="H1608" t="s">
        <v>3457</v>
      </c>
      <c r="I1608">
        <v>35</v>
      </c>
      <c r="J1608">
        <v>1715</v>
      </c>
      <c r="K1608" s="5">
        <v>46161.579862696759</v>
      </c>
      <c r="M1608" s="2" t="s">
        <v>3914</v>
      </c>
      <c r="N1608" s="2" t="s">
        <v>1701</v>
      </c>
      <c r="O1608" s="5">
        <v>44482.111986018521</v>
      </c>
      <c r="P1608" t="str">
        <f>IF($Q1608="DELETE",IF($S1608="CONFIRMED: NO MODS &gt; 1YR","CONFIRMED: NO MODS &gt; 1YR","DO NOT DELETE — not defensibly confirmed"),IF($Q1608="HOLD","DO NOT DELETE — HOLD (Charlie review)",IF($Q1608="KEEP","DO NOT DELETE — KEEP",IF(ISNUMBER(SEARCH("REVIEW",$Q1608)),"DO NOT DELETE — REVIEW pending",$S1608))))</f>
        <v>DO NOT DELETE — REVIEW pending</v>
      </c>
      <c r="Q1608" t="str" cm="1">
        <f t="array" ref="Q1608">_xlfn.IFS(AND($A1608="thg-beauty",ISNUMBER(SEARCH("liveramp",$C1608))),"DELETE",$A1608="agile-bonbon-662",_xlfn.IFS(LEFT($G1608,9)="Tranche 1","DELETE",$C1608="Sessions_Level_1_All_Sites","KEEP",ISNUMBER(--$C1608),"REVIEW — UA raw logs",$C1608="Emag_Reporting","KEEP",$C1608="Nutrition_Data_Archived_Tables","KEEP",$C1608="EU_Data","KEEP",TRUE,"REVIEW"),OR($A1608="thg-influencer",$A1608="thg-ingenuity",$A1608="thg-central-marketing",$A1608="thg-seoclarity"),"HOLD",TRUE,"")</f>
        <v>REVIEW</v>
      </c>
      <c r="R1608" t="str" cm="1">
        <f t="array" ref="R1608">_xlfn.IFS(AND($A1608="thg-beauty",ISNUMBER(SEARCH("liveramp",$C1608))),"thg-beauty Liveramp dataset — confirmed safe to delete",$A1608="agile-bonbon-662",_xlfn.IFS(LEFT($G1608,9)="Tranche 1","Tranche 1: cleared",$C1608="Sessions_Level_1_All_Sites","Downstream aggregation of UA raw logs — keep if raw tables go",ISNUMBER(--$C1608),"UA raw site logs (account ID) — keep pending audit-retention check",$C1608="Emag_Reporting","Legacy but likely needed",$C1608="Nutrition_Data_Archived_Tables","Worth keeping",$C1608="EU_Data","Static lookup tables — scripts still reference (smoke-test risk)",TRUE,"Review"),OR($A1608="thg-influencer",$A1608="thg-ingenuity",$A1608="thg-central-marketing",$A1608="thg-seoclarity"),"HOLD — Charlie Stringer to review before deletion",TRUE,"")</f>
        <v>Review</v>
      </c>
      <c r="S1608" t="s">
        <v>1631</v>
      </c>
    </row>
    <row r="1609" spans="1:19" ht="45.75" hidden="1">
      <c r="A1609" t="s">
        <v>89</v>
      </c>
      <c r="B1609" t="s">
        <v>1619</v>
      </c>
      <c r="C1609" t="s">
        <v>1519</v>
      </c>
      <c r="D1609" s="2" t="s">
        <v>1621</v>
      </c>
      <c r="E1609">
        <v>11.35</v>
      </c>
      <c r="F1609">
        <v>0.23</v>
      </c>
      <c r="G1609" t="s">
        <v>72</v>
      </c>
      <c r="H1609" t="s">
        <v>3457</v>
      </c>
      <c r="I1609">
        <v>35</v>
      </c>
      <c r="J1609">
        <v>1104</v>
      </c>
      <c r="K1609" s="5">
        <v>46161.617028159722</v>
      </c>
      <c r="M1609" s="2" t="s">
        <v>1947</v>
      </c>
      <c r="N1609" s="2" t="s">
        <v>1701</v>
      </c>
      <c r="O1609" s="5">
        <v>45092.48525420139</v>
      </c>
      <c r="P1609" t="str">
        <f>IF($Q1609="DELETE",IF($S1609="CONFIRMED: NO MODS &gt; 1YR","CONFIRMED: NO MODS &gt; 1YR","DO NOT DELETE — not defensibly confirmed"),IF($Q1609="HOLD","DO NOT DELETE — HOLD (Charlie review)",IF($Q1609="KEEP","DO NOT DELETE — KEEP",IF(ISNUMBER(SEARCH("REVIEW",$Q1609)),"DO NOT DELETE — REVIEW pending",$S1609))))</f>
        <v>DO NOT DELETE — REVIEW pending</v>
      </c>
      <c r="Q1609" t="str" cm="1">
        <f t="array" ref="Q1609">_xlfn.IFS(AND($A1609="thg-beauty",ISNUMBER(SEARCH("liveramp",$C1609))),"DELETE",$A1609="agile-bonbon-662",_xlfn.IFS(LEFT($G1609,9)="Tranche 1","DELETE",$C1609="Sessions_Level_1_All_Sites","KEEP",ISNUMBER(--$C1609),"REVIEW — UA raw logs",$C1609="Emag_Reporting","KEEP",$C1609="Nutrition_Data_Archived_Tables","KEEP",$C1609="EU_Data","KEEP",TRUE,"REVIEW"),OR($A1609="thg-influencer",$A1609="thg-ingenuity",$A1609="thg-central-marketing",$A1609="thg-seoclarity"),"HOLD",TRUE,"")</f>
        <v>REVIEW</v>
      </c>
      <c r="R1609" t="str" cm="1">
        <f t="array" ref="R1609">_xlfn.IFS(AND($A1609="thg-beauty",ISNUMBER(SEARCH("liveramp",$C1609))),"thg-beauty Liveramp dataset — confirmed safe to delete",$A1609="agile-bonbon-662",_xlfn.IFS(LEFT($G1609,9)="Tranche 1","Tranche 1: cleared",$C1609="Sessions_Level_1_All_Sites","Downstream aggregation of UA raw logs — keep if raw tables go",ISNUMBER(--$C1609),"UA raw site logs (account ID) — keep pending audit-retention check",$C1609="Emag_Reporting","Legacy but likely needed",$C1609="Nutrition_Data_Archived_Tables","Worth keeping",$C1609="EU_Data","Static lookup tables — scripts still reference (smoke-test risk)",TRUE,"Review"),OR($A1609="thg-influencer",$A1609="thg-ingenuity",$A1609="thg-central-marketing",$A1609="thg-seoclarity"),"HOLD — Charlie Stringer to review before deletion",TRUE,"")</f>
        <v>Review</v>
      </c>
      <c r="S1609" t="s">
        <v>1631</v>
      </c>
    </row>
    <row r="1610" spans="1:19" ht="45.75" hidden="1">
      <c r="A1610" t="s">
        <v>89</v>
      </c>
      <c r="B1610" t="s">
        <v>1619</v>
      </c>
      <c r="C1610" t="s">
        <v>1547</v>
      </c>
      <c r="D1610" s="2" t="s">
        <v>1621</v>
      </c>
      <c r="E1610">
        <v>11.18</v>
      </c>
      <c r="F1610">
        <v>0.22</v>
      </c>
      <c r="G1610" t="s">
        <v>72</v>
      </c>
      <c r="H1610" t="s">
        <v>3457</v>
      </c>
      <c r="I1610">
        <v>35</v>
      </c>
      <c r="J1610">
        <v>968</v>
      </c>
      <c r="K1610" s="5">
        <v>46161.615779976863</v>
      </c>
      <c r="M1610" s="2" t="s">
        <v>1977</v>
      </c>
      <c r="N1610" s="2" t="s">
        <v>1701</v>
      </c>
      <c r="O1610" s="5">
        <v>45229.25812327546</v>
      </c>
      <c r="P1610" t="str">
        <f>IF($Q1610="DELETE",IF($S1610="CONFIRMED: NO MODS &gt; 1YR","CONFIRMED: NO MODS &gt; 1YR","DO NOT DELETE — not defensibly confirmed"),IF($Q1610="HOLD","DO NOT DELETE — HOLD (Charlie review)",IF($Q1610="KEEP","DO NOT DELETE — KEEP",IF(ISNUMBER(SEARCH("REVIEW",$Q1610)),"DO NOT DELETE — REVIEW pending",$S1610))))</f>
        <v>DO NOT DELETE — REVIEW pending</v>
      </c>
      <c r="Q1610" t="str" cm="1">
        <f t="array" ref="Q1610">_xlfn.IFS(AND($A1610="thg-beauty",ISNUMBER(SEARCH("liveramp",$C1610))),"DELETE",$A1610="agile-bonbon-662",_xlfn.IFS(LEFT($G1610,9)="Tranche 1","DELETE",$C1610="Sessions_Level_1_All_Sites","KEEP",ISNUMBER(--$C1610),"REVIEW — UA raw logs",$C1610="Emag_Reporting","KEEP",$C1610="Nutrition_Data_Archived_Tables","KEEP",$C1610="EU_Data","KEEP",TRUE,"REVIEW"),OR($A1610="thg-influencer",$A1610="thg-ingenuity",$A1610="thg-central-marketing",$A1610="thg-seoclarity"),"HOLD",TRUE,"")</f>
        <v>REVIEW</v>
      </c>
      <c r="R1610" t="str" cm="1">
        <f t="array" ref="R1610">_xlfn.IFS(AND($A1610="thg-beauty",ISNUMBER(SEARCH("liveramp",$C1610))),"thg-beauty Liveramp dataset — confirmed safe to delete",$A1610="agile-bonbon-662",_xlfn.IFS(LEFT($G1610,9)="Tranche 1","Tranche 1: cleared",$C1610="Sessions_Level_1_All_Sites","Downstream aggregation of UA raw logs — keep if raw tables go",ISNUMBER(--$C1610),"UA raw site logs (account ID) — keep pending audit-retention check",$C1610="Emag_Reporting","Legacy but likely needed",$C1610="Nutrition_Data_Archived_Tables","Worth keeping",$C1610="EU_Data","Static lookup tables — scripts still reference (smoke-test risk)",TRUE,"Review"),OR($A1610="thg-influencer",$A1610="thg-ingenuity",$A1610="thg-central-marketing",$A1610="thg-seoclarity"),"HOLD — Charlie Stringer to review before deletion",TRUE,"")</f>
        <v>Review</v>
      </c>
      <c r="S1610" t="s">
        <v>1631</v>
      </c>
    </row>
    <row r="1611" spans="1:19" ht="45.75" hidden="1">
      <c r="A1611" t="s">
        <v>89</v>
      </c>
      <c r="B1611" t="s">
        <v>1619</v>
      </c>
      <c r="C1611" t="s">
        <v>1565</v>
      </c>
      <c r="D1611" s="2" t="s">
        <v>1621</v>
      </c>
      <c r="E1611">
        <v>11</v>
      </c>
      <c r="F1611">
        <v>0.22</v>
      </c>
      <c r="G1611" t="s">
        <v>72</v>
      </c>
      <c r="H1611" t="s">
        <v>3457</v>
      </c>
      <c r="I1611">
        <v>35</v>
      </c>
      <c r="J1611">
        <v>723</v>
      </c>
      <c r="K1611" s="5">
        <v>46161.599074999998</v>
      </c>
      <c r="M1611" s="2" t="s">
        <v>3401</v>
      </c>
      <c r="N1611" s="2" t="s">
        <v>1701</v>
      </c>
      <c r="O1611" s="5">
        <v>45474.339326944442</v>
      </c>
      <c r="P1611" t="str">
        <f>IF($Q1611="DELETE",IF($S1611="CONFIRMED: NO MODS &gt; 1YR","CONFIRMED: NO MODS &gt; 1YR","DO NOT DELETE — not defensibly confirmed"),IF($Q1611="HOLD","DO NOT DELETE — HOLD (Charlie review)",IF($Q1611="KEEP","DO NOT DELETE — KEEP",IF(ISNUMBER(SEARCH("REVIEW",$Q1611)),"DO NOT DELETE — REVIEW pending",$S1611))))</f>
        <v>DO NOT DELETE — REVIEW pending</v>
      </c>
      <c r="Q1611" t="str" cm="1">
        <f t="array" ref="Q1611">_xlfn.IFS(AND($A1611="thg-beauty",ISNUMBER(SEARCH("liveramp",$C1611))),"DELETE",$A1611="agile-bonbon-662",_xlfn.IFS(LEFT($G1611,9)="Tranche 1","DELETE",$C1611="Sessions_Level_1_All_Sites","KEEP",ISNUMBER(--$C1611),"REVIEW — UA raw logs",$C1611="Emag_Reporting","KEEP",$C1611="Nutrition_Data_Archived_Tables","KEEP",$C1611="EU_Data","KEEP",TRUE,"REVIEW"),OR($A1611="thg-influencer",$A1611="thg-ingenuity",$A1611="thg-central-marketing",$A1611="thg-seoclarity"),"HOLD",TRUE,"")</f>
        <v>REVIEW — UA raw logs</v>
      </c>
      <c r="R1611" t="str" cm="1">
        <f t="array" ref="R1611">_xlfn.IFS(AND($A1611="thg-beauty",ISNUMBER(SEARCH("liveramp",$C1611))),"thg-beauty Liveramp dataset — confirmed safe to delete",$A1611="agile-bonbon-662",_xlfn.IFS(LEFT($G1611,9)="Tranche 1","Tranche 1: cleared",$C1611="Sessions_Level_1_All_Sites","Downstream aggregation of UA raw logs — keep if raw tables go",ISNUMBER(--$C1611),"UA raw site logs (account ID) — keep pending audit-retention check",$C1611="Emag_Reporting","Legacy but likely needed",$C1611="Nutrition_Data_Archived_Tables","Worth keeping",$C1611="EU_Data","Static lookup tables — scripts still reference (smoke-test risk)",TRUE,"Review"),OR($A1611="thg-influencer",$A1611="thg-ingenuity",$A1611="thg-central-marketing",$A1611="thg-seoclarity"),"HOLD — Charlie Stringer to review before deletion",TRUE,"")</f>
        <v>UA raw site logs (account ID) — keep pending audit-retention check</v>
      </c>
      <c r="S1611" t="s">
        <v>1631</v>
      </c>
    </row>
    <row r="1612" spans="1:19" ht="45.75" hidden="1">
      <c r="A1612" t="s">
        <v>89</v>
      </c>
      <c r="B1612" t="s">
        <v>1619</v>
      </c>
      <c r="C1612" t="s">
        <v>1533</v>
      </c>
      <c r="D1612" s="2" t="s">
        <v>1621</v>
      </c>
      <c r="E1612">
        <v>10.96</v>
      </c>
      <c r="F1612">
        <v>0.22</v>
      </c>
      <c r="G1612" t="s">
        <v>72</v>
      </c>
      <c r="H1612" t="s">
        <v>3457</v>
      </c>
      <c r="I1612">
        <v>35</v>
      </c>
      <c r="J1612">
        <v>1177</v>
      </c>
      <c r="K1612" s="5">
        <v>46161.618996087956</v>
      </c>
      <c r="M1612" s="2" t="s">
        <v>1981</v>
      </c>
      <c r="N1612" s="2" t="s">
        <v>1701</v>
      </c>
      <c r="O1612" s="5">
        <v>45019.77986170139</v>
      </c>
      <c r="P1612" t="str">
        <f>IF($Q1612="DELETE",IF($S1612="CONFIRMED: NO MODS &gt; 1YR","CONFIRMED: NO MODS &gt; 1YR","DO NOT DELETE — not defensibly confirmed"),IF($Q1612="HOLD","DO NOT DELETE — HOLD (Charlie review)",IF($Q1612="KEEP","DO NOT DELETE — KEEP",IF(ISNUMBER(SEARCH("REVIEW",$Q1612)),"DO NOT DELETE — REVIEW pending",$S1612))))</f>
        <v>DO NOT DELETE — REVIEW pending</v>
      </c>
      <c r="Q1612" t="str" cm="1">
        <f t="array" ref="Q1612">_xlfn.IFS(AND($A1612="thg-beauty",ISNUMBER(SEARCH("liveramp",$C1612))),"DELETE",$A1612="agile-bonbon-662",_xlfn.IFS(LEFT($G1612,9)="Tranche 1","DELETE",$C1612="Sessions_Level_1_All_Sites","KEEP",ISNUMBER(--$C1612),"REVIEW — UA raw logs",$C1612="Emag_Reporting","KEEP",$C1612="Nutrition_Data_Archived_Tables","KEEP",$C1612="EU_Data","KEEP",TRUE,"REVIEW"),OR($A1612="thg-influencer",$A1612="thg-ingenuity",$A1612="thg-central-marketing",$A1612="thg-seoclarity"),"HOLD",TRUE,"")</f>
        <v>REVIEW</v>
      </c>
      <c r="R1612" t="str" cm="1">
        <f t="array" ref="R1612">_xlfn.IFS(AND($A1612="thg-beauty",ISNUMBER(SEARCH("liveramp",$C1612))),"thg-beauty Liveramp dataset — confirmed safe to delete",$A1612="agile-bonbon-662",_xlfn.IFS(LEFT($G1612,9)="Tranche 1","Tranche 1: cleared",$C1612="Sessions_Level_1_All_Sites","Downstream aggregation of UA raw logs — keep if raw tables go",ISNUMBER(--$C1612),"UA raw site logs (account ID) — keep pending audit-retention check",$C1612="Emag_Reporting","Legacy but likely needed",$C1612="Nutrition_Data_Archived_Tables","Worth keeping",$C1612="EU_Data","Static lookup tables — scripts still reference (smoke-test risk)",TRUE,"Review"),OR($A1612="thg-influencer",$A1612="thg-ingenuity",$A1612="thg-central-marketing",$A1612="thg-seoclarity"),"HOLD — Charlie Stringer to review before deletion",TRUE,"")</f>
        <v>Review</v>
      </c>
      <c r="S1612" t="s">
        <v>1624</v>
      </c>
    </row>
    <row r="1613" spans="1:19" ht="76.5" hidden="1">
      <c r="A1613" t="s">
        <v>89</v>
      </c>
      <c r="B1613" t="s">
        <v>1619</v>
      </c>
      <c r="C1613" t="s">
        <v>1552</v>
      </c>
      <c r="D1613" s="2" t="s">
        <v>1621</v>
      </c>
      <c r="E1613">
        <v>10.81</v>
      </c>
      <c r="F1613">
        <v>0.22</v>
      </c>
      <c r="G1613" t="s">
        <v>72</v>
      </c>
      <c r="H1613" t="s">
        <v>3457</v>
      </c>
      <c r="I1613">
        <v>35</v>
      </c>
      <c r="J1613">
        <v>1884</v>
      </c>
      <c r="K1613" s="5">
        <v>46161.580353715282</v>
      </c>
      <c r="M1613" s="2" t="s">
        <v>3895</v>
      </c>
      <c r="N1613" s="2" t="s">
        <v>1701</v>
      </c>
      <c r="O1613" s="5">
        <v>44312.550921423608</v>
      </c>
      <c r="P1613" t="str">
        <f>IF($Q1613="DELETE",IF($S1613="CONFIRMED: NO MODS &gt; 1YR","CONFIRMED: NO MODS &gt; 1YR","DO NOT DELETE — not defensibly confirmed"),IF($Q1613="HOLD","DO NOT DELETE — HOLD (Charlie review)",IF($Q1613="KEEP","DO NOT DELETE — KEEP",IF(ISNUMBER(SEARCH("REVIEW",$Q1613)),"DO NOT DELETE — REVIEW pending",$S1613))))</f>
        <v>DO NOT DELETE — REVIEW pending</v>
      </c>
      <c r="Q1613" t="str" cm="1">
        <f t="array" ref="Q1613">_xlfn.IFS(AND($A1613="thg-beauty",ISNUMBER(SEARCH("liveramp",$C1613))),"DELETE",$A1613="agile-bonbon-662",_xlfn.IFS(LEFT($G1613,9)="Tranche 1","DELETE",$C1613="Sessions_Level_1_All_Sites","KEEP",ISNUMBER(--$C1613),"REVIEW — UA raw logs",$C1613="Emag_Reporting","KEEP",$C1613="Nutrition_Data_Archived_Tables","KEEP",$C1613="EU_Data","KEEP",TRUE,"REVIEW"),OR($A1613="thg-influencer",$A1613="thg-ingenuity",$A1613="thg-central-marketing",$A1613="thg-seoclarity"),"HOLD",TRUE,"")</f>
        <v>REVIEW</v>
      </c>
      <c r="R1613" t="str" cm="1">
        <f t="array" ref="R1613">_xlfn.IFS(AND($A1613="thg-beauty",ISNUMBER(SEARCH("liveramp",$C1613))),"thg-beauty Liveramp dataset — confirmed safe to delete",$A1613="agile-bonbon-662",_xlfn.IFS(LEFT($G1613,9)="Tranche 1","Tranche 1: cleared",$C1613="Sessions_Level_1_All_Sites","Downstream aggregation of UA raw logs — keep if raw tables go",ISNUMBER(--$C1613),"UA raw site logs (account ID) — keep pending audit-retention check",$C1613="Emag_Reporting","Legacy but likely needed",$C1613="Nutrition_Data_Archived_Tables","Worth keeping",$C1613="EU_Data","Static lookup tables — scripts still reference (smoke-test risk)",TRUE,"Review"),OR($A1613="thg-influencer",$A1613="thg-ingenuity",$A1613="thg-central-marketing",$A1613="thg-seoclarity"),"HOLD — Charlie Stringer to review before deletion",TRUE,"")</f>
        <v>Review</v>
      </c>
      <c r="S1613" t="s">
        <v>1631</v>
      </c>
    </row>
    <row r="1614" spans="1:19" ht="45.75" hidden="1">
      <c r="A1614" t="s">
        <v>89</v>
      </c>
      <c r="B1614" t="s">
        <v>1619</v>
      </c>
      <c r="C1614" t="s">
        <v>1557</v>
      </c>
      <c r="D1614" s="2" t="s">
        <v>1621</v>
      </c>
      <c r="E1614">
        <v>10.79</v>
      </c>
      <c r="F1614">
        <v>0.22</v>
      </c>
      <c r="G1614" t="s">
        <v>72</v>
      </c>
      <c r="H1614" t="s">
        <v>3457</v>
      </c>
      <c r="I1614">
        <v>35</v>
      </c>
      <c r="J1614">
        <v>1738</v>
      </c>
      <c r="K1614" s="5">
        <v>46161.598084687503</v>
      </c>
      <c r="M1614" s="2" t="s">
        <v>3407</v>
      </c>
      <c r="N1614" s="2" t="s">
        <v>1701</v>
      </c>
      <c r="O1614" s="5">
        <v>44459.425938113432</v>
      </c>
      <c r="P1614" t="str">
        <f>IF($Q1614="DELETE",IF($S1614="CONFIRMED: NO MODS &gt; 1YR","CONFIRMED: NO MODS &gt; 1YR","DO NOT DELETE — not defensibly confirmed"),IF($Q1614="HOLD","DO NOT DELETE — HOLD (Charlie review)",IF($Q1614="KEEP","DO NOT DELETE — KEEP",IF(ISNUMBER(SEARCH("REVIEW",$Q1614)),"DO NOT DELETE — REVIEW pending",$S1614))))</f>
        <v>DO NOT DELETE — REVIEW pending</v>
      </c>
      <c r="Q1614" t="str" cm="1">
        <f t="array" ref="Q1614">_xlfn.IFS(AND($A1614="thg-beauty",ISNUMBER(SEARCH("liveramp",$C1614))),"DELETE",$A1614="agile-bonbon-662",_xlfn.IFS(LEFT($G1614,9)="Tranche 1","DELETE",$C1614="Sessions_Level_1_All_Sites","KEEP",ISNUMBER(--$C1614),"REVIEW — UA raw logs",$C1614="Emag_Reporting","KEEP",$C1614="Nutrition_Data_Archived_Tables","KEEP",$C1614="EU_Data","KEEP",TRUE,"REVIEW"),OR($A1614="thg-influencer",$A1614="thg-ingenuity",$A1614="thg-central-marketing",$A1614="thg-seoclarity"),"HOLD",TRUE,"")</f>
        <v>REVIEW — UA raw logs</v>
      </c>
      <c r="R1614" t="str" cm="1">
        <f t="array" ref="R1614">_xlfn.IFS(AND($A1614="thg-beauty",ISNUMBER(SEARCH("liveramp",$C1614))),"thg-beauty Liveramp dataset — confirmed safe to delete",$A1614="agile-bonbon-662",_xlfn.IFS(LEFT($G1614,9)="Tranche 1","Tranche 1: cleared",$C1614="Sessions_Level_1_All_Sites","Downstream aggregation of UA raw logs — keep if raw tables go",ISNUMBER(--$C1614),"UA raw site logs (account ID) — keep pending audit-retention check",$C1614="Emag_Reporting","Legacy but likely needed",$C1614="Nutrition_Data_Archived_Tables","Worth keeping",$C1614="EU_Data","Static lookup tables — scripts still reference (smoke-test risk)",TRUE,"Review"),OR($A1614="thg-influencer",$A1614="thg-ingenuity",$A1614="thg-central-marketing",$A1614="thg-seoclarity"),"HOLD — Charlie Stringer to review before deletion",TRUE,"")</f>
        <v>UA raw site logs (account ID) — keep pending audit-retention check</v>
      </c>
      <c r="S1614" t="s">
        <v>1631</v>
      </c>
    </row>
    <row r="1615" spans="1:19" ht="45.75" hidden="1">
      <c r="A1615" t="s">
        <v>89</v>
      </c>
      <c r="B1615" t="s">
        <v>1619</v>
      </c>
      <c r="C1615" t="s">
        <v>1569</v>
      </c>
      <c r="D1615" s="2" t="s">
        <v>1621</v>
      </c>
      <c r="E1615">
        <v>10.79</v>
      </c>
      <c r="F1615">
        <v>0.22</v>
      </c>
      <c r="G1615" t="s">
        <v>72</v>
      </c>
      <c r="H1615" t="s">
        <v>3457</v>
      </c>
      <c r="I1615">
        <v>35</v>
      </c>
      <c r="J1615">
        <v>1738</v>
      </c>
      <c r="K1615" s="5">
        <v>46161.594371643521</v>
      </c>
      <c r="M1615" s="2" t="s">
        <v>2273</v>
      </c>
      <c r="N1615" s="2" t="s">
        <v>1701</v>
      </c>
      <c r="O1615" s="5">
        <v>44459.430097615739</v>
      </c>
      <c r="P1615" t="str">
        <f>IF($Q1615="DELETE",IF($S1615="CONFIRMED: NO MODS &gt; 1YR","CONFIRMED: NO MODS &gt; 1YR","DO NOT DELETE — not defensibly confirmed"),IF($Q1615="HOLD","DO NOT DELETE — HOLD (Charlie review)",IF($Q1615="KEEP","DO NOT DELETE — KEEP",IF(ISNUMBER(SEARCH("REVIEW",$Q1615)),"DO NOT DELETE — REVIEW pending",$S1615))))</f>
        <v>DO NOT DELETE — REVIEW pending</v>
      </c>
      <c r="Q1615" t="str" cm="1">
        <f t="array" ref="Q1615">_xlfn.IFS(AND($A1615="thg-beauty",ISNUMBER(SEARCH("liveramp",$C1615))),"DELETE",$A1615="agile-bonbon-662",_xlfn.IFS(LEFT($G1615,9)="Tranche 1","DELETE",$C1615="Sessions_Level_1_All_Sites","KEEP",ISNUMBER(--$C1615),"REVIEW — UA raw logs",$C1615="Emag_Reporting","KEEP",$C1615="Nutrition_Data_Archived_Tables","KEEP",$C1615="EU_Data","KEEP",TRUE,"REVIEW"),OR($A1615="thg-influencer",$A1615="thg-ingenuity",$A1615="thg-central-marketing",$A1615="thg-seoclarity"),"HOLD",TRUE,"")</f>
        <v>REVIEW — UA raw logs</v>
      </c>
      <c r="R1615" t="str" cm="1">
        <f t="array" ref="R1615">_xlfn.IFS(AND($A1615="thg-beauty",ISNUMBER(SEARCH("liveramp",$C1615))),"thg-beauty Liveramp dataset — confirmed safe to delete",$A1615="agile-bonbon-662",_xlfn.IFS(LEFT($G1615,9)="Tranche 1","Tranche 1: cleared",$C1615="Sessions_Level_1_All_Sites","Downstream aggregation of UA raw logs — keep if raw tables go",ISNUMBER(--$C1615),"UA raw site logs (account ID) — keep pending audit-retention check",$C1615="Emag_Reporting","Legacy but likely needed",$C1615="Nutrition_Data_Archived_Tables","Worth keeping",$C1615="EU_Data","Static lookup tables — scripts still reference (smoke-test risk)",TRUE,"Review"),OR($A1615="thg-influencer",$A1615="thg-ingenuity",$A1615="thg-central-marketing",$A1615="thg-seoclarity"),"HOLD — Charlie Stringer to review before deletion",TRUE,"")</f>
        <v>UA raw site logs (account ID) — keep pending audit-retention check</v>
      </c>
      <c r="S1615" t="s">
        <v>1631</v>
      </c>
    </row>
    <row r="1616" spans="1:19" ht="45.75" hidden="1">
      <c r="A1616" t="s">
        <v>89</v>
      </c>
      <c r="B1616" t="s">
        <v>1619</v>
      </c>
      <c r="C1616" t="s">
        <v>1543</v>
      </c>
      <c r="D1616" s="2" t="s">
        <v>1621</v>
      </c>
      <c r="E1616">
        <v>10.79</v>
      </c>
      <c r="F1616">
        <v>0.22</v>
      </c>
      <c r="G1616" t="s">
        <v>72</v>
      </c>
      <c r="H1616" t="s">
        <v>3457</v>
      </c>
      <c r="I1616">
        <v>35</v>
      </c>
      <c r="J1616">
        <v>1738</v>
      </c>
      <c r="K1616" s="5">
        <v>46161.594355243047</v>
      </c>
      <c r="M1616" s="2" t="s">
        <v>2273</v>
      </c>
      <c r="N1616" s="2" t="s">
        <v>1701</v>
      </c>
      <c r="O1616" s="5">
        <v>44459.425942800917</v>
      </c>
      <c r="P1616" t="str">
        <f>IF($Q1616="DELETE",IF($S1616="CONFIRMED: NO MODS &gt; 1YR","CONFIRMED: NO MODS &gt; 1YR","DO NOT DELETE — not defensibly confirmed"),IF($Q1616="HOLD","DO NOT DELETE — HOLD (Charlie review)",IF($Q1616="KEEP","DO NOT DELETE — KEEP",IF(ISNUMBER(SEARCH("REVIEW",$Q1616)),"DO NOT DELETE — REVIEW pending",$S1616))))</f>
        <v>DO NOT DELETE — REVIEW pending</v>
      </c>
      <c r="Q1616" t="str" cm="1">
        <f t="array" ref="Q1616">_xlfn.IFS(AND($A1616="thg-beauty",ISNUMBER(SEARCH("liveramp",$C1616))),"DELETE",$A1616="agile-bonbon-662",_xlfn.IFS(LEFT($G1616,9)="Tranche 1","DELETE",$C1616="Sessions_Level_1_All_Sites","KEEP",ISNUMBER(--$C1616),"REVIEW — UA raw logs",$C1616="Emag_Reporting","KEEP",$C1616="Nutrition_Data_Archived_Tables","KEEP",$C1616="EU_Data","KEEP",TRUE,"REVIEW"),OR($A1616="thg-influencer",$A1616="thg-ingenuity",$A1616="thg-central-marketing",$A1616="thg-seoclarity"),"HOLD",TRUE,"")</f>
        <v>REVIEW — UA raw logs</v>
      </c>
      <c r="R1616" t="str" cm="1">
        <f t="array" ref="R1616">_xlfn.IFS(AND($A1616="thg-beauty",ISNUMBER(SEARCH("liveramp",$C1616))),"thg-beauty Liveramp dataset — confirmed safe to delete",$A1616="agile-bonbon-662",_xlfn.IFS(LEFT($G1616,9)="Tranche 1","Tranche 1: cleared",$C1616="Sessions_Level_1_All_Sites","Downstream aggregation of UA raw logs — keep if raw tables go",ISNUMBER(--$C1616),"UA raw site logs (account ID) — keep pending audit-retention check",$C1616="Emag_Reporting","Legacy but likely needed",$C1616="Nutrition_Data_Archived_Tables","Worth keeping",$C1616="EU_Data","Static lookup tables — scripts still reference (smoke-test risk)",TRUE,"Review"),OR($A1616="thg-influencer",$A1616="thg-ingenuity",$A1616="thg-central-marketing",$A1616="thg-seoclarity"),"HOLD — Charlie Stringer to review before deletion",TRUE,"")</f>
        <v>UA raw site logs (account ID) — keep pending audit-retention check</v>
      </c>
      <c r="S1616" t="s">
        <v>1631</v>
      </c>
    </row>
    <row r="1617" spans="1:19" ht="45.75" hidden="1">
      <c r="A1617" t="s">
        <v>89</v>
      </c>
      <c r="B1617" t="s">
        <v>1619</v>
      </c>
      <c r="C1617" t="s">
        <v>1538</v>
      </c>
      <c r="D1617" s="2" t="s">
        <v>1621</v>
      </c>
      <c r="E1617">
        <v>10.79</v>
      </c>
      <c r="F1617">
        <v>0.22</v>
      </c>
      <c r="G1617" t="s">
        <v>72</v>
      </c>
      <c r="H1617" t="s">
        <v>3457</v>
      </c>
      <c r="I1617">
        <v>35</v>
      </c>
      <c r="J1617">
        <v>1738</v>
      </c>
      <c r="K1617" s="5">
        <v>46161.59326642361</v>
      </c>
      <c r="M1617" s="2" t="s">
        <v>3900</v>
      </c>
      <c r="N1617" s="2" t="s">
        <v>1701</v>
      </c>
      <c r="O1617" s="5">
        <v>44459.430797835637</v>
      </c>
      <c r="P1617" t="str">
        <f>IF($Q1617="DELETE",IF($S1617="CONFIRMED: NO MODS &gt; 1YR","CONFIRMED: NO MODS &gt; 1YR","DO NOT DELETE — not defensibly confirmed"),IF($Q1617="HOLD","DO NOT DELETE — HOLD (Charlie review)",IF($Q1617="KEEP","DO NOT DELETE — KEEP",IF(ISNUMBER(SEARCH("REVIEW",$Q1617)),"DO NOT DELETE — REVIEW pending",$S1617))))</f>
        <v>DO NOT DELETE — REVIEW pending</v>
      </c>
      <c r="Q1617" t="str" cm="1">
        <f t="array" ref="Q1617">_xlfn.IFS(AND($A1617="thg-beauty",ISNUMBER(SEARCH("liveramp",$C1617))),"DELETE",$A1617="agile-bonbon-662",_xlfn.IFS(LEFT($G1617,9)="Tranche 1","DELETE",$C1617="Sessions_Level_1_All_Sites","KEEP",ISNUMBER(--$C1617),"REVIEW — UA raw logs",$C1617="Emag_Reporting","KEEP",$C1617="Nutrition_Data_Archived_Tables","KEEP",$C1617="EU_Data","KEEP",TRUE,"REVIEW"),OR($A1617="thg-influencer",$A1617="thg-ingenuity",$A1617="thg-central-marketing",$A1617="thg-seoclarity"),"HOLD",TRUE,"")</f>
        <v>REVIEW — UA raw logs</v>
      </c>
      <c r="R1617" t="str" cm="1">
        <f t="array" ref="R1617">_xlfn.IFS(AND($A1617="thg-beauty",ISNUMBER(SEARCH("liveramp",$C1617))),"thg-beauty Liveramp dataset — confirmed safe to delete",$A1617="agile-bonbon-662",_xlfn.IFS(LEFT($G1617,9)="Tranche 1","Tranche 1: cleared",$C1617="Sessions_Level_1_All_Sites","Downstream aggregation of UA raw logs — keep if raw tables go",ISNUMBER(--$C1617),"UA raw site logs (account ID) — keep pending audit-retention check",$C1617="Emag_Reporting","Legacy but likely needed",$C1617="Nutrition_Data_Archived_Tables","Worth keeping",$C1617="EU_Data","Static lookup tables — scripts still reference (smoke-test risk)",TRUE,"Review"),OR($A1617="thg-influencer",$A1617="thg-ingenuity",$A1617="thg-central-marketing",$A1617="thg-seoclarity"),"HOLD — Charlie Stringer to review before deletion",TRUE,"")</f>
        <v>UA raw site logs (account ID) — keep pending audit-retention check</v>
      </c>
      <c r="S1617" t="s">
        <v>1631</v>
      </c>
    </row>
    <row r="1618" spans="1:19" ht="45.75" hidden="1">
      <c r="A1618" t="s">
        <v>89</v>
      </c>
      <c r="B1618" t="s">
        <v>1619</v>
      </c>
      <c r="C1618" t="s">
        <v>1561</v>
      </c>
      <c r="D1618" s="2" t="s">
        <v>1621</v>
      </c>
      <c r="E1618">
        <v>10.79</v>
      </c>
      <c r="F1618">
        <v>0.22</v>
      </c>
      <c r="G1618" t="s">
        <v>72</v>
      </c>
      <c r="H1618" t="s">
        <v>3457</v>
      </c>
      <c r="I1618">
        <v>35</v>
      </c>
      <c r="J1618">
        <v>1738</v>
      </c>
      <c r="K1618" s="5">
        <v>46161.594140416673</v>
      </c>
      <c r="M1618" s="2" t="s">
        <v>2273</v>
      </c>
      <c r="N1618" s="2" t="s">
        <v>1701</v>
      </c>
      <c r="O1618" s="5">
        <v>44459.42940854167</v>
      </c>
      <c r="P1618" t="str">
        <f>IF($Q1618="DELETE",IF($S1618="CONFIRMED: NO MODS &gt; 1YR","CONFIRMED: NO MODS &gt; 1YR","DO NOT DELETE — not defensibly confirmed"),IF($Q1618="HOLD","DO NOT DELETE — HOLD (Charlie review)",IF($Q1618="KEEP","DO NOT DELETE — KEEP",IF(ISNUMBER(SEARCH("REVIEW",$Q1618)),"DO NOT DELETE — REVIEW pending",$S1618))))</f>
        <v>DO NOT DELETE — REVIEW pending</v>
      </c>
      <c r="Q1618" t="str" cm="1">
        <f t="array" ref="Q1618">_xlfn.IFS(AND($A1618="thg-beauty",ISNUMBER(SEARCH("liveramp",$C1618))),"DELETE",$A1618="agile-bonbon-662",_xlfn.IFS(LEFT($G1618,9)="Tranche 1","DELETE",$C1618="Sessions_Level_1_All_Sites","KEEP",ISNUMBER(--$C1618),"REVIEW — UA raw logs",$C1618="Emag_Reporting","KEEP",$C1618="Nutrition_Data_Archived_Tables","KEEP",$C1618="EU_Data","KEEP",TRUE,"REVIEW"),OR($A1618="thg-influencer",$A1618="thg-ingenuity",$A1618="thg-central-marketing",$A1618="thg-seoclarity"),"HOLD",TRUE,"")</f>
        <v>REVIEW — UA raw logs</v>
      </c>
      <c r="R1618" t="str" cm="1">
        <f t="array" ref="R1618">_xlfn.IFS(AND($A1618="thg-beauty",ISNUMBER(SEARCH("liveramp",$C1618))),"thg-beauty Liveramp dataset — confirmed safe to delete",$A1618="agile-bonbon-662",_xlfn.IFS(LEFT($G1618,9)="Tranche 1","Tranche 1: cleared",$C1618="Sessions_Level_1_All_Sites","Downstream aggregation of UA raw logs — keep if raw tables go",ISNUMBER(--$C1618),"UA raw site logs (account ID) — keep pending audit-retention check",$C1618="Emag_Reporting","Legacy but likely needed",$C1618="Nutrition_Data_Archived_Tables","Worth keeping",$C1618="EU_Data","Static lookup tables — scripts still reference (smoke-test risk)",TRUE,"Review"),OR($A1618="thg-influencer",$A1618="thg-ingenuity",$A1618="thg-central-marketing",$A1618="thg-seoclarity"),"HOLD — Charlie Stringer to review before deletion",TRUE,"")</f>
        <v>UA raw site logs (account ID) — keep pending audit-retention check</v>
      </c>
      <c r="S1618" t="s">
        <v>1631</v>
      </c>
    </row>
    <row r="1619" spans="1:19" ht="45.75" hidden="1">
      <c r="A1619" t="s">
        <v>89</v>
      </c>
      <c r="B1619" t="s">
        <v>1619</v>
      </c>
      <c r="C1619" t="s">
        <v>1573</v>
      </c>
      <c r="D1619" s="2" t="s">
        <v>1621</v>
      </c>
      <c r="E1619">
        <v>10.78</v>
      </c>
      <c r="F1619">
        <v>0.22</v>
      </c>
      <c r="G1619" t="s">
        <v>72</v>
      </c>
      <c r="H1619" t="s">
        <v>3457</v>
      </c>
      <c r="I1619">
        <v>35</v>
      </c>
      <c r="J1619">
        <v>965</v>
      </c>
      <c r="K1619" s="5">
        <v>46161.617615173607</v>
      </c>
      <c r="M1619" s="2" t="s">
        <v>1957</v>
      </c>
      <c r="N1619" s="2" t="s">
        <v>1701</v>
      </c>
      <c r="O1619" s="5">
        <v>45232.273129108798</v>
      </c>
      <c r="P1619" t="str">
        <f>IF($Q1619="DELETE",IF($S1619="CONFIRMED: NO MODS &gt; 1YR","CONFIRMED: NO MODS &gt; 1YR","DO NOT DELETE — not defensibly confirmed"),IF($Q1619="HOLD","DO NOT DELETE — HOLD (Charlie review)",IF($Q1619="KEEP","DO NOT DELETE — KEEP",IF(ISNUMBER(SEARCH("REVIEW",$Q1619)),"DO NOT DELETE — REVIEW pending",$S1619))))</f>
        <v>DO NOT DELETE — REVIEW pending</v>
      </c>
      <c r="Q1619" t="str" cm="1">
        <f t="array" ref="Q1619">_xlfn.IFS(AND($A1619="thg-beauty",ISNUMBER(SEARCH("liveramp",$C1619))),"DELETE",$A1619="agile-bonbon-662",_xlfn.IFS(LEFT($G1619,9)="Tranche 1","DELETE",$C1619="Sessions_Level_1_All_Sites","KEEP",ISNUMBER(--$C1619),"REVIEW — UA raw logs",$C1619="Emag_Reporting","KEEP",$C1619="Nutrition_Data_Archived_Tables","KEEP",$C1619="EU_Data","KEEP",TRUE,"REVIEW"),OR($A1619="thg-influencer",$A1619="thg-ingenuity",$A1619="thg-central-marketing",$A1619="thg-seoclarity"),"HOLD",TRUE,"")</f>
        <v>REVIEW</v>
      </c>
      <c r="R1619" t="str" cm="1">
        <f t="array" ref="R1619">_xlfn.IFS(AND($A1619="thg-beauty",ISNUMBER(SEARCH("liveramp",$C1619))),"thg-beauty Liveramp dataset — confirmed safe to delete",$A1619="agile-bonbon-662",_xlfn.IFS(LEFT($G1619,9)="Tranche 1","Tranche 1: cleared",$C1619="Sessions_Level_1_All_Sites","Downstream aggregation of UA raw logs — keep if raw tables go",ISNUMBER(--$C1619),"UA raw site logs (account ID) — keep pending audit-retention check",$C1619="Emag_Reporting","Legacy but likely needed",$C1619="Nutrition_Data_Archived_Tables","Worth keeping",$C1619="EU_Data","Static lookup tables — scripts still reference (smoke-test risk)",TRUE,"Review"),OR($A1619="thg-influencer",$A1619="thg-ingenuity",$A1619="thg-central-marketing",$A1619="thg-seoclarity"),"HOLD — Charlie Stringer to review before deletion",TRUE,"")</f>
        <v>Review</v>
      </c>
      <c r="S1619" t="s">
        <v>1631</v>
      </c>
    </row>
    <row r="1620" spans="1:19" ht="45.75" hidden="1">
      <c r="A1620" t="s">
        <v>89</v>
      </c>
      <c r="B1620" t="s">
        <v>1619</v>
      </c>
      <c r="C1620" t="s">
        <v>1588</v>
      </c>
      <c r="D1620" s="2" t="s">
        <v>1621</v>
      </c>
      <c r="E1620">
        <v>10.67</v>
      </c>
      <c r="F1620">
        <v>0.21</v>
      </c>
      <c r="G1620" t="s">
        <v>72</v>
      </c>
      <c r="H1620" t="s">
        <v>3457</v>
      </c>
      <c r="I1620">
        <v>35</v>
      </c>
      <c r="J1620">
        <v>1009</v>
      </c>
      <c r="K1620" s="5">
        <v>46161.61653634259</v>
      </c>
      <c r="M1620" s="2" t="s">
        <v>1984</v>
      </c>
      <c r="N1620" s="2" t="s">
        <v>1701</v>
      </c>
      <c r="O1620" s="5">
        <v>45187.49907810185</v>
      </c>
      <c r="P1620" t="str">
        <f>IF($Q1620="DELETE",IF($S1620="CONFIRMED: NO MODS &gt; 1YR","CONFIRMED: NO MODS &gt; 1YR","DO NOT DELETE — not defensibly confirmed"),IF($Q1620="HOLD","DO NOT DELETE — HOLD (Charlie review)",IF($Q1620="KEEP","DO NOT DELETE — KEEP",IF(ISNUMBER(SEARCH("REVIEW",$Q1620)),"DO NOT DELETE — REVIEW pending",$S1620))))</f>
        <v>DO NOT DELETE — REVIEW pending</v>
      </c>
      <c r="Q1620" t="str" cm="1">
        <f t="array" ref="Q1620">_xlfn.IFS(AND($A1620="thg-beauty",ISNUMBER(SEARCH("liveramp",$C1620))),"DELETE",$A1620="agile-bonbon-662",_xlfn.IFS(LEFT($G1620,9)="Tranche 1","DELETE",$C1620="Sessions_Level_1_All_Sites","KEEP",ISNUMBER(--$C1620),"REVIEW — UA raw logs",$C1620="Emag_Reporting","KEEP",$C1620="Nutrition_Data_Archived_Tables","KEEP",$C1620="EU_Data","KEEP",TRUE,"REVIEW"),OR($A1620="thg-influencer",$A1620="thg-ingenuity",$A1620="thg-central-marketing",$A1620="thg-seoclarity"),"HOLD",TRUE,"")</f>
        <v>REVIEW</v>
      </c>
      <c r="R1620" t="str" cm="1">
        <f t="array" ref="R1620">_xlfn.IFS(AND($A1620="thg-beauty",ISNUMBER(SEARCH("liveramp",$C1620))),"thg-beauty Liveramp dataset — confirmed safe to delete",$A1620="agile-bonbon-662",_xlfn.IFS(LEFT($G1620,9)="Tranche 1","Tranche 1: cleared",$C1620="Sessions_Level_1_All_Sites","Downstream aggregation of UA raw logs — keep if raw tables go",ISNUMBER(--$C1620),"UA raw site logs (account ID) — keep pending audit-retention check",$C1620="Emag_Reporting","Legacy but likely needed",$C1620="Nutrition_Data_Archived_Tables","Worth keeping",$C1620="EU_Data","Static lookup tables — scripts still reference (smoke-test risk)",TRUE,"Review"),OR($A1620="thg-influencer",$A1620="thg-ingenuity",$A1620="thg-central-marketing",$A1620="thg-seoclarity"),"HOLD — Charlie Stringer to review before deletion",TRUE,"")</f>
        <v>Review</v>
      </c>
      <c r="S1620" t="s">
        <v>1631</v>
      </c>
    </row>
    <row r="1621" spans="1:19" ht="45.75" hidden="1">
      <c r="A1621" t="s">
        <v>89</v>
      </c>
      <c r="B1621" t="s">
        <v>1619</v>
      </c>
      <c r="C1621" t="s">
        <v>1593</v>
      </c>
      <c r="D1621" s="2" t="s">
        <v>1621</v>
      </c>
      <c r="E1621">
        <v>10.58</v>
      </c>
      <c r="F1621">
        <v>0.21</v>
      </c>
      <c r="G1621" t="s">
        <v>72</v>
      </c>
      <c r="H1621" t="s">
        <v>3457</v>
      </c>
      <c r="I1621">
        <v>35</v>
      </c>
      <c r="J1621">
        <v>532</v>
      </c>
      <c r="K1621" s="5">
        <v>46161.61438324074</v>
      </c>
      <c r="M1621" s="2" t="s">
        <v>3915</v>
      </c>
      <c r="N1621" s="2" t="s">
        <v>1701</v>
      </c>
      <c r="O1621" s="5">
        <v>45665.376516053242</v>
      </c>
      <c r="P1621" t="str">
        <f>IF($Q1621="DELETE",IF($S1621="CONFIRMED: NO MODS &gt; 1YR","CONFIRMED: NO MODS &gt; 1YR","DO NOT DELETE — not defensibly confirmed"),IF($Q1621="HOLD","DO NOT DELETE — HOLD (Charlie review)",IF($Q1621="KEEP","DO NOT DELETE — KEEP",IF(ISNUMBER(SEARCH("REVIEW",$Q1621)),"DO NOT DELETE — REVIEW pending",$S1621))))</f>
        <v>DO NOT DELETE — REVIEW pending</v>
      </c>
      <c r="Q1621" t="str" cm="1">
        <f t="array" ref="Q1621">_xlfn.IFS(AND($A1621="thg-beauty",ISNUMBER(SEARCH("liveramp",$C1621))),"DELETE",$A1621="agile-bonbon-662",_xlfn.IFS(LEFT($G1621,9)="Tranche 1","DELETE",$C1621="Sessions_Level_1_All_Sites","KEEP",ISNUMBER(--$C1621),"REVIEW — UA raw logs",$C1621="Emag_Reporting","KEEP",$C1621="Nutrition_Data_Archived_Tables","KEEP",$C1621="EU_Data","KEEP",TRUE,"REVIEW"),OR($A1621="thg-influencer",$A1621="thg-ingenuity",$A1621="thg-central-marketing",$A1621="thg-seoclarity"),"HOLD",TRUE,"")</f>
        <v>REVIEW</v>
      </c>
      <c r="R1621" t="str" cm="1">
        <f t="array" ref="R1621">_xlfn.IFS(AND($A1621="thg-beauty",ISNUMBER(SEARCH("liveramp",$C1621))),"thg-beauty Liveramp dataset — confirmed safe to delete",$A1621="agile-bonbon-662",_xlfn.IFS(LEFT($G1621,9)="Tranche 1","Tranche 1: cleared",$C1621="Sessions_Level_1_All_Sites","Downstream aggregation of UA raw logs — keep if raw tables go",ISNUMBER(--$C1621),"UA raw site logs (account ID) — keep pending audit-retention check",$C1621="Emag_Reporting","Legacy but likely needed",$C1621="Nutrition_Data_Archived_Tables","Worth keeping",$C1621="EU_Data","Static lookup tables — scripts still reference (smoke-test risk)",TRUE,"Review"),OR($A1621="thg-influencer",$A1621="thg-ingenuity",$A1621="thg-central-marketing",$A1621="thg-seoclarity"),"HOLD — Charlie Stringer to review before deletion",TRUE,"")</f>
        <v>Review</v>
      </c>
      <c r="S1621" t="s">
        <v>1631</v>
      </c>
    </row>
    <row r="1622" spans="1:19" ht="45.75" hidden="1">
      <c r="A1622" t="s">
        <v>89</v>
      </c>
      <c r="B1622" t="s">
        <v>1619</v>
      </c>
      <c r="C1622" t="s">
        <v>1598</v>
      </c>
      <c r="D1622" s="2" t="s">
        <v>1621</v>
      </c>
      <c r="E1622">
        <v>10.57</v>
      </c>
      <c r="F1622">
        <v>0.21</v>
      </c>
      <c r="G1622" t="s">
        <v>72</v>
      </c>
      <c r="H1622" t="s">
        <v>3457</v>
      </c>
      <c r="I1622">
        <v>35</v>
      </c>
      <c r="J1622">
        <v>723</v>
      </c>
      <c r="K1622" s="5">
        <v>46161.592117349537</v>
      </c>
      <c r="M1622" s="2" t="s">
        <v>3448</v>
      </c>
      <c r="N1622" s="2" t="s">
        <v>1701</v>
      </c>
      <c r="O1622" s="5">
        <v>45474.278909340283</v>
      </c>
      <c r="P1622" t="str">
        <f>IF($Q1622="DELETE",IF($S1622="CONFIRMED: NO MODS &gt; 1YR","CONFIRMED: NO MODS &gt; 1YR","DO NOT DELETE — not defensibly confirmed"),IF($Q1622="HOLD","DO NOT DELETE — HOLD (Charlie review)",IF($Q1622="KEEP","DO NOT DELETE — KEEP",IF(ISNUMBER(SEARCH("REVIEW",$Q1622)),"DO NOT DELETE — REVIEW pending",$S1622))))</f>
        <v>DO NOT DELETE — REVIEW pending</v>
      </c>
      <c r="Q1622" t="str" cm="1">
        <f t="array" ref="Q1622">_xlfn.IFS(AND($A1622="thg-beauty",ISNUMBER(SEARCH("liveramp",$C1622))),"DELETE",$A1622="agile-bonbon-662",_xlfn.IFS(LEFT($G1622,9)="Tranche 1","DELETE",$C1622="Sessions_Level_1_All_Sites","KEEP",ISNUMBER(--$C1622),"REVIEW — UA raw logs",$C1622="Emag_Reporting","KEEP",$C1622="Nutrition_Data_Archived_Tables","KEEP",$C1622="EU_Data","KEEP",TRUE,"REVIEW"),OR($A1622="thg-influencer",$A1622="thg-ingenuity",$A1622="thg-central-marketing",$A1622="thg-seoclarity"),"HOLD",TRUE,"")</f>
        <v>REVIEW — UA raw logs</v>
      </c>
      <c r="R1622" t="str" cm="1">
        <f t="array" ref="R1622">_xlfn.IFS(AND($A1622="thg-beauty",ISNUMBER(SEARCH("liveramp",$C1622))),"thg-beauty Liveramp dataset — confirmed safe to delete",$A1622="agile-bonbon-662",_xlfn.IFS(LEFT($G1622,9)="Tranche 1","Tranche 1: cleared",$C1622="Sessions_Level_1_All_Sites","Downstream aggregation of UA raw logs — keep if raw tables go",ISNUMBER(--$C1622),"UA raw site logs (account ID) — keep pending audit-retention check",$C1622="Emag_Reporting","Legacy but likely needed",$C1622="Nutrition_Data_Archived_Tables","Worth keeping",$C1622="EU_Data","Static lookup tables — scripts still reference (smoke-test risk)",TRUE,"Review"),OR($A1622="thg-influencer",$A1622="thg-ingenuity",$A1622="thg-central-marketing",$A1622="thg-seoclarity"),"HOLD — Charlie Stringer to review before deletion",TRUE,"")</f>
        <v>UA raw site logs (account ID) — keep pending audit-retention check</v>
      </c>
      <c r="S1622" t="s">
        <v>1631</v>
      </c>
    </row>
    <row r="1623" spans="1:19" ht="45.75" hidden="1">
      <c r="A1623" t="s">
        <v>89</v>
      </c>
      <c r="B1623" t="s">
        <v>1619</v>
      </c>
      <c r="C1623" t="s">
        <v>1602</v>
      </c>
      <c r="D1623" s="2" t="s">
        <v>1621</v>
      </c>
      <c r="E1623">
        <v>10.55</v>
      </c>
      <c r="F1623">
        <v>0.21</v>
      </c>
      <c r="G1623" t="s">
        <v>72</v>
      </c>
      <c r="H1623" t="s">
        <v>3457</v>
      </c>
      <c r="I1623">
        <v>35</v>
      </c>
      <c r="J1623">
        <v>817</v>
      </c>
      <c r="K1623" s="5">
        <v>46161.616400289349</v>
      </c>
      <c r="M1623" s="2" t="s">
        <v>1984</v>
      </c>
      <c r="N1623" s="2" t="s">
        <v>1701</v>
      </c>
      <c r="O1623" s="5">
        <v>45380.264003564807</v>
      </c>
      <c r="P1623" t="str">
        <f>IF($Q1623="DELETE",IF($S1623="CONFIRMED: NO MODS &gt; 1YR","CONFIRMED: NO MODS &gt; 1YR","DO NOT DELETE — not defensibly confirmed"),IF($Q1623="HOLD","DO NOT DELETE — HOLD (Charlie review)",IF($Q1623="KEEP","DO NOT DELETE — KEEP",IF(ISNUMBER(SEARCH("REVIEW",$Q1623)),"DO NOT DELETE — REVIEW pending",$S1623))))</f>
        <v>DO NOT DELETE — REVIEW pending</v>
      </c>
      <c r="Q1623" t="str" cm="1">
        <f t="array" ref="Q1623">_xlfn.IFS(AND($A1623="thg-beauty",ISNUMBER(SEARCH("liveramp",$C1623))),"DELETE",$A1623="agile-bonbon-662",_xlfn.IFS(LEFT($G1623,9)="Tranche 1","DELETE",$C1623="Sessions_Level_1_All_Sites","KEEP",ISNUMBER(--$C1623),"REVIEW — UA raw logs",$C1623="Emag_Reporting","KEEP",$C1623="Nutrition_Data_Archived_Tables","KEEP",$C1623="EU_Data","KEEP",TRUE,"REVIEW"),OR($A1623="thg-influencer",$A1623="thg-ingenuity",$A1623="thg-central-marketing",$A1623="thg-seoclarity"),"HOLD",TRUE,"")</f>
        <v>REVIEW</v>
      </c>
      <c r="R1623" t="str" cm="1">
        <f t="array" ref="R1623">_xlfn.IFS(AND($A1623="thg-beauty",ISNUMBER(SEARCH("liveramp",$C1623))),"thg-beauty Liveramp dataset — confirmed safe to delete",$A1623="agile-bonbon-662",_xlfn.IFS(LEFT($G1623,9)="Tranche 1","Tranche 1: cleared",$C1623="Sessions_Level_1_All_Sites","Downstream aggregation of UA raw logs — keep if raw tables go",ISNUMBER(--$C1623),"UA raw site logs (account ID) — keep pending audit-retention check",$C1623="Emag_Reporting","Legacy but likely needed",$C1623="Nutrition_Data_Archived_Tables","Worth keeping",$C1623="EU_Data","Static lookup tables — scripts still reference (smoke-test risk)",TRUE,"Review"),OR($A1623="thg-influencer",$A1623="thg-ingenuity",$A1623="thg-central-marketing",$A1623="thg-seoclarity"),"HOLD — Charlie Stringer to review before deletion",TRUE,"")</f>
        <v>Review</v>
      </c>
      <c r="S1623" t="s">
        <v>1631</v>
      </c>
    </row>
    <row r="1624" spans="1:19" ht="45.75" hidden="1">
      <c r="A1624" t="s">
        <v>89</v>
      </c>
      <c r="B1624" t="s">
        <v>1619</v>
      </c>
      <c r="C1624" t="s">
        <v>1583</v>
      </c>
      <c r="D1624" s="2" t="s">
        <v>1621</v>
      </c>
      <c r="E1624">
        <v>10.44</v>
      </c>
      <c r="F1624">
        <v>0.21</v>
      </c>
      <c r="G1624" t="s">
        <v>72</v>
      </c>
      <c r="H1624" t="s">
        <v>3457</v>
      </c>
      <c r="I1624">
        <v>35</v>
      </c>
      <c r="J1624">
        <v>1288</v>
      </c>
      <c r="K1624" s="5">
        <v>46161.606257731481</v>
      </c>
      <c r="M1624" s="2" t="s">
        <v>3916</v>
      </c>
      <c r="N1624" s="2" t="s">
        <v>1701</v>
      </c>
      <c r="O1624" s="5">
        <v>44908.708768287041</v>
      </c>
      <c r="P1624" t="str">
        <f>IF($Q1624="DELETE",IF($S1624="CONFIRMED: NO MODS &gt; 1YR","CONFIRMED: NO MODS &gt; 1YR","DO NOT DELETE — not defensibly confirmed"),IF($Q1624="HOLD","DO NOT DELETE — HOLD (Charlie review)",IF($Q1624="KEEP","DO NOT DELETE — KEEP",IF(ISNUMBER(SEARCH("REVIEW",$Q1624)),"DO NOT DELETE — REVIEW pending",$S1624))))</f>
        <v>DO NOT DELETE — REVIEW pending</v>
      </c>
      <c r="Q1624" t="str" cm="1">
        <f t="array" ref="Q1624">_xlfn.IFS(AND($A1624="thg-beauty",ISNUMBER(SEARCH("liveramp",$C1624))),"DELETE",$A1624="agile-bonbon-662",_xlfn.IFS(LEFT($G1624,9)="Tranche 1","DELETE",$C1624="Sessions_Level_1_All_Sites","KEEP",ISNUMBER(--$C1624),"REVIEW — UA raw logs",$C1624="Emag_Reporting","KEEP",$C1624="Nutrition_Data_Archived_Tables","KEEP",$C1624="EU_Data","KEEP",TRUE,"REVIEW"),OR($A1624="thg-influencer",$A1624="thg-ingenuity",$A1624="thg-central-marketing",$A1624="thg-seoclarity"),"HOLD",TRUE,"")</f>
        <v>REVIEW</v>
      </c>
      <c r="R1624" t="str" cm="1">
        <f t="array" ref="R1624">_xlfn.IFS(AND($A1624="thg-beauty",ISNUMBER(SEARCH("liveramp",$C1624))),"thg-beauty Liveramp dataset — confirmed safe to delete",$A1624="agile-bonbon-662",_xlfn.IFS(LEFT($G1624,9)="Tranche 1","Tranche 1: cleared",$C1624="Sessions_Level_1_All_Sites","Downstream aggregation of UA raw logs — keep if raw tables go",ISNUMBER(--$C1624),"UA raw site logs (account ID) — keep pending audit-retention check",$C1624="Emag_Reporting","Legacy but likely needed",$C1624="Nutrition_Data_Archived_Tables","Worth keeping",$C1624="EU_Data","Static lookup tables — scripts still reference (smoke-test risk)",TRUE,"Review"),OR($A1624="thg-influencer",$A1624="thg-ingenuity",$A1624="thg-central-marketing",$A1624="thg-seoclarity"),"HOLD — Charlie Stringer to review before deletion",TRUE,"")</f>
        <v>Review</v>
      </c>
      <c r="S1624" t="s">
        <v>1631</v>
      </c>
    </row>
    <row r="1625" spans="1:19" ht="45.75" hidden="1">
      <c r="A1625" t="s">
        <v>89</v>
      </c>
      <c r="B1625" t="s">
        <v>1619</v>
      </c>
      <c r="C1625" t="s">
        <v>1578</v>
      </c>
      <c r="D1625" s="2" t="s">
        <v>1621</v>
      </c>
      <c r="E1625">
        <v>10.42</v>
      </c>
      <c r="F1625">
        <v>0.21</v>
      </c>
      <c r="G1625" t="s">
        <v>72</v>
      </c>
      <c r="H1625" t="s">
        <v>3457</v>
      </c>
      <c r="I1625">
        <v>35</v>
      </c>
      <c r="J1625">
        <v>576</v>
      </c>
      <c r="K1625" s="5">
        <v>46161.614290995371</v>
      </c>
      <c r="M1625" s="2" t="s">
        <v>3915</v>
      </c>
      <c r="N1625" s="2" t="s">
        <v>1701</v>
      </c>
      <c r="O1625" s="5">
        <v>45621.339511087957</v>
      </c>
      <c r="P1625" t="str">
        <f>IF($Q1625="DELETE",IF($S1625="CONFIRMED: NO MODS &gt; 1YR","CONFIRMED: NO MODS &gt; 1YR","DO NOT DELETE — not defensibly confirmed"),IF($Q1625="HOLD","DO NOT DELETE — HOLD (Charlie review)",IF($Q1625="KEEP","DO NOT DELETE — KEEP",IF(ISNUMBER(SEARCH("REVIEW",$Q1625)),"DO NOT DELETE — REVIEW pending",$S1625))))</f>
        <v>DO NOT DELETE — REVIEW pending</v>
      </c>
      <c r="Q1625" t="str" cm="1">
        <f t="array" ref="Q1625">_xlfn.IFS(AND($A1625="thg-beauty",ISNUMBER(SEARCH("liveramp",$C1625))),"DELETE",$A1625="agile-bonbon-662",_xlfn.IFS(LEFT($G1625,9)="Tranche 1","DELETE",$C1625="Sessions_Level_1_All_Sites","KEEP",ISNUMBER(--$C1625),"REVIEW — UA raw logs",$C1625="Emag_Reporting","KEEP",$C1625="Nutrition_Data_Archived_Tables","KEEP",$C1625="EU_Data","KEEP",TRUE,"REVIEW"),OR($A1625="thg-influencer",$A1625="thg-ingenuity",$A1625="thg-central-marketing",$A1625="thg-seoclarity"),"HOLD",TRUE,"")</f>
        <v>REVIEW</v>
      </c>
      <c r="R1625" t="str" cm="1">
        <f t="array" ref="R1625">_xlfn.IFS(AND($A1625="thg-beauty",ISNUMBER(SEARCH("liveramp",$C1625))),"thg-beauty Liveramp dataset — confirmed safe to delete",$A1625="agile-bonbon-662",_xlfn.IFS(LEFT($G1625,9)="Tranche 1","Tranche 1: cleared",$C1625="Sessions_Level_1_All_Sites","Downstream aggregation of UA raw logs — keep if raw tables go",ISNUMBER(--$C1625),"UA raw site logs (account ID) — keep pending audit-retention check",$C1625="Emag_Reporting","Legacy but likely needed",$C1625="Nutrition_Data_Archived_Tables","Worth keeping",$C1625="EU_Data","Static lookup tables — scripts still reference (smoke-test risk)",TRUE,"Review"),OR($A1625="thg-influencer",$A1625="thg-ingenuity",$A1625="thg-central-marketing",$A1625="thg-seoclarity"),"HOLD — Charlie Stringer to review before deletion",TRUE,"")</f>
        <v>Review</v>
      </c>
      <c r="S1625" t="s">
        <v>1631</v>
      </c>
    </row>
    <row r="1626" spans="1:19" ht="45.75" hidden="1">
      <c r="A1626" t="s">
        <v>89</v>
      </c>
      <c r="B1626" t="s">
        <v>1619</v>
      </c>
      <c r="C1626" t="s">
        <v>3917</v>
      </c>
      <c r="D1626" s="2" t="s">
        <v>1621</v>
      </c>
      <c r="E1626">
        <v>9.94</v>
      </c>
      <c r="F1626">
        <v>0.2</v>
      </c>
      <c r="G1626" t="s">
        <v>72</v>
      </c>
      <c r="H1626" t="s">
        <v>3457</v>
      </c>
      <c r="I1626">
        <v>35</v>
      </c>
      <c r="J1626">
        <v>723</v>
      </c>
      <c r="K1626" s="5">
        <v>46161.591560601853</v>
      </c>
      <c r="M1626" s="2" t="s">
        <v>3418</v>
      </c>
      <c r="N1626" s="2" t="s">
        <v>1701</v>
      </c>
      <c r="O1626" s="5">
        <v>45474.277762685182</v>
      </c>
      <c r="P1626" t="str">
        <f>IF($Q1626="DELETE",IF($S1626="CONFIRMED: NO MODS &gt; 1YR","CONFIRMED: NO MODS &gt; 1YR","DO NOT DELETE — not defensibly confirmed"),IF($Q1626="HOLD","DO NOT DELETE — HOLD (Charlie review)",IF($Q1626="KEEP","DO NOT DELETE — KEEP",IF(ISNUMBER(SEARCH("REVIEW",$Q1626)),"DO NOT DELETE — REVIEW pending",$S1626))))</f>
        <v>DO NOT DELETE — REVIEW pending</v>
      </c>
      <c r="Q1626" t="str" cm="1">
        <f t="array" ref="Q1626">_xlfn.IFS(AND($A1626="thg-beauty",ISNUMBER(SEARCH("liveramp",$C1626))),"DELETE",$A1626="agile-bonbon-662",_xlfn.IFS(LEFT($G1626,9)="Tranche 1","DELETE",$C1626="Sessions_Level_1_All_Sites","KEEP",ISNUMBER(--$C1626),"REVIEW — UA raw logs",$C1626="Emag_Reporting","KEEP",$C1626="Nutrition_Data_Archived_Tables","KEEP",$C1626="EU_Data","KEEP",TRUE,"REVIEW"),OR($A1626="thg-influencer",$A1626="thg-ingenuity",$A1626="thg-central-marketing",$A1626="thg-seoclarity"),"HOLD",TRUE,"")</f>
        <v>REVIEW — UA raw logs</v>
      </c>
      <c r="R1626" t="str" cm="1">
        <f t="array" ref="R1626">_xlfn.IFS(AND($A1626="thg-beauty",ISNUMBER(SEARCH("liveramp",$C1626))),"thg-beauty Liveramp dataset — confirmed safe to delete",$A1626="agile-bonbon-662",_xlfn.IFS(LEFT($G1626,9)="Tranche 1","Tranche 1: cleared",$C1626="Sessions_Level_1_All_Sites","Downstream aggregation of UA raw logs — keep if raw tables go",ISNUMBER(--$C1626),"UA raw site logs (account ID) — keep pending audit-retention check",$C1626="Emag_Reporting","Legacy but likely needed",$C1626="Nutrition_Data_Archived_Tables","Worth keeping",$C1626="EU_Data","Static lookup tables — scripts still reference (smoke-test risk)",TRUE,"Review"),OR($A1626="thg-influencer",$A1626="thg-ingenuity",$A1626="thg-central-marketing",$A1626="thg-seoclarity"),"HOLD — Charlie Stringer to review before deletion",TRUE,"")</f>
        <v>UA raw site logs (account ID) — keep pending audit-retention check</v>
      </c>
      <c r="S1626" t="s">
        <v>1631</v>
      </c>
    </row>
    <row r="1627" spans="1:19" ht="45.75" hidden="1">
      <c r="A1627" t="s">
        <v>89</v>
      </c>
      <c r="B1627" t="s">
        <v>1619</v>
      </c>
      <c r="C1627" t="s">
        <v>3918</v>
      </c>
      <c r="D1627" s="2" t="s">
        <v>1621</v>
      </c>
      <c r="E1627">
        <v>9.76</v>
      </c>
      <c r="F1627">
        <v>0.2</v>
      </c>
      <c r="G1627" t="s">
        <v>72</v>
      </c>
      <c r="H1627" t="s">
        <v>3457</v>
      </c>
      <c r="I1627">
        <v>35</v>
      </c>
      <c r="J1627">
        <v>723</v>
      </c>
      <c r="K1627" s="5">
        <v>46161.591409236113</v>
      </c>
      <c r="M1627" s="2" t="s">
        <v>3418</v>
      </c>
      <c r="N1627" s="2" t="s">
        <v>1701</v>
      </c>
      <c r="O1627" s="5">
        <v>45474.337022951389</v>
      </c>
      <c r="P1627" t="str">
        <f>IF($Q1627="DELETE",IF($S1627="CONFIRMED: NO MODS &gt; 1YR","CONFIRMED: NO MODS &gt; 1YR","DO NOT DELETE — not defensibly confirmed"),IF($Q1627="HOLD","DO NOT DELETE — HOLD (Charlie review)",IF($Q1627="KEEP","DO NOT DELETE — KEEP",IF(ISNUMBER(SEARCH("REVIEW",$Q1627)),"DO NOT DELETE — REVIEW pending",$S1627))))</f>
        <v>DO NOT DELETE — REVIEW pending</v>
      </c>
      <c r="Q1627" t="str" cm="1">
        <f t="array" ref="Q1627">_xlfn.IFS(AND($A1627="thg-beauty",ISNUMBER(SEARCH("liveramp",$C1627))),"DELETE",$A1627="agile-bonbon-662",_xlfn.IFS(LEFT($G1627,9)="Tranche 1","DELETE",$C1627="Sessions_Level_1_All_Sites","KEEP",ISNUMBER(--$C1627),"REVIEW — UA raw logs",$C1627="Emag_Reporting","KEEP",$C1627="Nutrition_Data_Archived_Tables","KEEP",$C1627="EU_Data","KEEP",TRUE,"REVIEW"),OR($A1627="thg-influencer",$A1627="thg-ingenuity",$A1627="thg-central-marketing",$A1627="thg-seoclarity"),"HOLD",TRUE,"")</f>
        <v>REVIEW — UA raw logs</v>
      </c>
      <c r="R1627" t="str" cm="1">
        <f t="array" ref="R1627">_xlfn.IFS(AND($A1627="thg-beauty",ISNUMBER(SEARCH("liveramp",$C1627))),"thg-beauty Liveramp dataset — confirmed safe to delete",$A1627="agile-bonbon-662",_xlfn.IFS(LEFT($G1627,9)="Tranche 1","Tranche 1: cleared",$C1627="Sessions_Level_1_All_Sites","Downstream aggregation of UA raw logs — keep if raw tables go",ISNUMBER(--$C1627),"UA raw site logs (account ID) — keep pending audit-retention check",$C1627="Emag_Reporting","Legacy but likely needed",$C1627="Nutrition_Data_Archived_Tables","Worth keeping",$C1627="EU_Data","Static lookup tables — scripts still reference (smoke-test risk)",TRUE,"Review"),OR($A1627="thg-influencer",$A1627="thg-ingenuity",$A1627="thg-central-marketing",$A1627="thg-seoclarity"),"HOLD — Charlie Stringer to review before deletion",TRUE,"")</f>
        <v>UA raw site logs (account ID) — keep pending audit-retention check</v>
      </c>
      <c r="S1627" t="s">
        <v>1631</v>
      </c>
    </row>
    <row r="1628" spans="1:19" ht="45.75" hidden="1">
      <c r="A1628" t="s">
        <v>89</v>
      </c>
      <c r="B1628" t="s">
        <v>1619</v>
      </c>
      <c r="C1628" t="s">
        <v>3919</v>
      </c>
      <c r="D1628" s="2" t="s">
        <v>1621</v>
      </c>
      <c r="E1628">
        <v>9.66</v>
      </c>
      <c r="F1628">
        <v>0.19</v>
      </c>
      <c r="G1628" t="s">
        <v>72</v>
      </c>
      <c r="H1628" t="s">
        <v>3457</v>
      </c>
      <c r="I1628">
        <v>35</v>
      </c>
      <c r="J1628">
        <v>815</v>
      </c>
      <c r="K1628" s="5">
        <v>46161.617543692133</v>
      </c>
      <c r="M1628" s="2" t="s">
        <v>1957</v>
      </c>
      <c r="N1628" s="2" t="s">
        <v>1701</v>
      </c>
      <c r="O1628" s="5">
        <v>45382.288740312499</v>
      </c>
      <c r="P1628" t="str">
        <f>IF($Q1628="DELETE",IF($S1628="CONFIRMED: NO MODS &gt; 1YR","CONFIRMED: NO MODS &gt; 1YR","DO NOT DELETE — not defensibly confirmed"),IF($Q1628="HOLD","DO NOT DELETE — HOLD (Charlie review)",IF($Q1628="KEEP","DO NOT DELETE — KEEP",IF(ISNUMBER(SEARCH("REVIEW",$Q1628)),"DO NOT DELETE — REVIEW pending",$S1628))))</f>
        <v>DO NOT DELETE — REVIEW pending</v>
      </c>
      <c r="Q1628" t="str" cm="1">
        <f t="array" ref="Q1628">_xlfn.IFS(AND($A1628="thg-beauty",ISNUMBER(SEARCH("liveramp",$C1628))),"DELETE",$A1628="agile-bonbon-662",_xlfn.IFS(LEFT($G1628,9)="Tranche 1","DELETE",$C1628="Sessions_Level_1_All_Sites","KEEP",ISNUMBER(--$C1628),"REVIEW — UA raw logs",$C1628="Emag_Reporting","KEEP",$C1628="Nutrition_Data_Archived_Tables","KEEP",$C1628="EU_Data","KEEP",TRUE,"REVIEW"),OR($A1628="thg-influencer",$A1628="thg-ingenuity",$A1628="thg-central-marketing",$A1628="thg-seoclarity"),"HOLD",TRUE,"")</f>
        <v>REVIEW</v>
      </c>
      <c r="R1628" t="str" cm="1">
        <f t="array" ref="R1628">_xlfn.IFS(AND($A1628="thg-beauty",ISNUMBER(SEARCH("liveramp",$C1628))),"thg-beauty Liveramp dataset — confirmed safe to delete",$A1628="agile-bonbon-662",_xlfn.IFS(LEFT($G1628,9)="Tranche 1","Tranche 1: cleared",$C1628="Sessions_Level_1_All_Sites","Downstream aggregation of UA raw logs — keep if raw tables go",ISNUMBER(--$C1628),"UA raw site logs (account ID) — keep pending audit-retention check",$C1628="Emag_Reporting","Legacy but likely needed",$C1628="Nutrition_Data_Archived_Tables","Worth keeping",$C1628="EU_Data","Static lookup tables — scripts still reference (smoke-test risk)",TRUE,"Review"),OR($A1628="thg-influencer",$A1628="thg-ingenuity",$A1628="thg-central-marketing",$A1628="thg-seoclarity"),"HOLD — Charlie Stringer to review before deletion",TRUE,"")</f>
        <v>Review</v>
      </c>
      <c r="S1628" t="s">
        <v>1631</v>
      </c>
    </row>
    <row r="1629" spans="1:19" ht="45.75" hidden="1">
      <c r="A1629" t="s">
        <v>89</v>
      </c>
      <c r="B1629" t="s">
        <v>1619</v>
      </c>
      <c r="C1629" t="s">
        <v>3920</v>
      </c>
      <c r="D1629" s="2" t="s">
        <v>1621</v>
      </c>
      <c r="E1629">
        <v>9.51</v>
      </c>
      <c r="F1629">
        <v>0.19</v>
      </c>
      <c r="G1629" t="s">
        <v>72</v>
      </c>
      <c r="H1629" t="s">
        <v>3457</v>
      </c>
      <c r="I1629">
        <v>35</v>
      </c>
      <c r="J1629">
        <v>723</v>
      </c>
      <c r="K1629" s="5">
        <v>46161.587738125003</v>
      </c>
      <c r="M1629" s="2" t="s">
        <v>3413</v>
      </c>
      <c r="N1629" s="2" t="s">
        <v>1701</v>
      </c>
      <c r="O1629" s="5">
        <v>45474.274005486113</v>
      </c>
      <c r="P1629" t="str">
        <f>IF($Q1629="DELETE",IF($S1629="CONFIRMED: NO MODS &gt; 1YR","CONFIRMED: NO MODS &gt; 1YR","DO NOT DELETE — not defensibly confirmed"),IF($Q1629="HOLD","DO NOT DELETE — HOLD (Charlie review)",IF($Q1629="KEEP","DO NOT DELETE — KEEP",IF(ISNUMBER(SEARCH("REVIEW",$Q1629)),"DO NOT DELETE — REVIEW pending",$S1629))))</f>
        <v>DO NOT DELETE — REVIEW pending</v>
      </c>
      <c r="Q1629" t="str" cm="1">
        <f t="array" ref="Q1629">_xlfn.IFS(AND($A1629="thg-beauty",ISNUMBER(SEARCH("liveramp",$C1629))),"DELETE",$A1629="agile-bonbon-662",_xlfn.IFS(LEFT($G1629,9)="Tranche 1","DELETE",$C1629="Sessions_Level_1_All_Sites","KEEP",ISNUMBER(--$C1629),"REVIEW — UA raw logs",$C1629="Emag_Reporting","KEEP",$C1629="Nutrition_Data_Archived_Tables","KEEP",$C1629="EU_Data","KEEP",TRUE,"REVIEW"),OR($A1629="thg-influencer",$A1629="thg-ingenuity",$A1629="thg-central-marketing",$A1629="thg-seoclarity"),"HOLD",TRUE,"")</f>
        <v>REVIEW — UA raw logs</v>
      </c>
      <c r="R1629" t="str" cm="1">
        <f t="array" ref="R1629">_xlfn.IFS(AND($A1629="thg-beauty",ISNUMBER(SEARCH("liveramp",$C1629))),"thg-beauty Liveramp dataset — confirmed safe to delete",$A1629="agile-bonbon-662",_xlfn.IFS(LEFT($G1629,9)="Tranche 1","Tranche 1: cleared",$C1629="Sessions_Level_1_All_Sites","Downstream aggregation of UA raw logs — keep if raw tables go",ISNUMBER(--$C1629),"UA raw site logs (account ID) — keep pending audit-retention check",$C1629="Emag_Reporting","Legacy but likely needed",$C1629="Nutrition_Data_Archived_Tables","Worth keeping",$C1629="EU_Data","Static lookup tables — scripts still reference (smoke-test risk)",TRUE,"Review"),OR($A1629="thg-influencer",$A1629="thg-ingenuity",$A1629="thg-central-marketing",$A1629="thg-seoclarity"),"HOLD — Charlie Stringer to review before deletion",TRUE,"")</f>
        <v>UA raw site logs (account ID) — keep pending audit-retention check</v>
      </c>
      <c r="S1629" t="s">
        <v>1631</v>
      </c>
    </row>
    <row r="1630" spans="1:19" ht="76.5" hidden="1">
      <c r="A1630" t="s">
        <v>89</v>
      </c>
      <c r="B1630" t="s">
        <v>1619</v>
      </c>
      <c r="C1630" t="s">
        <v>3921</v>
      </c>
      <c r="D1630" s="2" t="s">
        <v>1621</v>
      </c>
      <c r="E1630">
        <v>9.3800000000000008</v>
      </c>
      <c r="F1630">
        <v>0.19</v>
      </c>
      <c r="G1630" t="s">
        <v>72</v>
      </c>
      <c r="H1630" t="s">
        <v>3457</v>
      </c>
      <c r="I1630">
        <v>35</v>
      </c>
      <c r="J1630">
        <v>720</v>
      </c>
      <c r="K1630" s="5">
        <v>46161.606958379627</v>
      </c>
      <c r="M1630" s="2" t="s">
        <v>3922</v>
      </c>
      <c r="N1630" s="2" t="s">
        <v>1701</v>
      </c>
      <c r="O1630" s="5">
        <v>45477.105092511571</v>
      </c>
      <c r="P1630" t="str">
        <f>IF($Q1630="DELETE",IF($S1630="CONFIRMED: NO MODS &gt; 1YR","CONFIRMED: NO MODS &gt; 1YR","DO NOT DELETE — not defensibly confirmed"),IF($Q1630="HOLD","DO NOT DELETE — HOLD (Charlie review)",IF($Q1630="KEEP","DO NOT DELETE — KEEP",IF(ISNUMBER(SEARCH("REVIEW",$Q1630)),"DO NOT DELETE — REVIEW pending",$S1630))))</f>
        <v>DO NOT DELETE — KEEP</v>
      </c>
      <c r="Q1630" t="str" cm="1">
        <f t="array" ref="Q1630">_xlfn.IFS(AND($A1630="thg-beauty",ISNUMBER(SEARCH("liveramp",$C1630))),"DELETE",$A1630="agile-bonbon-662",_xlfn.IFS(LEFT($G1630,9)="Tranche 1","DELETE",$C1630="Sessions_Level_1_All_Sites","KEEP",ISNUMBER(--$C1630),"REVIEW — UA raw logs",$C1630="Emag_Reporting","KEEP",$C1630="Nutrition_Data_Archived_Tables","KEEP",$C1630="EU_Data","KEEP",TRUE,"REVIEW"),OR($A1630="thg-influencer",$A1630="thg-ingenuity",$A1630="thg-central-marketing",$A1630="thg-seoclarity"),"HOLD",TRUE,"")</f>
        <v>KEEP</v>
      </c>
      <c r="R1630" t="str" cm="1">
        <f t="array" ref="R1630">_xlfn.IFS(AND($A1630="thg-beauty",ISNUMBER(SEARCH("liveramp",$C1630))),"thg-beauty Liveramp dataset — confirmed safe to delete",$A1630="agile-bonbon-662",_xlfn.IFS(LEFT($G1630,9)="Tranche 1","Tranche 1: cleared",$C1630="Sessions_Level_1_All_Sites","Downstream aggregation of UA raw logs — keep if raw tables go",ISNUMBER(--$C1630),"UA raw site logs (account ID) — keep pending audit-retention check",$C1630="Emag_Reporting","Legacy but likely needed",$C1630="Nutrition_Data_Archived_Tables","Worth keeping",$C1630="EU_Data","Static lookup tables — scripts still reference (smoke-test risk)",TRUE,"Review"),OR($A1630="thg-influencer",$A1630="thg-ingenuity",$A1630="thg-central-marketing",$A1630="thg-seoclarity"),"HOLD — Charlie Stringer to review before deletion",TRUE,"")</f>
        <v>Legacy but likely needed</v>
      </c>
      <c r="S1630" t="s">
        <v>1631</v>
      </c>
    </row>
    <row r="1631" spans="1:19" ht="45.75" hidden="1">
      <c r="A1631" t="s">
        <v>89</v>
      </c>
      <c r="B1631" t="s">
        <v>1619</v>
      </c>
      <c r="C1631" t="s">
        <v>3923</v>
      </c>
      <c r="D1631" s="2" t="s">
        <v>1621</v>
      </c>
      <c r="E1631">
        <v>9.1</v>
      </c>
      <c r="F1631">
        <v>0.18</v>
      </c>
      <c r="G1631" t="s">
        <v>72</v>
      </c>
      <c r="H1631" t="s">
        <v>3457</v>
      </c>
      <c r="I1631">
        <v>35</v>
      </c>
      <c r="J1631">
        <v>1080</v>
      </c>
      <c r="K1631" s="5">
        <v>46161.616511319437</v>
      </c>
      <c r="M1631" s="2" t="s">
        <v>1984</v>
      </c>
      <c r="N1631" s="2" t="s">
        <v>1701</v>
      </c>
      <c r="O1631" s="5">
        <v>45116.761922465281</v>
      </c>
      <c r="P1631" t="str">
        <f>IF($Q1631="DELETE",IF($S1631="CONFIRMED: NO MODS &gt; 1YR","CONFIRMED: NO MODS &gt; 1YR","DO NOT DELETE — not defensibly confirmed"),IF($Q1631="HOLD","DO NOT DELETE — HOLD (Charlie review)",IF($Q1631="KEEP","DO NOT DELETE — KEEP",IF(ISNUMBER(SEARCH("REVIEW",$Q1631)),"DO NOT DELETE — REVIEW pending",$S1631))))</f>
        <v>DO NOT DELETE — REVIEW pending</v>
      </c>
      <c r="Q1631" t="str" cm="1">
        <f t="array" ref="Q1631">_xlfn.IFS(AND($A1631="thg-beauty",ISNUMBER(SEARCH("liveramp",$C1631))),"DELETE",$A1631="agile-bonbon-662",_xlfn.IFS(LEFT($G1631,9)="Tranche 1","DELETE",$C1631="Sessions_Level_1_All_Sites","KEEP",ISNUMBER(--$C1631),"REVIEW — UA raw logs",$C1631="Emag_Reporting","KEEP",$C1631="Nutrition_Data_Archived_Tables","KEEP",$C1631="EU_Data","KEEP",TRUE,"REVIEW"),OR($A1631="thg-influencer",$A1631="thg-ingenuity",$A1631="thg-central-marketing",$A1631="thg-seoclarity"),"HOLD",TRUE,"")</f>
        <v>REVIEW</v>
      </c>
      <c r="R1631" t="str" cm="1">
        <f t="array" ref="R1631">_xlfn.IFS(AND($A1631="thg-beauty",ISNUMBER(SEARCH("liveramp",$C1631))),"thg-beauty Liveramp dataset — confirmed safe to delete",$A1631="agile-bonbon-662",_xlfn.IFS(LEFT($G1631,9)="Tranche 1","Tranche 1: cleared",$C1631="Sessions_Level_1_All_Sites","Downstream aggregation of UA raw logs — keep if raw tables go",ISNUMBER(--$C1631),"UA raw site logs (account ID) — keep pending audit-retention check",$C1631="Emag_Reporting","Legacy but likely needed",$C1631="Nutrition_Data_Archived_Tables","Worth keeping",$C1631="EU_Data","Static lookup tables — scripts still reference (smoke-test risk)",TRUE,"Review"),OR($A1631="thg-influencer",$A1631="thg-ingenuity",$A1631="thg-central-marketing",$A1631="thg-seoclarity"),"HOLD — Charlie Stringer to review before deletion",TRUE,"")</f>
        <v>Review</v>
      </c>
      <c r="S1631" t="s">
        <v>1631</v>
      </c>
    </row>
    <row r="1632" spans="1:19" ht="45.75" hidden="1">
      <c r="A1632" t="s">
        <v>89</v>
      </c>
      <c r="B1632" t="s">
        <v>1619</v>
      </c>
      <c r="C1632" t="s">
        <v>3924</v>
      </c>
      <c r="D1632" s="2" t="s">
        <v>1621</v>
      </c>
      <c r="E1632">
        <v>8.93</v>
      </c>
      <c r="F1632">
        <v>0.18</v>
      </c>
      <c r="G1632" t="s">
        <v>72</v>
      </c>
      <c r="H1632" t="s">
        <v>3457</v>
      </c>
      <c r="I1632">
        <v>35</v>
      </c>
      <c r="J1632">
        <v>723</v>
      </c>
      <c r="K1632" s="5">
        <v>46161.600130706021</v>
      </c>
      <c r="M1632" s="2" t="s">
        <v>3925</v>
      </c>
      <c r="N1632" s="2" t="s">
        <v>1701</v>
      </c>
      <c r="O1632" s="5">
        <v>45474.339609490737</v>
      </c>
      <c r="P1632" t="str">
        <f>IF($Q1632="DELETE",IF($S1632="CONFIRMED: NO MODS &gt; 1YR","CONFIRMED: NO MODS &gt; 1YR","DO NOT DELETE — not defensibly confirmed"),IF($Q1632="HOLD","DO NOT DELETE — HOLD (Charlie review)",IF($Q1632="KEEP","DO NOT DELETE — KEEP",IF(ISNUMBER(SEARCH("REVIEW",$Q1632)),"DO NOT DELETE — REVIEW pending",$S1632))))</f>
        <v>DO NOT DELETE — REVIEW pending</v>
      </c>
      <c r="Q1632" t="str" cm="1">
        <f t="array" ref="Q1632">_xlfn.IFS(AND($A1632="thg-beauty",ISNUMBER(SEARCH("liveramp",$C1632))),"DELETE",$A1632="agile-bonbon-662",_xlfn.IFS(LEFT($G1632,9)="Tranche 1","DELETE",$C1632="Sessions_Level_1_All_Sites","KEEP",ISNUMBER(--$C1632),"REVIEW — UA raw logs",$C1632="Emag_Reporting","KEEP",$C1632="Nutrition_Data_Archived_Tables","KEEP",$C1632="EU_Data","KEEP",TRUE,"REVIEW"),OR($A1632="thg-influencer",$A1632="thg-ingenuity",$A1632="thg-central-marketing",$A1632="thg-seoclarity"),"HOLD",TRUE,"")</f>
        <v>REVIEW — UA raw logs</v>
      </c>
      <c r="R1632" t="str" cm="1">
        <f t="array" ref="R1632">_xlfn.IFS(AND($A1632="thg-beauty",ISNUMBER(SEARCH("liveramp",$C1632))),"thg-beauty Liveramp dataset — confirmed safe to delete",$A1632="agile-bonbon-662",_xlfn.IFS(LEFT($G1632,9)="Tranche 1","Tranche 1: cleared",$C1632="Sessions_Level_1_All_Sites","Downstream aggregation of UA raw logs — keep if raw tables go",ISNUMBER(--$C1632),"UA raw site logs (account ID) — keep pending audit-retention check",$C1632="Emag_Reporting","Legacy but likely needed",$C1632="Nutrition_Data_Archived_Tables","Worth keeping",$C1632="EU_Data","Static lookup tables — scripts still reference (smoke-test risk)",TRUE,"Review"),OR($A1632="thg-influencer",$A1632="thg-ingenuity",$A1632="thg-central-marketing",$A1632="thg-seoclarity"),"HOLD — Charlie Stringer to review before deletion",TRUE,"")</f>
        <v>UA raw site logs (account ID) — keep pending audit-retention check</v>
      </c>
      <c r="S1632" t="s">
        <v>1631</v>
      </c>
    </row>
    <row r="1633" spans="1:19" ht="45.75" hidden="1">
      <c r="A1633" t="s">
        <v>89</v>
      </c>
      <c r="B1633" t="s">
        <v>1619</v>
      </c>
      <c r="C1633" t="s">
        <v>3926</v>
      </c>
      <c r="D1633" s="2" t="s">
        <v>1621</v>
      </c>
      <c r="E1633">
        <v>8.92</v>
      </c>
      <c r="F1633">
        <v>0.18</v>
      </c>
      <c r="G1633" t="s">
        <v>72</v>
      </c>
      <c r="H1633" t="s">
        <v>3457</v>
      </c>
      <c r="I1633">
        <v>35</v>
      </c>
      <c r="J1633">
        <v>388</v>
      </c>
      <c r="K1633" s="5">
        <v>46161.61944072917</v>
      </c>
      <c r="M1633" s="2" t="s">
        <v>3927</v>
      </c>
      <c r="N1633" s="2" t="s">
        <v>1701</v>
      </c>
      <c r="O1633" s="5">
        <v>45809.366753634262</v>
      </c>
      <c r="P1633" t="str">
        <f>IF($Q1633="DELETE",IF($S1633="CONFIRMED: NO MODS &gt; 1YR","CONFIRMED: NO MODS &gt; 1YR","DO NOT DELETE — not defensibly confirmed"),IF($Q1633="HOLD","DO NOT DELETE — HOLD (Charlie review)",IF($Q1633="KEEP","DO NOT DELETE — KEEP",IF(ISNUMBER(SEARCH("REVIEW",$Q1633)),"DO NOT DELETE — REVIEW pending",$S1633))))</f>
        <v>DO NOT DELETE — REVIEW pending</v>
      </c>
      <c r="Q1633" t="str" cm="1">
        <f t="array" ref="Q1633">_xlfn.IFS(AND($A1633="thg-beauty",ISNUMBER(SEARCH("liveramp",$C1633))),"DELETE",$A1633="agile-bonbon-662",_xlfn.IFS(LEFT($G1633,9)="Tranche 1","DELETE",$C1633="Sessions_Level_1_All_Sites","KEEP",ISNUMBER(--$C1633),"REVIEW — UA raw logs",$C1633="Emag_Reporting","KEEP",$C1633="Nutrition_Data_Archived_Tables","KEEP",$C1633="EU_Data","KEEP",TRUE,"REVIEW"),OR($A1633="thg-influencer",$A1633="thg-ingenuity",$A1633="thg-central-marketing",$A1633="thg-seoclarity"),"HOLD",TRUE,"")</f>
        <v>REVIEW</v>
      </c>
      <c r="R1633" t="str" cm="1">
        <f t="array" ref="R1633">_xlfn.IFS(AND($A1633="thg-beauty",ISNUMBER(SEARCH("liveramp",$C1633))),"thg-beauty Liveramp dataset — confirmed safe to delete",$A1633="agile-bonbon-662",_xlfn.IFS(LEFT($G1633,9)="Tranche 1","Tranche 1: cleared",$C1633="Sessions_Level_1_All_Sites","Downstream aggregation of UA raw logs — keep if raw tables go",ISNUMBER(--$C1633),"UA raw site logs (account ID) — keep pending audit-retention check",$C1633="Emag_Reporting","Legacy but likely needed",$C1633="Nutrition_Data_Archived_Tables","Worth keeping",$C1633="EU_Data","Static lookup tables — scripts still reference (smoke-test risk)",TRUE,"Review"),OR($A1633="thg-influencer",$A1633="thg-ingenuity",$A1633="thg-central-marketing",$A1633="thg-seoclarity"),"HOLD — Charlie Stringer to review before deletion",TRUE,"")</f>
        <v>Review</v>
      </c>
      <c r="S1633" t="s">
        <v>1631</v>
      </c>
    </row>
    <row r="1634" spans="1:19" ht="45.75" hidden="1">
      <c r="A1634" t="s">
        <v>89</v>
      </c>
      <c r="B1634" t="s">
        <v>1619</v>
      </c>
      <c r="C1634" t="s">
        <v>3928</v>
      </c>
      <c r="D1634" s="2" t="s">
        <v>1621</v>
      </c>
      <c r="E1634">
        <v>8.8800000000000008</v>
      </c>
      <c r="F1634">
        <v>0.18</v>
      </c>
      <c r="G1634" t="s">
        <v>72</v>
      </c>
      <c r="H1634" t="s">
        <v>3457</v>
      </c>
      <c r="I1634">
        <v>35</v>
      </c>
      <c r="J1634">
        <v>992</v>
      </c>
      <c r="K1634" s="5">
        <v>46161.610415474534</v>
      </c>
      <c r="M1634" s="2" t="s">
        <v>3901</v>
      </c>
      <c r="N1634" s="2" t="s">
        <v>1701</v>
      </c>
      <c r="O1634" s="5">
        <v>45205.191467847217</v>
      </c>
      <c r="P1634" t="str">
        <f>IF($Q1634="DELETE",IF($S1634="CONFIRMED: NO MODS &gt; 1YR","CONFIRMED: NO MODS &gt; 1YR","DO NOT DELETE — not defensibly confirmed"),IF($Q1634="HOLD","DO NOT DELETE — HOLD (Charlie review)",IF($Q1634="KEEP","DO NOT DELETE — KEEP",IF(ISNUMBER(SEARCH("REVIEW",$Q1634)),"DO NOT DELETE — REVIEW pending",$S1634))))</f>
        <v>DO NOT DELETE — REVIEW pending</v>
      </c>
      <c r="Q1634" t="str" cm="1">
        <f t="array" ref="Q1634">_xlfn.IFS(AND($A1634="thg-beauty",ISNUMBER(SEARCH("liveramp",$C1634))),"DELETE",$A1634="agile-bonbon-662",_xlfn.IFS(LEFT($G1634,9)="Tranche 1","DELETE",$C1634="Sessions_Level_1_All_Sites","KEEP",ISNUMBER(--$C1634),"REVIEW — UA raw logs",$C1634="Emag_Reporting","KEEP",$C1634="Nutrition_Data_Archived_Tables","KEEP",$C1634="EU_Data","KEEP",TRUE,"REVIEW"),OR($A1634="thg-influencer",$A1634="thg-ingenuity",$A1634="thg-central-marketing",$A1634="thg-seoclarity"),"HOLD",TRUE,"")</f>
        <v>REVIEW</v>
      </c>
      <c r="R1634" t="str" cm="1">
        <f t="array" ref="R1634">_xlfn.IFS(AND($A1634="thg-beauty",ISNUMBER(SEARCH("liveramp",$C1634))),"thg-beauty Liveramp dataset — confirmed safe to delete",$A1634="agile-bonbon-662",_xlfn.IFS(LEFT($G1634,9)="Tranche 1","Tranche 1: cleared",$C1634="Sessions_Level_1_All_Sites","Downstream aggregation of UA raw logs — keep if raw tables go",ISNUMBER(--$C1634),"UA raw site logs (account ID) — keep pending audit-retention check",$C1634="Emag_Reporting","Legacy but likely needed",$C1634="Nutrition_Data_Archived_Tables","Worth keeping",$C1634="EU_Data","Static lookup tables — scripts still reference (smoke-test risk)",TRUE,"Review"),OR($A1634="thg-influencer",$A1634="thg-ingenuity",$A1634="thg-central-marketing",$A1634="thg-seoclarity"),"HOLD — Charlie Stringer to review before deletion",TRUE,"")</f>
        <v>Review</v>
      </c>
      <c r="S1634" t="s">
        <v>1631</v>
      </c>
    </row>
    <row r="1635" spans="1:19" ht="45.75" hidden="1">
      <c r="A1635" t="s">
        <v>89</v>
      </c>
      <c r="B1635" t="s">
        <v>1619</v>
      </c>
      <c r="C1635" t="s">
        <v>3929</v>
      </c>
      <c r="D1635" s="2" t="s">
        <v>1621</v>
      </c>
      <c r="E1635">
        <v>8.7799999999999994</v>
      </c>
      <c r="F1635">
        <v>0.18</v>
      </c>
      <c r="G1635" t="s">
        <v>72</v>
      </c>
      <c r="H1635" t="s">
        <v>3457</v>
      </c>
      <c r="I1635">
        <v>35</v>
      </c>
      <c r="J1635">
        <v>1010</v>
      </c>
      <c r="K1635" s="5">
        <v>46161.616074710648</v>
      </c>
      <c r="M1635" s="2" t="s">
        <v>1938</v>
      </c>
      <c r="N1635" s="2" t="s">
        <v>1701</v>
      </c>
      <c r="O1635" s="5">
        <v>45186.791772488417</v>
      </c>
      <c r="P1635" t="str">
        <f>IF($Q1635="DELETE",IF($S1635="CONFIRMED: NO MODS &gt; 1YR","CONFIRMED: NO MODS &gt; 1YR","DO NOT DELETE — not defensibly confirmed"),IF($Q1635="HOLD","DO NOT DELETE — HOLD (Charlie review)",IF($Q1635="KEEP","DO NOT DELETE — KEEP",IF(ISNUMBER(SEARCH("REVIEW",$Q1635)),"DO NOT DELETE — REVIEW pending",$S1635))))</f>
        <v>DO NOT DELETE — REVIEW pending</v>
      </c>
      <c r="Q1635" t="str" cm="1">
        <f t="array" ref="Q1635">_xlfn.IFS(AND($A1635="thg-beauty",ISNUMBER(SEARCH("liveramp",$C1635))),"DELETE",$A1635="agile-bonbon-662",_xlfn.IFS(LEFT($G1635,9)="Tranche 1","DELETE",$C1635="Sessions_Level_1_All_Sites","KEEP",ISNUMBER(--$C1635),"REVIEW — UA raw logs",$C1635="Emag_Reporting","KEEP",$C1635="Nutrition_Data_Archived_Tables","KEEP",$C1635="EU_Data","KEEP",TRUE,"REVIEW"),OR($A1635="thg-influencer",$A1635="thg-ingenuity",$A1635="thg-central-marketing",$A1635="thg-seoclarity"),"HOLD",TRUE,"")</f>
        <v>REVIEW</v>
      </c>
      <c r="R1635" t="str" cm="1">
        <f t="array" ref="R1635">_xlfn.IFS(AND($A1635="thg-beauty",ISNUMBER(SEARCH("liveramp",$C1635))),"thg-beauty Liveramp dataset — confirmed safe to delete",$A1635="agile-bonbon-662",_xlfn.IFS(LEFT($G1635,9)="Tranche 1","Tranche 1: cleared",$C1635="Sessions_Level_1_All_Sites","Downstream aggregation of UA raw logs — keep if raw tables go",ISNUMBER(--$C1635),"UA raw site logs (account ID) — keep pending audit-retention check",$C1635="Emag_Reporting","Legacy but likely needed",$C1635="Nutrition_Data_Archived_Tables","Worth keeping",$C1635="EU_Data","Static lookup tables — scripts still reference (smoke-test risk)",TRUE,"Review"),OR($A1635="thg-influencer",$A1635="thg-ingenuity",$A1635="thg-central-marketing",$A1635="thg-seoclarity"),"HOLD — Charlie Stringer to review before deletion",TRUE,"")</f>
        <v>Review</v>
      </c>
      <c r="S1635" t="s">
        <v>1631</v>
      </c>
    </row>
    <row r="1636" spans="1:19" ht="45.75" hidden="1">
      <c r="A1636" t="s">
        <v>89</v>
      </c>
      <c r="B1636" t="s">
        <v>1619</v>
      </c>
      <c r="C1636" t="s">
        <v>3930</v>
      </c>
      <c r="D1636" s="2" t="s">
        <v>1621</v>
      </c>
      <c r="E1636">
        <v>8.74</v>
      </c>
      <c r="F1636">
        <v>0.17</v>
      </c>
      <c r="G1636" t="s">
        <v>72</v>
      </c>
      <c r="H1636" t="s">
        <v>3457</v>
      </c>
      <c r="I1636">
        <v>35</v>
      </c>
      <c r="J1636">
        <v>1966</v>
      </c>
      <c r="K1636" s="5">
        <v>46161.621593032411</v>
      </c>
      <c r="M1636" s="2" t="s">
        <v>3359</v>
      </c>
      <c r="N1636" s="2" t="s">
        <v>1701</v>
      </c>
      <c r="O1636" s="5">
        <v>44230.844267037042</v>
      </c>
      <c r="P1636" t="str">
        <f>IF($Q1636="DELETE",IF($S1636="CONFIRMED: NO MODS &gt; 1YR","CONFIRMED: NO MODS &gt; 1YR","DO NOT DELETE — not defensibly confirmed"),IF($Q1636="HOLD","DO NOT DELETE — HOLD (Charlie review)",IF($Q1636="KEEP","DO NOT DELETE — KEEP",IF(ISNUMBER(SEARCH("REVIEW",$Q1636)),"DO NOT DELETE — REVIEW pending",$S1636))))</f>
        <v>DO NOT DELETE — REVIEW pending</v>
      </c>
      <c r="Q1636" t="str" cm="1">
        <f t="array" ref="Q1636">_xlfn.IFS(AND($A1636="thg-beauty",ISNUMBER(SEARCH("liveramp",$C1636))),"DELETE",$A1636="agile-bonbon-662",_xlfn.IFS(LEFT($G1636,9)="Tranche 1","DELETE",$C1636="Sessions_Level_1_All_Sites","KEEP",ISNUMBER(--$C1636),"REVIEW — UA raw logs",$C1636="Emag_Reporting","KEEP",$C1636="Nutrition_Data_Archived_Tables","KEEP",$C1636="EU_Data","KEEP",TRUE,"REVIEW"),OR($A1636="thg-influencer",$A1636="thg-ingenuity",$A1636="thg-central-marketing",$A1636="thg-seoclarity"),"HOLD",TRUE,"")</f>
        <v>REVIEW</v>
      </c>
      <c r="R1636" t="str" cm="1">
        <f t="array" ref="R1636">_xlfn.IFS(AND($A1636="thg-beauty",ISNUMBER(SEARCH("liveramp",$C1636))),"thg-beauty Liveramp dataset — confirmed safe to delete",$A1636="agile-bonbon-662",_xlfn.IFS(LEFT($G1636,9)="Tranche 1","Tranche 1: cleared",$C1636="Sessions_Level_1_All_Sites","Downstream aggregation of UA raw logs — keep if raw tables go",ISNUMBER(--$C1636),"UA raw site logs (account ID) — keep pending audit-retention check",$C1636="Emag_Reporting","Legacy but likely needed",$C1636="Nutrition_Data_Archived_Tables","Worth keeping",$C1636="EU_Data","Static lookup tables — scripts still reference (smoke-test risk)",TRUE,"Review"),OR($A1636="thg-influencer",$A1636="thg-ingenuity",$A1636="thg-central-marketing",$A1636="thg-seoclarity"),"HOLD — Charlie Stringer to review before deletion",TRUE,"")</f>
        <v>Review</v>
      </c>
      <c r="S1636" t="s">
        <v>1631</v>
      </c>
    </row>
    <row r="1637" spans="1:19" ht="45.75" hidden="1">
      <c r="A1637" t="s">
        <v>89</v>
      </c>
      <c r="B1637" t="s">
        <v>1619</v>
      </c>
      <c r="C1637" t="s">
        <v>3931</v>
      </c>
      <c r="D1637" s="2" t="s">
        <v>1621</v>
      </c>
      <c r="E1637">
        <v>8.65</v>
      </c>
      <c r="F1637">
        <v>0.17</v>
      </c>
      <c r="G1637" t="s">
        <v>72</v>
      </c>
      <c r="H1637" t="s">
        <v>3457</v>
      </c>
      <c r="I1637">
        <v>35</v>
      </c>
      <c r="J1637">
        <v>723</v>
      </c>
      <c r="K1637" s="5">
        <v>46161.594443773152</v>
      </c>
      <c r="M1637" s="2" t="s">
        <v>3932</v>
      </c>
      <c r="N1637" s="2" t="s">
        <v>1701</v>
      </c>
      <c r="O1637" s="5">
        <v>45474.282302951389</v>
      </c>
      <c r="P1637" t="str">
        <f>IF($Q1637="DELETE",IF($S1637="CONFIRMED: NO MODS &gt; 1YR","CONFIRMED: NO MODS &gt; 1YR","DO NOT DELETE — not defensibly confirmed"),IF($Q1637="HOLD","DO NOT DELETE — HOLD (Charlie review)",IF($Q1637="KEEP","DO NOT DELETE — KEEP",IF(ISNUMBER(SEARCH("REVIEW",$Q1637)),"DO NOT DELETE — REVIEW pending",$S1637))))</f>
        <v>DO NOT DELETE — REVIEW pending</v>
      </c>
      <c r="Q1637" t="str" cm="1">
        <f t="array" ref="Q1637">_xlfn.IFS(AND($A1637="thg-beauty",ISNUMBER(SEARCH("liveramp",$C1637))),"DELETE",$A1637="agile-bonbon-662",_xlfn.IFS(LEFT($G1637,9)="Tranche 1","DELETE",$C1637="Sessions_Level_1_All_Sites","KEEP",ISNUMBER(--$C1637),"REVIEW — UA raw logs",$C1637="Emag_Reporting","KEEP",$C1637="Nutrition_Data_Archived_Tables","KEEP",$C1637="EU_Data","KEEP",TRUE,"REVIEW"),OR($A1637="thg-influencer",$A1637="thg-ingenuity",$A1637="thg-central-marketing",$A1637="thg-seoclarity"),"HOLD",TRUE,"")</f>
        <v>REVIEW — UA raw logs</v>
      </c>
      <c r="R1637" t="str" cm="1">
        <f t="array" ref="R1637">_xlfn.IFS(AND($A1637="thg-beauty",ISNUMBER(SEARCH("liveramp",$C1637))),"thg-beauty Liveramp dataset — confirmed safe to delete",$A1637="agile-bonbon-662",_xlfn.IFS(LEFT($G1637,9)="Tranche 1","Tranche 1: cleared",$C1637="Sessions_Level_1_All_Sites","Downstream aggregation of UA raw logs — keep if raw tables go",ISNUMBER(--$C1637),"UA raw site logs (account ID) — keep pending audit-retention check",$C1637="Emag_Reporting","Legacy but likely needed",$C1637="Nutrition_Data_Archived_Tables","Worth keeping",$C1637="EU_Data","Static lookup tables — scripts still reference (smoke-test risk)",TRUE,"Review"),OR($A1637="thg-influencer",$A1637="thg-ingenuity",$A1637="thg-central-marketing",$A1637="thg-seoclarity"),"HOLD — Charlie Stringer to review before deletion",TRUE,"")</f>
        <v>UA raw site logs (account ID) — keep pending audit-retention check</v>
      </c>
      <c r="S1637" t="s">
        <v>1631</v>
      </c>
    </row>
    <row r="1638" spans="1:19" ht="45.75" hidden="1">
      <c r="A1638" t="s">
        <v>89</v>
      </c>
      <c r="B1638" t="s">
        <v>1619</v>
      </c>
      <c r="C1638" t="s">
        <v>3933</v>
      </c>
      <c r="D1638" s="2" t="s">
        <v>1621</v>
      </c>
      <c r="E1638">
        <v>8.58</v>
      </c>
      <c r="F1638">
        <v>0.17</v>
      </c>
      <c r="G1638" t="s">
        <v>72</v>
      </c>
      <c r="H1638" t="s">
        <v>3457</v>
      </c>
      <c r="I1638">
        <v>35</v>
      </c>
      <c r="J1638">
        <v>866</v>
      </c>
      <c r="K1638" s="5">
        <v>46161.595118900463</v>
      </c>
      <c r="M1638" s="2" t="s">
        <v>3934</v>
      </c>
      <c r="N1638" s="2" t="s">
        <v>1701</v>
      </c>
      <c r="O1638" s="5">
        <v>45331.268417245366</v>
      </c>
      <c r="P1638" t="str">
        <f>IF($Q1638="DELETE",IF($S1638="CONFIRMED: NO MODS &gt; 1YR","CONFIRMED: NO MODS &gt; 1YR","DO NOT DELETE — not defensibly confirmed"),IF($Q1638="HOLD","DO NOT DELETE — HOLD (Charlie review)",IF($Q1638="KEEP","DO NOT DELETE — KEEP",IF(ISNUMBER(SEARCH("REVIEW",$Q1638)),"DO NOT DELETE — REVIEW pending",$S1638))))</f>
        <v>DO NOT DELETE — REVIEW pending</v>
      </c>
      <c r="Q1638" t="str" cm="1">
        <f t="array" ref="Q1638">_xlfn.IFS(AND($A1638="thg-beauty",ISNUMBER(SEARCH("liveramp",$C1638))),"DELETE",$A1638="agile-bonbon-662",_xlfn.IFS(LEFT($G1638,9)="Tranche 1","DELETE",$C1638="Sessions_Level_1_All_Sites","KEEP",ISNUMBER(--$C1638),"REVIEW — UA raw logs",$C1638="Emag_Reporting","KEEP",$C1638="Nutrition_Data_Archived_Tables","KEEP",$C1638="EU_Data","KEEP",TRUE,"REVIEW"),OR($A1638="thg-influencer",$A1638="thg-ingenuity",$A1638="thg-central-marketing",$A1638="thg-seoclarity"),"HOLD",TRUE,"")</f>
        <v>REVIEW — UA raw logs</v>
      </c>
      <c r="R1638" t="str" cm="1">
        <f t="array" ref="R1638">_xlfn.IFS(AND($A1638="thg-beauty",ISNUMBER(SEARCH("liveramp",$C1638))),"thg-beauty Liveramp dataset — confirmed safe to delete",$A1638="agile-bonbon-662",_xlfn.IFS(LEFT($G1638,9)="Tranche 1","Tranche 1: cleared",$C1638="Sessions_Level_1_All_Sites","Downstream aggregation of UA raw logs — keep if raw tables go",ISNUMBER(--$C1638),"UA raw site logs (account ID) — keep pending audit-retention check",$C1638="Emag_Reporting","Legacy but likely needed",$C1638="Nutrition_Data_Archived_Tables","Worth keeping",$C1638="EU_Data","Static lookup tables — scripts still reference (smoke-test risk)",TRUE,"Review"),OR($A1638="thg-influencer",$A1638="thg-ingenuity",$A1638="thg-central-marketing",$A1638="thg-seoclarity"),"HOLD — Charlie Stringer to review before deletion",TRUE,"")</f>
        <v>UA raw site logs (account ID) — keep pending audit-retention check</v>
      </c>
      <c r="S1638" t="s">
        <v>1631</v>
      </c>
    </row>
    <row r="1639" spans="1:19" ht="45.75" hidden="1">
      <c r="A1639" t="s">
        <v>89</v>
      </c>
      <c r="B1639" t="s">
        <v>1619</v>
      </c>
      <c r="C1639" t="s">
        <v>3935</v>
      </c>
      <c r="D1639" s="2" t="s">
        <v>1621</v>
      </c>
      <c r="E1639">
        <v>8.57</v>
      </c>
      <c r="F1639">
        <v>0.17</v>
      </c>
      <c r="G1639" t="s">
        <v>72</v>
      </c>
      <c r="H1639" t="s">
        <v>3457</v>
      </c>
      <c r="I1639">
        <v>35</v>
      </c>
      <c r="J1639">
        <v>966</v>
      </c>
      <c r="K1639" s="5">
        <v>46161.618982800923</v>
      </c>
      <c r="M1639" s="2" t="s">
        <v>1981</v>
      </c>
      <c r="N1639" s="2" t="s">
        <v>1701</v>
      </c>
      <c r="O1639" s="5">
        <v>45231.347879733803</v>
      </c>
      <c r="P1639" t="str">
        <f>IF($Q1639="DELETE",IF($S1639="CONFIRMED: NO MODS &gt; 1YR","CONFIRMED: NO MODS &gt; 1YR","DO NOT DELETE — not defensibly confirmed"),IF($Q1639="HOLD","DO NOT DELETE — HOLD (Charlie review)",IF($Q1639="KEEP","DO NOT DELETE — KEEP",IF(ISNUMBER(SEARCH("REVIEW",$Q1639)),"DO NOT DELETE — REVIEW pending",$S1639))))</f>
        <v>DO NOT DELETE — REVIEW pending</v>
      </c>
      <c r="Q1639" t="str" cm="1">
        <f t="array" ref="Q1639">_xlfn.IFS(AND($A1639="thg-beauty",ISNUMBER(SEARCH("liveramp",$C1639))),"DELETE",$A1639="agile-bonbon-662",_xlfn.IFS(LEFT($G1639,9)="Tranche 1","DELETE",$C1639="Sessions_Level_1_All_Sites","KEEP",ISNUMBER(--$C1639),"REVIEW — UA raw logs",$C1639="Emag_Reporting","KEEP",$C1639="Nutrition_Data_Archived_Tables","KEEP",$C1639="EU_Data","KEEP",TRUE,"REVIEW"),OR($A1639="thg-influencer",$A1639="thg-ingenuity",$A1639="thg-central-marketing",$A1639="thg-seoclarity"),"HOLD",TRUE,"")</f>
        <v>REVIEW</v>
      </c>
      <c r="R1639" t="str" cm="1">
        <f t="array" ref="R1639">_xlfn.IFS(AND($A1639="thg-beauty",ISNUMBER(SEARCH("liveramp",$C1639))),"thg-beauty Liveramp dataset — confirmed safe to delete",$A1639="agile-bonbon-662",_xlfn.IFS(LEFT($G1639,9)="Tranche 1","Tranche 1: cleared",$C1639="Sessions_Level_1_All_Sites","Downstream aggregation of UA raw logs — keep if raw tables go",ISNUMBER(--$C1639),"UA raw site logs (account ID) — keep pending audit-retention check",$C1639="Emag_Reporting","Legacy but likely needed",$C1639="Nutrition_Data_Archived_Tables","Worth keeping",$C1639="EU_Data","Static lookup tables — scripts still reference (smoke-test risk)",TRUE,"Review"),OR($A1639="thg-influencer",$A1639="thg-ingenuity",$A1639="thg-central-marketing",$A1639="thg-seoclarity"),"HOLD — Charlie Stringer to review before deletion",TRUE,"")</f>
        <v>Review</v>
      </c>
      <c r="S1639" t="s">
        <v>1631</v>
      </c>
    </row>
    <row r="1640" spans="1:19" ht="45.75" hidden="1">
      <c r="A1640" t="s">
        <v>89</v>
      </c>
      <c r="B1640" t="s">
        <v>1619</v>
      </c>
      <c r="C1640" t="s">
        <v>3936</v>
      </c>
      <c r="D1640" s="2" t="s">
        <v>1621</v>
      </c>
      <c r="E1640">
        <v>8.34</v>
      </c>
      <c r="F1640">
        <v>0.17</v>
      </c>
      <c r="G1640" t="s">
        <v>72</v>
      </c>
      <c r="H1640" t="s">
        <v>3457</v>
      </c>
      <c r="I1640">
        <v>35</v>
      </c>
      <c r="J1640">
        <v>1197</v>
      </c>
      <c r="K1640" s="5">
        <v>46161.617432210653</v>
      </c>
      <c r="M1640" s="2" t="s">
        <v>1921</v>
      </c>
      <c r="N1640" s="2" t="s">
        <v>1701</v>
      </c>
      <c r="O1640" s="5">
        <v>45000.383316967593</v>
      </c>
      <c r="P1640" t="str">
        <f>IF($Q1640="DELETE",IF($S1640="CONFIRMED: NO MODS &gt; 1YR","CONFIRMED: NO MODS &gt; 1YR","DO NOT DELETE — not defensibly confirmed"),IF($Q1640="HOLD","DO NOT DELETE — HOLD (Charlie review)",IF($Q1640="KEEP","DO NOT DELETE — KEEP",IF(ISNUMBER(SEARCH("REVIEW",$Q1640)),"DO NOT DELETE — REVIEW pending",$S1640))))</f>
        <v>DO NOT DELETE — REVIEW pending</v>
      </c>
      <c r="Q1640" t="str" cm="1">
        <f t="array" ref="Q1640">_xlfn.IFS(AND($A1640="thg-beauty",ISNUMBER(SEARCH("liveramp",$C1640))),"DELETE",$A1640="agile-bonbon-662",_xlfn.IFS(LEFT($G1640,9)="Tranche 1","DELETE",$C1640="Sessions_Level_1_All_Sites","KEEP",ISNUMBER(--$C1640),"REVIEW — UA raw logs",$C1640="Emag_Reporting","KEEP",$C1640="Nutrition_Data_Archived_Tables","KEEP",$C1640="EU_Data","KEEP",TRUE,"REVIEW"),OR($A1640="thg-influencer",$A1640="thg-ingenuity",$A1640="thg-central-marketing",$A1640="thg-seoclarity"),"HOLD",TRUE,"")</f>
        <v>REVIEW</v>
      </c>
      <c r="R1640" t="str" cm="1">
        <f t="array" ref="R1640">_xlfn.IFS(AND($A1640="thg-beauty",ISNUMBER(SEARCH("liveramp",$C1640))),"thg-beauty Liveramp dataset — confirmed safe to delete",$A1640="agile-bonbon-662",_xlfn.IFS(LEFT($G1640,9)="Tranche 1","Tranche 1: cleared",$C1640="Sessions_Level_1_All_Sites","Downstream aggregation of UA raw logs — keep if raw tables go",ISNUMBER(--$C1640),"UA raw site logs (account ID) — keep pending audit-retention check",$C1640="Emag_Reporting","Legacy but likely needed",$C1640="Nutrition_Data_Archived_Tables","Worth keeping",$C1640="EU_Data","Static lookup tables — scripts still reference (smoke-test risk)",TRUE,"Review"),OR($A1640="thg-influencer",$A1640="thg-ingenuity",$A1640="thg-central-marketing",$A1640="thg-seoclarity"),"HOLD — Charlie Stringer to review before deletion",TRUE,"")</f>
        <v>Review</v>
      </c>
      <c r="S1640" t="s">
        <v>1631</v>
      </c>
    </row>
    <row r="1641" spans="1:19" ht="45.75" hidden="1">
      <c r="A1641" t="s">
        <v>89</v>
      </c>
      <c r="B1641" t="s">
        <v>1619</v>
      </c>
      <c r="C1641" t="s">
        <v>3937</v>
      </c>
      <c r="D1641" s="2" t="s">
        <v>1621</v>
      </c>
      <c r="E1641">
        <v>8.34</v>
      </c>
      <c r="F1641">
        <v>0.17</v>
      </c>
      <c r="G1641" t="s">
        <v>72</v>
      </c>
      <c r="H1641" t="s">
        <v>3457</v>
      </c>
      <c r="I1641">
        <v>35</v>
      </c>
      <c r="J1641">
        <v>961</v>
      </c>
      <c r="K1641" s="5">
        <v>46161.620171655093</v>
      </c>
      <c r="M1641" s="2" t="s">
        <v>1969</v>
      </c>
      <c r="N1641" s="2" t="s">
        <v>1701</v>
      </c>
      <c r="O1641" s="5">
        <v>45236.276979155089</v>
      </c>
      <c r="P1641" t="str">
        <f>IF($Q1641="DELETE",IF($S1641="CONFIRMED: NO MODS &gt; 1YR","CONFIRMED: NO MODS &gt; 1YR","DO NOT DELETE — not defensibly confirmed"),IF($Q1641="HOLD","DO NOT DELETE — HOLD (Charlie review)",IF($Q1641="KEEP","DO NOT DELETE — KEEP",IF(ISNUMBER(SEARCH("REVIEW",$Q1641)),"DO NOT DELETE — REVIEW pending",$S1641))))</f>
        <v>DO NOT DELETE — REVIEW pending</v>
      </c>
      <c r="Q1641" t="str" cm="1">
        <f t="array" ref="Q1641">_xlfn.IFS(AND($A1641="thg-beauty",ISNUMBER(SEARCH("liveramp",$C1641))),"DELETE",$A1641="agile-bonbon-662",_xlfn.IFS(LEFT($G1641,9)="Tranche 1","DELETE",$C1641="Sessions_Level_1_All_Sites","KEEP",ISNUMBER(--$C1641),"REVIEW — UA raw logs",$C1641="Emag_Reporting","KEEP",$C1641="Nutrition_Data_Archived_Tables","KEEP",$C1641="EU_Data","KEEP",TRUE,"REVIEW"),OR($A1641="thg-influencer",$A1641="thg-ingenuity",$A1641="thg-central-marketing",$A1641="thg-seoclarity"),"HOLD",TRUE,"")</f>
        <v>REVIEW</v>
      </c>
      <c r="R1641" t="str" cm="1">
        <f t="array" ref="R1641">_xlfn.IFS(AND($A1641="thg-beauty",ISNUMBER(SEARCH("liveramp",$C1641))),"thg-beauty Liveramp dataset — confirmed safe to delete",$A1641="agile-bonbon-662",_xlfn.IFS(LEFT($G1641,9)="Tranche 1","Tranche 1: cleared",$C1641="Sessions_Level_1_All_Sites","Downstream aggregation of UA raw logs — keep if raw tables go",ISNUMBER(--$C1641),"UA raw site logs (account ID) — keep pending audit-retention check",$C1641="Emag_Reporting","Legacy but likely needed",$C1641="Nutrition_Data_Archived_Tables","Worth keeping",$C1641="EU_Data","Static lookup tables — scripts still reference (smoke-test risk)",TRUE,"Review"),OR($A1641="thg-influencer",$A1641="thg-ingenuity",$A1641="thg-central-marketing",$A1641="thg-seoclarity"),"HOLD — Charlie Stringer to review before deletion",TRUE,"")</f>
        <v>Review</v>
      </c>
      <c r="S1641" t="s">
        <v>1631</v>
      </c>
    </row>
    <row r="1642" spans="1:19" ht="45.75" hidden="1">
      <c r="A1642" t="s">
        <v>89</v>
      </c>
      <c r="B1642" t="s">
        <v>1619</v>
      </c>
      <c r="C1642" t="s">
        <v>3938</v>
      </c>
      <c r="D1642" s="2" t="s">
        <v>3939</v>
      </c>
      <c r="E1642">
        <v>8.23</v>
      </c>
      <c r="F1642">
        <v>0.16</v>
      </c>
      <c r="G1642" t="s">
        <v>72</v>
      </c>
      <c r="H1642" t="s">
        <v>3457</v>
      </c>
      <c r="I1642">
        <v>35</v>
      </c>
      <c r="J1642">
        <v>1972</v>
      </c>
      <c r="K1642" s="5">
        <v>46161.623803055547</v>
      </c>
      <c r="M1642" s="2" t="s">
        <v>3352</v>
      </c>
      <c r="N1642" s="2" t="s">
        <v>1701</v>
      </c>
      <c r="O1642" s="5">
        <v>44225.146828136567</v>
      </c>
      <c r="P1642" t="str">
        <f>IF($Q1642="DELETE",IF($S1642="CONFIRMED: NO MODS &gt; 1YR","CONFIRMED: NO MODS &gt; 1YR","DO NOT DELETE — not defensibly confirmed"),IF($Q1642="HOLD","DO NOT DELETE — HOLD (Charlie review)",IF($Q1642="KEEP","DO NOT DELETE — KEEP",IF(ISNUMBER(SEARCH("REVIEW",$Q1642)),"DO NOT DELETE — REVIEW pending",$S1642))))</f>
        <v>DO NOT DELETE — REVIEW pending</v>
      </c>
      <c r="Q1642" t="str" cm="1">
        <f t="array" ref="Q1642">_xlfn.IFS(AND($A1642="thg-beauty",ISNUMBER(SEARCH("liveramp",$C1642))),"DELETE",$A1642="agile-bonbon-662",_xlfn.IFS(LEFT($G1642,9)="Tranche 1","DELETE",$C1642="Sessions_Level_1_All_Sites","KEEP",ISNUMBER(--$C1642),"REVIEW — UA raw logs",$C1642="Emag_Reporting","KEEP",$C1642="Nutrition_Data_Archived_Tables","KEEP",$C1642="EU_Data","KEEP",TRUE,"REVIEW"),OR($A1642="thg-influencer",$A1642="thg-ingenuity",$A1642="thg-central-marketing",$A1642="thg-seoclarity"),"HOLD",TRUE,"")</f>
        <v>REVIEW</v>
      </c>
      <c r="R1642" t="str" cm="1">
        <f t="array" ref="R1642">_xlfn.IFS(AND($A1642="thg-beauty",ISNUMBER(SEARCH("liveramp",$C1642))),"thg-beauty Liveramp dataset — confirmed safe to delete",$A1642="agile-bonbon-662",_xlfn.IFS(LEFT($G1642,9)="Tranche 1","Tranche 1: cleared",$C1642="Sessions_Level_1_All_Sites","Downstream aggregation of UA raw logs — keep if raw tables go",ISNUMBER(--$C1642),"UA raw site logs (account ID) — keep pending audit-retention check",$C1642="Emag_Reporting","Legacy but likely needed",$C1642="Nutrition_Data_Archived_Tables","Worth keeping",$C1642="EU_Data","Static lookup tables — scripts still reference (smoke-test risk)",TRUE,"Review"),OR($A1642="thg-influencer",$A1642="thg-ingenuity",$A1642="thg-central-marketing",$A1642="thg-seoclarity"),"HOLD — Charlie Stringer to review before deletion",TRUE,"")</f>
        <v>Review</v>
      </c>
      <c r="S1642" t="s">
        <v>1631</v>
      </c>
    </row>
    <row r="1643" spans="1:19" ht="45.75" hidden="1">
      <c r="A1643" t="s">
        <v>89</v>
      </c>
      <c r="B1643" t="s">
        <v>1619</v>
      </c>
      <c r="C1643" t="s">
        <v>3940</v>
      </c>
      <c r="D1643" s="2" t="s">
        <v>1621</v>
      </c>
      <c r="E1643">
        <v>8.14</v>
      </c>
      <c r="F1643">
        <v>0.16</v>
      </c>
      <c r="G1643" t="s">
        <v>72</v>
      </c>
      <c r="H1643" t="s">
        <v>3457</v>
      </c>
      <c r="I1643">
        <v>35</v>
      </c>
      <c r="J1643">
        <v>425</v>
      </c>
      <c r="K1643" s="5">
        <v>46161.620726828703</v>
      </c>
      <c r="M1643" s="2" t="s">
        <v>3941</v>
      </c>
      <c r="N1643" s="2" t="s">
        <v>1701</v>
      </c>
      <c r="O1643" s="5">
        <v>45772.38658903935</v>
      </c>
      <c r="P1643" t="str">
        <f>IF($Q1643="DELETE",IF($S1643="CONFIRMED: NO MODS &gt; 1YR","CONFIRMED: NO MODS &gt; 1YR","DO NOT DELETE — not defensibly confirmed"),IF($Q1643="HOLD","DO NOT DELETE — HOLD (Charlie review)",IF($Q1643="KEEP","DO NOT DELETE — KEEP",IF(ISNUMBER(SEARCH("REVIEW",$Q1643)),"DO NOT DELETE — REVIEW pending",$S1643))))</f>
        <v>DO NOT DELETE — REVIEW pending</v>
      </c>
      <c r="Q1643" t="str" cm="1">
        <f t="array" ref="Q1643">_xlfn.IFS(AND($A1643="thg-beauty",ISNUMBER(SEARCH("liveramp",$C1643))),"DELETE",$A1643="agile-bonbon-662",_xlfn.IFS(LEFT($G1643,9)="Tranche 1","DELETE",$C1643="Sessions_Level_1_All_Sites","KEEP",ISNUMBER(--$C1643),"REVIEW — UA raw logs",$C1643="Emag_Reporting","KEEP",$C1643="Nutrition_Data_Archived_Tables","KEEP",$C1643="EU_Data","KEEP",TRUE,"REVIEW"),OR($A1643="thg-influencer",$A1643="thg-ingenuity",$A1643="thg-central-marketing",$A1643="thg-seoclarity"),"HOLD",TRUE,"")</f>
        <v>REVIEW</v>
      </c>
      <c r="R1643" t="str" cm="1">
        <f t="array" ref="R1643">_xlfn.IFS(AND($A1643="thg-beauty",ISNUMBER(SEARCH("liveramp",$C1643))),"thg-beauty Liveramp dataset — confirmed safe to delete",$A1643="agile-bonbon-662",_xlfn.IFS(LEFT($G1643,9)="Tranche 1","Tranche 1: cleared",$C1643="Sessions_Level_1_All_Sites","Downstream aggregation of UA raw logs — keep if raw tables go",ISNUMBER(--$C1643),"UA raw site logs (account ID) — keep pending audit-retention check",$C1643="Emag_Reporting","Legacy but likely needed",$C1643="Nutrition_Data_Archived_Tables","Worth keeping",$C1643="EU_Data","Static lookup tables — scripts still reference (smoke-test risk)",TRUE,"Review"),OR($A1643="thg-influencer",$A1643="thg-ingenuity",$A1643="thg-central-marketing",$A1643="thg-seoclarity"),"HOLD — Charlie Stringer to review before deletion",TRUE,"")</f>
        <v>Review</v>
      </c>
      <c r="S1643" t="s">
        <v>1624</v>
      </c>
    </row>
    <row r="1644" spans="1:19" ht="45.75" hidden="1">
      <c r="A1644" t="s">
        <v>89</v>
      </c>
      <c r="B1644" t="s">
        <v>1619</v>
      </c>
      <c r="C1644" t="s">
        <v>3942</v>
      </c>
      <c r="D1644" s="2" t="s">
        <v>1621</v>
      </c>
      <c r="E1644">
        <v>8.06</v>
      </c>
      <c r="F1644">
        <v>0.16</v>
      </c>
      <c r="G1644" t="s">
        <v>72</v>
      </c>
      <c r="H1644" t="s">
        <v>3457</v>
      </c>
      <c r="I1644">
        <v>35</v>
      </c>
      <c r="J1644">
        <v>723</v>
      </c>
      <c r="K1644" s="5">
        <v>46161.588796956021</v>
      </c>
      <c r="M1644" s="2" t="s">
        <v>3403</v>
      </c>
      <c r="N1644" s="2" t="s">
        <v>1701</v>
      </c>
      <c r="O1644" s="5">
        <v>45474.258466828702</v>
      </c>
      <c r="P1644" t="str">
        <f>IF($Q1644="DELETE",IF($S1644="CONFIRMED: NO MODS &gt; 1YR","CONFIRMED: NO MODS &gt; 1YR","DO NOT DELETE — not defensibly confirmed"),IF($Q1644="HOLD","DO NOT DELETE — HOLD (Charlie review)",IF($Q1644="KEEP","DO NOT DELETE — KEEP",IF(ISNUMBER(SEARCH("REVIEW",$Q1644)),"DO NOT DELETE — REVIEW pending",$S1644))))</f>
        <v>DO NOT DELETE — REVIEW pending</v>
      </c>
      <c r="Q1644" t="str" cm="1">
        <f t="array" ref="Q1644">_xlfn.IFS(AND($A1644="thg-beauty",ISNUMBER(SEARCH("liveramp",$C1644))),"DELETE",$A1644="agile-bonbon-662",_xlfn.IFS(LEFT($G1644,9)="Tranche 1","DELETE",$C1644="Sessions_Level_1_All_Sites","KEEP",ISNUMBER(--$C1644),"REVIEW — UA raw logs",$C1644="Emag_Reporting","KEEP",$C1644="Nutrition_Data_Archived_Tables","KEEP",$C1644="EU_Data","KEEP",TRUE,"REVIEW"),OR($A1644="thg-influencer",$A1644="thg-ingenuity",$A1644="thg-central-marketing",$A1644="thg-seoclarity"),"HOLD",TRUE,"")</f>
        <v>REVIEW — UA raw logs</v>
      </c>
      <c r="R1644" t="str" cm="1">
        <f t="array" ref="R1644">_xlfn.IFS(AND($A1644="thg-beauty",ISNUMBER(SEARCH("liveramp",$C1644))),"thg-beauty Liveramp dataset — confirmed safe to delete",$A1644="agile-bonbon-662",_xlfn.IFS(LEFT($G1644,9)="Tranche 1","Tranche 1: cleared",$C1644="Sessions_Level_1_All_Sites","Downstream aggregation of UA raw logs — keep if raw tables go",ISNUMBER(--$C1644),"UA raw site logs (account ID) — keep pending audit-retention check",$C1644="Emag_Reporting","Legacy but likely needed",$C1644="Nutrition_Data_Archived_Tables","Worth keeping",$C1644="EU_Data","Static lookup tables — scripts still reference (smoke-test risk)",TRUE,"Review"),OR($A1644="thg-influencer",$A1644="thg-ingenuity",$A1644="thg-central-marketing",$A1644="thg-seoclarity"),"HOLD — Charlie Stringer to review before deletion",TRUE,"")</f>
        <v>UA raw site logs (account ID) — keep pending audit-retention check</v>
      </c>
      <c r="S1644" t="s">
        <v>1631</v>
      </c>
    </row>
    <row r="1645" spans="1:19" ht="60.75" hidden="1">
      <c r="A1645" t="s">
        <v>89</v>
      </c>
      <c r="B1645" t="s">
        <v>1619</v>
      </c>
      <c r="C1645" t="s">
        <v>3943</v>
      </c>
      <c r="D1645" s="2" t="s">
        <v>1621</v>
      </c>
      <c r="E1645">
        <v>7.9</v>
      </c>
      <c r="F1645">
        <v>0.16</v>
      </c>
      <c r="G1645" t="s">
        <v>72</v>
      </c>
      <c r="H1645" t="s">
        <v>3457</v>
      </c>
      <c r="I1645">
        <v>35</v>
      </c>
      <c r="J1645">
        <v>2683</v>
      </c>
      <c r="K1645" s="5">
        <v>46161.581426111108</v>
      </c>
      <c r="M1645" s="2" t="s">
        <v>2032</v>
      </c>
      <c r="N1645" s="2" t="s">
        <v>1701</v>
      </c>
      <c r="O1645" s="5">
        <v>43514.083614953714</v>
      </c>
      <c r="P1645" t="str">
        <f>IF($Q1645="DELETE",IF($S1645="CONFIRMED: NO MODS &gt; 1YR","CONFIRMED: NO MODS &gt; 1YR","DO NOT DELETE — not defensibly confirmed"),IF($Q1645="HOLD","DO NOT DELETE — HOLD (Charlie review)",IF($Q1645="KEEP","DO NOT DELETE — KEEP",IF(ISNUMBER(SEARCH("REVIEW",$Q1645)),"DO NOT DELETE — REVIEW pending",$S1645))))</f>
        <v>DO NOT DELETE — REVIEW pending</v>
      </c>
      <c r="Q1645" t="str" cm="1">
        <f t="array" ref="Q1645">_xlfn.IFS(AND($A1645="thg-beauty",ISNUMBER(SEARCH("liveramp",$C1645))),"DELETE",$A1645="agile-bonbon-662",_xlfn.IFS(LEFT($G1645,9)="Tranche 1","DELETE",$C1645="Sessions_Level_1_All_Sites","KEEP",ISNUMBER(--$C1645),"REVIEW — UA raw logs",$C1645="Emag_Reporting","KEEP",$C1645="Nutrition_Data_Archived_Tables","KEEP",$C1645="EU_Data","KEEP",TRUE,"REVIEW"),OR($A1645="thg-influencer",$A1645="thg-ingenuity",$A1645="thg-central-marketing",$A1645="thg-seoclarity"),"HOLD",TRUE,"")</f>
        <v>REVIEW</v>
      </c>
      <c r="R1645" t="str" cm="1">
        <f t="array" ref="R1645">_xlfn.IFS(AND($A1645="thg-beauty",ISNUMBER(SEARCH("liveramp",$C1645))),"thg-beauty Liveramp dataset — confirmed safe to delete",$A1645="agile-bonbon-662",_xlfn.IFS(LEFT($G1645,9)="Tranche 1","Tranche 1: cleared",$C1645="Sessions_Level_1_All_Sites","Downstream aggregation of UA raw logs — keep if raw tables go",ISNUMBER(--$C1645),"UA raw site logs (account ID) — keep pending audit-retention check",$C1645="Emag_Reporting","Legacy but likely needed",$C1645="Nutrition_Data_Archived_Tables","Worth keeping",$C1645="EU_Data","Static lookup tables — scripts still reference (smoke-test risk)",TRUE,"Review"),OR($A1645="thg-influencer",$A1645="thg-ingenuity",$A1645="thg-central-marketing",$A1645="thg-seoclarity"),"HOLD — Charlie Stringer to review before deletion",TRUE,"")</f>
        <v>Review</v>
      </c>
      <c r="S1645" t="s">
        <v>1631</v>
      </c>
    </row>
    <row r="1646" spans="1:19" ht="45.75" hidden="1">
      <c r="A1646" t="s">
        <v>89</v>
      </c>
      <c r="B1646" t="s">
        <v>1619</v>
      </c>
      <c r="C1646" t="s">
        <v>3944</v>
      </c>
      <c r="D1646" s="2" t="s">
        <v>1621</v>
      </c>
      <c r="E1646">
        <v>7.32</v>
      </c>
      <c r="F1646">
        <v>0.15</v>
      </c>
      <c r="G1646" t="s">
        <v>72</v>
      </c>
      <c r="H1646" t="s">
        <v>3457</v>
      </c>
      <c r="I1646">
        <v>35</v>
      </c>
      <c r="J1646">
        <v>723</v>
      </c>
      <c r="K1646" s="5">
        <v>46161.582155752323</v>
      </c>
      <c r="M1646" s="2" t="s">
        <v>3444</v>
      </c>
      <c r="N1646" s="2" t="s">
        <v>1701</v>
      </c>
      <c r="O1646" s="5">
        <v>45474.336044525473</v>
      </c>
      <c r="P1646" t="str">
        <f>IF($Q1646="DELETE",IF($S1646="CONFIRMED: NO MODS &gt; 1YR","CONFIRMED: NO MODS &gt; 1YR","DO NOT DELETE — not defensibly confirmed"),IF($Q1646="HOLD","DO NOT DELETE — HOLD (Charlie review)",IF($Q1646="KEEP","DO NOT DELETE — KEEP",IF(ISNUMBER(SEARCH("REVIEW",$Q1646)),"DO NOT DELETE — REVIEW pending",$S1646))))</f>
        <v>DO NOT DELETE — REVIEW pending</v>
      </c>
      <c r="Q1646" t="str" cm="1">
        <f t="array" ref="Q1646">_xlfn.IFS(AND($A1646="thg-beauty",ISNUMBER(SEARCH("liveramp",$C1646))),"DELETE",$A1646="agile-bonbon-662",_xlfn.IFS(LEFT($G1646,9)="Tranche 1","DELETE",$C1646="Sessions_Level_1_All_Sites","KEEP",ISNUMBER(--$C1646),"REVIEW — UA raw logs",$C1646="Emag_Reporting","KEEP",$C1646="Nutrition_Data_Archived_Tables","KEEP",$C1646="EU_Data","KEEP",TRUE,"REVIEW"),OR($A1646="thg-influencer",$A1646="thg-ingenuity",$A1646="thg-central-marketing",$A1646="thg-seoclarity"),"HOLD",TRUE,"")</f>
        <v>REVIEW — UA raw logs</v>
      </c>
      <c r="R1646" t="str" cm="1">
        <f t="array" ref="R1646">_xlfn.IFS(AND($A1646="thg-beauty",ISNUMBER(SEARCH("liveramp",$C1646))),"thg-beauty Liveramp dataset — confirmed safe to delete",$A1646="agile-bonbon-662",_xlfn.IFS(LEFT($G1646,9)="Tranche 1","Tranche 1: cleared",$C1646="Sessions_Level_1_All_Sites","Downstream aggregation of UA raw logs — keep if raw tables go",ISNUMBER(--$C1646),"UA raw site logs (account ID) — keep pending audit-retention check",$C1646="Emag_Reporting","Legacy but likely needed",$C1646="Nutrition_Data_Archived_Tables","Worth keeping",$C1646="EU_Data","Static lookup tables — scripts still reference (smoke-test risk)",TRUE,"Review"),OR($A1646="thg-influencer",$A1646="thg-ingenuity",$A1646="thg-central-marketing",$A1646="thg-seoclarity"),"HOLD — Charlie Stringer to review before deletion",TRUE,"")</f>
        <v>UA raw site logs (account ID) — keep pending audit-retention check</v>
      </c>
      <c r="S1646" t="s">
        <v>1631</v>
      </c>
    </row>
    <row r="1647" spans="1:19" ht="45.75" hidden="1">
      <c r="A1647" t="s">
        <v>89</v>
      </c>
      <c r="B1647" t="s">
        <v>1619</v>
      </c>
      <c r="C1647" t="s">
        <v>3945</v>
      </c>
      <c r="D1647" s="2" t="s">
        <v>1621</v>
      </c>
      <c r="E1647">
        <v>7.27</v>
      </c>
      <c r="F1647">
        <v>0.15</v>
      </c>
      <c r="G1647" t="s">
        <v>72</v>
      </c>
      <c r="H1647" t="s">
        <v>3457</v>
      </c>
      <c r="I1647">
        <v>35</v>
      </c>
      <c r="J1647">
        <v>723</v>
      </c>
      <c r="K1647" s="5">
        <v>46161.594839872683</v>
      </c>
      <c r="M1647" s="2" t="s">
        <v>3902</v>
      </c>
      <c r="N1647" s="2" t="s">
        <v>1701</v>
      </c>
      <c r="O1647" s="5">
        <v>45474.282771562503</v>
      </c>
      <c r="P1647" t="str">
        <f>IF($Q1647="DELETE",IF($S1647="CONFIRMED: NO MODS &gt; 1YR","CONFIRMED: NO MODS &gt; 1YR","DO NOT DELETE — not defensibly confirmed"),IF($Q1647="HOLD","DO NOT DELETE — HOLD (Charlie review)",IF($Q1647="KEEP","DO NOT DELETE — KEEP",IF(ISNUMBER(SEARCH("REVIEW",$Q1647)),"DO NOT DELETE — REVIEW pending",$S1647))))</f>
        <v>DO NOT DELETE — REVIEW pending</v>
      </c>
      <c r="Q1647" t="str" cm="1">
        <f t="array" ref="Q1647">_xlfn.IFS(AND($A1647="thg-beauty",ISNUMBER(SEARCH("liveramp",$C1647))),"DELETE",$A1647="agile-bonbon-662",_xlfn.IFS(LEFT($G1647,9)="Tranche 1","DELETE",$C1647="Sessions_Level_1_All_Sites","KEEP",ISNUMBER(--$C1647),"REVIEW — UA raw logs",$C1647="Emag_Reporting","KEEP",$C1647="Nutrition_Data_Archived_Tables","KEEP",$C1647="EU_Data","KEEP",TRUE,"REVIEW"),OR($A1647="thg-influencer",$A1647="thg-ingenuity",$A1647="thg-central-marketing",$A1647="thg-seoclarity"),"HOLD",TRUE,"")</f>
        <v>REVIEW — UA raw logs</v>
      </c>
      <c r="R1647" t="str" cm="1">
        <f t="array" ref="R1647">_xlfn.IFS(AND($A1647="thg-beauty",ISNUMBER(SEARCH("liveramp",$C1647))),"thg-beauty Liveramp dataset — confirmed safe to delete",$A1647="agile-bonbon-662",_xlfn.IFS(LEFT($G1647,9)="Tranche 1","Tranche 1: cleared",$C1647="Sessions_Level_1_All_Sites","Downstream aggregation of UA raw logs — keep if raw tables go",ISNUMBER(--$C1647),"UA raw site logs (account ID) — keep pending audit-retention check",$C1647="Emag_Reporting","Legacy but likely needed",$C1647="Nutrition_Data_Archived_Tables","Worth keeping",$C1647="EU_Data","Static lookup tables — scripts still reference (smoke-test risk)",TRUE,"Review"),OR($A1647="thg-influencer",$A1647="thg-ingenuity",$A1647="thg-central-marketing",$A1647="thg-seoclarity"),"HOLD — Charlie Stringer to review before deletion",TRUE,"")</f>
        <v>UA raw site logs (account ID) — keep pending audit-retention check</v>
      </c>
      <c r="S1647" t="s">
        <v>1631</v>
      </c>
    </row>
    <row r="1648" spans="1:19" ht="45.75" hidden="1">
      <c r="A1648" t="s">
        <v>89</v>
      </c>
      <c r="B1648" t="s">
        <v>1619</v>
      </c>
      <c r="C1648" t="s">
        <v>3946</v>
      </c>
      <c r="D1648" s="2" t="s">
        <v>1621</v>
      </c>
      <c r="E1648">
        <v>7.21</v>
      </c>
      <c r="F1648">
        <v>0.14000000000000001</v>
      </c>
      <c r="G1648" t="s">
        <v>72</v>
      </c>
      <c r="H1648" t="s">
        <v>3457</v>
      </c>
      <c r="I1648">
        <v>35</v>
      </c>
      <c r="J1648">
        <v>719</v>
      </c>
      <c r="K1648" s="5">
        <v>46161.618686643516</v>
      </c>
      <c r="M1648" s="2" t="s">
        <v>2003</v>
      </c>
      <c r="N1648" s="2" t="s">
        <v>1701</v>
      </c>
      <c r="O1648" s="5">
        <v>45478.369502314818</v>
      </c>
      <c r="P1648" t="str">
        <f>IF($Q1648="DELETE",IF($S1648="CONFIRMED: NO MODS &gt; 1YR","CONFIRMED: NO MODS &gt; 1YR","DO NOT DELETE — not defensibly confirmed"),IF($Q1648="HOLD","DO NOT DELETE — HOLD (Charlie review)",IF($Q1648="KEEP","DO NOT DELETE — KEEP",IF(ISNUMBER(SEARCH("REVIEW",$Q1648)),"DO NOT DELETE — REVIEW pending",$S1648))))</f>
        <v>DO NOT DELETE — REVIEW pending</v>
      </c>
      <c r="Q1648" t="str" cm="1">
        <f t="array" ref="Q1648">_xlfn.IFS(AND($A1648="thg-beauty",ISNUMBER(SEARCH("liveramp",$C1648))),"DELETE",$A1648="agile-bonbon-662",_xlfn.IFS(LEFT($G1648,9)="Tranche 1","DELETE",$C1648="Sessions_Level_1_All_Sites","KEEP",ISNUMBER(--$C1648),"REVIEW — UA raw logs",$C1648="Emag_Reporting","KEEP",$C1648="Nutrition_Data_Archived_Tables","KEEP",$C1648="EU_Data","KEEP",TRUE,"REVIEW"),OR($A1648="thg-influencer",$A1648="thg-ingenuity",$A1648="thg-central-marketing",$A1648="thg-seoclarity"),"HOLD",TRUE,"")</f>
        <v>REVIEW</v>
      </c>
      <c r="R1648" t="str" cm="1">
        <f t="array" ref="R1648">_xlfn.IFS(AND($A1648="thg-beauty",ISNUMBER(SEARCH("liveramp",$C1648))),"thg-beauty Liveramp dataset — confirmed safe to delete",$A1648="agile-bonbon-662",_xlfn.IFS(LEFT($G1648,9)="Tranche 1","Tranche 1: cleared",$C1648="Sessions_Level_1_All_Sites","Downstream aggregation of UA raw logs — keep if raw tables go",ISNUMBER(--$C1648),"UA raw site logs (account ID) — keep pending audit-retention check",$C1648="Emag_Reporting","Legacy but likely needed",$C1648="Nutrition_Data_Archived_Tables","Worth keeping",$C1648="EU_Data","Static lookup tables — scripts still reference (smoke-test risk)",TRUE,"Review"),OR($A1648="thg-influencer",$A1648="thg-ingenuity",$A1648="thg-central-marketing",$A1648="thg-seoclarity"),"HOLD — Charlie Stringer to review before deletion",TRUE,"")</f>
        <v>Review</v>
      </c>
      <c r="S1648" t="s">
        <v>1631</v>
      </c>
    </row>
    <row r="1649" spans="1:19" ht="45.75" hidden="1">
      <c r="A1649" t="s">
        <v>89</v>
      </c>
      <c r="B1649" t="s">
        <v>1619</v>
      </c>
      <c r="C1649" t="s">
        <v>3947</v>
      </c>
      <c r="D1649" s="2" t="s">
        <v>1621</v>
      </c>
      <c r="E1649">
        <v>7.18</v>
      </c>
      <c r="F1649">
        <v>0.14000000000000001</v>
      </c>
      <c r="G1649" t="s">
        <v>72</v>
      </c>
      <c r="H1649" t="s">
        <v>3457</v>
      </c>
      <c r="I1649">
        <v>35</v>
      </c>
      <c r="J1649">
        <v>389</v>
      </c>
      <c r="K1649" s="5">
        <v>46161.618368761578</v>
      </c>
      <c r="M1649" s="2" t="s">
        <v>1945</v>
      </c>
      <c r="N1649" s="2" t="s">
        <v>1701</v>
      </c>
      <c r="O1649" s="5">
        <v>45807.631308009259</v>
      </c>
      <c r="P1649" t="str">
        <f>IF($Q1649="DELETE",IF($S1649="CONFIRMED: NO MODS &gt; 1YR","CONFIRMED: NO MODS &gt; 1YR","DO NOT DELETE — not defensibly confirmed"),IF($Q1649="HOLD","DO NOT DELETE — HOLD (Charlie review)",IF($Q1649="KEEP","DO NOT DELETE — KEEP",IF(ISNUMBER(SEARCH("REVIEW",$Q1649)),"DO NOT DELETE — REVIEW pending",$S1649))))</f>
        <v>DO NOT DELETE — REVIEW pending</v>
      </c>
      <c r="Q1649" t="str" cm="1">
        <f t="array" ref="Q1649">_xlfn.IFS(AND($A1649="thg-beauty",ISNUMBER(SEARCH("liveramp",$C1649))),"DELETE",$A1649="agile-bonbon-662",_xlfn.IFS(LEFT($G1649,9)="Tranche 1","DELETE",$C1649="Sessions_Level_1_All_Sites","KEEP",ISNUMBER(--$C1649),"REVIEW — UA raw logs",$C1649="Emag_Reporting","KEEP",$C1649="Nutrition_Data_Archived_Tables","KEEP",$C1649="EU_Data","KEEP",TRUE,"REVIEW"),OR($A1649="thg-influencer",$A1649="thg-ingenuity",$A1649="thg-central-marketing",$A1649="thg-seoclarity"),"HOLD",TRUE,"")</f>
        <v>REVIEW</v>
      </c>
      <c r="R1649" t="str" cm="1">
        <f t="array" ref="R1649">_xlfn.IFS(AND($A1649="thg-beauty",ISNUMBER(SEARCH("liveramp",$C1649))),"thg-beauty Liveramp dataset — confirmed safe to delete",$A1649="agile-bonbon-662",_xlfn.IFS(LEFT($G1649,9)="Tranche 1","Tranche 1: cleared",$C1649="Sessions_Level_1_All_Sites","Downstream aggregation of UA raw logs — keep if raw tables go",ISNUMBER(--$C1649),"UA raw site logs (account ID) — keep pending audit-retention check",$C1649="Emag_Reporting","Legacy but likely needed",$C1649="Nutrition_Data_Archived_Tables","Worth keeping",$C1649="EU_Data","Static lookup tables — scripts still reference (smoke-test risk)",TRUE,"Review"),OR($A1649="thg-influencer",$A1649="thg-ingenuity",$A1649="thg-central-marketing",$A1649="thg-seoclarity"),"HOLD — Charlie Stringer to review before deletion",TRUE,"")</f>
        <v>Review</v>
      </c>
      <c r="S1649" t="s">
        <v>1631</v>
      </c>
    </row>
    <row r="1650" spans="1:19" ht="45.75" hidden="1">
      <c r="A1650" t="s">
        <v>89</v>
      </c>
      <c r="B1650" t="s">
        <v>1619</v>
      </c>
      <c r="C1650" t="s">
        <v>3948</v>
      </c>
      <c r="D1650" s="2" t="s">
        <v>1621</v>
      </c>
      <c r="E1650">
        <v>7.18</v>
      </c>
      <c r="F1650">
        <v>0.14000000000000001</v>
      </c>
      <c r="G1650" t="s">
        <v>72</v>
      </c>
      <c r="H1650" t="s">
        <v>3457</v>
      </c>
      <c r="I1650">
        <v>35</v>
      </c>
      <c r="J1650">
        <v>597</v>
      </c>
      <c r="K1650" s="5">
        <v>46161.620239861113</v>
      </c>
      <c r="M1650" s="2" t="s">
        <v>1969</v>
      </c>
      <c r="N1650" s="2" t="s">
        <v>1701</v>
      </c>
      <c r="O1650" s="5">
        <v>45600.432657951387</v>
      </c>
      <c r="P1650" t="str">
        <f>IF($Q1650="DELETE",IF($S1650="CONFIRMED: NO MODS &gt; 1YR","CONFIRMED: NO MODS &gt; 1YR","DO NOT DELETE — not defensibly confirmed"),IF($Q1650="HOLD","DO NOT DELETE — HOLD (Charlie review)",IF($Q1650="KEEP","DO NOT DELETE — KEEP",IF(ISNUMBER(SEARCH("REVIEW",$Q1650)),"DO NOT DELETE — REVIEW pending",$S1650))))</f>
        <v>DO NOT DELETE — REVIEW pending</v>
      </c>
      <c r="Q1650" t="str" cm="1">
        <f t="array" ref="Q1650">_xlfn.IFS(AND($A1650="thg-beauty",ISNUMBER(SEARCH("liveramp",$C1650))),"DELETE",$A1650="agile-bonbon-662",_xlfn.IFS(LEFT($G1650,9)="Tranche 1","DELETE",$C1650="Sessions_Level_1_All_Sites","KEEP",ISNUMBER(--$C1650),"REVIEW — UA raw logs",$C1650="Emag_Reporting","KEEP",$C1650="Nutrition_Data_Archived_Tables","KEEP",$C1650="EU_Data","KEEP",TRUE,"REVIEW"),OR($A1650="thg-influencer",$A1650="thg-ingenuity",$A1650="thg-central-marketing",$A1650="thg-seoclarity"),"HOLD",TRUE,"")</f>
        <v>REVIEW</v>
      </c>
      <c r="R1650" t="str" cm="1">
        <f t="array" ref="R1650">_xlfn.IFS(AND($A1650="thg-beauty",ISNUMBER(SEARCH("liveramp",$C1650))),"thg-beauty Liveramp dataset — confirmed safe to delete",$A1650="agile-bonbon-662",_xlfn.IFS(LEFT($G1650,9)="Tranche 1","Tranche 1: cleared",$C1650="Sessions_Level_1_All_Sites","Downstream aggregation of UA raw logs — keep if raw tables go",ISNUMBER(--$C1650),"UA raw site logs (account ID) — keep pending audit-retention check",$C1650="Emag_Reporting","Legacy but likely needed",$C1650="Nutrition_Data_Archived_Tables","Worth keeping",$C1650="EU_Data","Static lookup tables — scripts still reference (smoke-test risk)",TRUE,"Review"),OR($A1650="thg-influencer",$A1650="thg-ingenuity",$A1650="thg-central-marketing",$A1650="thg-seoclarity"),"HOLD — Charlie Stringer to review before deletion",TRUE,"")</f>
        <v>Review</v>
      </c>
      <c r="S1650" t="s">
        <v>1631</v>
      </c>
    </row>
    <row r="1651" spans="1:19" ht="45.75" hidden="1">
      <c r="A1651" t="s">
        <v>89</v>
      </c>
      <c r="B1651" t="s">
        <v>1619</v>
      </c>
      <c r="C1651" t="s">
        <v>3949</v>
      </c>
      <c r="D1651" s="2" t="s">
        <v>1621</v>
      </c>
      <c r="E1651">
        <v>7.17</v>
      </c>
      <c r="F1651">
        <v>0.14000000000000001</v>
      </c>
      <c r="G1651" t="s">
        <v>72</v>
      </c>
      <c r="H1651" t="s">
        <v>3457</v>
      </c>
      <c r="I1651">
        <v>35</v>
      </c>
      <c r="J1651">
        <v>723</v>
      </c>
      <c r="K1651" s="5">
        <v>46161.584443182866</v>
      </c>
      <c r="M1651" s="2" t="s">
        <v>3446</v>
      </c>
      <c r="N1651" s="2" t="s">
        <v>1701</v>
      </c>
      <c r="O1651" s="5">
        <v>45474.273468194442</v>
      </c>
      <c r="P1651" t="str">
        <f>IF($Q1651="DELETE",IF($S1651="CONFIRMED: NO MODS &gt; 1YR","CONFIRMED: NO MODS &gt; 1YR","DO NOT DELETE — not defensibly confirmed"),IF($Q1651="HOLD","DO NOT DELETE — HOLD (Charlie review)",IF($Q1651="KEEP","DO NOT DELETE — KEEP",IF(ISNUMBER(SEARCH("REVIEW",$Q1651)),"DO NOT DELETE — REVIEW pending",$S1651))))</f>
        <v>DO NOT DELETE — REVIEW pending</v>
      </c>
      <c r="Q1651" t="str" cm="1">
        <f t="array" ref="Q1651">_xlfn.IFS(AND($A1651="thg-beauty",ISNUMBER(SEARCH("liveramp",$C1651))),"DELETE",$A1651="agile-bonbon-662",_xlfn.IFS(LEFT($G1651,9)="Tranche 1","DELETE",$C1651="Sessions_Level_1_All_Sites","KEEP",ISNUMBER(--$C1651),"REVIEW — UA raw logs",$C1651="Emag_Reporting","KEEP",$C1651="Nutrition_Data_Archived_Tables","KEEP",$C1651="EU_Data","KEEP",TRUE,"REVIEW"),OR($A1651="thg-influencer",$A1651="thg-ingenuity",$A1651="thg-central-marketing",$A1651="thg-seoclarity"),"HOLD",TRUE,"")</f>
        <v>REVIEW — UA raw logs</v>
      </c>
      <c r="R1651" t="str" cm="1">
        <f t="array" ref="R1651">_xlfn.IFS(AND($A1651="thg-beauty",ISNUMBER(SEARCH("liveramp",$C1651))),"thg-beauty Liveramp dataset — confirmed safe to delete",$A1651="agile-bonbon-662",_xlfn.IFS(LEFT($G1651,9)="Tranche 1","Tranche 1: cleared",$C1651="Sessions_Level_1_All_Sites","Downstream aggregation of UA raw logs — keep if raw tables go",ISNUMBER(--$C1651),"UA raw site logs (account ID) — keep pending audit-retention check",$C1651="Emag_Reporting","Legacy but likely needed",$C1651="Nutrition_Data_Archived_Tables","Worth keeping",$C1651="EU_Data","Static lookup tables — scripts still reference (smoke-test risk)",TRUE,"Review"),OR($A1651="thg-influencer",$A1651="thg-ingenuity",$A1651="thg-central-marketing",$A1651="thg-seoclarity"),"HOLD — Charlie Stringer to review before deletion",TRUE,"")</f>
        <v>UA raw site logs (account ID) — keep pending audit-retention check</v>
      </c>
      <c r="S1651" t="s">
        <v>1631</v>
      </c>
    </row>
    <row r="1652" spans="1:19" ht="45.75" hidden="1">
      <c r="A1652" t="s">
        <v>89</v>
      </c>
      <c r="B1652" t="s">
        <v>1619</v>
      </c>
      <c r="C1652" t="s">
        <v>3950</v>
      </c>
      <c r="D1652" s="2" t="s">
        <v>1621</v>
      </c>
      <c r="E1652">
        <v>6.89</v>
      </c>
      <c r="F1652">
        <v>0.14000000000000001</v>
      </c>
      <c r="G1652" t="s">
        <v>72</v>
      </c>
      <c r="H1652" t="s">
        <v>3457</v>
      </c>
      <c r="I1652">
        <v>35</v>
      </c>
      <c r="J1652">
        <v>636</v>
      </c>
      <c r="K1652" s="5">
        <v>46161.619933148148</v>
      </c>
      <c r="M1652" s="2" t="s">
        <v>1972</v>
      </c>
      <c r="N1652" s="2" t="s">
        <v>1701</v>
      </c>
      <c r="O1652" s="5">
        <v>45561.411086736109</v>
      </c>
      <c r="P1652" t="str">
        <f>IF($Q1652="DELETE",IF($S1652="CONFIRMED: NO MODS &gt; 1YR","CONFIRMED: NO MODS &gt; 1YR","DO NOT DELETE — not defensibly confirmed"),IF($Q1652="HOLD","DO NOT DELETE — HOLD (Charlie review)",IF($Q1652="KEEP","DO NOT DELETE — KEEP",IF(ISNUMBER(SEARCH("REVIEW",$Q1652)),"DO NOT DELETE — REVIEW pending",$S1652))))</f>
        <v>DO NOT DELETE — REVIEW pending</v>
      </c>
      <c r="Q1652" t="str" cm="1">
        <f t="array" ref="Q1652">_xlfn.IFS(AND($A1652="thg-beauty",ISNUMBER(SEARCH("liveramp",$C1652))),"DELETE",$A1652="agile-bonbon-662",_xlfn.IFS(LEFT($G1652,9)="Tranche 1","DELETE",$C1652="Sessions_Level_1_All_Sites","KEEP",ISNUMBER(--$C1652),"REVIEW — UA raw logs",$C1652="Emag_Reporting","KEEP",$C1652="Nutrition_Data_Archived_Tables","KEEP",$C1652="EU_Data","KEEP",TRUE,"REVIEW"),OR($A1652="thg-influencer",$A1652="thg-ingenuity",$A1652="thg-central-marketing",$A1652="thg-seoclarity"),"HOLD",TRUE,"")</f>
        <v>REVIEW</v>
      </c>
      <c r="R1652" t="str" cm="1">
        <f t="array" ref="R1652">_xlfn.IFS(AND($A1652="thg-beauty",ISNUMBER(SEARCH("liveramp",$C1652))),"thg-beauty Liveramp dataset — confirmed safe to delete",$A1652="agile-bonbon-662",_xlfn.IFS(LEFT($G1652,9)="Tranche 1","Tranche 1: cleared",$C1652="Sessions_Level_1_All_Sites","Downstream aggregation of UA raw logs — keep if raw tables go",ISNUMBER(--$C1652),"UA raw site logs (account ID) — keep pending audit-retention check",$C1652="Emag_Reporting","Legacy but likely needed",$C1652="Nutrition_Data_Archived_Tables","Worth keeping",$C1652="EU_Data","Static lookup tables — scripts still reference (smoke-test risk)",TRUE,"Review"),OR($A1652="thg-influencer",$A1652="thg-ingenuity",$A1652="thg-central-marketing",$A1652="thg-seoclarity"),"HOLD — Charlie Stringer to review before deletion",TRUE,"")</f>
        <v>Review</v>
      </c>
      <c r="S1652" t="s">
        <v>1631</v>
      </c>
    </row>
    <row r="1653" spans="1:19" ht="45.75" hidden="1">
      <c r="A1653" t="s">
        <v>89</v>
      </c>
      <c r="B1653" t="s">
        <v>1619</v>
      </c>
      <c r="C1653" t="s">
        <v>3951</v>
      </c>
      <c r="D1653" s="2" t="s">
        <v>1621</v>
      </c>
      <c r="E1653">
        <v>6.85</v>
      </c>
      <c r="F1653">
        <v>0.14000000000000001</v>
      </c>
      <c r="G1653" t="s">
        <v>72</v>
      </c>
      <c r="H1653" t="s">
        <v>3457</v>
      </c>
      <c r="I1653">
        <v>35</v>
      </c>
      <c r="J1653">
        <v>1874</v>
      </c>
      <c r="K1653" s="5">
        <v>46161.623766446763</v>
      </c>
      <c r="M1653" s="2" t="s">
        <v>3352</v>
      </c>
      <c r="N1653" s="2" t="s">
        <v>1701</v>
      </c>
      <c r="O1653" s="5">
        <v>44323.329441296293</v>
      </c>
      <c r="P1653" t="str">
        <f>IF($Q1653="DELETE",IF($S1653="CONFIRMED: NO MODS &gt; 1YR","CONFIRMED: NO MODS &gt; 1YR","DO NOT DELETE — not defensibly confirmed"),IF($Q1653="HOLD","DO NOT DELETE — HOLD (Charlie review)",IF($Q1653="KEEP","DO NOT DELETE — KEEP",IF(ISNUMBER(SEARCH("REVIEW",$Q1653)),"DO NOT DELETE — REVIEW pending",$S1653))))</f>
        <v>DO NOT DELETE — REVIEW pending</v>
      </c>
      <c r="Q1653" t="str" cm="1">
        <f t="array" ref="Q1653">_xlfn.IFS(AND($A1653="thg-beauty",ISNUMBER(SEARCH("liveramp",$C1653))),"DELETE",$A1653="agile-bonbon-662",_xlfn.IFS(LEFT($G1653,9)="Tranche 1","DELETE",$C1653="Sessions_Level_1_All_Sites","KEEP",ISNUMBER(--$C1653),"REVIEW — UA raw logs",$C1653="Emag_Reporting","KEEP",$C1653="Nutrition_Data_Archived_Tables","KEEP",$C1653="EU_Data","KEEP",TRUE,"REVIEW"),OR($A1653="thg-influencer",$A1653="thg-ingenuity",$A1653="thg-central-marketing",$A1653="thg-seoclarity"),"HOLD",TRUE,"")</f>
        <v>REVIEW</v>
      </c>
      <c r="R1653" t="str" cm="1">
        <f t="array" ref="R1653">_xlfn.IFS(AND($A1653="thg-beauty",ISNUMBER(SEARCH("liveramp",$C1653))),"thg-beauty Liveramp dataset — confirmed safe to delete",$A1653="agile-bonbon-662",_xlfn.IFS(LEFT($G1653,9)="Tranche 1","Tranche 1: cleared",$C1653="Sessions_Level_1_All_Sites","Downstream aggregation of UA raw logs — keep if raw tables go",ISNUMBER(--$C1653),"UA raw site logs (account ID) — keep pending audit-retention check",$C1653="Emag_Reporting","Legacy but likely needed",$C1653="Nutrition_Data_Archived_Tables","Worth keeping",$C1653="EU_Data","Static lookup tables — scripts still reference (smoke-test risk)",TRUE,"Review"),OR($A1653="thg-influencer",$A1653="thg-ingenuity",$A1653="thg-central-marketing",$A1653="thg-seoclarity"),"HOLD — Charlie Stringer to review before deletion",TRUE,"")</f>
        <v>Review</v>
      </c>
      <c r="S1653" t="s">
        <v>1631</v>
      </c>
    </row>
    <row r="1654" spans="1:19" ht="45.75" hidden="1">
      <c r="A1654" t="s">
        <v>89</v>
      </c>
      <c r="B1654" t="s">
        <v>1619</v>
      </c>
      <c r="C1654" t="s">
        <v>3952</v>
      </c>
      <c r="D1654" s="2" t="s">
        <v>1621</v>
      </c>
      <c r="E1654">
        <v>6.8</v>
      </c>
      <c r="F1654">
        <v>0.14000000000000001</v>
      </c>
      <c r="G1654" t="s">
        <v>72</v>
      </c>
      <c r="H1654" t="s">
        <v>3457</v>
      </c>
      <c r="I1654">
        <v>35</v>
      </c>
      <c r="J1654">
        <v>1874</v>
      </c>
      <c r="K1654" s="5">
        <v>46161.623742245371</v>
      </c>
      <c r="M1654" s="2" t="s">
        <v>3352</v>
      </c>
      <c r="N1654" s="2" t="s">
        <v>1701</v>
      </c>
      <c r="O1654" s="5">
        <v>44322.609127199074</v>
      </c>
      <c r="P1654" t="str">
        <f>IF($Q1654="DELETE",IF($S1654="CONFIRMED: NO MODS &gt; 1YR","CONFIRMED: NO MODS &gt; 1YR","DO NOT DELETE — not defensibly confirmed"),IF($Q1654="HOLD","DO NOT DELETE — HOLD (Charlie review)",IF($Q1654="KEEP","DO NOT DELETE — KEEP",IF(ISNUMBER(SEARCH("REVIEW",$Q1654)),"DO NOT DELETE — REVIEW pending",$S1654))))</f>
        <v>DO NOT DELETE — REVIEW pending</v>
      </c>
      <c r="Q1654" t="str" cm="1">
        <f t="array" ref="Q1654">_xlfn.IFS(AND($A1654="thg-beauty",ISNUMBER(SEARCH("liveramp",$C1654))),"DELETE",$A1654="agile-bonbon-662",_xlfn.IFS(LEFT($G1654,9)="Tranche 1","DELETE",$C1654="Sessions_Level_1_All_Sites","KEEP",ISNUMBER(--$C1654),"REVIEW — UA raw logs",$C1654="Emag_Reporting","KEEP",$C1654="Nutrition_Data_Archived_Tables","KEEP",$C1654="EU_Data","KEEP",TRUE,"REVIEW"),OR($A1654="thg-influencer",$A1654="thg-ingenuity",$A1654="thg-central-marketing",$A1654="thg-seoclarity"),"HOLD",TRUE,"")</f>
        <v>REVIEW</v>
      </c>
      <c r="R1654" t="str" cm="1">
        <f t="array" ref="R1654">_xlfn.IFS(AND($A1654="thg-beauty",ISNUMBER(SEARCH("liveramp",$C1654))),"thg-beauty Liveramp dataset — confirmed safe to delete",$A1654="agile-bonbon-662",_xlfn.IFS(LEFT($G1654,9)="Tranche 1","Tranche 1: cleared",$C1654="Sessions_Level_1_All_Sites","Downstream aggregation of UA raw logs — keep if raw tables go",ISNUMBER(--$C1654),"UA raw site logs (account ID) — keep pending audit-retention check",$C1654="Emag_Reporting","Legacy but likely needed",$C1654="Nutrition_Data_Archived_Tables","Worth keeping",$C1654="EU_Data","Static lookup tables — scripts still reference (smoke-test risk)",TRUE,"Review"),OR($A1654="thg-influencer",$A1654="thg-ingenuity",$A1654="thg-central-marketing",$A1654="thg-seoclarity"),"HOLD — Charlie Stringer to review before deletion",TRUE,"")</f>
        <v>Review</v>
      </c>
      <c r="S1654" t="s">
        <v>1631</v>
      </c>
    </row>
    <row r="1655" spans="1:19" ht="45.75" hidden="1">
      <c r="A1655" t="s">
        <v>89</v>
      </c>
      <c r="B1655" t="s">
        <v>1619</v>
      </c>
      <c r="C1655" t="s">
        <v>3953</v>
      </c>
      <c r="D1655" s="2" t="s">
        <v>1621</v>
      </c>
      <c r="E1655">
        <v>6.79</v>
      </c>
      <c r="F1655">
        <v>0.14000000000000001</v>
      </c>
      <c r="G1655" t="s">
        <v>72</v>
      </c>
      <c r="H1655" t="s">
        <v>3457</v>
      </c>
      <c r="I1655">
        <v>35</v>
      </c>
      <c r="J1655">
        <v>723</v>
      </c>
      <c r="K1655" s="5">
        <v>46161.595311770827</v>
      </c>
      <c r="M1655" s="2" t="s">
        <v>3426</v>
      </c>
      <c r="N1655" s="2" t="s">
        <v>1701</v>
      </c>
      <c r="O1655" s="5">
        <v>45474.283330497688</v>
      </c>
      <c r="P1655" t="str">
        <f>IF($Q1655="DELETE",IF($S1655="CONFIRMED: NO MODS &gt; 1YR","CONFIRMED: NO MODS &gt; 1YR","DO NOT DELETE — not defensibly confirmed"),IF($Q1655="HOLD","DO NOT DELETE — HOLD (Charlie review)",IF($Q1655="KEEP","DO NOT DELETE — KEEP",IF(ISNUMBER(SEARCH("REVIEW",$Q1655)),"DO NOT DELETE — REVIEW pending",$S1655))))</f>
        <v>DO NOT DELETE — REVIEW pending</v>
      </c>
      <c r="Q1655" t="str" cm="1">
        <f t="array" ref="Q1655">_xlfn.IFS(AND($A1655="thg-beauty",ISNUMBER(SEARCH("liveramp",$C1655))),"DELETE",$A1655="agile-bonbon-662",_xlfn.IFS(LEFT($G1655,9)="Tranche 1","DELETE",$C1655="Sessions_Level_1_All_Sites","KEEP",ISNUMBER(--$C1655),"REVIEW — UA raw logs",$C1655="Emag_Reporting","KEEP",$C1655="Nutrition_Data_Archived_Tables","KEEP",$C1655="EU_Data","KEEP",TRUE,"REVIEW"),OR($A1655="thg-influencer",$A1655="thg-ingenuity",$A1655="thg-central-marketing",$A1655="thg-seoclarity"),"HOLD",TRUE,"")</f>
        <v>REVIEW — UA raw logs</v>
      </c>
      <c r="R1655" t="str" cm="1">
        <f t="array" ref="R1655">_xlfn.IFS(AND($A1655="thg-beauty",ISNUMBER(SEARCH("liveramp",$C1655))),"thg-beauty Liveramp dataset — confirmed safe to delete",$A1655="agile-bonbon-662",_xlfn.IFS(LEFT($G1655,9)="Tranche 1","Tranche 1: cleared",$C1655="Sessions_Level_1_All_Sites","Downstream aggregation of UA raw logs — keep if raw tables go",ISNUMBER(--$C1655),"UA raw site logs (account ID) — keep pending audit-retention check",$C1655="Emag_Reporting","Legacy but likely needed",$C1655="Nutrition_Data_Archived_Tables","Worth keeping",$C1655="EU_Data","Static lookup tables — scripts still reference (smoke-test risk)",TRUE,"Review"),OR($A1655="thg-influencer",$A1655="thg-ingenuity",$A1655="thg-central-marketing",$A1655="thg-seoclarity"),"HOLD — Charlie Stringer to review before deletion",TRUE,"")</f>
        <v>UA raw site logs (account ID) — keep pending audit-retention check</v>
      </c>
      <c r="S1655" t="s">
        <v>1631</v>
      </c>
    </row>
    <row r="1656" spans="1:19" ht="45.75" hidden="1">
      <c r="A1656" t="s">
        <v>89</v>
      </c>
      <c r="B1656" t="s">
        <v>1619</v>
      </c>
      <c r="C1656" t="s">
        <v>3954</v>
      </c>
      <c r="D1656" s="2" t="s">
        <v>1621</v>
      </c>
      <c r="E1656">
        <v>6.72</v>
      </c>
      <c r="F1656">
        <v>0.13</v>
      </c>
      <c r="G1656" t="s">
        <v>72</v>
      </c>
      <c r="H1656" t="s">
        <v>3457</v>
      </c>
      <c r="I1656">
        <v>35</v>
      </c>
      <c r="J1656">
        <v>723</v>
      </c>
      <c r="K1656" s="5">
        <v>46161.589284351852</v>
      </c>
      <c r="M1656" s="2" t="s">
        <v>3424</v>
      </c>
      <c r="N1656" s="2" t="s">
        <v>1701</v>
      </c>
      <c r="O1656" s="5">
        <v>45474.274835763892</v>
      </c>
      <c r="P1656" t="str">
        <f>IF($Q1656="DELETE",IF($S1656="CONFIRMED: NO MODS &gt; 1YR","CONFIRMED: NO MODS &gt; 1YR","DO NOT DELETE — not defensibly confirmed"),IF($Q1656="HOLD","DO NOT DELETE — HOLD (Charlie review)",IF($Q1656="KEEP","DO NOT DELETE — KEEP",IF(ISNUMBER(SEARCH("REVIEW",$Q1656)),"DO NOT DELETE — REVIEW pending",$S1656))))</f>
        <v>DO NOT DELETE — REVIEW pending</v>
      </c>
      <c r="Q1656" t="str" cm="1">
        <f t="array" ref="Q1656">_xlfn.IFS(AND($A1656="thg-beauty",ISNUMBER(SEARCH("liveramp",$C1656))),"DELETE",$A1656="agile-bonbon-662",_xlfn.IFS(LEFT($G1656,9)="Tranche 1","DELETE",$C1656="Sessions_Level_1_All_Sites","KEEP",ISNUMBER(--$C1656),"REVIEW — UA raw logs",$C1656="Emag_Reporting","KEEP",$C1656="Nutrition_Data_Archived_Tables","KEEP",$C1656="EU_Data","KEEP",TRUE,"REVIEW"),OR($A1656="thg-influencer",$A1656="thg-ingenuity",$A1656="thg-central-marketing",$A1656="thg-seoclarity"),"HOLD",TRUE,"")</f>
        <v>REVIEW — UA raw logs</v>
      </c>
      <c r="R1656" t="str" cm="1">
        <f t="array" ref="R1656">_xlfn.IFS(AND($A1656="thg-beauty",ISNUMBER(SEARCH("liveramp",$C1656))),"thg-beauty Liveramp dataset — confirmed safe to delete",$A1656="agile-bonbon-662",_xlfn.IFS(LEFT($G1656,9)="Tranche 1","Tranche 1: cleared",$C1656="Sessions_Level_1_All_Sites","Downstream aggregation of UA raw logs — keep if raw tables go",ISNUMBER(--$C1656),"UA raw site logs (account ID) — keep pending audit-retention check",$C1656="Emag_Reporting","Legacy but likely needed",$C1656="Nutrition_Data_Archived_Tables","Worth keeping",$C1656="EU_Data","Static lookup tables — scripts still reference (smoke-test risk)",TRUE,"Review"),OR($A1656="thg-influencer",$A1656="thg-ingenuity",$A1656="thg-central-marketing",$A1656="thg-seoclarity"),"HOLD — Charlie Stringer to review before deletion",TRUE,"")</f>
        <v>UA raw site logs (account ID) — keep pending audit-retention check</v>
      </c>
      <c r="S1656" t="s">
        <v>1631</v>
      </c>
    </row>
    <row r="1657" spans="1:19" ht="45.75" hidden="1">
      <c r="A1657" t="s">
        <v>89</v>
      </c>
      <c r="B1657" t="s">
        <v>1619</v>
      </c>
      <c r="C1657" t="s">
        <v>3955</v>
      </c>
      <c r="D1657" s="2" t="s">
        <v>1621</v>
      </c>
      <c r="E1657">
        <v>6.64</v>
      </c>
      <c r="F1657">
        <v>0.13</v>
      </c>
      <c r="G1657" t="s">
        <v>72</v>
      </c>
      <c r="H1657" t="s">
        <v>3457</v>
      </c>
      <c r="I1657">
        <v>35</v>
      </c>
      <c r="J1657">
        <v>723</v>
      </c>
      <c r="K1657" s="5">
        <v>46161.587521990739</v>
      </c>
      <c r="M1657" s="2" t="s">
        <v>3956</v>
      </c>
      <c r="N1657" s="2" t="s">
        <v>1701</v>
      </c>
      <c r="O1657" s="5">
        <v>45474.273915196762</v>
      </c>
      <c r="P1657" t="str">
        <f>IF($Q1657="DELETE",IF($S1657="CONFIRMED: NO MODS &gt; 1YR","CONFIRMED: NO MODS &gt; 1YR","DO NOT DELETE — not defensibly confirmed"),IF($Q1657="HOLD","DO NOT DELETE — HOLD (Charlie review)",IF($Q1657="KEEP","DO NOT DELETE — KEEP",IF(ISNUMBER(SEARCH("REVIEW",$Q1657)),"DO NOT DELETE — REVIEW pending",$S1657))))</f>
        <v>DO NOT DELETE — REVIEW pending</v>
      </c>
      <c r="Q1657" t="str" cm="1">
        <f t="array" ref="Q1657">_xlfn.IFS(AND($A1657="thg-beauty",ISNUMBER(SEARCH("liveramp",$C1657))),"DELETE",$A1657="agile-bonbon-662",_xlfn.IFS(LEFT($G1657,9)="Tranche 1","DELETE",$C1657="Sessions_Level_1_All_Sites","KEEP",ISNUMBER(--$C1657),"REVIEW — UA raw logs",$C1657="Emag_Reporting","KEEP",$C1657="Nutrition_Data_Archived_Tables","KEEP",$C1657="EU_Data","KEEP",TRUE,"REVIEW"),OR($A1657="thg-influencer",$A1657="thg-ingenuity",$A1657="thg-central-marketing",$A1657="thg-seoclarity"),"HOLD",TRUE,"")</f>
        <v>REVIEW — UA raw logs</v>
      </c>
      <c r="R1657" t="str" cm="1">
        <f t="array" ref="R1657">_xlfn.IFS(AND($A1657="thg-beauty",ISNUMBER(SEARCH("liveramp",$C1657))),"thg-beauty Liveramp dataset — confirmed safe to delete",$A1657="agile-bonbon-662",_xlfn.IFS(LEFT($G1657,9)="Tranche 1","Tranche 1: cleared",$C1657="Sessions_Level_1_All_Sites","Downstream aggregation of UA raw logs — keep if raw tables go",ISNUMBER(--$C1657),"UA raw site logs (account ID) — keep pending audit-retention check",$C1657="Emag_Reporting","Legacy but likely needed",$C1657="Nutrition_Data_Archived_Tables","Worth keeping",$C1657="EU_Data","Static lookup tables — scripts still reference (smoke-test risk)",TRUE,"Review"),OR($A1657="thg-influencer",$A1657="thg-ingenuity",$A1657="thg-central-marketing",$A1657="thg-seoclarity"),"HOLD — Charlie Stringer to review before deletion",TRUE,"")</f>
        <v>UA raw site logs (account ID) — keep pending audit-retention check</v>
      </c>
      <c r="S1657" t="s">
        <v>1631</v>
      </c>
    </row>
    <row r="1658" spans="1:19" ht="45.75" hidden="1">
      <c r="A1658" t="s">
        <v>89</v>
      </c>
      <c r="B1658" t="s">
        <v>1619</v>
      </c>
      <c r="C1658" t="s">
        <v>3957</v>
      </c>
      <c r="D1658" s="2" t="s">
        <v>1621</v>
      </c>
      <c r="E1658">
        <v>6.61</v>
      </c>
      <c r="F1658">
        <v>0.13</v>
      </c>
      <c r="G1658" t="s">
        <v>72</v>
      </c>
      <c r="H1658" t="s">
        <v>3457</v>
      </c>
      <c r="I1658">
        <v>35</v>
      </c>
      <c r="J1658">
        <v>723</v>
      </c>
      <c r="K1658" s="5">
        <v>46161.590483078697</v>
      </c>
      <c r="M1658" s="2" t="s">
        <v>3447</v>
      </c>
      <c r="N1658" s="2" t="s">
        <v>1701</v>
      </c>
      <c r="O1658" s="5">
        <v>45474.276026851847</v>
      </c>
      <c r="P1658" t="str">
        <f>IF($Q1658="DELETE",IF($S1658="CONFIRMED: NO MODS &gt; 1YR","CONFIRMED: NO MODS &gt; 1YR","DO NOT DELETE — not defensibly confirmed"),IF($Q1658="HOLD","DO NOT DELETE — HOLD (Charlie review)",IF($Q1658="KEEP","DO NOT DELETE — KEEP",IF(ISNUMBER(SEARCH("REVIEW",$Q1658)),"DO NOT DELETE — REVIEW pending",$S1658))))</f>
        <v>DO NOT DELETE — REVIEW pending</v>
      </c>
      <c r="Q1658" t="str" cm="1">
        <f t="array" ref="Q1658">_xlfn.IFS(AND($A1658="thg-beauty",ISNUMBER(SEARCH("liveramp",$C1658))),"DELETE",$A1658="agile-bonbon-662",_xlfn.IFS(LEFT($G1658,9)="Tranche 1","DELETE",$C1658="Sessions_Level_1_All_Sites","KEEP",ISNUMBER(--$C1658),"REVIEW — UA raw logs",$C1658="Emag_Reporting","KEEP",$C1658="Nutrition_Data_Archived_Tables","KEEP",$C1658="EU_Data","KEEP",TRUE,"REVIEW"),OR($A1658="thg-influencer",$A1658="thg-ingenuity",$A1658="thg-central-marketing",$A1658="thg-seoclarity"),"HOLD",TRUE,"")</f>
        <v>REVIEW — UA raw logs</v>
      </c>
      <c r="R1658" t="str" cm="1">
        <f t="array" ref="R1658">_xlfn.IFS(AND($A1658="thg-beauty",ISNUMBER(SEARCH("liveramp",$C1658))),"thg-beauty Liveramp dataset — confirmed safe to delete",$A1658="agile-bonbon-662",_xlfn.IFS(LEFT($G1658,9)="Tranche 1","Tranche 1: cleared",$C1658="Sessions_Level_1_All_Sites","Downstream aggregation of UA raw logs — keep if raw tables go",ISNUMBER(--$C1658),"UA raw site logs (account ID) — keep pending audit-retention check",$C1658="Emag_Reporting","Legacy but likely needed",$C1658="Nutrition_Data_Archived_Tables","Worth keeping",$C1658="EU_Data","Static lookup tables — scripts still reference (smoke-test risk)",TRUE,"Review"),OR($A1658="thg-influencer",$A1658="thg-ingenuity",$A1658="thg-central-marketing",$A1658="thg-seoclarity"),"HOLD — Charlie Stringer to review before deletion",TRUE,"")</f>
        <v>UA raw site logs (account ID) — keep pending audit-retention check</v>
      </c>
      <c r="S1658" t="s">
        <v>1631</v>
      </c>
    </row>
    <row r="1659" spans="1:19" ht="45.75" hidden="1">
      <c r="A1659" t="s">
        <v>89</v>
      </c>
      <c r="B1659" t="s">
        <v>1619</v>
      </c>
      <c r="C1659" t="s">
        <v>3958</v>
      </c>
      <c r="D1659" s="2" t="s">
        <v>1621</v>
      </c>
      <c r="E1659">
        <v>6.53</v>
      </c>
      <c r="F1659">
        <v>0.13</v>
      </c>
      <c r="G1659" t="s">
        <v>72</v>
      </c>
      <c r="H1659" t="s">
        <v>3457</v>
      </c>
      <c r="I1659">
        <v>35</v>
      </c>
      <c r="J1659">
        <v>1040</v>
      </c>
      <c r="K1659" s="5">
        <v>46161.617706412027</v>
      </c>
      <c r="M1659" s="2" t="s">
        <v>1957</v>
      </c>
      <c r="N1659" s="2" t="s">
        <v>1701</v>
      </c>
      <c r="O1659" s="5">
        <v>45156.730015393521</v>
      </c>
      <c r="P1659" t="str">
        <f>IF($Q1659="DELETE",IF($S1659="CONFIRMED: NO MODS &gt; 1YR","CONFIRMED: NO MODS &gt; 1YR","DO NOT DELETE — not defensibly confirmed"),IF($Q1659="HOLD","DO NOT DELETE — HOLD (Charlie review)",IF($Q1659="KEEP","DO NOT DELETE — KEEP",IF(ISNUMBER(SEARCH("REVIEW",$Q1659)),"DO NOT DELETE — REVIEW pending",$S1659))))</f>
        <v>DO NOT DELETE — REVIEW pending</v>
      </c>
      <c r="Q1659" t="str" cm="1">
        <f t="array" ref="Q1659">_xlfn.IFS(AND($A1659="thg-beauty",ISNUMBER(SEARCH("liveramp",$C1659))),"DELETE",$A1659="agile-bonbon-662",_xlfn.IFS(LEFT($G1659,9)="Tranche 1","DELETE",$C1659="Sessions_Level_1_All_Sites","KEEP",ISNUMBER(--$C1659),"REVIEW — UA raw logs",$C1659="Emag_Reporting","KEEP",$C1659="Nutrition_Data_Archived_Tables","KEEP",$C1659="EU_Data","KEEP",TRUE,"REVIEW"),OR($A1659="thg-influencer",$A1659="thg-ingenuity",$A1659="thg-central-marketing",$A1659="thg-seoclarity"),"HOLD",TRUE,"")</f>
        <v>REVIEW</v>
      </c>
      <c r="R1659" t="str" cm="1">
        <f t="array" ref="R1659">_xlfn.IFS(AND($A1659="thg-beauty",ISNUMBER(SEARCH("liveramp",$C1659))),"thg-beauty Liveramp dataset — confirmed safe to delete",$A1659="agile-bonbon-662",_xlfn.IFS(LEFT($G1659,9)="Tranche 1","Tranche 1: cleared",$C1659="Sessions_Level_1_All_Sites","Downstream aggregation of UA raw logs — keep if raw tables go",ISNUMBER(--$C1659),"UA raw site logs (account ID) — keep pending audit-retention check",$C1659="Emag_Reporting","Legacy but likely needed",$C1659="Nutrition_Data_Archived_Tables","Worth keeping",$C1659="EU_Data","Static lookup tables — scripts still reference (smoke-test risk)",TRUE,"Review"),OR($A1659="thg-influencer",$A1659="thg-ingenuity",$A1659="thg-central-marketing",$A1659="thg-seoclarity"),"HOLD — Charlie Stringer to review before deletion",TRUE,"")</f>
        <v>Review</v>
      </c>
      <c r="S1659" t="s">
        <v>1631</v>
      </c>
    </row>
    <row r="1660" spans="1:19" ht="45.75" hidden="1">
      <c r="A1660" t="s">
        <v>89</v>
      </c>
      <c r="B1660" t="s">
        <v>1619</v>
      </c>
      <c r="C1660" t="s">
        <v>3959</v>
      </c>
      <c r="D1660" s="2" t="s">
        <v>1621</v>
      </c>
      <c r="E1660">
        <v>6.51</v>
      </c>
      <c r="F1660">
        <v>0.13</v>
      </c>
      <c r="G1660" t="s">
        <v>72</v>
      </c>
      <c r="H1660" t="s">
        <v>3457</v>
      </c>
      <c r="I1660">
        <v>35</v>
      </c>
      <c r="J1660">
        <v>1958</v>
      </c>
      <c r="K1660" s="5">
        <v>46161.597563645832</v>
      </c>
      <c r="M1660" s="2" t="s">
        <v>3416</v>
      </c>
      <c r="N1660" s="2" t="s">
        <v>1701</v>
      </c>
      <c r="O1660" s="5">
        <v>44238.546672280092</v>
      </c>
      <c r="P1660" t="str">
        <f>IF($Q1660="DELETE",IF($S1660="CONFIRMED: NO MODS &gt; 1YR","CONFIRMED: NO MODS &gt; 1YR","DO NOT DELETE — not defensibly confirmed"),IF($Q1660="HOLD","DO NOT DELETE — HOLD (Charlie review)",IF($Q1660="KEEP","DO NOT DELETE — KEEP",IF(ISNUMBER(SEARCH("REVIEW",$Q1660)),"DO NOT DELETE — REVIEW pending",$S1660))))</f>
        <v>DO NOT DELETE — REVIEW pending</v>
      </c>
      <c r="Q1660" t="str" cm="1">
        <f t="array" ref="Q1660">_xlfn.IFS(AND($A1660="thg-beauty",ISNUMBER(SEARCH("liveramp",$C1660))),"DELETE",$A1660="agile-bonbon-662",_xlfn.IFS(LEFT($G1660,9)="Tranche 1","DELETE",$C1660="Sessions_Level_1_All_Sites","KEEP",ISNUMBER(--$C1660),"REVIEW — UA raw logs",$C1660="Emag_Reporting","KEEP",$C1660="Nutrition_Data_Archived_Tables","KEEP",$C1660="EU_Data","KEEP",TRUE,"REVIEW"),OR($A1660="thg-influencer",$A1660="thg-ingenuity",$A1660="thg-central-marketing",$A1660="thg-seoclarity"),"HOLD",TRUE,"")</f>
        <v>REVIEW — UA raw logs</v>
      </c>
      <c r="R1660" t="str" cm="1">
        <f t="array" ref="R1660">_xlfn.IFS(AND($A1660="thg-beauty",ISNUMBER(SEARCH("liveramp",$C1660))),"thg-beauty Liveramp dataset — confirmed safe to delete",$A1660="agile-bonbon-662",_xlfn.IFS(LEFT($G1660,9)="Tranche 1","Tranche 1: cleared",$C1660="Sessions_Level_1_All_Sites","Downstream aggregation of UA raw logs — keep if raw tables go",ISNUMBER(--$C1660),"UA raw site logs (account ID) — keep pending audit-retention check",$C1660="Emag_Reporting","Legacy but likely needed",$C1660="Nutrition_Data_Archived_Tables","Worth keeping",$C1660="EU_Data","Static lookup tables — scripts still reference (smoke-test risk)",TRUE,"Review"),OR($A1660="thg-influencer",$A1660="thg-ingenuity",$A1660="thg-central-marketing",$A1660="thg-seoclarity"),"HOLD — Charlie Stringer to review before deletion",TRUE,"")</f>
        <v>UA raw site logs (account ID) — keep pending audit-retention check</v>
      </c>
      <c r="S1660" t="s">
        <v>1631</v>
      </c>
    </row>
    <row r="1661" spans="1:19" ht="45.75" hidden="1">
      <c r="A1661" t="s">
        <v>89</v>
      </c>
      <c r="B1661" t="s">
        <v>1619</v>
      </c>
      <c r="C1661" t="s">
        <v>3960</v>
      </c>
      <c r="D1661" s="2" t="s">
        <v>1621</v>
      </c>
      <c r="E1661">
        <v>6.47</v>
      </c>
      <c r="F1661">
        <v>0.13</v>
      </c>
      <c r="G1661" t="s">
        <v>72</v>
      </c>
      <c r="H1661" t="s">
        <v>3457</v>
      </c>
      <c r="I1661">
        <v>35</v>
      </c>
      <c r="J1661">
        <v>1164</v>
      </c>
      <c r="K1661" s="5">
        <v>46161.618597592591</v>
      </c>
      <c r="M1661" s="2" t="s">
        <v>2003</v>
      </c>
      <c r="N1661" s="2" t="s">
        <v>1701</v>
      </c>
      <c r="O1661" s="5">
        <v>45032.923917384258</v>
      </c>
      <c r="P1661" t="str">
        <f>IF($Q1661="DELETE",IF($S1661="CONFIRMED: NO MODS &gt; 1YR","CONFIRMED: NO MODS &gt; 1YR","DO NOT DELETE — not defensibly confirmed"),IF($Q1661="HOLD","DO NOT DELETE — HOLD (Charlie review)",IF($Q1661="KEEP","DO NOT DELETE — KEEP",IF(ISNUMBER(SEARCH("REVIEW",$Q1661)),"DO NOT DELETE — REVIEW pending",$S1661))))</f>
        <v>DO NOT DELETE — REVIEW pending</v>
      </c>
      <c r="Q1661" t="str" cm="1">
        <f t="array" ref="Q1661">_xlfn.IFS(AND($A1661="thg-beauty",ISNUMBER(SEARCH("liveramp",$C1661))),"DELETE",$A1661="agile-bonbon-662",_xlfn.IFS(LEFT($G1661,9)="Tranche 1","DELETE",$C1661="Sessions_Level_1_All_Sites","KEEP",ISNUMBER(--$C1661),"REVIEW — UA raw logs",$C1661="Emag_Reporting","KEEP",$C1661="Nutrition_Data_Archived_Tables","KEEP",$C1661="EU_Data","KEEP",TRUE,"REVIEW"),OR($A1661="thg-influencer",$A1661="thg-ingenuity",$A1661="thg-central-marketing",$A1661="thg-seoclarity"),"HOLD",TRUE,"")</f>
        <v>REVIEW</v>
      </c>
      <c r="R1661" t="str" cm="1">
        <f t="array" ref="R1661">_xlfn.IFS(AND($A1661="thg-beauty",ISNUMBER(SEARCH("liveramp",$C1661))),"thg-beauty Liveramp dataset — confirmed safe to delete",$A1661="agile-bonbon-662",_xlfn.IFS(LEFT($G1661,9)="Tranche 1","Tranche 1: cleared",$C1661="Sessions_Level_1_All_Sites","Downstream aggregation of UA raw logs — keep if raw tables go",ISNUMBER(--$C1661),"UA raw site logs (account ID) — keep pending audit-retention check",$C1661="Emag_Reporting","Legacy but likely needed",$C1661="Nutrition_Data_Archived_Tables","Worth keeping",$C1661="EU_Data","Static lookup tables — scripts still reference (smoke-test risk)",TRUE,"Review"),OR($A1661="thg-influencer",$A1661="thg-ingenuity",$A1661="thg-central-marketing",$A1661="thg-seoclarity"),"HOLD — Charlie Stringer to review before deletion",TRUE,"")</f>
        <v>Review</v>
      </c>
      <c r="S1661" t="s">
        <v>1631</v>
      </c>
    </row>
    <row r="1662" spans="1:19" ht="45.75" hidden="1">
      <c r="A1662" t="s">
        <v>89</v>
      </c>
      <c r="B1662" t="s">
        <v>1619</v>
      </c>
      <c r="C1662" t="s">
        <v>3961</v>
      </c>
      <c r="D1662" s="2" t="s">
        <v>1621</v>
      </c>
      <c r="E1662">
        <v>6.18</v>
      </c>
      <c r="F1662">
        <v>0.12</v>
      </c>
      <c r="G1662" t="s">
        <v>72</v>
      </c>
      <c r="H1662" t="s">
        <v>3457</v>
      </c>
      <c r="I1662">
        <v>35</v>
      </c>
      <c r="J1662">
        <v>1209</v>
      </c>
      <c r="K1662" s="5">
        <v>46161.617520590276</v>
      </c>
      <c r="M1662" s="2" t="s">
        <v>1921</v>
      </c>
      <c r="N1662" s="2" t="s">
        <v>1701</v>
      </c>
      <c r="O1662" s="5">
        <v>44987.927006585647</v>
      </c>
      <c r="P1662" t="str">
        <f>IF($Q1662="DELETE",IF($S1662="CONFIRMED: NO MODS &gt; 1YR","CONFIRMED: NO MODS &gt; 1YR","DO NOT DELETE — not defensibly confirmed"),IF($Q1662="HOLD","DO NOT DELETE — HOLD (Charlie review)",IF($Q1662="KEEP","DO NOT DELETE — KEEP",IF(ISNUMBER(SEARCH("REVIEW",$Q1662)),"DO NOT DELETE — REVIEW pending",$S1662))))</f>
        <v>DO NOT DELETE — REVIEW pending</v>
      </c>
      <c r="Q1662" t="str" cm="1">
        <f t="array" ref="Q1662">_xlfn.IFS(AND($A1662="thg-beauty",ISNUMBER(SEARCH("liveramp",$C1662))),"DELETE",$A1662="agile-bonbon-662",_xlfn.IFS(LEFT($G1662,9)="Tranche 1","DELETE",$C1662="Sessions_Level_1_All_Sites","KEEP",ISNUMBER(--$C1662),"REVIEW — UA raw logs",$C1662="Emag_Reporting","KEEP",$C1662="Nutrition_Data_Archived_Tables","KEEP",$C1662="EU_Data","KEEP",TRUE,"REVIEW"),OR($A1662="thg-influencer",$A1662="thg-ingenuity",$A1662="thg-central-marketing",$A1662="thg-seoclarity"),"HOLD",TRUE,"")</f>
        <v>REVIEW</v>
      </c>
      <c r="R1662" t="str" cm="1">
        <f t="array" ref="R1662">_xlfn.IFS(AND($A1662="thg-beauty",ISNUMBER(SEARCH("liveramp",$C1662))),"thg-beauty Liveramp dataset — confirmed safe to delete",$A1662="agile-bonbon-662",_xlfn.IFS(LEFT($G1662,9)="Tranche 1","Tranche 1: cleared",$C1662="Sessions_Level_1_All_Sites","Downstream aggregation of UA raw logs — keep if raw tables go",ISNUMBER(--$C1662),"UA raw site logs (account ID) — keep pending audit-retention check",$C1662="Emag_Reporting","Legacy but likely needed",$C1662="Nutrition_Data_Archived_Tables","Worth keeping",$C1662="EU_Data","Static lookup tables — scripts still reference (smoke-test risk)",TRUE,"Review"),OR($A1662="thg-influencer",$A1662="thg-ingenuity",$A1662="thg-central-marketing",$A1662="thg-seoclarity"),"HOLD — Charlie Stringer to review before deletion",TRUE,"")</f>
        <v>Review</v>
      </c>
      <c r="S1662" t="s">
        <v>1631</v>
      </c>
    </row>
    <row r="1663" spans="1:19" ht="45.75" hidden="1">
      <c r="A1663" t="s">
        <v>89</v>
      </c>
      <c r="B1663" t="s">
        <v>1619</v>
      </c>
      <c r="C1663" t="s">
        <v>3962</v>
      </c>
      <c r="D1663" s="2" t="s">
        <v>1621</v>
      </c>
      <c r="E1663">
        <v>6.11</v>
      </c>
      <c r="F1663">
        <v>0.12</v>
      </c>
      <c r="G1663" t="s">
        <v>72</v>
      </c>
      <c r="H1663" t="s">
        <v>3457</v>
      </c>
      <c r="I1663">
        <v>35</v>
      </c>
      <c r="J1663">
        <v>723</v>
      </c>
      <c r="K1663" s="5">
        <v>46161.595345590278</v>
      </c>
      <c r="M1663" s="2" t="s">
        <v>3426</v>
      </c>
      <c r="N1663" s="2" t="s">
        <v>1701</v>
      </c>
      <c r="O1663" s="5">
        <v>45474.283369097233</v>
      </c>
      <c r="P1663" t="str">
        <f>IF($Q1663="DELETE",IF($S1663="CONFIRMED: NO MODS &gt; 1YR","CONFIRMED: NO MODS &gt; 1YR","DO NOT DELETE — not defensibly confirmed"),IF($Q1663="HOLD","DO NOT DELETE — HOLD (Charlie review)",IF($Q1663="KEEP","DO NOT DELETE — KEEP",IF(ISNUMBER(SEARCH("REVIEW",$Q1663)),"DO NOT DELETE — REVIEW pending",$S1663))))</f>
        <v>DO NOT DELETE — REVIEW pending</v>
      </c>
      <c r="Q1663" t="str" cm="1">
        <f t="array" ref="Q1663">_xlfn.IFS(AND($A1663="thg-beauty",ISNUMBER(SEARCH("liveramp",$C1663))),"DELETE",$A1663="agile-bonbon-662",_xlfn.IFS(LEFT($G1663,9)="Tranche 1","DELETE",$C1663="Sessions_Level_1_All_Sites","KEEP",ISNUMBER(--$C1663),"REVIEW — UA raw logs",$C1663="Emag_Reporting","KEEP",$C1663="Nutrition_Data_Archived_Tables","KEEP",$C1663="EU_Data","KEEP",TRUE,"REVIEW"),OR($A1663="thg-influencer",$A1663="thg-ingenuity",$A1663="thg-central-marketing",$A1663="thg-seoclarity"),"HOLD",TRUE,"")</f>
        <v>REVIEW — UA raw logs</v>
      </c>
      <c r="R1663" t="str" cm="1">
        <f t="array" ref="R1663">_xlfn.IFS(AND($A1663="thg-beauty",ISNUMBER(SEARCH("liveramp",$C1663))),"thg-beauty Liveramp dataset — confirmed safe to delete",$A1663="agile-bonbon-662",_xlfn.IFS(LEFT($G1663,9)="Tranche 1","Tranche 1: cleared",$C1663="Sessions_Level_1_All_Sites","Downstream aggregation of UA raw logs — keep if raw tables go",ISNUMBER(--$C1663),"UA raw site logs (account ID) — keep pending audit-retention check",$C1663="Emag_Reporting","Legacy but likely needed",$C1663="Nutrition_Data_Archived_Tables","Worth keeping",$C1663="EU_Data","Static lookup tables — scripts still reference (smoke-test risk)",TRUE,"Review"),OR($A1663="thg-influencer",$A1663="thg-ingenuity",$A1663="thg-central-marketing",$A1663="thg-seoclarity"),"HOLD — Charlie Stringer to review before deletion",TRUE,"")</f>
        <v>UA raw site logs (account ID) — keep pending audit-retention check</v>
      </c>
      <c r="S1663" t="s">
        <v>1631</v>
      </c>
    </row>
    <row r="1664" spans="1:19" ht="45.75" hidden="1">
      <c r="A1664" t="s">
        <v>89</v>
      </c>
      <c r="B1664" t="s">
        <v>1619</v>
      </c>
      <c r="C1664" t="s">
        <v>3963</v>
      </c>
      <c r="D1664" s="2" t="s">
        <v>1621</v>
      </c>
      <c r="E1664">
        <v>6.05</v>
      </c>
      <c r="F1664">
        <v>0.12</v>
      </c>
      <c r="G1664" t="s">
        <v>72</v>
      </c>
      <c r="H1664" t="s">
        <v>3457</v>
      </c>
      <c r="I1664">
        <v>35</v>
      </c>
      <c r="J1664">
        <v>723</v>
      </c>
      <c r="K1664" s="5">
        <v>46161.592880578697</v>
      </c>
      <c r="M1664" s="2" t="s">
        <v>3405</v>
      </c>
      <c r="N1664" s="2" t="s">
        <v>1701</v>
      </c>
      <c r="O1664" s="5">
        <v>45474.280282673608</v>
      </c>
      <c r="P1664" t="str">
        <f>IF($Q1664="DELETE",IF($S1664="CONFIRMED: NO MODS &gt; 1YR","CONFIRMED: NO MODS &gt; 1YR","DO NOT DELETE — not defensibly confirmed"),IF($Q1664="HOLD","DO NOT DELETE — HOLD (Charlie review)",IF($Q1664="KEEP","DO NOT DELETE — KEEP",IF(ISNUMBER(SEARCH("REVIEW",$Q1664)),"DO NOT DELETE — REVIEW pending",$S1664))))</f>
        <v>DO NOT DELETE — REVIEW pending</v>
      </c>
      <c r="Q1664" t="str" cm="1">
        <f t="array" ref="Q1664">_xlfn.IFS(AND($A1664="thg-beauty",ISNUMBER(SEARCH("liveramp",$C1664))),"DELETE",$A1664="agile-bonbon-662",_xlfn.IFS(LEFT($G1664,9)="Tranche 1","DELETE",$C1664="Sessions_Level_1_All_Sites","KEEP",ISNUMBER(--$C1664),"REVIEW — UA raw logs",$C1664="Emag_Reporting","KEEP",$C1664="Nutrition_Data_Archived_Tables","KEEP",$C1664="EU_Data","KEEP",TRUE,"REVIEW"),OR($A1664="thg-influencer",$A1664="thg-ingenuity",$A1664="thg-central-marketing",$A1664="thg-seoclarity"),"HOLD",TRUE,"")</f>
        <v>REVIEW — UA raw logs</v>
      </c>
      <c r="R1664" t="str" cm="1">
        <f t="array" ref="R1664">_xlfn.IFS(AND($A1664="thg-beauty",ISNUMBER(SEARCH("liveramp",$C1664))),"thg-beauty Liveramp dataset — confirmed safe to delete",$A1664="agile-bonbon-662",_xlfn.IFS(LEFT($G1664,9)="Tranche 1","Tranche 1: cleared",$C1664="Sessions_Level_1_All_Sites","Downstream aggregation of UA raw logs — keep if raw tables go",ISNUMBER(--$C1664),"UA raw site logs (account ID) — keep pending audit-retention check",$C1664="Emag_Reporting","Legacy but likely needed",$C1664="Nutrition_Data_Archived_Tables","Worth keeping",$C1664="EU_Data","Static lookup tables — scripts still reference (smoke-test risk)",TRUE,"Review"),OR($A1664="thg-influencer",$A1664="thg-ingenuity",$A1664="thg-central-marketing",$A1664="thg-seoclarity"),"HOLD — Charlie Stringer to review before deletion",TRUE,"")</f>
        <v>UA raw site logs (account ID) — keep pending audit-retention check</v>
      </c>
      <c r="S1664" t="s">
        <v>1631</v>
      </c>
    </row>
    <row r="1665" spans="1:19" ht="45.75" hidden="1">
      <c r="A1665" t="s">
        <v>89</v>
      </c>
      <c r="B1665" t="s">
        <v>1619</v>
      </c>
      <c r="C1665" t="s">
        <v>3964</v>
      </c>
      <c r="D1665" s="2" t="s">
        <v>1621</v>
      </c>
      <c r="E1665">
        <v>5.95</v>
      </c>
      <c r="F1665">
        <v>0.12</v>
      </c>
      <c r="G1665" t="s">
        <v>72</v>
      </c>
      <c r="H1665" t="s">
        <v>3457</v>
      </c>
      <c r="I1665">
        <v>35</v>
      </c>
      <c r="J1665">
        <v>1038</v>
      </c>
      <c r="K1665" s="5">
        <v>46161.615726435193</v>
      </c>
      <c r="M1665" s="2" t="s">
        <v>1977</v>
      </c>
      <c r="N1665" s="2" t="s">
        <v>1701</v>
      </c>
      <c r="O1665" s="5">
        <v>45158.481724606478</v>
      </c>
      <c r="P1665" t="str">
        <f>IF($Q1665="DELETE",IF($S1665="CONFIRMED: NO MODS &gt; 1YR","CONFIRMED: NO MODS &gt; 1YR","DO NOT DELETE — not defensibly confirmed"),IF($Q1665="HOLD","DO NOT DELETE — HOLD (Charlie review)",IF($Q1665="KEEP","DO NOT DELETE — KEEP",IF(ISNUMBER(SEARCH("REVIEW",$Q1665)),"DO NOT DELETE — REVIEW pending",$S1665))))</f>
        <v>DO NOT DELETE — REVIEW pending</v>
      </c>
      <c r="Q1665" t="str" cm="1">
        <f t="array" ref="Q1665">_xlfn.IFS(AND($A1665="thg-beauty",ISNUMBER(SEARCH("liveramp",$C1665))),"DELETE",$A1665="agile-bonbon-662",_xlfn.IFS(LEFT($G1665,9)="Tranche 1","DELETE",$C1665="Sessions_Level_1_All_Sites","KEEP",ISNUMBER(--$C1665),"REVIEW — UA raw logs",$C1665="Emag_Reporting","KEEP",$C1665="Nutrition_Data_Archived_Tables","KEEP",$C1665="EU_Data","KEEP",TRUE,"REVIEW"),OR($A1665="thg-influencer",$A1665="thg-ingenuity",$A1665="thg-central-marketing",$A1665="thg-seoclarity"),"HOLD",TRUE,"")</f>
        <v>REVIEW</v>
      </c>
      <c r="R1665" t="str" cm="1">
        <f t="array" ref="R1665">_xlfn.IFS(AND($A1665="thg-beauty",ISNUMBER(SEARCH("liveramp",$C1665))),"thg-beauty Liveramp dataset — confirmed safe to delete",$A1665="agile-bonbon-662",_xlfn.IFS(LEFT($G1665,9)="Tranche 1","Tranche 1: cleared",$C1665="Sessions_Level_1_All_Sites","Downstream aggregation of UA raw logs — keep if raw tables go",ISNUMBER(--$C1665),"UA raw site logs (account ID) — keep pending audit-retention check",$C1665="Emag_Reporting","Legacy but likely needed",$C1665="Nutrition_Data_Archived_Tables","Worth keeping",$C1665="EU_Data","Static lookup tables — scripts still reference (smoke-test risk)",TRUE,"Review"),OR($A1665="thg-influencer",$A1665="thg-ingenuity",$A1665="thg-central-marketing",$A1665="thg-seoclarity"),"HOLD — Charlie Stringer to review before deletion",TRUE,"")</f>
        <v>Review</v>
      </c>
      <c r="S1665" t="s">
        <v>1631</v>
      </c>
    </row>
    <row r="1666" spans="1:19" ht="45.75" hidden="1">
      <c r="A1666" t="s">
        <v>89</v>
      </c>
      <c r="B1666" t="s">
        <v>1619</v>
      </c>
      <c r="C1666" t="s">
        <v>3965</v>
      </c>
      <c r="D1666" s="2" t="s">
        <v>1621</v>
      </c>
      <c r="E1666">
        <v>5.9</v>
      </c>
      <c r="F1666">
        <v>0.12</v>
      </c>
      <c r="G1666" t="s">
        <v>72</v>
      </c>
      <c r="H1666" t="s">
        <v>3457</v>
      </c>
      <c r="I1666">
        <v>35</v>
      </c>
      <c r="J1666">
        <v>1005</v>
      </c>
      <c r="K1666" s="5">
        <v>46161.589886226851</v>
      </c>
      <c r="M1666" s="2" t="s">
        <v>3402</v>
      </c>
      <c r="N1666" s="2" t="s">
        <v>1701</v>
      </c>
      <c r="O1666" s="5">
        <v>45191.581316944437</v>
      </c>
      <c r="P1666" t="str">
        <f>IF($Q1666="DELETE",IF($S1666="CONFIRMED: NO MODS &gt; 1YR","CONFIRMED: NO MODS &gt; 1YR","DO NOT DELETE — not defensibly confirmed"),IF($Q1666="HOLD","DO NOT DELETE — HOLD (Charlie review)",IF($Q1666="KEEP","DO NOT DELETE — KEEP",IF(ISNUMBER(SEARCH("REVIEW",$Q1666)),"DO NOT DELETE — REVIEW pending",$S1666))))</f>
        <v>DO NOT DELETE — REVIEW pending</v>
      </c>
      <c r="Q1666" t="str" cm="1">
        <f t="array" ref="Q1666">_xlfn.IFS(AND($A1666="thg-beauty",ISNUMBER(SEARCH("liveramp",$C1666))),"DELETE",$A1666="agile-bonbon-662",_xlfn.IFS(LEFT($G1666,9)="Tranche 1","DELETE",$C1666="Sessions_Level_1_All_Sites","KEEP",ISNUMBER(--$C1666),"REVIEW — UA raw logs",$C1666="Emag_Reporting","KEEP",$C1666="Nutrition_Data_Archived_Tables","KEEP",$C1666="EU_Data","KEEP",TRUE,"REVIEW"),OR($A1666="thg-influencer",$A1666="thg-ingenuity",$A1666="thg-central-marketing",$A1666="thg-seoclarity"),"HOLD",TRUE,"")</f>
        <v>REVIEW — UA raw logs</v>
      </c>
      <c r="R1666" t="str" cm="1">
        <f t="array" ref="R1666">_xlfn.IFS(AND($A1666="thg-beauty",ISNUMBER(SEARCH("liveramp",$C1666))),"thg-beauty Liveramp dataset — confirmed safe to delete",$A1666="agile-bonbon-662",_xlfn.IFS(LEFT($G1666,9)="Tranche 1","Tranche 1: cleared",$C1666="Sessions_Level_1_All_Sites","Downstream aggregation of UA raw logs — keep if raw tables go",ISNUMBER(--$C1666),"UA raw site logs (account ID) — keep pending audit-retention check",$C1666="Emag_Reporting","Legacy but likely needed",$C1666="Nutrition_Data_Archived_Tables","Worth keeping",$C1666="EU_Data","Static lookup tables — scripts still reference (smoke-test risk)",TRUE,"Review"),OR($A1666="thg-influencer",$A1666="thg-ingenuity",$A1666="thg-central-marketing",$A1666="thg-seoclarity"),"HOLD — Charlie Stringer to review before deletion",TRUE,"")</f>
        <v>UA raw site logs (account ID) — keep pending audit-retention check</v>
      </c>
      <c r="S1666" t="s">
        <v>1631</v>
      </c>
    </row>
    <row r="1667" spans="1:19" ht="45.75" hidden="1">
      <c r="A1667" t="s">
        <v>89</v>
      </c>
      <c r="B1667" t="s">
        <v>1619</v>
      </c>
      <c r="C1667" t="s">
        <v>3966</v>
      </c>
      <c r="D1667" s="2" t="s">
        <v>1621</v>
      </c>
      <c r="E1667">
        <v>5.74</v>
      </c>
      <c r="F1667">
        <v>0.11</v>
      </c>
      <c r="G1667" t="s">
        <v>72</v>
      </c>
      <c r="H1667" t="s">
        <v>3457</v>
      </c>
      <c r="I1667">
        <v>35</v>
      </c>
      <c r="J1667">
        <v>757</v>
      </c>
      <c r="K1667" s="5">
        <v>46161.597914247694</v>
      </c>
      <c r="M1667" s="2" t="s">
        <v>3416</v>
      </c>
      <c r="N1667" s="2" t="s">
        <v>1701</v>
      </c>
      <c r="O1667" s="5">
        <v>45439.555517025467</v>
      </c>
      <c r="P1667" t="str">
        <f>IF($Q1667="DELETE",IF($S1667="CONFIRMED: NO MODS &gt; 1YR","CONFIRMED: NO MODS &gt; 1YR","DO NOT DELETE — not defensibly confirmed"),IF($Q1667="HOLD","DO NOT DELETE — HOLD (Charlie review)",IF($Q1667="KEEP","DO NOT DELETE — KEEP",IF(ISNUMBER(SEARCH("REVIEW",$Q1667)),"DO NOT DELETE — REVIEW pending",$S1667))))</f>
        <v>DO NOT DELETE — REVIEW pending</v>
      </c>
      <c r="Q1667" t="str" cm="1">
        <f t="array" ref="Q1667">_xlfn.IFS(AND($A1667="thg-beauty",ISNUMBER(SEARCH("liveramp",$C1667))),"DELETE",$A1667="agile-bonbon-662",_xlfn.IFS(LEFT($G1667,9)="Tranche 1","DELETE",$C1667="Sessions_Level_1_All_Sites","KEEP",ISNUMBER(--$C1667),"REVIEW — UA raw logs",$C1667="Emag_Reporting","KEEP",$C1667="Nutrition_Data_Archived_Tables","KEEP",$C1667="EU_Data","KEEP",TRUE,"REVIEW"),OR($A1667="thg-influencer",$A1667="thg-ingenuity",$A1667="thg-central-marketing",$A1667="thg-seoclarity"),"HOLD",TRUE,"")</f>
        <v>REVIEW — UA raw logs</v>
      </c>
      <c r="R1667" t="str" cm="1">
        <f t="array" ref="R1667">_xlfn.IFS(AND($A1667="thg-beauty",ISNUMBER(SEARCH("liveramp",$C1667))),"thg-beauty Liveramp dataset — confirmed safe to delete",$A1667="agile-bonbon-662",_xlfn.IFS(LEFT($G1667,9)="Tranche 1","Tranche 1: cleared",$C1667="Sessions_Level_1_All_Sites","Downstream aggregation of UA raw logs — keep if raw tables go",ISNUMBER(--$C1667),"UA raw site logs (account ID) — keep pending audit-retention check",$C1667="Emag_Reporting","Legacy but likely needed",$C1667="Nutrition_Data_Archived_Tables","Worth keeping",$C1667="EU_Data","Static lookup tables — scripts still reference (smoke-test risk)",TRUE,"Review"),OR($A1667="thg-influencer",$A1667="thg-ingenuity",$A1667="thg-central-marketing",$A1667="thg-seoclarity"),"HOLD — Charlie Stringer to review before deletion",TRUE,"")</f>
        <v>UA raw site logs (account ID) — keep pending audit-retention check</v>
      </c>
      <c r="S1667" t="s">
        <v>1631</v>
      </c>
    </row>
    <row r="1668" spans="1:19" ht="45.75" hidden="1">
      <c r="A1668" t="s">
        <v>89</v>
      </c>
      <c r="B1668" t="s">
        <v>1619</v>
      </c>
      <c r="C1668" t="s">
        <v>3967</v>
      </c>
      <c r="D1668" s="2" t="s">
        <v>1621</v>
      </c>
      <c r="E1668">
        <v>5.67</v>
      </c>
      <c r="F1668">
        <v>0.11</v>
      </c>
      <c r="G1668" t="s">
        <v>72</v>
      </c>
      <c r="H1668" t="s">
        <v>3457</v>
      </c>
      <c r="I1668">
        <v>35</v>
      </c>
      <c r="J1668">
        <v>731</v>
      </c>
      <c r="K1668" s="5">
        <v>46161.595242094911</v>
      </c>
      <c r="M1668" s="2" t="s">
        <v>3426</v>
      </c>
      <c r="N1668" s="2" t="s">
        <v>1701</v>
      </c>
      <c r="O1668" s="5">
        <v>45466.286333796299</v>
      </c>
      <c r="P1668" t="str">
        <f>IF($Q1668="DELETE",IF($S1668="CONFIRMED: NO MODS &gt; 1YR","CONFIRMED: NO MODS &gt; 1YR","DO NOT DELETE — not defensibly confirmed"),IF($Q1668="HOLD","DO NOT DELETE — HOLD (Charlie review)",IF($Q1668="KEEP","DO NOT DELETE — KEEP",IF(ISNUMBER(SEARCH("REVIEW",$Q1668)),"DO NOT DELETE — REVIEW pending",$S1668))))</f>
        <v>DO NOT DELETE — REVIEW pending</v>
      </c>
      <c r="Q1668" t="str" cm="1">
        <f t="array" ref="Q1668">_xlfn.IFS(AND($A1668="thg-beauty",ISNUMBER(SEARCH("liveramp",$C1668))),"DELETE",$A1668="agile-bonbon-662",_xlfn.IFS(LEFT($G1668,9)="Tranche 1","DELETE",$C1668="Sessions_Level_1_All_Sites","KEEP",ISNUMBER(--$C1668),"REVIEW — UA raw logs",$C1668="Emag_Reporting","KEEP",$C1668="Nutrition_Data_Archived_Tables","KEEP",$C1668="EU_Data","KEEP",TRUE,"REVIEW"),OR($A1668="thg-influencer",$A1668="thg-ingenuity",$A1668="thg-central-marketing",$A1668="thg-seoclarity"),"HOLD",TRUE,"")</f>
        <v>REVIEW — UA raw logs</v>
      </c>
      <c r="R1668" t="str" cm="1">
        <f t="array" ref="R1668">_xlfn.IFS(AND($A1668="thg-beauty",ISNUMBER(SEARCH("liveramp",$C1668))),"thg-beauty Liveramp dataset — confirmed safe to delete",$A1668="agile-bonbon-662",_xlfn.IFS(LEFT($G1668,9)="Tranche 1","Tranche 1: cleared",$C1668="Sessions_Level_1_All_Sites","Downstream aggregation of UA raw logs — keep if raw tables go",ISNUMBER(--$C1668),"UA raw site logs (account ID) — keep pending audit-retention check",$C1668="Emag_Reporting","Legacy but likely needed",$C1668="Nutrition_Data_Archived_Tables","Worth keeping",$C1668="EU_Data","Static lookup tables — scripts still reference (smoke-test risk)",TRUE,"Review"),OR($A1668="thg-influencer",$A1668="thg-ingenuity",$A1668="thg-central-marketing",$A1668="thg-seoclarity"),"HOLD — Charlie Stringer to review before deletion",TRUE,"")</f>
        <v>UA raw site logs (account ID) — keep pending audit-retention check</v>
      </c>
      <c r="S1668" t="s">
        <v>1631</v>
      </c>
    </row>
    <row r="1669" spans="1:19" ht="45.75" hidden="1">
      <c r="A1669" t="s">
        <v>89</v>
      </c>
      <c r="B1669" t="s">
        <v>1619</v>
      </c>
      <c r="C1669" t="s">
        <v>3968</v>
      </c>
      <c r="D1669" s="2" t="s">
        <v>1621</v>
      </c>
      <c r="E1669">
        <v>5.65</v>
      </c>
      <c r="F1669">
        <v>0.11</v>
      </c>
      <c r="G1669" t="s">
        <v>72</v>
      </c>
      <c r="H1669" t="s">
        <v>3457</v>
      </c>
      <c r="I1669">
        <v>35</v>
      </c>
      <c r="J1669">
        <v>723</v>
      </c>
      <c r="K1669" s="5">
        <v>46161.592183252324</v>
      </c>
      <c r="M1669" s="2" t="s">
        <v>3448</v>
      </c>
      <c r="N1669" s="2" t="s">
        <v>1701</v>
      </c>
      <c r="O1669" s="5">
        <v>45474.278984143522</v>
      </c>
      <c r="P1669" t="str">
        <f>IF($Q1669="DELETE",IF($S1669="CONFIRMED: NO MODS &gt; 1YR","CONFIRMED: NO MODS &gt; 1YR","DO NOT DELETE — not defensibly confirmed"),IF($Q1669="HOLD","DO NOT DELETE — HOLD (Charlie review)",IF($Q1669="KEEP","DO NOT DELETE — KEEP",IF(ISNUMBER(SEARCH("REVIEW",$Q1669)),"DO NOT DELETE — REVIEW pending",$S1669))))</f>
        <v>DO NOT DELETE — REVIEW pending</v>
      </c>
      <c r="Q1669" t="str" cm="1">
        <f t="array" ref="Q1669">_xlfn.IFS(AND($A1669="thg-beauty",ISNUMBER(SEARCH("liveramp",$C1669))),"DELETE",$A1669="agile-bonbon-662",_xlfn.IFS(LEFT($G1669,9)="Tranche 1","DELETE",$C1669="Sessions_Level_1_All_Sites","KEEP",ISNUMBER(--$C1669),"REVIEW — UA raw logs",$C1669="Emag_Reporting","KEEP",$C1669="Nutrition_Data_Archived_Tables","KEEP",$C1669="EU_Data","KEEP",TRUE,"REVIEW"),OR($A1669="thg-influencer",$A1669="thg-ingenuity",$A1669="thg-central-marketing",$A1669="thg-seoclarity"),"HOLD",TRUE,"")</f>
        <v>REVIEW — UA raw logs</v>
      </c>
      <c r="R1669" t="str" cm="1">
        <f t="array" ref="R1669">_xlfn.IFS(AND($A1669="thg-beauty",ISNUMBER(SEARCH("liveramp",$C1669))),"thg-beauty Liveramp dataset — confirmed safe to delete",$A1669="agile-bonbon-662",_xlfn.IFS(LEFT($G1669,9)="Tranche 1","Tranche 1: cleared",$C1669="Sessions_Level_1_All_Sites","Downstream aggregation of UA raw logs — keep if raw tables go",ISNUMBER(--$C1669),"UA raw site logs (account ID) — keep pending audit-retention check",$C1669="Emag_Reporting","Legacy but likely needed",$C1669="Nutrition_Data_Archived_Tables","Worth keeping",$C1669="EU_Data","Static lookup tables — scripts still reference (smoke-test risk)",TRUE,"Review"),OR($A1669="thg-influencer",$A1669="thg-ingenuity",$A1669="thg-central-marketing",$A1669="thg-seoclarity"),"HOLD — Charlie Stringer to review before deletion",TRUE,"")</f>
        <v>UA raw site logs (account ID) — keep pending audit-retention check</v>
      </c>
      <c r="S1669" t="s">
        <v>1631</v>
      </c>
    </row>
    <row r="1670" spans="1:19" ht="45.75" hidden="1">
      <c r="A1670" t="s">
        <v>89</v>
      </c>
      <c r="B1670" t="s">
        <v>1619</v>
      </c>
      <c r="C1670" t="s">
        <v>3969</v>
      </c>
      <c r="D1670" s="2" t="s">
        <v>1621</v>
      </c>
      <c r="E1670">
        <v>5.45</v>
      </c>
      <c r="F1670">
        <v>0.11</v>
      </c>
      <c r="G1670" t="s">
        <v>72</v>
      </c>
      <c r="H1670" t="s">
        <v>3457</v>
      </c>
      <c r="I1670">
        <v>35</v>
      </c>
      <c r="J1670">
        <v>2563</v>
      </c>
      <c r="K1670" s="5">
        <v>46161.60056240741</v>
      </c>
      <c r="M1670" s="2" t="s">
        <v>3428</v>
      </c>
      <c r="N1670" s="2" t="s">
        <v>1701</v>
      </c>
      <c r="O1670" s="5">
        <v>43633.482076365741</v>
      </c>
      <c r="P1670" t="str">
        <f>IF($Q1670="DELETE",IF($S1670="CONFIRMED: NO MODS &gt; 1YR","CONFIRMED: NO MODS &gt; 1YR","DO NOT DELETE — not defensibly confirmed"),IF($Q1670="HOLD","DO NOT DELETE — HOLD (Charlie review)",IF($Q1670="KEEP","DO NOT DELETE — KEEP",IF(ISNUMBER(SEARCH("REVIEW",$Q1670)),"DO NOT DELETE — REVIEW pending",$S1670))))</f>
        <v>DO NOT DELETE — REVIEW pending</v>
      </c>
      <c r="Q1670" t="str" cm="1">
        <f t="array" ref="Q1670">_xlfn.IFS(AND($A1670="thg-beauty",ISNUMBER(SEARCH("liveramp",$C1670))),"DELETE",$A1670="agile-bonbon-662",_xlfn.IFS(LEFT($G1670,9)="Tranche 1","DELETE",$C1670="Sessions_Level_1_All_Sites","KEEP",ISNUMBER(--$C1670),"REVIEW — UA raw logs",$C1670="Emag_Reporting","KEEP",$C1670="Nutrition_Data_Archived_Tables","KEEP",$C1670="EU_Data","KEEP",TRUE,"REVIEW"),OR($A1670="thg-influencer",$A1670="thg-ingenuity",$A1670="thg-central-marketing",$A1670="thg-seoclarity"),"HOLD",TRUE,"")</f>
        <v>REVIEW — UA raw logs</v>
      </c>
      <c r="R1670" t="str" cm="1">
        <f t="array" ref="R1670">_xlfn.IFS(AND($A1670="thg-beauty",ISNUMBER(SEARCH("liveramp",$C1670))),"thg-beauty Liveramp dataset — confirmed safe to delete",$A1670="agile-bonbon-662",_xlfn.IFS(LEFT($G1670,9)="Tranche 1","Tranche 1: cleared",$C1670="Sessions_Level_1_All_Sites","Downstream aggregation of UA raw logs — keep if raw tables go",ISNUMBER(--$C1670),"UA raw site logs (account ID) — keep pending audit-retention check",$C1670="Emag_Reporting","Legacy but likely needed",$C1670="Nutrition_Data_Archived_Tables","Worth keeping",$C1670="EU_Data","Static lookup tables — scripts still reference (smoke-test risk)",TRUE,"Review"),OR($A1670="thg-influencer",$A1670="thg-ingenuity",$A1670="thg-central-marketing",$A1670="thg-seoclarity"),"HOLD — Charlie Stringer to review before deletion",TRUE,"")</f>
        <v>UA raw site logs (account ID) — keep pending audit-retention check</v>
      </c>
      <c r="S1670" t="s">
        <v>1631</v>
      </c>
    </row>
    <row r="1671" spans="1:19" ht="76.5" hidden="1">
      <c r="A1671" t="s">
        <v>89</v>
      </c>
      <c r="B1671" t="s">
        <v>1619</v>
      </c>
      <c r="C1671" t="s">
        <v>3970</v>
      </c>
      <c r="D1671" s="2" t="s">
        <v>1621</v>
      </c>
      <c r="E1671">
        <v>5.45</v>
      </c>
      <c r="F1671">
        <v>0.11</v>
      </c>
      <c r="G1671" t="s">
        <v>72</v>
      </c>
      <c r="H1671" t="s">
        <v>3457</v>
      </c>
      <c r="I1671">
        <v>35</v>
      </c>
      <c r="J1671">
        <v>1770</v>
      </c>
      <c r="K1671" s="5">
        <v>46161.579944560188</v>
      </c>
      <c r="M1671" s="2" t="s">
        <v>3971</v>
      </c>
      <c r="N1671" s="2" t="s">
        <v>1701</v>
      </c>
      <c r="O1671" s="5">
        <v>44426.551765046293</v>
      </c>
      <c r="P1671" t="str">
        <f>IF($Q1671="DELETE",IF($S1671="CONFIRMED: NO MODS &gt; 1YR","CONFIRMED: NO MODS &gt; 1YR","DO NOT DELETE — not defensibly confirmed"),IF($Q1671="HOLD","DO NOT DELETE — HOLD (Charlie review)",IF($Q1671="KEEP","DO NOT DELETE — KEEP",IF(ISNUMBER(SEARCH("REVIEW",$Q1671)),"DO NOT DELETE — REVIEW pending",$S1671))))</f>
        <v>DO NOT DELETE — REVIEW pending</v>
      </c>
      <c r="Q1671" t="str" cm="1">
        <f t="array" ref="Q1671">_xlfn.IFS(AND($A1671="thg-beauty",ISNUMBER(SEARCH("liveramp",$C1671))),"DELETE",$A1671="agile-bonbon-662",_xlfn.IFS(LEFT($G1671,9)="Tranche 1","DELETE",$C1671="Sessions_Level_1_All_Sites","KEEP",ISNUMBER(--$C1671),"REVIEW — UA raw logs",$C1671="Emag_Reporting","KEEP",$C1671="Nutrition_Data_Archived_Tables","KEEP",$C1671="EU_Data","KEEP",TRUE,"REVIEW"),OR($A1671="thg-influencer",$A1671="thg-ingenuity",$A1671="thg-central-marketing",$A1671="thg-seoclarity"),"HOLD",TRUE,"")</f>
        <v>REVIEW</v>
      </c>
      <c r="R1671" t="str" cm="1">
        <f t="array" ref="R1671">_xlfn.IFS(AND($A1671="thg-beauty",ISNUMBER(SEARCH("liveramp",$C1671))),"thg-beauty Liveramp dataset — confirmed safe to delete",$A1671="agile-bonbon-662",_xlfn.IFS(LEFT($G1671,9)="Tranche 1","Tranche 1: cleared",$C1671="Sessions_Level_1_All_Sites","Downstream aggregation of UA raw logs — keep if raw tables go",ISNUMBER(--$C1671),"UA raw site logs (account ID) — keep pending audit-retention check",$C1671="Emag_Reporting","Legacy but likely needed",$C1671="Nutrition_Data_Archived_Tables","Worth keeping",$C1671="EU_Data","Static lookup tables — scripts still reference (smoke-test risk)",TRUE,"Review"),OR($A1671="thg-influencer",$A1671="thg-ingenuity",$A1671="thg-central-marketing",$A1671="thg-seoclarity"),"HOLD — Charlie Stringer to review before deletion",TRUE,"")</f>
        <v>Review</v>
      </c>
      <c r="S1671" t="s">
        <v>1631</v>
      </c>
    </row>
    <row r="1672" spans="1:19" ht="45.75" hidden="1">
      <c r="A1672" t="s">
        <v>89</v>
      </c>
      <c r="B1672" t="s">
        <v>1619</v>
      </c>
      <c r="C1672" t="s">
        <v>3972</v>
      </c>
      <c r="D1672" s="2" t="s">
        <v>1621</v>
      </c>
      <c r="E1672">
        <v>5.37</v>
      </c>
      <c r="F1672">
        <v>0.11</v>
      </c>
      <c r="G1672" t="s">
        <v>72</v>
      </c>
      <c r="H1672" t="s">
        <v>3457</v>
      </c>
      <c r="I1672">
        <v>35</v>
      </c>
      <c r="J1672">
        <v>760</v>
      </c>
      <c r="K1672" s="5">
        <v>46161.594207060189</v>
      </c>
      <c r="M1672" s="2" t="s">
        <v>2273</v>
      </c>
      <c r="N1672" s="2" t="s">
        <v>1701</v>
      </c>
      <c r="O1672" s="5">
        <v>45437.258048703698</v>
      </c>
      <c r="P1672" t="str">
        <f>IF($Q1672="DELETE",IF($S1672="CONFIRMED: NO MODS &gt; 1YR","CONFIRMED: NO MODS &gt; 1YR","DO NOT DELETE — not defensibly confirmed"),IF($Q1672="HOLD","DO NOT DELETE — HOLD (Charlie review)",IF($Q1672="KEEP","DO NOT DELETE — KEEP",IF(ISNUMBER(SEARCH("REVIEW",$Q1672)),"DO NOT DELETE — REVIEW pending",$S1672))))</f>
        <v>DO NOT DELETE — REVIEW pending</v>
      </c>
      <c r="Q1672" t="str" cm="1">
        <f t="array" ref="Q1672">_xlfn.IFS(AND($A1672="thg-beauty",ISNUMBER(SEARCH("liveramp",$C1672))),"DELETE",$A1672="agile-bonbon-662",_xlfn.IFS(LEFT($G1672,9)="Tranche 1","DELETE",$C1672="Sessions_Level_1_All_Sites","KEEP",ISNUMBER(--$C1672),"REVIEW — UA raw logs",$C1672="Emag_Reporting","KEEP",$C1672="Nutrition_Data_Archived_Tables","KEEP",$C1672="EU_Data","KEEP",TRUE,"REVIEW"),OR($A1672="thg-influencer",$A1672="thg-ingenuity",$A1672="thg-central-marketing",$A1672="thg-seoclarity"),"HOLD",TRUE,"")</f>
        <v>REVIEW — UA raw logs</v>
      </c>
      <c r="R1672" t="str" cm="1">
        <f t="array" ref="R1672">_xlfn.IFS(AND($A1672="thg-beauty",ISNUMBER(SEARCH("liveramp",$C1672))),"thg-beauty Liveramp dataset — confirmed safe to delete",$A1672="agile-bonbon-662",_xlfn.IFS(LEFT($G1672,9)="Tranche 1","Tranche 1: cleared",$C1672="Sessions_Level_1_All_Sites","Downstream aggregation of UA raw logs — keep if raw tables go",ISNUMBER(--$C1672),"UA raw site logs (account ID) — keep pending audit-retention check",$C1672="Emag_Reporting","Legacy but likely needed",$C1672="Nutrition_Data_Archived_Tables","Worth keeping",$C1672="EU_Data","Static lookup tables — scripts still reference (smoke-test risk)",TRUE,"Review"),OR($A1672="thg-influencer",$A1672="thg-ingenuity",$A1672="thg-central-marketing",$A1672="thg-seoclarity"),"HOLD — Charlie Stringer to review before deletion",TRUE,"")</f>
        <v>UA raw site logs (account ID) — keep pending audit-retention check</v>
      </c>
      <c r="S1672" t="s">
        <v>1631</v>
      </c>
    </row>
    <row r="1673" spans="1:19" ht="45.75" hidden="1">
      <c r="A1673" t="s">
        <v>89</v>
      </c>
      <c r="B1673" t="s">
        <v>1619</v>
      </c>
      <c r="C1673" t="s">
        <v>3973</v>
      </c>
      <c r="D1673" s="2" t="s">
        <v>1621</v>
      </c>
      <c r="E1673">
        <v>5.32</v>
      </c>
      <c r="F1673">
        <v>0.11</v>
      </c>
      <c r="G1673" t="s">
        <v>72</v>
      </c>
      <c r="H1673" t="s">
        <v>3457</v>
      </c>
      <c r="I1673">
        <v>35</v>
      </c>
      <c r="J1673">
        <v>1102</v>
      </c>
      <c r="K1673" s="5">
        <v>46161.616108495371</v>
      </c>
      <c r="M1673" s="2" t="s">
        <v>1938</v>
      </c>
      <c r="N1673" s="2" t="s">
        <v>1701</v>
      </c>
      <c r="O1673" s="5">
        <v>45094.498565706017</v>
      </c>
      <c r="P1673" t="str">
        <f>IF($Q1673="DELETE",IF($S1673="CONFIRMED: NO MODS &gt; 1YR","CONFIRMED: NO MODS &gt; 1YR","DO NOT DELETE — not defensibly confirmed"),IF($Q1673="HOLD","DO NOT DELETE — HOLD (Charlie review)",IF($Q1673="KEEP","DO NOT DELETE — KEEP",IF(ISNUMBER(SEARCH("REVIEW",$Q1673)),"DO NOT DELETE — REVIEW pending",$S1673))))</f>
        <v>DO NOT DELETE — REVIEW pending</v>
      </c>
      <c r="Q1673" t="str" cm="1">
        <f t="array" ref="Q1673">_xlfn.IFS(AND($A1673="thg-beauty",ISNUMBER(SEARCH("liveramp",$C1673))),"DELETE",$A1673="agile-bonbon-662",_xlfn.IFS(LEFT($G1673,9)="Tranche 1","DELETE",$C1673="Sessions_Level_1_All_Sites","KEEP",ISNUMBER(--$C1673),"REVIEW — UA raw logs",$C1673="Emag_Reporting","KEEP",$C1673="Nutrition_Data_Archived_Tables","KEEP",$C1673="EU_Data","KEEP",TRUE,"REVIEW"),OR($A1673="thg-influencer",$A1673="thg-ingenuity",$A1673="thg-central-marketing",$A1673="thg-seoclarity"),"HOLD",TRUE,"")</f>
        <v>REVIEW</v>
      </c>
      <c r="R1673" t="str" cm="1">
        <f t="array" ref="R1673">_xlfn.IFS(AND($A1673="thg-beauty",ISNUMBER(SEARCH("liveramp",$C1673))),"thg-beauty Liveramp dataset — confirmed safe to delete",$A1673="agile-bonbon-662",_xlfn.IFS(LEFT($G1673,9)="Tranche 1","Tranche 1: cleared",$C1673="Sessions_Level_1_All_Sites","Downstream aggregation of UA raw logs — keep if raw tables go",ISNUMBER(--$C1673),"UA raw site logs (account ID) — keep pending audit-retention check",$C1673="Emag_Reporting","Legacy but likely needed",$C1673="Nutrition_Data_Archived_Tables","Worth keeping",$C1673="EU_Data","Static lookup tables — scripts still reference (smoke-test risk)",TRUE,"Review"),OR($A1673="thg-influencer",$A1673="thg-ingenuity",$A1673="thg-central-marketing",$A1673="thg-seoclarity"),"HOLD — Charlie Stringer to review before deletion",TRUE,"")</f>
        <v>Review</v>
      </c>
      <c r="S1673" t="s">
        <v>1631</v>
      </c>
    </row>
    <row r="1674" spans="1:19" ht="45.75" hidden="1">
      <c r="A1674" t="s">
        <v>89</v>
      </c>
      <c r="B1674" t="s">
        <v>1619</v>
      </c>
      <c r="C1674" t="s">
        <v>3974</v>
      </c>
      <c r="D1674" s="2" t="s">
        <v>1621</v>
      </c>
      <c r="E1674">
        <v>5.3</v>
      </c>
      <c r="F1674">
        <v>0.11</v>
      </c>
      <c r="G1674" t="s">
        <v>72</v>
      </c>
      <c r="H1674" t="s">
        <v>3457</v>
      </c>
      <c r="I1674">
        <v>35</v>
      </c>
      <c r="J1674">
        <v>2227</v>
      </c>
      <c r="K1674" s="5">
        <v>46161.591231446757</v>
      </c>
      <c r="M1674" s="2" t="s">
        <v>3418</v>
      </c>
      <c r="N1674" s="2" t="s">
        <v>1701</v>
      </c>
      <c r="O1674" s="5">
        <v>43970.218937951387</v>
      </c>
      <c r="P1674" t="str">
        <f>IF($Q1674="DELETE",IF($S1674="CONFIRMED: NO MODS &gt; 1YR","CONFIRMED: NO MODS &gt; 1YR","DO NOT DELETE — not defensibly confirmed"),IF($Q1674="HOLD","DO NOT DELETE — HOLD (Charlie review)",IF($Q1674="KEEP","DO NOT DELETE — KEEP",IF(ISNUMBER(SEARCH("REVIEW",$Q1674)),"DO NOT DELETE — REVIEW pending",$S1674))))</f>
        <v>DO NOT DELETE — REVIEW pending</v>
      </c>
      <c r="Q1674" t="str" cm="1">
        <f t="array" ref="Q1674">_xlfn.IFS(AND($A1674="thg-beauty",ISNUMBER(SEARCH("liveramp",$C1674))),"DELETE",$A1674="agile-bonbon-662",_xlfn.IFS(LEFT($G1674,9)="Tranche 1","DELETE",$C1674="Sessions_Level_1_All_Sites","KEEP",ISNUMBER(--$C1674),"REVIEW — UA raw logs",$C1674="Emag_Reporting","KEEP",$C1674="Nutrition_Data_Archived_Tables","KEEP",$C1674="EU_Data","KEEP",TRUE,"REVIEW"),OR($A1674="thg-influencer",$A1674="thg-ingenuity",$A1674="thg-central-marketing",$A1674="thg-seoclarity"),"HOLD",TRUE,"")</f>
        <v>REVIEW — UA raw logs</v>
      </c>
      <c r="R1674" t="str" cm="1">
        <f t="array" ref="R1674">_xlfn.IFS(AND($A1674="thg-beauty",ISNUMBER(SEARCH("liveramp",$C1674))),"thg-beauty Liveramp dataset — confirmed safe to delete",$A1674="agile-bonbon-662",_xlfn.IFS(LEFT($G1674,9)="Tranche 1","Tranche 1: cleared",$C1674="Sessions_Level_1_All_Sites","Downstream aggregation of UA raw logs — keep if raw tables go",ISNUMBER(--$C1674),"UA raw site logs (account ID) — keep pending audit-retention check",$C1674="Emag_Reporting","Legacy but likely needed",$C1674="Nutrition_Data_Archived_Tables","Worth keeping",$C1674="EU_Data","Static lookup tables — scripts still reference (smoke-test risk)",TRUE,"Review"),OR($A1674="thg-influencer",$A1674="thg-ingenuity",$A1674="thg-central-marketing",$A1674="thg-seoclarity"),"HOLD — Charlie Stringer to review before deletion",TRUE,"")</f>
        <v>UA raw site logs (account ID) — keep pending audit-retention check</v>
      </c>
      <c r="S1674" t="s">
        <v>1631</v>
      </c>
    </row>
    <row r="1675" spans="1:19" ht="76.5" hidden="1">
      <c r="A1675" t="s">
        <v>89</v>
      </c>
      <c r="B1675" t="s">
        <v>1619</v>
      </c>
      <c r="C1675" t="s">
        <v>3975</v>
      </c>
      <c r="D1675" s="2" t="s">
        <v>1621</v>
      </c>
      <c r="E1675">
        <v>5.22</v>
      </c>
      <c r="F1675">
        <v>0.1</v>
      </c>
      <c r="G1675" t="s">
        <v>72</v>
      </c>
      <c r="H1675" t="s">
        <v>3457</v>
      </c>
      <c r="I1675">
        <v>35</v>
      </c>
      <c r="J1675">
        <v>813</v>
      </c>
      <c r="K1675" s="5">
        <v>46161.580721319442</v>
      </c>
      <c r="M1675" s="2" t="s">
        <v>3976</v>
      </c>
      <c r="N1675" s="2" t="s">
        <v>1701</v>
      </c>
      <c r="O1675" s="5">
        <v>45384.32829578704</v>
      </c>
      <c r="P1675" t="str">
        <f>IF($Q1675="DELETE",IF($S1675="CONFIRMED: NO MODS &gt; 1YR","CONFIRMED: NO MODS &gt; 1YR","DO NOT DELETE — not defensibly confirmed"),IF($Q1675="HOLD","DO NOT DELETE — HOLD (Charlie review)",IF($Q1675="KEEP","DO NOT DELETE — KEEP",IF(ISNUMBER(SEARCH("REVIEW",$Q1675)),"DO NOT DELETE — REVIEW pending",$S1675))))</f>
        <v>DO NOT DELETE — REVIEW pending</v>
      </c>
      <c r="Q1675" t="str" cm="1">
        <f t="array" ref="Q1675">_xlfn.IFS(AND($A1675="thg-beauty",ISNUMBER(SEARCH("liveramp",$C1675))),"DELETE",$A1675="agile-bonbon-662",_xlfn.IFS(LEFT($G1675,9)="Tranche 1","DELETE",$C1675="Sessions_Level_1_All_Sites","KEEP",ISNUMBER(--$C1675),"REVIEW — UA raw logs",$C1675="Emag_Reporting","KEEP",$C1675="Nutrition_Data_Archived_Tables","KEEP",$C1675="EU_Data","KEEP",TRUE,"REVIEW"),OR($A1675="thg-influencer",$A1675="thg-ingenuity",$A1675="thg-central-marketing",$A1675="thg-seoclarity"),"HOLD",TRUE,"")</f>
        <v>REVIEW</v>
      </c>
      <c r="R1675" t="str" cm="1">
        <f t="array" ref="R1675">_xlfn.IFS(AND($A1675="thg-beauty",ISNUMBER(SEARCH("liveramp",$C1675))),"thg-beauty Liveramp dataset — confirmed safe to delete",$A1675="agile-bonbon-662",_xlfn.IFS(LEFT($G1675,9)="Tranche 1","Tranche 1: cleared",$C1675="Sessions_Level_1_All_Sites","Downstream aggregation of UA raw logs — keep if raw tables go",ISNUMBER(--$C1675),"UA raw site logs (account ID) — keep pending audit-retention check",$C1675="Emag_Reporting","Legacy but likely needed",$C1675="Nutrition_Data_Archived_Tables","Worth keeping",$C1675="EU_Data","Static lookup tables — scripts still reference (smoke-test risk)",TRUE,"Review"),OR($A1675="thg-influencer",$A1675="thg-ingenuity",$A1675="thg-central-marketing",$A1675="thg-seoclarity"),"HOLD — Charlie Stringer to review before deletion",TRUE,"")</f>
        <v>Review</v>
      </c>
      <c r="S1675" t="s">
        <v>1631</v>
      </c>
    </row>
    <row r="1676" spans="1:19" ht="45.75" hidden="1">
      <c r="A1676" t="s">
        <v>89</v>
      </c>
      <c r="B1676" t="s">
        <v>1619</v>
      </c>
      <c r="C1676" t="s">
        <v>3977</v>
      </c>
      <c r="D1676" s="2" t="s">
        <v>1621</v>
      </c>
      <c r="E1676">
        <v>5.05</v>
      </c>
      <c r="F1676">
        <v>0.1</v>
      </c>
      <c r="G1676" t="s">
        <v>72</v>
      </c>
      <c r="H1676" t="s">
        <v>3457</v>
      </c>
      <c r="I1676">
        <v>35</v>
      </c>
      <c r="J1676">
        <v>723</v>
      </c>
      <c r="K1676" s="5">
        <v>46161.596045763887</v>
      </c>
      <c r="M1676" s="2" t="s">
        <v>3408</v>
      </c>
      <c r="N1676" s="2" t="s">
        <v>1701</v>
      </c>
      <c r="O1676" s="5">
        <v>45474.253241006947</v>
      </c>
      <c r="P1676" t="str">
        <f>IF($Q1676="DELETE",IF($S1676="CONFIRMED: NO MODS &gt; 1YR","CONFIRMED: NO MODS &gt; 1YR","DO NOT DELETE — not defensibly confirmed"),IF($Q1676="HOLD","DO NOT DELETE — HOLD (Charlie review)",IF($Q1676="KEEP","DO NOT DELETE — KEEP",IF(ISNUMBER(SEARCH("REVIEW",$Q1676)),"DO NOT DELETE — REVIEW pending",$S1676))))</f>
        <v>DO NOT DELETE — REVIEW pending</v>
      </c>
      <c r="Q1676" t="str" cm="1">
        <f t="array" ref="Q1676">_xlfn.IFS(AND($A1676="thg-beauty",ISNUMBER(SEARCH("liveramp",$C1676))),"DELETE",$A1676="agile-bonbon-662",_xlfn.IFS(LEFT($G1676,9)="Tranche 1","DELETE",$C1676="Sessions_Level_1_All_Sites","KEEP",ISNUMBER(--$C1676),"REVIEW — UA raw logs",$C1676="Emag_Reporting","KEEP",$C1676="Nutrition_Data_Archived_Tables","KEEP",$C1676="EU_Data","KEEP",TRUE,"REVIEW"),OR($A1676="thg-influencer",$A1676="thg-ingenuity",$A1676="thg-central-marketing",$A1676="thg-seoclarity"),"HOLD",TRUE,"")</f>
        <v>REVIEW — UA raw logs</v>
      </c>
      <c r="R1676" t="str" cm="1">
        <f t="array" ref="R1676">_xlfn.IFS(AND($A1676="thg-beauty",ISNUMBER(SEARCH("liveramp",$C1676))),"thg-beauty Liveramp dataset — confirmed safe to delete",$A1676="agile-bonbon-662",_xlfn.IFS(LEFT($G1676,9)="Tranche 1","Tranche 1: cleared",$C1676="Sessions_Level_1_All_Sites","Downstream aggregation of UA raw logs — keep if raw tables go",ISNUMBER(--$C1676),"UA raw site logs (account ID) — keep pending audit-retention check",$C1676="Emag_Reporting","Legacy but likely needed",$C1676="Nutrition_Data_Archived_Tables","Worth keeping",$C1676="EU_Data","Static lookup tables — scripts still reference (smoke-test risk)",TRUE,"Review"),OR($A1676="thg-influencer",$A1676="thg-ingenuity",$A1676="thg-central-marketing",$A1676="thg-seoclarity"),"HOLD — Charlie Stringer to review before deletion",TRUE,"")</f>
        <v>UA raw site logs (account ID) — keep pending audit-retention check</v>
      </c>
      <c r="S1676" t="s">
        <v>1624</v>
      </c>
    </row>
    <row r="1677" spans="1:19" ht="45.75" hidden="1">
      <c r="A1677" t="s">
        <v>89</v>
      </c>
      <c r="B1677" t="s">
        <v>1619</v>
      </c>
      <c r="C1677" t="s">
        <v>3978</v>
      </c>
      <c r="D1677" s="2" t="s">
        <v>1621</v>
      </c>
      <c r="E1677">
        <v>4.82</v>
      </c>
      <c r="F1677">
        <v>0.1</v>
      </c>
      <c r="G1677" t="s">
        <v>72</v>
      </c>
      <c r="H1677" t="s">
        <v>3457</v>
      </c>
      <c r="I1677">
        <v>35</v>
      </c>
      <c r="J1677">
        <v>723</v>
      </c>
      <c r="K1677" s="5">
        <v>46161.593100138889</v>
      </c>
      <c r="M1677" s="2" t="s">
        <v>3979</v>
      </c>
      <c r="N1677" s="2" t="s">
        <v>1701</v>
      </c>
      <c r="O1677" s="5">
        <v>45474.280510393517</v>
      </c>
      <c r="P1677" t="str">
        <f>IF($Q1677="DELETE",IF($S1677="CONFIRMED: NO MODS &gt; 1YR","CONFIRMED: NO MODS &gt; 1YR","DO NOT DELETE — not defensibly confirmed"),IF($Q1677="HOLD","DO NOT DELETE — HOLD (Charlie review)",IF($Q1677="KEEP","DO NOT DELETE — KEEP",IF(ISNUMBER(SEARCH("REVIEW",$Q1677)),"DO NOT DELETE — REVIEW pending",$S1677))))</f>
        <v>DO NOT DELETE — REVIEW pending</v>
      </c>
      <c r="Q1677" t="str" cm="1">
        <f t="array" ref="Q1677">_xlfn.IFS(AND($A1677="thg-beauty",ISNUMBER(SEARCH("liveramp",$C1677))),"DELETE",$A1677="agile-bonbon-662",_xlfn.IFS(LEFT($G1677,9)="Tranche 1","DELETE",$C1677="Sessions_Level_1_All_Sites","KEEP",ISNUMBER(--$C1677),"REVIEW — UA raw logs",$C1677="Emag_Reporting","KEEP",$C1677="Nutrition_Data_Archived_Tables","KEEP",$C1677="EU_Data","KEEP",TRUE,"REVIEW"),OR($A1677="thg-influencer",$A1677="thg-ingenuity",$A1677="thg-central-marketing",$A1677="thg-seoclarity"),"HOLD",TRUE,"")</f>
        <v>REVIEW — UA raw logs</v>
      </c>
      <c r="R1677" t="str" cm="1">
        <f t="array" ref="R1677">_xlfn.IFS(AND($A1677="thg-beauty",ISNUMBER(SEARCH("liveramp",$C1677))),"thg-beauty Liveramp dataset — confirmed safe to delete",$A1677="agile-bonbon-662",_xlfn.IFS(LEFT($G1677,9)="Tranche 1","Tranche 1: cleared",$C1677="Sessions_Level_1_All_Sites","Downstream aggregation of UA raw logs — keep if raw tables go",ISNUMBER(--$C1677),"UA raw site logs (account ID) — keep pending audit-retention check",$C1677="Emag_Reporting","Legacy but likely needed",$C1677="Nutrition_Data_Archived_Tables","Worth keeping",$C1677="EU_Data","Static lookup tables — scripts still reference (smoke-test risk)",TRUE,"Review"),OR($A1677="thg-influencer",$A1677="thg-ingenuity",$A1677="thg-central-marketing",$A1677="thg-seoclarity"),"HOLD — Charlie Stringer to review before deletion",TRUE,"")</f>
        <v>UA raw site logs (account ID) — keep pending audit-retention check</v>
      </c>
      <c r="S1677" t="s">
        <v>1631</v>
      </c>
    </row>
    <row r="1678" spans="1:19" ht="45.75" hidden="1">
      <c r="A1678" t="s">
        <v>89</v>
      </c>
      <c r="B1678" t="s">
        <v>1619</v>
      </c>
      <c r="C1678" t="s">
        <v>3980</v>
      </c>
      <c r="D1678" s="2" t="s">
        <v>1621</v>
      </c>
      <c r="E1678">
        <v>4.7300000000000004</v>
      </c>
      <c r="F1678">
        <v>0.09</v>
      </c>
      <c r="G1678" t="s">
        <v>72</v>
      </c>
      <c r="H1678" t="s">
        <v>3457</v>
      </c>
      <c r="I1678">
        <v>35</v>
      </c>
      <c r="J1678">
        <v>1966</v>
      </c>
      <c r="K1678" s="5">
        <v>46161.622089675933</v>
      </c>
      <c r="M1678" s="2" t="s">
        <v>3354</v>
      </c>
      <c r="N1678" s="2" t="s">
        <v>1701</v>
      </c>
      <c r="O1678" s="5">
        <v>44231.149622476849</v>
      </c>
      <c r="P1678" t="str">
        <f>IF($Q1678="DELETE",IF($S1678="CONFIRMED: NO MODS &gt; 1YR","CONFIRMED: NO MODS &gt; 1YR","DO NOT DELETE — not defensibly confirmed"),IF($Q1678="HOLD","DO NOT DELETE — HOLD (Charlie review)",IF($Q1678="KEEP","DO NOT DELETE — KEEP",IF(ISNUMBER(SEARCH("REVIEW",$Q1678)),"DO NOT DELETE — REVIEW pending",$S1678))))</f>
        <v>DO NOT DELETE — REVIEW pending</v>
      </c>
      <c r="Q1678" t="str" cm="1">
        <f t="array" ref="Q1678">_xlfn.IFS(AND($A1678="thg-beauty",ISNUMBER(SEARCH("liveramp",$C1678))),"DELETE",$A1678="agile-bonbon-662",_xlfn.IFS(LEFT($G1678,9)="Tranche 1","DELETE",$C1678="Sessions_Level_1_All_Sites","KEEP",ISNUMBER(--$C1678),"REVIEW — UA raw logs",$C1678="Emag_Reporting","KEEP",$C1678="Nutrition_Data_Archived_Tables","KEEP",$C1678="EU_Data","KEEP",TRUE,"REVIEW"),OR($A1678="thg-influencer",$A1678="thg-ingenuity",$A1678="thg-central-marketing",$A1678="thg-seoclarity"),"HOLD",TRUE,"")</f>
        <v>REVIEW</v>
      </c>
      <c r="R1678" t="str" cm="1">
        <f t="array" ref="R1678">_xlfn.IFS(AND($A1678="thg-beauty",ISNUMBER(SEARCH("liveramp",$C1678))),"thg-beauty Liveramp dataset — confirmed safe to delete",$A1678="agile-bonbon-662",_xlfn.IFS(LEFT($G1678,9)="Tranche 1","Tranche 1: cleared",$C1678="Sessions_Level_1_All_Sites","Downstream aggregation of UA raw logs — keep if raw tables go",ISNUMBER(--$C1678),"UA raw site logs (account ID) — keep pending audit-retention check",$C1678="Emag_Reporting","Legacy but likely needed",$C1678="Nutrition_Data_Archived_Tables","Worth keeping",$C1678="EU_Data","Static lookup tables — scripts still reference (smoke-test risk)",TRUE,"Review"),OR($A1678="thg-influencer",$A1678="thg-ingenuity",$A1678="thg-central-marketing",$A1678="thg-seoclarity"),"HOLD — Charlie Stringer to review before deletion",TRUE,"")</f>
        <v>Review</v>
      </c>
      <c r="S1678" t="s">
        <v>1631</v>
      </c>
    </row>
    <row r="1679" spans="1:19" ht="45.75" hidden="1">
      <c r="A1679" t="s">
        <v>89</v>
      </c>
      <c r="B1679" t="s">
        <v>1619</v>
      </c>
      <c r="C1679" t="s">
        <v>3981</v>
      </c>
      <c r="D1679" s="2" t="s">
        <v>1621</v>
      </c>
      <c r="E1679">
        <v>4.7</v>
      </c>
      <c r="F1679">
        <v>0.09</v>
      </c>
      <c r="G1679" t="s">
        <v>72</v>
      </c>
      <c r="H1679" t="s">
        <v>3457</v>
      </c>
      <c r="I1679">
        <v>35</v>
      </c>
      <c r="J1679">
        <v>723</v>
      </c>
      <c r="K1679" s="5">
        <v>46161.593212256943</v>
      </c>
      <c r="M1679" s="2" t="s">
        <v>3979</v>
      </c>
      <c r="N1679" s="2" t="s">
        <v>1701</v>
      </c>
      <c r="O1679" s="5">
        <v>45474.280782881942</v>
      </c>
      <c r="P1679" t="str">
        <f>IF($Q1679="DELETE",IF($S1679="CONFIRMED: NO MODS &gt; 1YR","CONFIRMED: NO MODS &gt; 1YR","DO NOT DELETE — not defensibly confirmed"),IF($Q1679="HOLD","DO NOT DELETE — HOLD (Charlie review)",IF($Q1679="KEEP","DO NOT DELETE — KEEP",IF(ISNUMBER(SEARCH("REVIEW",$Q1679)),"DO NOT DELETE — REVIEW pending",$S1679))))</f>
        <v>DO NOT DELETE — REVIEW pending</v>
      </c>
      <c r="Q1679" t="str" cm="1">
        <f t="array" ref="Q1679">_xlfn.IFS(AND($A1679="thg-beauty",ISNUMBER(SEARCH("liveramp",$C1679))),"DELETE",$A1679="agile-bonbon-662",_xlfn.IFS(LEFT($G1679,9)="Tranche 1","DELETE",$C1679="Sessions_Level_1_All_Sites","KEEP",ISNUMBER(--$C1679),"REVIEW — UA raw logs",$C1679="Emag_Reporting","KEEP",$C1679="Nutrition_Data_Archived_Tables","KEEP",$C1679="EU_Data","KEEP",TRUE,"REVIEW"),OR($A1679="thg-influencer",$A1679="thg-ingenuity",$A1679="thg-central-marketing",$A1679="thg-seoclarity"),"HOLD",TRUE,"")</f>
        <v>REVIEW — UA raw logs</v>
      </c>
      <c r="R1679" t="str" cm="1">
        <f t="array" ref="R1679">_xlfn.IFS(AND($A1679="thg-beauty",ISNUMBER(SEARCH("liveramp",$C1679))),"thg-beauty Liveramp dataset — confirmed safe to delete",$A1679="agile-bonbon-662",_xlfn.IFS(LEFT($G1679,9)="Tranche 1","Tranche 1: cleared",$C1679="Sessions_Level_1_All_Sites","Downstream aggregation of UA raw logs — keep if raw tables go",ISNUMBER(--$C1679),"UA raw site logs (account ID) — keep pending audit-retention check",$C1679="Emag_Reporting","Legacy but likely needed",$C1679="Nutrition_Data_Archived_Tables","Worth keeping",$C1679="EU_Data","Static lookup tables — scripts still reference (smoke-test risk)",TRUE,"Review"),OR($A1679="thg-influencer",$A1679="thg-ingenuity",$A1679="thg-central-marketing",$A1679="thg-seoclarity"),"HOLD — Charlie Stringer to review before deletion",TRUE,"")</f>
        <v>UA raw site logs (account ID) — keep pending audit-retention check</v>
      </c>
      <c r="S1679" t="s">
        <v>1631</v>
      </c>
    </row>
    <row r="1680" spans="1:19" ht="76.5" hidden="1">
      <c r="A1680" t="s">
        <v>89</v>
      </c>
      <c r="B1680" t="s">
        <v>1619</v>
      </c>
      <c r="C1680" t="s">
        <v>3982</v>
      </c>
      <c r="D1680" s="2" t="s">
        <v>1621</v>
      </c>
      <c r="E1680">
        <v>4.59</v>
      </c>
      <c r="F1680">
        <v>0.09</v>
      </c>
      <c r="G1680" t="s">
        <v>72</v>
      </c>
      <c r="H1680" t="s">
        <v>3457</v>
      </c>
      <c r="I1680">
        <v>35</v>
      </c>
      <c r="J1680">
        <v>1729</v>
      </c>
      <c r="K1680" s="5">
        <v>46161.580483379628</v>
      </c>
      <c r="M1680" s="2" t="s">
        <v>2044</v>
      </c>
      <c r="N1680" s="2" t="s">
        <v>1701</v>
      </c>
      <c r="O1680" s="5">
        <v>44467.505152500002</v>
      </c>
      <c r="P1680" t="str">
        <f>IF($Q1680="DELETE",IF($S1680="CONFIRMED: NO MODS &gt; 1YR","CONFIRMED: NO MODS &gt; 1YR","DO NOT DELETE — not defensibly confirmed"),IF($Q1680="HOLD","DO NOT DELETE — HOLD (Charlie review)",IF($Q1680="KEEP","DO NOT DELETE — KEEP",IF(ISNUMBER(SEARCH("REVIEW",$Q1680)),"DO NOT DELETE — REVIEW pending",$S1680))))</f>
        <v>DO NOT DELETE — REVIEW pending</v>
      </c>
      <c r="Q1680" t="str" cm="1">
        <f t="array" ref="Q1680">_xlfn.IFS(AND($A1680="thg-beauty",ISNUMBER(SEARCH("liveramp",$C1680))),"DELETE",$A1680="agile-bonbon-662",_xlfn.IFS(LEFT($G1680,9)="Tranche 1","DELETE",$C1680="Sessions_Level_1_All_Sites","KEEP",ISNUMBER(--$C1680),"REVIEW — UA raw logs",$C1680="Emag_Reporting","KEEP",$C1680="Nutrition_Data_Archived_Tables","KEEP",$C1680="EU_Data","KEEP",TRUE,"REVIEW"),OR($A1680="thg-influencer",$A1680="thg-ingenuity",$A1680="thg-central-marketing",$A1680="thg-seoclarity"),"HOLD",TRUE,"")</f>
        <v>REVIEW</v>
      </c>
      <c r="R1680" t="str" cm="1">
        <f t="array" ref="R1680">_xlfn.IFS(AND($A1680="thg-beauty",ISNUMBER(SEARCH("liveramp",$C1680))),"thg-beauty Liveramp dataset — confirmed safe to delete",$A1680="agile-bonbon-662",_xlfn.IFS(LEFT($G1680,9)="Tranche 1","Tranche 1: cleared",$C1680="Sessions_Level_1_All_Sites","Downstream aggregation of UA raw logs — keep if raw tables go",ISNUMBER(--$C1680),"UA raw site logs (account ID) — keep pending audit-retention check",$C1680="Emag_Reporting","Legacy but likely needed",$C1680="Nutrition_Data_Archived_Tables","Worth keeping",$C1680="EU_Data","Static lookup tables — scripts still reference (smoke-test risk)",TRUE,"Review"),OR($A1680="thg-influencer",$A1680="thg-ingenuity",$A1680="thg-central-marketing",$A1680="thg-seoclarity"),"HOLD — Charlie Stringer to review before deletion",TRUE,"")</f>
        <v>Review</v>
      </c>
      <c r="S1680" t="s">
        <v>1631</v>
      </c>
    </row>
    <row r="1681" spans="1:19" ht="45.75" hidden="1">
      <c r="A1681" t="s">
        <v>89</v>
      </c>
      <c r="B1681" t="s">
        <v>1619</v>
      </c>
      <c r="C1681" t="s">
        <v>3983</v>
      </c>
      <c r="D1681" s="2" t="s">
        <v>1621</v>
      </c>
      <c r="E1681">
        <v>4.57</v>
      </c>
      <c r="F1681">
        <v>0.09</v>
      </c>
      <c r="G1681" t="s">
        <v>72</v>
      </c>
      <c r="H1681" t="s">
        <v>3457</v>
      </c>
      <c r="I1681">
        <v>35</v>
      </c>
      <c r="J1681">
        <v>723</v>
      </c>
      <c r="K1681" s="5">
        <v>46161.587668854168</v>
      </c>
      <c r="M1681" s="2" t="s">
        <v>3413</v>
      </c>
      <c r="N1681" s="2" t="s">
        <v>1701</v>
      </c>
      <c r="O1681" s="5">
        <v>45474.26402052083</v>
      </c>
      <c r="P1681" t="str">
        <f>IF($Q1681="DELETE",IF($S1681="CONFIRMED: NO MODS &gt; 1YR","CONFIRMED: NO MODS &gt; 1YR","DO NOT DELETE — not defensibly confirmed"),IF($Q1681="HOLD","DO NOT DELETE — HOLD (Charlie review)",IF($Q1681="KEEP","DO NOT DELETE — KEEP",IF(ISNUMBER(SEARCH("REVIEW",$Q1681)),"DO NOT DELETE — REVIEW pending",$S1681))))</f>
        <v>DO NOT DELETE — REVIEW pending</v>
      </c>
      <c r="Q1681" t="str" cm="1">
        <f t="array" ref="Q1681">_xlfn.IFS(AND($A1681="thg-beauty",ISNUMBER(SEARCH("liveramp",$C1681))),"DELETE",$A1681="agile-bonbon-662",_xlfn.IFS(LEFT($G1681,9)="Tranche 1","DELETE",$C1681="Sessions_Level_1_All_Sites","KEEP",ISNUMBER(--$C1681),"REVIEW — UA raw logs",$C1681="Emag_Reporting","KEEP",$C1681="Nutrition_Data_Archived_Tables","KEEP",$C1681="EU_Data","KEEP",TRUE,"REVIEW"),OR($A1681="thg-influencer",$A1681="thg-ingenuity",$A1681="thg-central-marketing",$A1681="thg-seoclarity"),"HOLD",TRUE,"")</f>
        <v>REVIEW — UA raw logs</v>
      </c>
      <c r="R1681" t="str" cm="1">
        <f t="array" ref="R1681">_xlfn.IFS(AND($A1681="thg-beauty",ISNUMBER(SEARCH("liveramp",$C1681))),"thg-beauty Liveramp dataset — confirmed safe to delete",$A1681="agile-bonbon-662",_xlfn.IFS(LEFT($G1681,9)="Tranche 1","Tranche 1: cleared",$C1681="Sessions_Level_1_All_Sites","Downstream aggregation of UA raw logs — keep if raw tables go",ISNUMBER(--$C1681),"UA raw site logs (account ID) — keep pending audit-retention check",$C1681="Emag_Reporting","Legacy but likely needed",$C1681="Nutrition_Data_Archived_Tables","Worth keeping",$C1681="EU_Data","Static lookup tables — scripts still reference (smoke-test risk)",TRUE,"Review"),OR($A1681="thg-influencer",$A1681="thg-ingenuity",$A1681="thg-central-marketing",$A1681="thg-seoclarity"),"HOLD — Charlie Stringer to review before deletion",TRUE,"")</f>
        <v>UA raw site logs (account ID) — keep pending audit-retention check</v>
      </c>
      <c r="S1681" t="s">
        <v>1631</v>
      </c>
    </row>
    <row r="1682" spans="1:19" ht="45.75" hidden="1">
      <c r="A1682" t="s">
        <v>89</v>
      </c>
      <c r="B1682" t="s">
        <v>1619</v>
      </c>
      <c r="C1682" t="s">
        <v>3984</v>
      </c>
      <c r="D1682" s="2" t="s">
        <v>1621</v>
      </c>
      <c r="E1682">
        <v>4.51</v>
      </c>
      <c r="F1682">
        <v>0.09</v>
      </c>
      <c r="G1682" t="s">
        <v>72</v>
      </c>
      <c r="H1682" t="s">
        <v>3457</v>
      </c>
      <c r="I1682">
        <v>35</v>
      </c>
      <c r="J1682">
        <v>866</v>
      </c>
      <c r="K1682" s="5">
        <v>46161.594555243057</v>
      </c>
      <c r="M1682" s="2" t="s">
        <v>3902</v>
      </c>
      <c r="N1682" s="2" t="s">
        <v>1701</v>
      </c>
      <c r="O1682" s="5">
        <v>45331.268170428237</v>
      </c>
      <c r="P1682" t="str">
        <f>IF($Q1682="DELETE",IF($S1682="CONFIRMED: NO MODS &gt; 1YR","CONFIRMED: NO MODS &gt; 1YR","DO NOT DELETE — not defensibly confirmed"),IF($Q1682="HOLD","DO NOT DELETE — HOLD (Charlie review)",IF($Q1682="KEEP","DO NOT DELETE — KEEP",IF(ISNUMBER(SEARCH("REVIEW",$Q1682)),"DO NOT DELETE — REVIEW pending",$S1682))))</f>
        <v>DO NOT DELETE — REVIEW pending</v>
      </c>
      <c r="Q1682" t="str" cm="1">
        <f t="array" ref="Q1682">_xlfn.IFS(AND($A1682="thg-beauty",ISNUMBER(SEARCH("liveramp",$C1682))),"DELETE",$A1682="agile-bonbon-662",_xlfn.IFS(LEFT($G1682,9)="Tranche 1","DELETE",$C1682="Sessions_Level_1_All_Sites","KEEP",ISNUMBER(--$C1682),"REVIEW — UA raw logs",$C1682="Emag_Reporting","KEEP",$C1682="Nutrition_Data_Archived_Tables","KEEP",$C1682="EU_Data","KEEP",TRUE,"REVIEW"),OR($A1682="thg-influencer",$A1682="thg-ingenuity",$A1682="thg-central-marketing",$A1682="thg-seoclarity"),"HOLD",TRUE,"")</f>
        <v>REVIEW — UA raw logs</v>
      </c>
      <c r="R1682" t="str" cm="1">
        <f t="array" ref="R1682">_xlfn.IFS(AND($A1682="thg-beauty",ISNUMBER(SEARCH("liveramp",$C1682))),"thg-beauty Liveramp dataset — confirmed safe to delete",$A1682="agile-bonbon-662",_xlfn.IFS(LEFT($G1682,9)="Tranche 1","Tranche 1: cleared",$C1682="Sessions_Level_1_All_Sites","Downstream aggregation of UA raw logs — keep if raw tables go",ISNUMBER(--$C1682),"UA raw site logs (account ID) — keep pending audit-retention check",$C1682="Emag_Reporting","Legacy but likely needed",$C1682="Nutrition_Data_Archived_Tables","Worth keeping",$C1682="EU_Data","Static lookup tables — scripts still reference (smoke-test risk)",TRUE,"Review"),OR($A1682="thg-influencer",$A1682="thg-ingenuity",$A1682="thg-central-marketing",$A1682="thg-seoclarity"),"HOLD — Charlie Stringer to review before deletion",TRUE,"")</f>
        <v>UA raw site logs (account ID) — keep pending audit-retention check</v>
      </c>
      <c r="S1682" t="s">
        <v>1631</v>
      </c>
    </row>
    <row r="1683" spans="1:19" ht="76.5" hidden="1">
      <c r="A1683" t="s">
        <v>89</v>
      </c>
      <c r="B1683" t="s">
        <v>1619</v>
      </c>
      <c r="C1683" t="s">
        <v>3985</v>
      </c>
      <c r="D1683" s="2" t="s">
        <v>1621</v>
      </c>
      <c r="E1683">
        <v>4.5</v>
      </c>
      <c r="F1683">
        <v>0.09</v>
      </c>
      <c r="G1683" t="s">
        <v>72</v>
      </c>
      <c r="H1683" t="s">
        <v>3457</v>
      </c>
      <c r="I1683">
        <v>35</v>
      </c>
      <c r="J1683">
        <v>1406</v>
      </c>
      <c r="K1683" s="5">
        <v>46161.581024618063</v>
      </c>
      <c r="M1683" s="2" t="s">
        <v>3986</v>
      </c>
      <c r="N1683" s="2" t="s">
        <v>1701</v>
      </c>
      <c r="O1683" s="5">
        <v>44790.597644074071</v>
      </c>
      <c r="P1683" t="str">
        <f>IF($Q1683="DELETE",IF($S1683="CONFIRMED: NO MODS &gt; 1YR","CONFIRMED: NO MODS &gt; 1YR","DO NOT DELETE — not defensibly confirmed"),IF($Q1683="HOLD","DO NOT DELETE — HOLD (Charlie review)",IF($Q1683="KEEP","DO NOT DELETE — KEEP",IF(ISNUMBER(SEARCH("REVIEW",$Q1683)),"DO NOT DELETE — REVIEW pending",$S1683))))</f>
        <v>DO NOT DELETE — REVIEW pending</v>
      </c>
      <c r="Q1683" t="str" cm="1">
        <f t="array" ref="Q1683">_xlfn.IFS(AND($A1683="thg-beauty",ISNUMBER(SEARCH("liveramp",$C1683))),"DELETE",$A1683="agile-bonbon-662",_xlfn.IFS(LEFT($G1683,9)="Tranche 1","DELETE",$C1683="Sessions_Level_1_All_Sites","KEEP",ISNUMBER(--$C1683),"REVIEW — UA raw logs",$C1683="Emag_Reporting","KEEP",$C1683="Nutrition_Data_Archived_Tables","KEEP",$C1683="EU_Data","KEEP",TRUE,"REVIEW"),OR($A1683="thg-influencer",$A1683="thg-ingenuity",$A1683="thg-central-marketing",$A1683="thg-seoclarity"),"HOLD",TRUE,"")</f>
        <v>REVIEW</v>
      </c>
      <c r="R1683" t="str" cm="1">
        <f t="array" ref="R1683">_xlfn.IFS(AND($A1683="thg-beauty",ISNUMBER(SEARCH("liveramp",$C1683))),"thg-beauty Liveramp dataset — confirmed safe to delete",$A1683="agile-bonbon-662",_xlfn.IFS(LEFT($G1683,9)="Tranche 1","Tranche 1: cleared",$C1683="Sessions_Level_1_All_Sites","Downstream aggregation of UA raw logs — keep if raw tables go",ISNUMBER(--$C1683),"UA raw site logs (account ID) — keep pending audit-retention check",$C1683="Emag_Reporting","Legacy but likely needed",$C1683="Nutrition_Data_Archived_Tables","Worth keeping",$C1683="EU_Data","Static lookup tables — scripts still reference (smoke-test risk)",TRUE,"Review"),OR($A1683="thg-influencer",$A1683="thg-ingenuity",$A1683="thg-central-marketing",$A1683="thg-seoclarity"),"HOLD — Charlie Stringer to review before deletion",TRUE,"")</f>
        <v>Review</v>
      </c>
      <c r="S1683" t="s">
        <v>1624</v>
      </c>
    </row>
    <row r="1684" spans="1:19" ht="45.75" hidden="1">
      <c r="A1684" t="s">
        <v>89</v>
      </c>
      <c r="B1684" t="s">
        <v>1619</v>
      </c>
      <c r="C1684" t="s">
        <v>3987</v>
      </c>
      <c r="D1684" s="2" t="s">
        <v>1621</v>
      </c>
      <c r="E1684">
        <v>4.4800000000000004</v>
      </c>
      <c r="F1684">
        <v>0.09</v>
      </c>
      <c r="G1684" t="s">
        <v>72</v>
      </c>
      <c r="H1684" t="s">
        <v>3457</v>
      </c>
      <c r="I1684">
        <v>35</v>
      </c>
      <c r="J1684">
        <v>1693</v>
      </c>
      <c r="K1684" s="5">
        <v>46161.605024652781</v>
      </c>
      <c r="M1684" s="2" t="s">
        <v>3988</v>
      </c>
      <c r="N1684" s="2" t="s">
        <v>1701</v>
      </c>
      <c r="O1684" s="5">
        <v>44503.500622638887</v>
      </c>
      <c r="P1684" t="str">
        <f>IF($Q1684="DELETE",IF($S1684="CONFIRMED: NO MODS &gt; 1YR","CONFIRMED: NO MODS &gt; 1YR","DO NOT DELETE — not defensibly confirmed"),IF($Q1684="HOLD","DO NOT DELETE — HOLD (Charlie review)",IF($Q1684="KEEP","DO NOT DELETE — KEEP",IF(ISNUMBER(SEARCH("REVIEW",$Q1684)),"DO NOT DELETE — REVIEW pending",$S1684))))</f>
        <v>DO NOT DELETE — REVIEW pending</v>
      </c>
      <c r="Q1684" t="str" cm="1">
        <f t="array" ref="Q1684">_xlfn.IFS(AND($A1684="thg-beauty",ISNUMBER(SEARCH("liveramp",$C1684))),"DELETE",$A1684="agile-bonbon-662",_xlfn.IFS(LEFT($G1684,9)="Tranche 1","DELETE",$C1684="Sessions_Level_1_All_Sites","KEEP",ISNUMBER(--$C1684),"REVIEW — UA raw logs",$C1684="Emag_Reporting","KEEP",$C1684="Nutrition_Data_Archived_Tables","KEEP",$C1684="EU_Data","KEEP",TRUE,"REVIEW"),OR($A1684="thg-influencer",$A1684="thg-ingenuity",$A1684="thg-central-marketing",$A1684="thg-seoclarity"),"HOLD",TRUE,"")</f>
        <v>REVIEW</v>
      </c>
      <c r="R1684" t="str" cm="1">
        <f t="array" ref="R1684">_xlfn.IFS(AND($A1684="thg-beauty",ISNUMBER(SEARCH("liveramp",$C1684))),"thg-beauty Liveramp dataset — confirmed safe to delete",$A1684="agile-bonbon-662",_xlfn.IFS(LEFT($G1684,9)="Tranche 1","Tranche 1: cleared",$C1684="Sessions_Level_1_All_Sites","Downstream aggregation of UA raw logs — keep if raw tables go",ISNUMBER(--$C1684),"UA raw site logs (account ID) — keep pending audit-retention check",$C1684="Emag_Reporting","Legacy but likely needed",$C1684="Nutrition_Data_Archived_Tables","Worth keeping",$C1684="EU_Data","Static lookup tables — scripts still reference (smoke-test risk)",TRUE,"Review"),OR($A1684="thg-influencer",$A1684="thg-ingenuity",$A1684="thg-central-marketing",$A1684="thg-seoclarity"),"HOLD — Charlie Stringer to review before deletion",TRUE,"")</f>
        <v>Review</v>
      </c>
      <c r="S1684" t="s">
        <v>1624</v>
      </c>
    </row>
    <row r="1685" spans="1:19" ht="45.75" hidden="1">
      <c r="A1685" t="s">
        <v>89</v>
      </c>
      <c r="B1685" t="s">
        <v>1619</v>
      </c>
      <c r="C1685" t="s">
        <v>3989</v>
      </c>
      <c r="D1685" s="2" t="s">
        <v>1621</v>
      </c>
      <c r="E1685">
        <v>4.4400000000000004</v>
      </c>
      <c r="F1685">
        <v>0.09</v>
      </c>
      <c r="G1685" t="s">
        <v>72</v>
      </c>
      <c r="H1685" t="s">
        <v>3457</v>
      </c>
      <c r="I1685">
        <v>35</v>
      </c>
      <c r="J1685">
        <v>723</v>
      </c>
      <c r="K1685" s="5">
        <v>46161.584597199071</v>
      </c>
      <c r="M1685" s="2" t="s">
        <v>3446</v>
      </c>
      <c r="N1685" s="2" t="s">
        <v>1701</v>
      </c>
      <c r="O1685" s="5">
        <v>45474.263817824067</v>
      </c>
      <c r="P1685" t="str">
        <f>IF($Q1685="DELETE",IF($S1685="CONFIRMED: NO MODS &gt; 1YR","CONFIRMED: NO MODS &gt; 1YR","DO NOT DELETE — not defensibly confirmed"),IF($Q1685="HOLD","DO NOT DELETE — HOLD (Charlie review)",IF($Q1685="KEEP","DO NOT DELETE — KEEP",IF(ISNUMBER(SEARCH("REVIEW",$Q1685)),"DO NOT DELETE — REVIEW pending",$S1685))))</f>
        <v>DO NOT DELETE — REVIEW pending</v>
      </c>
      <c r="Q1685" t="str" cm="1">
        <f t="array" ref="Q1685">_xlfn.IFS(AND($A1685="thg-beauty",ISNUMBER(SEARCH("liveramp",$C1685))),"DELETE",$A1685="agile-bonbon-662",_xlfn.IFS(LEFT($G1685,9)="Tranche 1","DELETE",$C1685="Sessions_Level_1_All_Sites","KEEP",ISNUMBER(--$C1685),"REVIEW — UA raw logs",$C1685="Emag_Reporting","KEEP",$C1685="Nutrition_Data_Archived_Tables","KEEP",$C1685="EU_Data","KEEP",TRUE,"REVIEW"),OR($A1685="thg-influencer",$A1685="thg-ingenuity",$A1685="thg-central-marketing",$A1685="thg-seoclarity"),"HOLD",TRUE,"")</f>
        <v>REVIEW — UA raw logs</v>
      </c>
      <c r="R1685" t="str" cm="1">
        <f t="array" ref="R1685">_xlfn.IFS(AND($A1685="thg-beauty",ISNUMBER(SEARCH("liveramp",$C1685))),"thg-beauty Liveramp dataset — confirmed safe to delete",$A1685="agile-bonbon-662",_xlfn.IFS(LEFT($G1685,9)="Tranche 1","Tranche 1: cleared",$C1685="Sessions_Level_1_All_Sites","Downstream aggregation of UA raw logs — keep if raw tables go",ISNUMBER(--$C1685),"UA raw site logs (account ID) — keep pending audit-retention check",$C1685="Emag_Reporting","Legacy but likely needed",$C1685="Nutrition_Data_Archived_Tables","Worth keeping",$C1685="EU_Data","Static lookup tables — scripts still reference (smoke-test risk)",TRUE,"Review"),OR($A1685="thg-influencer",$A1685="thg-ingenuity",$A1685="thg-central-marketing",$A1685="thg-seoclarity"),"HOLD — Charlie Stringer to review before deletion",TRUE,"")</f>
        <v>UA raw site logs (account ID) — keep pending audit-retention check</v>
      </c>
      <c r="S1685" t="s">
        <v>1631</v>
      </c>
    </row>
    <row r="1686" spans="1:19" ht="45.75" hidden="1">
      <c r="A1686" t="s">
        <v>89</v>
      </c>
      <c r="B1686" t="s">
        <v>1619</v>
      </c>
      <c r="C1686" t="s">
        <v>3990</v>
      </c>
      <c r="D1686" s="2" t="s">
        <v>1621</v>
      </c>
      <c r="E1686">
        <v>4.3600000000000003</v>
      </c>
      <c r="F1686">
        <v>0.09</v>
      </c>
      <c r="G1686" t="s">
        <v>72</v>
      </c>
      <c r="H1686" t="s">
        <v>3457</v>
      </c>
      <c r="I1686">
        <v>35</v>
      </c>
      <c r="J1686">
        <v>1225</v>
      </c>
      <c r="K1686" s="5">
        <v>46161.617200844907</v>
      </c>
      <c r="M1686" s="2" t="s">
        <v>1947</v>
      </c>
      <c r="N1686" s="2" t="s">
        <v>1701</v>
      </c>
      <c r="O1686" s="5">
        <v>44971.855353865743</v>
      </c>
      <c r="P1686" t="str">
        <f>IF($Q1686="DELETE",IF($S1686="CONFIRMED: NO MODS &gt; 1YR","CONFIRMED: NO MODS &gt; 1YR","DO NOT DELETE — not defensibly confirmed"),IF($Q1686="HOLD","DO NOT DELETE — HOLD (Charlie review)",IF($Q1686="KEEP","DO NOT DELETE — KEEP",IF(ISNUMBER(SEARCH("REVIEW",$Q1686)),"DO NOT DELETE — REVIEW pending",$S1686))))</f>
        <v>DO NOT DELETE — REVIEW pending</v>
      </c>
      <c r="Q1686" t="str" cm="1">
        <f t="array" ref="Q1686">_xlfn.IFS(AND($A1686="thg-beauty",ISNUMBER(SEARCH("liveramp",$C1686))),"DELETE",$A1686="agile-bonbon-662",_xlfn.IFS(LEFT($G1686,9)="Tranche 1","DELETE",$C1686="Sessions_Level_1_All_Sites","KEEP",ISNUMBER(--$C1686),"REVIEW — UA raw logs",$C1686="Emag_Reporting","KEEP",$C1686="Nutrition_Data_Archived_Tables","KEEP",$C1686="EU_Data","KEEP",TRUE,"REVIEW"),OR($A1686="thg-influencer",$A1686="thg-ingenuity",$A1686="thg-central-marketing",$A1686="thg-seoclarity"),"HOLD",TRUE,"")</f>
        <v>REVIEW</v>
      </c>
      <c r="R1686" t="str" cm="1">
        <f t="array" ref="R1686">_xlfn.IFS(AND($A1686="thg-beauty",ISNUMBER(SEARCH("liveramp",$C1686))),"thg-beauty Liveramp dataset — confirmed safe to delete",$A1686="agile-bonbon-662",_xlfn.IFS(LEFT($G1686,9)="Tranche 1","Tranche 1: cleared",$C1686="Sessions_Level_1_All_Sites","Downstream aggregation of UA raw logs — keep if raw tables go",ISNUMBER(--$C1686),"UA raw site logs (account ID) — keep pending audit-retention check",$C1686="Emag_Reporting","Legacy but likely needed",$C1686="Nutrition_Data_Archived_Tables","Worth keeping",$C1686="EU_Data","Static lookup tables — scripts still reference (smoke-test risk)",TRUE,"Review"),OR($A1686="thg-influencer",$A1686="thg-ingenuity",$A1686="thg-central-marketing",$A1686="thg-seoclarity"),"HOLD — Charlie Stringer to review before deletion",TRUE,"")</f>
        <v>Review</v>
      </c>
      <c r="S1686" t="s">
        <v>1631</v>
      </c>
    </row>
    <row r="1687" spans="1:19" ht="45.75" hidden="1">
      <c r="A1687" t="s">
        <v>89</v>
      </c>
      <c r="B1687" t="s">
        <v>1619</v>
      </c>
      <c r="C1687" t="s">
        <v>3991</v>
      </c>
      <c r="D1687" s="2" t="s">
        <v>1621</v>
      </c>
      <c r="E1687">
        <v>4.3499999999999996</v>
      </c>
      <c r="F1687">
        <v>0.09</v>
      </c>
      <c r="G1687" t="s">
        <v>72</v>
      </c>
      <c r="H1687" t="s">
        <v>3457</v>
      </c>
      <c r="I1687">
        <v>35</v>
      </c>
      <c r="J1687">
        <v>756</v>
      </c>
      <c r="K1687" s="5">
        <v>46161.592993287028</v>
      </c>
      <c r="M1687" s="2" t="s">
        <v>3912</v>
      </c>
      <c r="N1687" s="2" t="s">
        <v>1701</v>
      </c>
      <c r="O1687" s="5">
        <v>45441.233103298611</v>
      </c>
      <c r="P1687" t="str">
        <f>IF($Q1687="DELETE",IF($S1687="CONFIRMED: NO MODS &gt; 1YR","CONFIRMED: NO MODS &gt; 1YR","DO NOT DELETE — not defensibly confirmed"),IF($Q1687="HOLD","DO NOT DELETE — HOLD (Charlie review)",IF($Q1687="KEEP","DO NOT DELETE — KEEP",IF(ISNUMBER(SEARCH("REVIEW",$Q1687)),"DO NOT DELETE — REVIEW pending",$S1687))))</f>
        <v>DO NOT DELETE — REVIEW pending</v>
      </c>
      <c r="Q1687" t="str" cm="1">
        <f t="array" ref="Q1687">_xlfn.IFS(AND($A1687="thg-beauty",ISNUMBER(SEARCH("liveramp",$C1687))),"DELETE",$A1687="agile-bonbon-662",_xlfn.IFS(LEFT($G1687,9)="Tranche 1","DELETE",$C1687="Sessions_Level_1_All_Sites","KEEP",ISNUMBER(--$C1687),"REVIEW — UA raw logs",$C1687="Emag_Reporting","KEEP",$C1687="Nutrition_Data_Archived_Tables","KEEP",$C1687="EU_Data","KEEP",TRUE,"REVIEW"),OR($A1687="thg-influencer",$A1687="thg-ingenuity",$A1687="thg-central-marketing",$A1687="thg-seoclarity"),"HOLD",TRUE,"")</f>
        <v>REVIEW — UA raw logs</v>
      </c>
      <c r="R1687" t="str" cm="1">
        <f t="array" ref="R1687">_xlfn.IFS(AND($A1687="thg-beauty",ISNUMBER(SEARCH("liveramp",$C1687))),"thg-beauty Liveramp dataset — confirmed safe to delete",$A1687="agile-bonbon-662",_xlfn.IFS(LEFT($G1687,9)="Tranche 1","Tranche 1: cleared",$C1687="Sessions_Level_1_All_Sites","Downstream aggregation of UA raw logs — keep if raw tables go",ISNUMBER(--$C1687),"UA raw site logs (account ID) — keep pending audit-retention check",$C1687="Emag_Reporting","Legacy but likely needed",$C1687="Nutrition_Data_Archived_Tables","Worth keeping",$C1687="EU_Data","Static lookup tables — scripts still reference (smoke-test risk)",TRUE,"Review"),OR($A1687="thg-influencer",$A1687="thg-ingenuity",$A1687="thg-central-marketing",$A1687="thg-seoclarity"),"HOLD — Charlie Stringer to review before deletion",TRUE,"")</f>
        <v>UA raw site logs (account ID) — keep pending audit-retention check</v>
      </c>
      <c r="S1687" t="s">
        <v>1631</v>
      </c>
    </row>
    <row r="1688" spans="1:19" ht="45.75" hidden="1">
      <c r="A1688" t="s">
        <v>89</v>
      </c>
      <c r="B1688" t="s">
        <v>1619</v>
      </c>
      <c r="C1688" t="s">
        <v>3992</v>
      </c>
      <c r="D1688" s="2" t="s">
        <v>1621</v>
      </c>
      <c r="E1688">
        <v>4.34</v>
      </c>
      <c r="F1688">
        <v>0.09</v>
      </c>
      <c r="G1688" t="s">
        <v>72</v>
      </c>
      <c r="H1688" t="s">
        <v>3457</v>
      </c>
      <c r="I1688">
        <v>35</v>
      </c>
      <c r="J1688">
        <v>723</v>
      </c>
      <c r="K1688" s="5">
        <v>46161.593492233798</v>
      </c>
      <c r="M1688" s="2" t="s">
        <v>3900</v>
      </c>
      <c r="N1688" s="2" t="s">
        <v>1701</v>
      </c>
      <c r="O1688" s="5">
        <v>45474.259912048612</v>
      </c>
      <c r="P1688" t="str">
        <f>IF($Q1688="DELETE",IF($S1688="CONFIRMED: NO MODS &gt; 1YR","CONFIRMED: NO MODS &gt; 1YR","DO NOT DELETE — not defensibly confirmed"),IF($Q1688="HOLD","DO NOT DELETE — HOLD (Charlie review)",IF($Q1688="KEEP","DO NOT DELETE — KEEP",IF(ISNUMBER(SEARCH("REVIEW",$Q1688)),"DO NOT DELETE — REVIEW pending",$S1688))))</f>
        <v>DO NOT DELETE — REVIEW pending</v>
      </c>
      <c r="Q1688" t="str" cm="1">
        <f t="array" ref="Q1688">_xlfn.IFS(AND($A1688="thg-beauty",ISNUMBER(SEARCH("liveramp",$C1688))),"DELETE",$A1688="agile-bonbon-662",_xlfn.IFS(LEFT($G1688,9)="Tranche 1","DELETE",$C1688="Sessions_Level_1_All_Sites","KEEP",ISNUMBER(--$C1688),"REVIEW — UA raw logs",$C1688="Emag_Reporting","KEEP",$C1688="Nutrition_Data_Archived_Tables","KEEP",$C1688="EU_Data","KEEP",TRUE,"REVIEW"),OR($A1688="thg-influencer",$A1688="thg-ingenuity",$A1688="thg-central-marketing",$A1688="thg-seoclarity"),"HOLD",TRUE,"")</f>
        <v>REVIEW — UA raw logs</v>
      </c>
      <c r="R1688" t="str" cm="1">
        <f t="array" ref="R1688">_xlfn.IFS(AND($A1688="thg-beauty",ISNUMBER(SEARCH("liveramp",$C1688))),"thg-beauty Liveramp dataset — confirmed safe to delete",$A1688="agile-bonbon-662",_xlfn.IFS(LEFT($G1688,9)="Tranche 1","Tranche 1: cleared",$C1688="Sessions_Level_1_All_Sites","Downstream aggregation of UA raw logs — keep if raw tables go",ISNUMBER(--$C1688),"UA raw site logs (account ID) — keep pending audit-retention check",$C1688="Emag_Reporting","Legacy but likely needed",$C1688="Nutrition_Data_Archived_Tables","Worth keeping",$C1688="EU_Data","Static lookup tables — scripts still reference (smoke-test risk)",TRUE,"Review"),OR($A1688="thg-influencer",$A1688="thg-ingenuity",$A1688="thg-central-marketing",$A1688="thg-seoclarity"),"HOLD — Charlie Stringer to review before deletion",TRUE,"")</f>
        <v>UA raw site logs (account ID) — keep pending audit-retention check</v>
      </c>
      <c r="S1688" t="s">
        <v>1631</v>
      </c>
    </row>
    <row r="1689" spans="1:19" ht="45.75" hidden="1">
      <c r="A1689" t="s">
        <v>89</v>
      </c>
      <c r="B1689" t="s">
        <v>1619</v>
      </c>
      <c r="C1689" t="s">
        <v>3993</v>
      </c>
      <c r="D1689" s="2" t="s">
        <v>1621</v>
      </c>
      <c r="E1689">
        <v>4.3099999999999996</v>
      </c>
      <c r="F1689">
        <v>0.09</v>
      </c>
      <c r="G1689" t="s">
        <v>72</v>
      </c>
      <c r="H1689" t="s">
        <v>3457</v>
      </c>
      <c r="I1689">
        <v>35</v>
      </c>
      <c r="J1689">
        <v>1075</v>
      </c>
      <c r="K1689" s="5">
        <v>46161.617386087957</v>
      </c>
      <c r="M1689" s="2" t="s">
        <v>1921</v>
      </c>
      <c r="N1689" s="2" t="s">
        <v>1701</v>
      </c>
      <c r="O1689" s="5">
        <v>45121.626224699066</v>
      </c>
      <c r="P1689" t="str">
        <f>IF($Q1689="DELETE",IF($S1689="CONFIRMED: NO MODS &gt; 1YR","CONFIRMED: NO MODS &gt; 1YR","DO NOT DELETE — not defensibly confirmed"),IF($Q1689="HOLD","DO NOT DELETE — HOLD (Charlie review)",IF($Q1689="KEEP","DO NOT DELETE — KEEP",IF(ISNUMBER(SEARCH("REVIEW",$Q1689)),"DO NOT DELETE — REVIEW pending",$S1689))))</f>
        <v>DO NOT DELETE — REVIEW pending</v>
      </c>
      <c r="Q1689" t="str" cm="1">
        <f t="array" ref="Q1689">_xlfn.IFS(AND($A1689="thg-beauty",ISNUMBER(SEARCH("liveramp",$C1689))),"DELETE",$A1689="agile-bonbon-662",_xlfn.IFS(LEFT($G1689,9)="Tranche 1","DELETE",$C1689="Sessions_Level_1_All_Sites","KEEP",ISNUMBER(--$C1689),"REVIEW — UA raw logs",$C1689="Emag_Reporting","KEEP",$C1689="Nutrition_Data_Archived_Tables","KEEP",$C1689="EU_Data","KEEP",TRUE,"REVIEW"),OR($A1689="thg-influencer",$A1689="thg-ingenuity",$A1689="thg-central-marketing",$A1689="thg-seoclarity"),"HOLD",TRUE,"")</f>
        <v>REVIEW</v>
      </c>
      <c r="R1689" t="str" cm="1">
        <f t="array" ref="R1689">_xlfn.IFS(AND($A1689="thg-beauty",ISNUMBER(SEARCH("liveramp",$C1689))),"thg-beauty Liveramp dataset — confirmed safe to delete",$A1689="agile-bonbon-662",_xlfn.IFS(LEFT($G1689,9)="Tranche 1","Tranche 1: cleared",$C1689="Sessions_Level_1_All_Sites","Downstream aggregation of UA raw logs — keep if raw tables go",ISNUMBER(--$C1689),"UA raw site logs (account ID) — keep pending audit-retention check",$C1689="Emag_Reporting","Legacy but likely needed",$C1689="Nutrition_Data_Archived_Tables","Worth keeping",$C1689="EU_Data","Static lookup tables — scripts still reference (smoke-test risk)",TRUE,"Review"),OR($A1689="thg-influencer",$A1689="thg-ingenuity",$A1689="thg-central-marketing",$A1689="thg-seoclarity"),"HOLD — Charlie Stringer to review before deletion",TRUE,"")</f>
        <v>Review</v>
      </c>
      <c r="S1689" t="s">
        <v>1631</v>
      </c>
    </row>
    <row r="1690" spans="1:19" ht="45.75" hidden="1">
      <c r="A1690" t="s">
        <v>89</v>
      </c>
      <c r="B1690" t="s">
        <v>1619</v>
      </c>
      <c r="C1690" t="s">
        <v>3994</v>
      </c>
      <c r="D1690" s="2" t="s">
        <v>1621</v>
      </c>
      <c r="E1690">
        <v>4.22</v>
      </c>
      <c r="F1690">
        <v>0.08</v>
      </c>
      <c r="G1690" t="s">
        <v>72</v>
      </c>
      <c r="H1690" t="s">
        <v>3457</v>
      </c>
      <c r="I1690">
        <v>35</v>
      </c>
      <c r="J1690">
        <v>899</v>
      </c>
      <c r="K1690" s="5">
        <v>46161.620969432872</v>
      </c>
      <c r="M1690" s="2" t="s">
        <v>1960</v>
      </c>
      <c r="N1690" s="2" t="s">
        <v>1701</v>
      </c>
      <c r="O1690" s="5">
        <v>45298.222809120372</v>
      </c>
      <c r="P1690" t="str">
        <f>IF($Q1690="DELETE",IF($S1690="CONFIRMED: NO MODS &gt; 1YR","CONFIRMED: NO MODS &gt; 1YR","DO NOT DELETE — not defensibly confirmed"),IF($Q1690="HOLD","DO NOT DELETE — HOLD (Charlie review)",IF($Q1690="KEEP","DO NOT DELETE — KEEP",IF(ISNUMBER(SEARCH("REVIEW",$Q1690)),"DO NOT DELETE — REVIEW pending",$S1690))))</f>
        <v>DO NOT DELETE — REVIEW pending</v>
      </c>
      <c r="Q1690" t="str" cm="1">
        <f t="array" ref="Q1690">_xlfn.IFS(AND($A1690="thg-beauty",ISNUMBER(SEARCH("liveramp",$C1690))),"DELETE",$A1690="agile-bonbon-662",_xlfn.IFS(LEFT($G1690,9)="Tranche 1","DELETE",$C1690="Sessions_Level_1_All_Sites","KEEP",ISNUMBER(--$C1690),"REVIEW — UA raw logs",$C1690="Emag_Reporting","KEEP",$C1690="Nutrition_Data_Archived_Tables","KEEP",$C1690="EU_Data","KEEP",TRUE,"REVIEW"),OR($A1690="thg-influencer",$A1690="thg-ingenuity",$A1690="thg-central-marketing",$A1690="thg-seoclarity"),"HOLD",TRUE,"")</f>
        <v>REVIEW</v>
      </c>
      <c r="R1690" t="str" cm="1">
        <f t="array" ref="R1690">_xlfn.IFS(AND($A1690="thg-beauty",ISNUMBER(SEARCH("liveramp",$C1690))),"thg-beauty Liveramp dataset — confirmed safe to delete",$A1690="agile-bonbon-662",_xlfn.IFS(LEFT($G1690,9)="Tranche 1","Tranche 1: cleared",$C1690="Sessions_Level_1_All_Sites","Downstream aggregation of UA raw logs — keep if raw tables go",ISNUMBER(--$C1690),"UA raw site logs (account ID) — keep pending audit-retention check",$C1690="Emag_Reporting","Legacy but likely needed",$C1690="Nutrition_Data_Archived_Tables","Worth keeping",$C1690="EU_Data","Static lookup tables — scripts still reference (smoke-test risk)",TRUE,"Review"),OR($A1690="thg-influencer",$A1690="thg-ingenuity",$A1690="thg-central-marketing",$A1690="thg-seoclarity"),"HOLD — Charlie Stringer to review before deletion",TRUE,"")</f>
        <v>Review</v>
      </c>
      <c r="S1690" t="s">
        <v>1631</v>
      </c>
    </row>
    <row r="1691" spans="1:19" ht="45.75" hidden="1">
      <c r="A1691" t="s">
        <v>89</v>
      </c>
      <c r="B1691" t="s">
        <v>1619</v>
      </c>
      <c r="C1691" t="s">
        <v>3995</v>
      </c>
      <c r="D1691" s="2" t="s">
        <v>1621</v>
      </c>
      <c r="E1691">
        <v>4.0599999999999996</v>
      </c>
      <c r="F1691">
        <v>0.08</v>
      </c>
      <c r="G1691" t="s">
        <v>72</v>
      </c>
      <c r="H1691" t="s">
        <v>3457</v>
      </c>
      <c r="I1691">
        <v>35</v>
      </c>
      <c r="J1691">
        <v>723</v>
      </c>
      <c r="K1691" s="5">
        <v>46161.58731195602</v>
      </c>
      <c r="M1691" s="2" t="s">
        <v>3440</v>
      </c>
      <c r="N1691" s="2" t="s">
        <v>1701</v>
      </c>
      <c r="O1691" s="5">
        <v>45474.264003136574</v>
      </c>
      <c r="P1691" t="str">
        <f>IF($Q1691="DELETE",IF($S1691="CONFIRMED: NO MODS &gt; 1YR","CONFIRMED: NO MODS &gt; 1YR","DO NOT DELETE — not defensibly confirmed"),IF($Q1691="HOLD","DO NOT DELETE — HOLD (Charlie review)",IF($Q1691="KEEP","DO NOT DELETE — KEEP",IF(ISNUMBER(SEARCH("REVIEW",$Q1691)),"DO NOT DELETE — REVIEW pending",$S1691))))</f>
        <v>DO NOT DELETE — REVIEW pending</v>
      </c>
      <c r="Q1691" t="str" cm="1">
        <f t="array" ref="Q1691">_xlfn.IFS(AND($A1691="thg-beauty",ISNUMBER(SEARCH("liveramp",$C1691))),"DELETE",$A1691="agile-bonbon-662",_xlfn.IFS(LEFT($G1691,9)="Tranche 1","DELETE",$C1691="Sessions_Level_1_All_Sites","KEEP",ISNUMBER(--$C1691),"REVIEW — UA raw logs",$C1691="Emag_Reporting","KEEP",$C1691="Nutrition_Data_Archived_Tables","KEEP",$C1691="EU_Data","KEEP",TRUE,"REVIEW"),OR($A1691="thg-influencer",$A1691="thg-ingenuity",$A1691="thg-central-marketing",$A1691="thg-seoclarity"),"HOLD",TRUE,"")</f>
        <v>REVIEW — UA raw logs</v>
      </c>
      <c r="R1691" t="str" cm="1">
        <f t="array" ref="R1691">_xlfn.IFS(AND($A1691="thg-beauty",ISNUMBER(SEARCH("liveramp",$C1691))),"thg-beauty Liveramp dataset — confirmed safe to delete",$A1691="agile-bonbon-662",_xlfn.IFS(LEFT($G1691,9)="Tranche 1","Tranche 1: cleared",$C1691="Sessions_Level_1_All_Sites","Downstream aggregation of UA raw logs — keep if raw tables go",ISNUMBER(--$C1691),"UA raw site logs (account ID) — keep pending audit-retention check",$C1691="Emag_Reporting","Legacy but likely needed",$C1691="Nutrition_Data_Archived_Tables","Worth keeping",$C1691="EU_Data","Static lookup tables — scripts still reference (smoke-test risk)",TRUE,"Review"),OR($A1691="thg-influencer",$A1691="thg-ingenuity",$A1691="thg-central-marketing",$A1691="thg-seoclarity"),"HOLD — Charlie Stringer to review before deletion",TRUE,"")</f>
        <v>UA raw site logs (account ID) — keep pending audit-retention check</v>
      </c>
      <c r="S1691" t="s">
        <v>1631</v>
      </c>
    </row>
    <row r="1692" spans="1:19" ht="45.75" hidden="1">
      <c r="A1692" t="s">
        <v>89</v>
      </c>
      <c r="B1692" t="s">
        <v>1619</v>
      </c>
      <c r="C1692" t="s">
        <v>3996</v>
      </c>
      <c r="D1692" s="2" t="s">
        <v>1621</v>
      </c>
      <c r="E1692">
        <v>4.04</v>
      </c>
      <c r="F1692">
        <v>0.08</v>
      </c>
      <c r="G1692" t="s">
        <v>72</v>
      </c>
      <c r="H1692" t="s">
        <v>3457</v>
      </c>
      <c r="I1692">
        <v>35</v>
      </c>
      <c r="J1692">
        <v>723</v>
      </c>
      <c r="K1692" s="5">
        <v>46161.594011250003</v>
      </c>
      <c r="M1692" s="2" t="s">
        <v>2273</v>
      </c>
      <c r="N1692" s="2" t="s">
        <v>1701</v>
      </c>
      <c r="O1692" s="5">
        <v>45474.281907673612</v>
      </c>
      <c r="P1692" t="str">
        <f>IF($Q1692="DELETE",IF($S1692="CONFIRMED: NO MODS &gt; 1YR","CONFIRMED: NO MODS &gt; 1YR","DO NOT DELETE — not defensibly confirmed"),IF($Q1692="HOLD","DO NOT DELETE — HOLD (Charlie review)",IF($Q1692="KEEP","DO NOT DELETE — KEEP",IF(ISNUMBER(SEARCH("REVIEW",$Q1692)),"DO NOT DELETE — REVIEW pending",$S1692))))</f>
        <v>DO NOT DELETE — REVIEW pending</v>
      </c>
      <c r="Q1692" t="str" cm="1">
        <f t="array" ref="Q1692">_xlfn.IFS(AND($A1692="thg-beauty",ISNUMBER(SEARCH("liveramp",$C1692))),"DELETE",$A1692="agile-bonbon-662",_xlfn.IFS(LEFT($G1692,9)="Tranche 1","DELETE",$C1692="Sessions_Level_1_All_Sites","KEEP",ISNUMBER(--$C1692),"REVIEW — UA raw logs",$C1692="Emag_Reporting","KEEP",$C1692="Nutrition_Data_Archived_Tables","KEEP",$C1692="EU_Data","KEEP",TRUE,"REVIEW"),OR($A1692="thg-influencer",$A1692="thg-ingenuity",$A1692="thg-central-marketing",$A1692="thg-seoclarity"),"HOLD",TRUE,"")</f>
        <v>REVIEW — UA raw logs</v>
      </c>
      <c r="R1692" t="str" cm="1">
        <f t="array" ref="R1692">_xlfn.IFS(AND($A1692="thg-beauty",ISNUMBER(SEARCH("liveramp",$C1692))),"thg-beauty Liveramp dataset — confirmed safe to delete",$A1692="agile-bonbon-662",_xlfn.IFS(LEFT($G1692,9)="Tranche 1","Tranche 1: cleared",$C1692="Sessions_Level_1_All_Sites","Downstream aggregation of UA raw logs — keep if raw tables go",ISNUMBER(--$C1692),"UA raw site logs (account ID) — keep pending audit-retention check",$C1692="Emag_Reporting","Legacy but likely needed",$C1692="Nutrition_Data_Archived_Tables","Worth keeping",$C1692="EU_Data","Static lookup tables — scripts still reference (smoke-test risk)",TRUE,"Review"),OR($A1692="thg-influencer",$A1692="thg-ingenuity",$A1692="thg-central-marketing",$A1692="thg-seoclarity"),"HOLD — Charlie Stringer to review before deletion",TRUE,"")</f>
        <v>UA raw site logs (account ID) — keep pending audit-retention check</v>
      </c>
      <c r="S1692" t="s">
        <v>1631</v>
      </c>
    </row>
    <row r="1693" spans="1:19" ht="76.5" hidden="1">
      <c r="A1693" t="s">
        <v>89</v>
      </c>
      <c r="B1693" t="s">
        <v>1619</v>
      </c>
      <c r="C1693" t="s">
        <v>3997</v>
      </c>
      <c r="D1693" s="2" t="s">
        <v>1621</v>
      </c>
      <c r="E1693">
        <v>4</v>
      </c>
      <c r="F1693">
        <v>0.08</v>
      </c>
      <c r="G1693" t="s">
        <v>72</v>
      </c>
      <c r="H1693" t="s">
        <v>3457</v>
      </c>
      <c r="I1693">
        <v>35</v>
      </c>
      <c r="J1693">
        <v>723</v>
      </c>
      <c r="K1693" s="5">
        <v>46161.581560023151</v>
      </c>
      <c r="M1693" s="2" t="s">
        <v>3998</v>
      </c>
      <c r="N1693" s="2" t="s">
        <v>1701</v>
      </c>
      <c r="O1693" s="5">
        <v>45474.332724872693</v>
      </c>
      <c r="P1693" t="str">
        <f>IF($Q1693="DELETE",IF($S1693="CONFIRMED: NO MODS &gt; 1YR","CONFIRMED: NO MODS &gt; 1YR","DO NOT DELETE — not defensibly confirmed"),IF($Q1693="HOLD","DO NOT DELETE — HOLD (Charlie review)",IF($Q1693="KEEP","DO NOT DELETE — KEEP",IF(ISNUMBER(SEARCH("REVIEW",$Q1693)),"DO NOT DELETE — REVIEW pending",$S1693))))</f>
        <v>DO NOT DELETE — REVIEW pending</v>
      </c>
      <c r="Q1693" t="str" cm="1">
        <f t="array" ref="Q1693">_xlfn.IFS(AND($A1693="thg-beauty",ISNUMBER(SEARCH("liveramp",$C1693))),"DELETE",$A1693="agile-bonbon-662",_xlfn.IFS(LEFT($G1693,9)="Tranche 1","DELETE",$C1693="Sessions_Level_1_All_Sites","KEEP",ISNUMBER(--$C1693),"REVIEW — UA raw logs",$C1693="Emag_Reporting","KEEP",$C1693="Nutrition_Data_Archived_Tables","KEEP",$C1693="EU_Data","KEEP",TRUE,"REVIEW"),OR($A1693="thg-influencer",$A1693="thg-ingenuity",$A1693="thg-central-marketing",$A1693="thg-seoclarity"),"HOLD",TRUE,"")</f>
        <v>REVIEW — UA raw logs</v>
      </c>
      <c r="R1693" t="str" cm="1">
        <f t="array" ref="R1693">_xlfn.IFS(AND($A1693="thg-beauty",ISNUMBER(SEARCH("liveramp",$C1693))),"thg-beauty Liveramp dataset — confirmed safe to delete",$A1693="agile-bonbon-662",_xlfn.IFS(LEFT($G1693,9)="Tranche 1","Tranche 1: cleared",$C1693="Sessions_Level_1_All_Sites","Downstream aggregation of UA raw logs — keep if raw tables go",ISNUMBER(--$C1693),"UA raw site logs (account ID) — keep pending audit-retention check",$C1693="Emag_Reporting","Legacy but likely needed",$C1693="Nutrition_Data_Archived_Tables","Worth keeping",$C1693="EU_Data","Static lookup tables — scripts still reference (smoke-test risk)",TRUE,"Review"),OR($A1693="thg-influencer",$A1693="thg-ingenuity",$A1693="thg-central-marketing",$A1693="thg-seoclarity"),"HOLD — Charlie Stringer to review before deletion",TRUE,"")</f>
        <v>UA raw site logs (account ID) — keep pending audit-retention check</v>
      </c>
      <c r="S1693" t="s">
        <v>1631</v>
      </c>
    </row>
    <row r="1694" spans="1:19" ht="45.75" hidden="1">
      <c r="A1694" t="s">
        <v>89</v>
      </c>
      <c r="B1694" t="s">
        <v>1619</v>
      </c>
      <c r="C1694" t="s">
        <v>3999</v>
      </c>
      <c r="D1694" s="2" t="s">
        <v>1621</v>
      </c>
      <c r="E1694">
        <v>3.93</v>
      </c>
      <c r="F1694">
        <v>0.08</v>
      </c>
      <c r="G1694" t="s">
        <v>72</v>
      </c>
      <c r="H1694" t="s">
        <v>3457</v>
      </c>
      <c r="I1694">
        <v>35</v>
      </c>
      <c r="J1694">
        <v>1127</v>
      </c>
      <c r="K1694" s="5">
        <v>46161.616178796299</v>
      </c>
      <c r="M1694" s="2" t="s">
        <v>1938</v>
      </c>
      <c r="N1694" s="2" t="s">
        <v>1701</v>
      </c>
      <c r="O1694" s="5">
        <v>45069.998778680558</v>
      </c>
      <c r="P1694" t="str">
        <f>IF($Q1694="DELETE",IF($S1694="CONFIRMED: NO MODS &gt; 1YR","CONFIRMED: NO MODS &gt; 1YR","DO NOT DELETE — not defensibly confirmed"),IF($Q1694="HOLD","DO NOT DELETE — HOLD (Charlie review)",IF($Q1694="KEEP","DO NOT DELETE — KEEP",IF(ISNUMBER(SEARCH("REVIEW",$Q1694)),"DO NOT DELETE — REVIEW pending",$S1694))))</f>
        <v>DO NOT DELETE — REVIEW pending</v>
      </c>
      <c r="Q1694" t="str" cm="1">
        <f t="array" ref="Q1694">_xlfn.IFS(AND($A1694="thg-beauty",ISNUMBER(SEARCH("liveramp",$C1694))),"DELETE",$A1694="agile-bonbon-662",_xlfn.IFS(LEFT($G1694,9)="Tranche 1","DELETE",$C1694="Sessions_Level_1_All_Sites","KEEP",ISNUMBER(--$C1694),"REVIEW — UA raw logs",$C1694="Emag_Reporting","KEEP",$C1694="Nutrition_Data_Archived_Tables","KEEP",$C1694="EU_Data","KEEP",TRUE,"REVIEW"),OR($A1694="thg-influencer",$A1694="thg-ingenuity",$A1694="thg-central-marketing",$A1694="thg-seoclarity"),"HOLD",TRUE,"")</f>
        <v>REVIEW</v>
      </c>
      <c r="R1694" t="str" cm="1">
        <f t="array" ref="R1694">_xlfn.IFS(AND($A1694="thg-beauty",ISNUMBER(SEARCH("liveramp",$C1694))),"thg-beauty Liveramp dataset — confirmed safe to delete",$A1694="agile-bonbon-662",_xlfn.IFS(LEFT($G1694,9)="Tranche 1","Tranche 1: cleared",$C1694="Sessions_Level_1_All_Sites","Downstream aggregation of UA raw logs — keep if raw tables go",ISNUMBER(--$C1694),"UA raw site logs (account ID) — keep pending audit-retention check",$C1694="Emag_Reporting","Legacy but likely needed",$C1694="Nutrition_Data_Archived_Tables","Worth keeping",$C1694="EU_Data","Static lookup tables — scripts still reference (smoke-test risk)",TRUE,"Review"),OR($A1694="thg-influencer",$A1694="thg-ingenuity",$A1694="thg-central-marketing",$A1694="thg-seoclarity"),"HOLD — Charlie Stringer to review before deletion",TRUE,"")</f>
        <v>Review</v>
      </c>
      <c r="S1694" t="s">
        <v>1631</v>
      </c>
    </row>
    <row r="1695" spans="1:19" ht="45.75" hidden="1">
      <c r="A1695" t="s">
        <v>89</v>
      </c>
      <c r="B1695" t="s">
        <v>1619</v>
      </c>
      <c r="C1695" t="s">
        <v>4000</v>
      </c>
      <c r="D1695" s="2" t="s">
        <v>1621</v>
      </c>
      <c r="E1695">
        <v>3.92</v>
      </c>
      <c r="F1695">
        <v>0.08</v>
      </c>
      <c r="G1695" t="s">
        <v>72</v>
      </c>
      <c r="H1695" t="s">
        <v>3457</v>
      </c>
      <c r="I1695">
        <v>35</v>
      </c>
      <c r="J1695">
        <v>959</v>
      </c>
      <c r="K1695" s="5">
        <v>46161.615858321762</v>
      </c>
      <c r="M1695" s="2" t="s">
        <v>1977</v>
      </c>
      <c r="N1695" s="2" t="s">
        <v>1701</v>
      </c>
      <c r="O1695" s="5">
        <v>45238.409816226849</v>
      </c>
      <c r="P1695" t="str">
        <f>IF($Q1695="DELETE",IF($S1695="CONFIRMED: NO MODS &gt; 1YR","CONFIRMED: NO MODS &gt; 1YR","DO NOT DELETE — not defensibly confirmed"),IF($Q1695="HOLD","DO NOT DELETE — HOLD (Charlie review)",IF($Q1695="KEEP","DO NOT DELETE — KEEP",IF(ISNUMBER(SEARCH("REVIEW",$Q1695)),"DO NOT DELETE — REVIEW pending",$S1695))))</f>
        <v>DO NOT DELETE — REVIEW pending</v>
      </c>
      <c r="Q1695" t="str" cm="1">
        <f t="array" ref="Q1695">_xlfn.IFS(AND($A1695="thg-beauty",ISNUMBER(SEARCH("liveramp",$C1695))),"DELETE",$A1695="agile-bonbon-662",_xlfn.IFS(LEFT($G1695,9)="Tranche 1","DELETE",$C1695="Sessions_Level_1_All_Sites","KEEP",ISNUMBER(--$C1695),"REVIEW — UA raw logs",$C1695="Emag_Reporting","KEEP",$C1695="Nutrition_Data_Archived_Tables","KEEP",$C1695="EU_Data","KEEP",TRUE,"REVIEW"),OR($A1695="thg-influencer",$A1695="thg-ingenuity",$A1695="thg-central-marketing",$A1695="thg-seoclarity"),"HOLD",TRUE,"")</f>
        <v>REVIEW</v>
      </c>
      <c r="R1695" t="str" cm="1">
        <f t="array" ref="R1695">_xlfn.IFS(AND($A1695="thg-beauty",ISNUMBER(SEARCH("liveramp",$C1695))),"thg-beauty Liveramp dataset — confirmed safe to delete",$A1695="agile-bonbon-662",_xlfn.IFS(LEFT($G1695,9)="Tranche 1","Tranche 1: cleared",$C1695="Sessions_Level_1_All_Sites","Downstream aggregation of UA raw logs — keep if raw tables go",ISNUMBER(--$C1695),"UA raw site logs (account ID) — keep pending audit-retention check",$C1695="Emag_Reporting","Legacy but likely needed",$C1695="Nutrition_Data_Archived_Tables","Worth keeping",$C1695="EU_Data","Static lookup tables — scripts still reference (smoke-test risk)",TRUE,"Review"),OR($A1695="thg-influencer",$A1695="thg-ingenuity",$A1695="thg-central-marketing",$A1695="thg-seoclarity"),"HOLD — Charlie Stringer to review before deletion",TRUE,"")</f>
        <v>Review</v>
      </c>
      <c r="S1695" t="s">
        <v>1631</v>
      </c>
    </row>
    <row r="1696" spans="1:19" ht="45.75" hidden="1">
      <c r="A1696" t="s">
        <v>89</v>
      </c>
      <c r="B1696" t="s">
        <v>1619</v>
      </c>
      <c r="C1696" t="s">
        <v>4001</v>
      </c>
      <c r="D1696" s="2" t="s">
        <v>1621</v>
      </c>
      <c r="E1696">
        <v>3.9</v>
      </c>
      <c r="F1696">
        <v>0.08</v>
      </c>
      <c r="G1696" t="s">
        <v>72</v>
      </c>
      <c r="H1696" t="s">
        <v>3457</v>
      </c>
      <c r="I1696">
        <v>35</v>
      </c>
      <c r="J1696">
        <v>2500</v>
      </c>
      <c r="K1696" s="5">
        <v>46161.606718263887</v>
      </c>
      <c r="M1696" s="2" t="s">
        <v>2060</v>
      </c>
      <c r="N1696" s="2" t="s">
        <v>1701</v>
      </c>
      <c r="O1696" s="5">
        <v>43697.194477037039</v>
      </c>
      <c r="P1696" t="str">
        <f>IF($Q1696="DELETE",IF($S1696="CONFIRMED: NO MODS &gt; 1YR","CONFIRMED: NO MODS &gt; 1YR","DO NOT DELETE — not defensibly confirmed"),IF($Q1696="HOLD","DO NOT DELETE — HOLD (Charlie review)",IF($Q1696="KEEP","DO NOT DELETE — KEEP",IF(ISNUMBER(SEARCH("REVIEW",$Q1696)),"DO NOT DELETE — REVIEW pending",$S1696))))</f>
        <v>DO NOT DELETE — REVIEW pending</v>
      </c>
      <c r="Q1696" t="str" cm="1">
        <f t="array" ref="Q1696">_xlfn.IFS(AND($A1696="thg-beauty",ISNUMBER(SEARCH("liveramp",$C1696))),"DELETE",$A1696="agile-bonbon-662",_xlfn.IFS(LEFT($G1696,9)="Tranche 1","DELETE",$C1696="Sessions_Level_1_All_Sites","KEEP",ISNUMBER(--$C1696),"REVIEW — UA raw logs",$C1696="Emag_Reporting","KEEP",$C1696="Nutrition_Data_Archived_Tables","KEEP",$C1696="EU_Data","KEEP",TRUE,"REVIEW"),OR($A1696="thg-influencer",$A1696="thg-ingenuity",$A1696="thg-central-marketing",$A1696="thg-seoclarity"),"HOLD",TRUE,"")</f>
        <v>REVIEW</v>
      </c>
      <c r="R1696" t="str" cm="1">
        <f t="array" ref="R1696">_xlfn.IFS(AND($A1696="thg-beauty",ISNUMBER(SEARCH("liveramp",$C1696))),"thg-beauty Liveramp dataset — confirmed safe to delete",$A1696="agile-bonbon-662",_xlfn.IFS(LEFT($G1696,9)="Tranche 1","Tranche 1: cleared",$C1696="Sessions_Level_1_All_Sites","Downstream aggregation of UA raw logs — keep if raw tables go",ISNUMBER(--$C1696),"UA raw site logs (account ID) — keep pending audit-retention check",$C1696="Emag_Reporting","Legacy but likely needed",$C1696="Nutrition_Data_Archived_Tables","Worth keeping",$C1696="EU_Data","Static lookup tables — scripts still reference (smoke-test risk)",TRUE,"Review"),OR($A1696="thg-influencer",$A1696="thg-ingenuity",$A1696="thg-central-marketing",$A1696="thg-seoclarity"),"HOLD — Charlie Stringer to review before deletion",TRUE,"")</f>
        <v>Review</v>
      </c>
      <c r="S1696" t="s">
        <v>1631</v>
      </c>
    </row>
    <row r="1697" spans="1:19" ht="45.75" hidden="1">
      <c r="A1697" t="s">
        <v>89</v>
      </c>
      <c r="B1697" t="s">
        <v>1619</v>
      </c>
      <c r="C1697" t="s">
        <v>4002</v>
      </c>
      <c r="D1697" s="2" t="s">
        <v>1621</v>
      </c>
      <c r="E1697">
        <v>3.83</v>
      </c>
      <c r="F1697">
        <v>0.08</v>
      </c>
      <c r="G1697" t="s">
        <v>72</v>
      </c>
      <c r="H1697" t="s">
        <v>3457</v>
      </c>
      <c r="I1697">
        <v>35</v>
      </c>
      <c r="J1697">
        <v>383</v>
      </c>
      <c r="K1697" s="5">
        <v>46161.61825890046</v>
      </c>
      <c r="M1697" s="2" t="s">
        <v>1945</v>
      </c>
      <c r="N1697" s="2" t="s">
        <v>1701</v>
      </c>
      <c r="O1697" s="5">
        <v>45814.366625902781</v>
      </c>
      <c r="P1697" t="str">
        <f>IF($Q1697="DELETE",IF($S1697="CONFIRMED: NO MODS &gt; 1YR","CONFIRMED: NO MODS &gt; 1YR","DO NOT DELETE — not defensibly confirmed"),IF($Q1697="HOLD","DO NOT DELETE — HOLD (Charlie review)",IF($Q1697="KEEP","DO NOT DELETE — KEEP",IF(ISNUMBER(SEARCH("REVIEW",$Q1697)),"DO NOT DELETE — REVIEW pending",$S1697))))</f>
        <v>DO NOT DELETE — REVIEW pending</v>
      </c>
      <c r="Q1697" t="str" cm="1">
        <f t="array" ref="Q1697">_xlfn.IFS(AND($A1697="thg-beauty",ISNUMBER(SEARCH("liveramp",$C1697))),"DELETE",$A1697="agile-bonbon-662",_xlfn.IFS(LEFT($G1697,9)="Tranche 1","DELETE",$C1697="Sessions_Level_1_All_Sites","KEEP",ISNUMBER(--$C1697),"REVIEW — UA raw logs",$C1697="Emag_Reporting","KEEP",$C1697="Nutrition_Data_Archived_Tables","KEEP",$C1697="EU_Data","KEEP",TRUE,"REVIEW"),OR($A1697="thg-influencer",$A1697="thg-ingenuity",$A1697="thg-central-marketing",$A1697="thg-seoclarity"),"HOLD",TRUE,"")</f>
        <v>REVIEW</v>
      </c>
      <c r="R1697" t="str" cm="1">
        <f t="array" ref="R1697">_xlfn.IFS(AND($A1697="thg-beauty",ISNUMBER(SEARCH("liveramp",$C1697))),"thg-beauty Liveramp dataset — confirmed safe to delete",$A1697="agile-bonbon-662",_xlfn.IFS(LEFT($G1697,9)="Tranche 1","Tranche 1: cleared",$C1697="Sessions_Level_1_All_Sites","Downstream aggregation of UA raw logs — keep if raw tables go",ISNUMBER(--$C1697),"UA raw site logs (account ID) — keep pending audit-retention check",$C1697="Emag_Reporting","Legacy but likely needed",$C1697="Nutrition_Data_Archived_Tables","Worth keeping",$C1697="EU_Data","Static lookup tables — scripts still reference (smoke-test risk)",TRUE,"Review"),OR($A1697="thg-influencer",$A1697="thg-ingenuity",$A1697="thg-central-marketing",$A1697="thg-seoclarity"),"HOLD — Charlie Stringer to review before deletion",TRUE,"")</f>
        <v>Review</v>
      </c>
      <c r="S1697" t="s">
        <v>1631</v>
      </c>
    </row>
    <row r="1698" spans="1:19" ht="45.75" hidden="1">
      <c r="A1698" t="s">
        <v>89</v>
      </c>
      <c r="B1698" t="s">
        <v>1619</v>
      </c>
      <c r="C1698" t="s">
        <v>4003</v>
      </c>
      <c r="D1698" s="2" t="s">
        <v>1621</v>
      </c>
      <c r="E1698">
        <v>3.8</v>
      </c>
      <c r="F1698">
        <v>0.08</v>
      </c>
      <c r="G1698" t="s">
        <v>72</v>
      </c>
      <c r="H1698" t="s">
        <v>3457</v>
      </c>
      <c r="I1698">
        <v>35</v>
      </c>
      <c r="J1698">
        <v>1192</v>
      </c>
      <c r="K1698" s="5">
        <v>46161.617639189812</v>
      </c>
      <c r="M1698" s="2" t="s">
        <v>1957</v>
      </c>
      <c r="N1698" s="2" t="s">
        <v>1701</v>
      </c>
      <c r="O1698" s="5">
        <v>45004.873204537027</v>
      </c>
      <c r="P1698" t="str">
        <f>IF($Q1698="DELETE",IF($S1698="CONFIRMED: NO MODS &gt; 1YR","CONFIRMED: NO MODS &gt; 1YR","DO NOT DELETE — not defensibly confirmed"),IF($Q1698="HOLD","DO NOT DELETE — HOLD (Charlie review)",IF($Q1698="KEEP","DO NOT DELETE — KEEP",IF(ISNUMBER(SEARCH("REVIEW",$Q1698)),"DO NOT DELETE — REVIEW pending",$S1698))))</f>
        <v>DO NOT DELETE — REVIEW pending</v>
      </c>
      <c r="Q1698" t="str" cm="1">
        <f t="array" ref="Q1698">_xlfn.IFS(AND($A1698="thg-beauty",ISNUMBER(SEARCH("liveramp",$C1698))),"DELETE",$A1698="agile-bonbon-662",_xlfn.IFS(LEFT($G1698,9)="Tranche 1","DELETE",$C1698="Sessions_Level_1_All_Sites","KEEP",ISNUMBER(--$C1698),"REVIEW — UA raw logs",$C1698="Emag_Reporting","KEEP",$C1698="Nutrition_Data_Archived_Tables","KEEP",$C1698="EU_Data","KEEP",TRUE,"REVIEW"),OR($A1698="thg-influencer",$A1698="thg-ingenuity",$A1698="thg-central-marketing",$A1698="thg-seoclarity"),"HOLD",TRUE,"")</f>
        <v>REVIEW</v>
      </c>
      <c r="R1698" t="str" cm="1">
        <f t="array" ref="R1698">_xlfn.IFS(AND($A1698="thg-beauty",ISNUMBER(SEARCH("liveramp",$C1698))),"thg-beauty Liveramp dataset — confirmed safe to delete",$A1698="agile-bonbon-662",_xlfn.IFS(LEFT($G1698,9)="Tranche 1","Tranche 1: cleared",$C1698="Sessions_Level_1_All_Sites","Downstream aggregation of UA raw logs — keep if raw tables go",ISNUMBER(--$C1698),"UA raw site logs (account ID) — keep pending audit-retention check",$C1698="Emag_Reporting","Legacy but likely needed",$C1698="Nutrition_Data_Archived_Tables","Worth keeping",$C1698="EU_Data","Static lookup tables — scripts still reference (smoke-test risk)",TRUE,"Review"),OR($A1698="thg-influencer",$A1698="thg-ingenuity",$A1698="thg-central-marketing",$A1698="thg-seoclarity"),"HOLD — Charlie Stringer to review before deletion",TRUE,"")</f>
        <v>Review</v>
      </c>
      <c r="S1698" t="s">
        <v>1631</v>
      </c>
    </row>
    <row r="1699" spans="1:19" ht="76.5" hidden="1">
      <c r="A1699" t="s">
        <v>89</v>
      </c>
      <c r="B1699" t="s">
        <v>1619</v>
      </c>
      <c r="C1699" t="s">
        <v>4004</v>
      </c>
      <c r="D1699" s="2" t="s">
        <v>1621</v>
      </c>
      <c r="E1699">
        <v>3.79</v>
      </c>
      <c r="F1699">
        <v>0.08</v>
      </c>
      <c r="G1699" t="s">
        <v>72</v>
      </c>
      <c r="H1699" t="s">
        <v>3457</v>
      </c>
      <c r="I1699">
        <v>35</v>
      </c>
      <c r="J1699">
        <v>485</v>
      </c>
      <c r="K1699" s="5">
        <v>46161.607452824072</v>
      </c>
      <c r="M1699" s="2" t="s">
        <v>4005</v>
      </c>
      <c r="N1699" s="2" t="s">
        <v>1701</v>
      </c>
      <c r="O1699" s="5">
        <v>45712.201841168979</v>
      </c>
      <c r="P1699" t="str">
        <f>IF($Q1699="DELETE",IF($S1699="CONFIRMED: NO MODS &gt; 1YR","CONFIRMED: NO MODS &gt; 1YR","DO NOT DELETE — not defensibly confirmed"),IF($Q1699="HOLD","DO NOT DELETE — HOLD (Charlie review)",IF($Q1699="KEEP","DO NOT DELETE — KEEP",IF(ISNUMBER(SEARCH("REVIEW",$Q1699)),"DO NOT DELETE — REVIEW pending",$S1699))))</f>
        <v>DO NOT DELETE — REVIEW pending</v>
      </c>
      <c r="Q1699" t="str" cm="1">
        <f t="array" ref="Q1699">_xlfn.IFS(AND($A1699="thg-beauty",ISNUMBER(SEARCH("liveramp",$C1699))),"DELETE",$A1699="agile-bonbon-662",_xlfn.IFS(LEFT($G1699,9)="Tranche 1","DELETE",$C1699="Sessions_Level_1_All_Sites","KEEP",ISNUMBER(--$C1699),"REVIEW — UA raw logs",$C1699="Emag_Reporting","KEEP",$C1699="Nutrition_Data_Archived_Tables","KEEP",$C1699="EU_Data","KEEP",TRUE,"REVIEW"),OR($A1699="thg-influencer",$A1699="thg-ingenuity",$A1699="thg-central-marketing",$A1699="thg-seoclarity"),"HOLD",TRUE,"")</f>
        <v>REVIEW</v>
      </c>
      <c r="R1699" t="str" cm="1">
        <f t="array" ref="R1699">_xlfn.IFS(AND($A1699="thg-beauty",ISNUMBER(SEARCH("liveramp",$C1699))),"thg-beauty Liveramp dataset — confirmed safe to delete",$A1699="agile-bonbon-662",_xlfn.IFS(LEFT($G1699,9)="Tranche 1","Tranche 1: cleared",$C1699="Sessions_Level_1_All_Sites","Downstream aggregation of UA raw logs — keep if raw tables go",ISNUMBER(--$C1699),"UA raw site logs (account ID) — keep pending audit-retention check",$C1699="Emag_Reporting","Legacy but likely needed",$C1699="Nutrition_Data_Archived_Tables","Worth keeping",$C1699="EU_Data","Static lookup tables — scripts still reference (smoke-test risk)",TRUE,"Review"),OR($A1699="thg-influencer",$A1699="thg-ingenuity",$A1699="thg-central-marketing",$A1699="thg-seoclarity"),"HOLD — Charlie Stringer to review before deletion",TRUE,"")</f>
        <v>Review</v>
      </c>
      <c r="S1699" t="s">
        <v>1631</v>
      </c>
    </row>
    <row r="1700" spans="1:19" ht="45.75" hidden="1">
      <c r="A1700" t="s">
        <v>89</v>
      </c>
      <c r="B1700" t="s">
        <v>1619</v>
      </c>
      <c r="C1700" t="s">
        <v>4006</v>
      </c>
      <c r="D1700" s="2" t="s">
        <v>1621</v>
      </c>
      <c r="E1700">
        <v>3.76</v>
      </c>
      <c r="F1700">
        <v>0.08</v>
      </c>
      <c r="G1700" t="s">
        <v>72</v>
      </c>
      <c r="H1700" t="s">
        <v>3457</v>
      </c>
      <c r="I1700">
        <v>35</v>
      </c>
      <c r="J1700">
        <v>450</v>
      </c>
      <c r="K1700" s="5">
        <v>46161.620439062499</v>
      </c>
      <c r="M1700" s="2" t="s">
        <v>1943</v>
      </c>
      <c r="N1700" s="2" t="s">
        <v>1701</v>
      </c>
      <c r="O1700" s="5">
        <v>45746.646905520844</v>
      </c>
      <c r="P1700" t="str">
        <f>IF($Q1700="DELETE",IF($S1700="CONFIRMED: NO MODS &gt; 1YR","CONFIRMED: NO MODS &gt; 1YR","DO NOT DELETE — not defensibly confirmed"),IF($Q1700="HOLD","DO NOT DELETE — HOLD (Charlie review)",IF($Q1700="KEEP","DO NOT DELETE — KEEP",IF(ISNUMBER(SEARCH("REVIEW",$Q1700)),"DO NOT DELETE — REVIEW pending",$S1700))))</f>
        <v>DO NOT DELETE — REVIEW pending</v>
      </c>
      <c r="Q1700" t="str" cm="1">
        <f t="array" ref="Q1700">_xlfn.IFS(AND($A1700="thg-beauty",ISNUMBER(SEARCH("liveramp",$C1700))),"DELETE",$A1700="agile-bonbon-662",_xlfn.IFS(LEFT($G1700,9)="Tranche 1","DELETE",$C1700="Sessions_Level_1_All_Sites","KEEP",ISNUMBER(--$C1700),"REVIEW — UA raw logs",$C1700="Emag_Reporting","KEEP",$C1700="Nutrition_Data_Archived_Tables","KEEP",$C1700="EU_Data","KEEP",TRUE,"REVIEW"),OR($A1700="thg-influencer",$A1700="thg-ingenuity",$A1700="thg-central-marketing",$A1700="thg-seoclarity"),"HOLD",TRUE,"")</f>
        <v>REVIEW</v>
      </c>
      <c r="R1700" t="str" cm="1">
        <f t="array" ref="R1700">_xlfn.IFS(AND($A1700="thg-beauty",ISNUMBER(SEARCH("liveramp",$C1700))),"thg-beauty Liveramp dataset — confirmed safe to delete",$A1700="agile-bonbon-662",_xlfn.IFS(LEFT($G1700,9)="Tranche 1","Tranche 1: cleared",$C1700="Sessions_Level_1_All_Sites","Downstream aggregation of UA raw logs — keep if raw tables go",ISNUMBER(--$C1700),"UA raw site logs (account ID) — keep pending audit-retention check",$C1700="Emag_Reporting","Legacy but likely needed",$C1700="Nutrition_Data_Archived_Tables","Worth keeping",$C1700="EU_Data","Static lookup tables — scripts still reference (smoke-test risk)",TRUE,"Review"),OR($A1700="thg-influencer",$A1700="thg-ingenuity",$A1700="thg-central-marketing",$A1700="thg-seoclarity"),"HOLD — Charlie Stringer to review before deletion",TRUE,"")</f>
        <v>Review</v>
      </c>
      <c r="S1700" t="s">
        <v>1631</v>
      </c>
    </row>
    <row r="1701" spans="1:19" ht="45.75" hidden="1">
      <c r="A1701" t="s">
        <v>89</v>
      </c>
      <c r="B1701" t="s">
        <v>1619</v>
      </c>
      <c r="C1701" t="s">
        <v>4007</v>
      </c>
      <c r="D1701" s="2" t="s">
        <v>1621</v>
      </c>
      <c r="E1701">
        <v>3.73</v>
      </c>
      <c r="F1701">
        <v>7.0000000000000007E-2</v>
      </c>
      <c r="G1701" t="s">
        <v>72</v>
      </c>
      <c r="H1701" t="s">
        <v>3457</v>
      </c>
      <c r="I1701">
        <v>35</v>
      </c>
      <c r="J1701">
        <v>723</v>
      </c>
      <c r="K1701" s="5">
        <v>46161.594796076388</v>
      </c>
      <c r="M1701" s="2" t="s">
        <v>3902</v>
      </c>
      <c r="N1701" s="2" t="s">
        <v>1701</v>
      </c>
      <c r="O1701" s="5">
        <v>45474.282626851847</v>
      </c>
      <c r="P1701" t="str">
        <f>IF($Q1701="DELETE",IF($S1701="CONFIRMED: NO MODS &gt; 1YR","CONFIRMED: NO MODS &gt; 1YR","DO NOT DELETE — not defensibly confirmed"),IF($Q1701="HOLD","DO NOT DELETE — HOLD (Charlie review)",IF($Q1701="KEEP","DO NOT DELETE — KEEP",IF(ISNUMBER(SEARCH("REVIEW",$Q1701)),"DO NOT DELETE — REVIEW pending",$S1701))))</f>
        <v>DO NOT DELETE — REVIEW pending</v>
      </c>
      <c r="Q1701" t="str" cm="1">
        <f t="array" ref="Q1701">_xlfn.IFS(AND($A1701="thg-beauty",ISNUMBER(SEARCH("liveramp",$C1701))),"DELETE",$A1701="agile-bonbon-662",_xlfn.IFS(LEFT($G1701,9)="Tranche 1","DELETE",$C1701="Sessions_Level_1_All_Sites","KEEP",ISNUMBER(--$C1701),"REVIEW — UA raw logs",$C1701="Emag_Reporting","KEEP",$C1701="Nutrition_Data_Archived_Tables","KEEP",$C1701="EU_Data","KEEP",TRUE,"REVIEW"),OR($A1701="thg-influencer",$A1701="thg-ingenuity",$A1701="thg-central-marketing",$A1701="thg-seoclarity"),"HOLD",TRUE,"")</f>
        <v>REVIEW — UA raw logs</v>
      </c>
      <c r="R1701" t="str" cm="1">
        <f t="array" ref="R1701">_xlfn.IFS(AND($A1701="thg-beauty",ISNUMBER(SEARCH("liveramp",$C1701))),"thg-beauty Liveramp dataset — confirmed safe to delete",$A1701="agile-bonbon-662",_xlfn.IFS(LEFT($G1701,9)="Tranche 1","Tranche 1: cleared",$C1701="Sessions_Level_1_All_Sites","Downstream aggregation of UA raw logs — keep if raw tables go",ISNUMBER(--$C1701),"UA raw site logs (account ID) — keep pending audit-retention check",$C1701="Emag_Reporting","Legacy but likely needed",$C1701="Nutrition_Data_Archived_Tables","Worth keeping",$C1701="EU_Data","Static lookup tables — scripts still reference (smoke-test risk)",TRUE,"Review"),OR($A1701="thg-influencer",$A1701="thg-ingenuity",$A1701="thg-central-marketing",$A1701="thg-seoclarity"),"HOLD — Charlie Stringer to review before deletion",TRUE,"")</f>
        <v>UA raw site logs (account ID) — keep pending audit-retention check</v>
      </c>
      <c r="S1701" t="s">
        <v>1631</v>
      </c>
    </row>
    <row r="1702" spans="1:19" ht="45.75" hidden="1">
      <c r="A1702" t="s">
        <v>89</v>
      </c>
      <c r="B1702" t="s">
        <v>1619</v>
      </c>
      <c r="C1702" t="s">
        <v>4008</v>
      </c>
      <c r="D1702" s="2" t="s">
        <v>1621</v>
      </c>
      <c r="E1702">
        <v>3.7</v>
      </c>
      <c r="F1702">
        <v>7.0000000000000007E-2</v>
      </c>
      <c r="G1702" t="s">
        <v>72</v>
      </c>
      <c r="H1702" t="s">
        <v>3457</v>
      </c>
      <c r="I1702">
        <v>35</v>
      </c>
      <c r="J1702">
        <v>2689</v>
      </c>
      <c r="K1702" s="5">
        <v>46161.601881145827</v>
      </c>
      <c r="M1702" s="2" t="s">
        <v>3433</v>
      </c>
      <c r="N1702" s="2" t="s">
        <v>1701</v>
      </c>
      <c r="O1702" s="5">
        <v>43507.77323027778</v>
      </c>
      <c r="P1702" t="str">
        <f>IF($Q1702="DELETE",IF($S1702="CONFIRMED: NO MODS &gt; 1YR","CONFIRMED: NO MODS &gt; 1YR","DO NOT DELETE — not defensibly confirmed"),IF($Q1702="HOLD","DO NOT DELETE — HOLD (Charlie review)",IF($Q1702="KEEP","DO NOT DELETE — KEEP",IF(ISNUMBER(SEARCH("REVIEW",$Q1702)),"DO NOT DELETE — REVIEW pending",$S1702))))</f>
        <v>DO NOT DELETE — REVIEW pending</v>
      </c>
      <c r="Q1702" t="str" cm="1">
        <f t="array" ref="Q1702">_xlfn.IFS(AND($A1702="thg-beauty",ISNUMBER(SEARCH("liveramp",$C1702))),"DELETE",$A1702="agile-bonbon-662",_xlfn.IFS(LEFT($G1702,9)="Tranche 1","DELETE",$C1702="Sessions_Level_1_All_Sites","KEEP",ISNUMBER(--$C1702),"REVIEW — UA raw logs",$C1702="Emag_Reporting","KEEP",$C1702="Nutrition_Data_Archived_Tables","KEEP",$C1702="EU_Data","KEEP",TRUE,"REVIEW"),OR($A1702="thg-influencer",$A1702="thg-ingenuity",$A1702="thg-central-marketing",$A1702="thg-seoclarity"),"HOLD",TRUE,"")</f>
        <v>REVIEW — UA raw logs</v>
      </c>
      <c r="R1702" t="str" cm="1">
        <f t="array" ref="R1702">_xlfn.IFS(AND($A1702="thg-beauty",ISNUMBER(SEARCH("liveramp",$C1702))),"thg-beauty Liveramp dataset — confirmed safe to delete",$A1702="agile-bonbon-662",_xlfn.IFS(LEFT($G1702,9)="Tranche 1","Tranche 1: cleared",$C1702="Sessions_Level_1_All_Sites","Downstream aggregation of UA raw logs — keep if raw tables go",ISNUMBER(--$C1702),"UA raw site logs (account ID) — keep pending audit-retention check",$C1702="Emag_Reporting","Legacy but likely needed",$C1702="Nutrition_Data_Archived_Tables","Worth keeping",$C1702="EU_Data","Static lookup tables — scripts still reference (smoke-test risk)",TRUE,"Review"),OR($A1702="thg-influencer",$A1702="thg-ingenuity",$A1702="thg-central-marketing",$A1702="thg-seoclarity"),"HOLD — Charlie Stringer to review before deletion",TRUE,"")</f>
        <v>UA raw site logs (account ID) — keep pending audit-retention check</v>
      </c>
      <c r="S1702" t="s">
        <v>1631</v>
      </c>
    </row>
    <row r="1703" spans="1:19" ht="45.75" hidden="1">
      <c r="A1703" t="s">
        <v>89</v>
      </c>
      <c r="B1703" t="s">
        <v>1619</v>
      </c>
      <c r="C1703" t="s">
        <v>4009</v>
      </c>
      <c r="D1703" s="2" t="s">
        <v>1621</v>
      </c>
      <c r="E1703">
        <v>3.6</v>
      </c>
      <c r="F1703">
        <v>7.0000000000000007E-2</v>
      </c>
      <c r="G1703" t="s">
        <v>72</v>
      </c>
      <c r="H1703" t="s">
        <v>3457</v>
      </c>
      <c r="I1703">
        <v>35</v>
      </c>
      <c r="J1703">
        <v>386</v>
      </c>
      <c r="K1703" s="5">
        <v>46161.618853877313</v>
      </c>
      <c r="M1703" s="2" t="s">
        <v>1981</v>
      </c>
      <c r="N1703" s="2" t="s">
        <v>1701</v>
      </c>
      <c r="O1703" s="5">
        <v>45810.494725520832</v>
      </c>
      <c r="P1703" t="str">
        <f>IF($Q1703="DELETE",IF($S1703="CONFIRMED: NO MODS &gt; 1YR","CONFIRMED: NO MODS &gt; 1YR","DO NOT DELETE — not defensibly confirmed"),IF($Q1703="HOLD","DO NOT DELETE — HOLD (Charlie review)",IF($Q1703="KEEP","DO NOT DELETE — KEEP",IF(ISNUMBER(SEARCH("REVIEW",$Q1703)),"DO NOT DELETE — REVIEW pending",$S1703))))</f>
        <v>DO NOT DELETE — REVIEW pending</v>
      </c>
      <c r="Q1703" t="str" cm="1">
        <f t="array" ref="Q1703">_xlfn.IFS(AND($A1703="thg-beauty",ISNUMBER(SEARCH("liveramp",$C1703))),"DELETE",$A1703="agile-bonbon-662",_xlfn.IFS(LEFT($G1703,9)="Tranche 1","DELETE",$C1703="Sessions_Level_1_All_Sites","KEEP",ISNUMBER(--$C1703),"REVIEW — UA raw logs",$C1703="Emag_Reporting","KEEP",$C1703="Nutrition_Data_Archived_Tables","KEEP",$C1703="EU_Data","KEEP",TRUE,"REVIEW"),OR($A1703="thg-influencer",$A1703="thg-ingenuity",$A1703="thg-central-marketing",$A1703="thg-seoclarity"),"HOLD",TRUE,"")</f>
        <v>REVIEW</v>
      </c>
      <c r="R1703" t="str" cm="1">
        <f t="array" ref="R1703">_xlfn.IFS(AND($A1703="thg-beauty",ISNUMBER(SEARCH("liveramp",$C1703))),"thg-beauty Liveramp dataset — confirmed safe to delete",$A1703="agile-bonbon-662",_xlfn.IFS(LEFT($G1703,9)="Tranche 1","Tranche 1: cleared",$C1703="Sessions_Level_1_All_Sites","Downstream aggregation of UA raw logs — keep if raw tables go",ISNUMBER(--$C1703),"UA raw site logs (account ID) — keep pending audit-retention check",$C1703="Emag_Reporting","Legacy but likely needed",$C1703="Nutrition_Data_Archived_Tables","Worth keeping",$C1703="EU_Data","Static lookup tables — scripts still reference (smoke-test risk)",TRUE,"Review"),OR($A1703="thg-influencer",$A1703="thg-ingenuity",$A1703="thg-central-marketing",$A1703="thg-seoclarity"),"HOLD — Charlie Stringer to review before deletion",TRUE,"")</f>
        <v>Review</v>
      </c>
      <c r="S1703" t="s">
        <v>1631</v>
      </c>
    </row>
    <row r="1704" spans="1:19" ht="76.5" hidden="1">
      <c r="A1704" t="s">
        <v>89</v>
      </c>
      <c r="B1704" t="s">
        <v>1619</v>
      </c>
      <c r="C1704" t="s">
        <v>4010</v>
      </c>
      <c r="D1704" s="2" t="s">
        <v>1621</v>
      </c>
      <c r="E1704">
        <v>3.6</v>
      </c>
      <c r="F1704">
        <v>7.0000000000000007E-2</v>
      </c>
      <c r="G1704" t="s">
        <v>72</v>
      </c>
      <c r="H1704" t="s">
        <v>3457</v>
      </c>
      <c r="I1704">
        <v>35</v>
      </c>
      <c r="J1704">
        <v>2556</v>
      </c>
      <c r="K1704" s="5">
        <v>46161.579778171297</v>
      </c>
      <c r="M1704" s="2" t="s">
        <v>4011</v>
      </c>
      <c r="N1704" s="2" t="s">
        <v>1701</v>
      </c>
      <c r="O1704" s="5">
        <v>43640.706267013891</v>
      </c>
      <c r="P1704" t="str">
        <f>IF($Q1704="DELETE",IF($S1704="CONFIRMED: NO MODS &gt; 1YR","CONFIRMED: NO MODS &gt; 1YR","DO NOT DELETE — not defensibly confirmed"),IF($Q1704="HOLD","DO NOT DELETE — HOLD (Charlie review)",IF($Q1704="KEEP","DO NOT DELETE — KEEP",IF(ISNUMBER(SEARCH("REVIEW",$Q1704)),"DO NOT DELETE — REVIEW pending",$S1704))))</f>
        <v>DO NOT DELETE — REVIEW pending</v>
      </c>
      <c r="Q1704" t="str" cm="1">
        <f t="array" ref="Q1704">_xlfn.IFS(AND($A1704="thg-beauty",ISNUMBER(SEARCH("liveramp",$C1704))),"DELETE",$A1704="agile-bonbon-662",_xlfn.IFS(LEFT($G1704,9)="Tranche 1","DELETE",$C1704="Sessions_Level_1_All_Sites","KEEP",ISNUMBER(--$C1704),"REVIEW — UA raw logs",$C1704="Emag_Reporting","KEEP",$C1704="Nutrition_Data_Archived_Tables","KEEP",$C1704="EU_Data","KEEP",TRUE,"REVIEW"),OR($A1704="thg-influencer",$A1704="thg-ingenuity",$A1704="thg-central-marketing",$A1704="thg-seoclarity"),"HOLD",TRUE,"")</f>
        <v>REVIEW</v>
      </c>
      <c r="R1704" t="str" cm="1">
        <f t="array" ref="R1704">_xlfn.IFS(AND($A1704="thg-beauty",ISNUMBER(SEARCH("liveramp",$C1704))),"thg-beauty Liveramp dataset — confirmed safe to delete",$A1704="agile-bonbon-662",_xlfn.IFS(LEFT($G1704,9)="Tranche 1","Tranche 1: cleared",$C1704="Sessions_Level_1_All_Sites","Downstream aggregation of UA raw logs — keep if raw tables go",ISNUMBER(--$C1704),"UA raw site logs (account ID) — keep pending audit-retention check",$C1704="Emag_Reporting","Legacy but likely needed",$C1704="Nutrition_Data_Archived_Tables","Worth keeping",$C1704="EU_Data","Static lookup tables — scripts still reference (smoke-test risk)",TRUE,"Review"),OR($A1704="thg-influencer",$A1704="thg-ingenuity",$A1704="thg-central-marketing",$A1704="thg-seoclarity"),"HOLD — Charlie Stringer to review before deletion",TRUE,"")</f>
        <v>Review</v>
      </c>
      <c r="S1704" t="s">
        <v>1631</v>
      </c>
    </row>
    <row r="1705" spans="1:19" ht="45.75" hidden="1">
      <c r="A1705" t="s">
        <v>89</v>
      </c>
      <c r="B1705" t="s">
        <v>1619</v>
      </c>
      <c r="C1705" t="s">
        <v>4012</v>
      </c>
      <c r="D1705" s="2" t="s">
        <v>1621</v>
      </c>
      <c r="E1705">
        <v>3.48</v>
      </c>
      <c r="F1705">
        <v>7.0000000000000007E-2</v>
      </c>
      <c r="G1705" t="s">
        <v>72</v>
      </c>
      <c r="H1705" t="s">
        <v>3457</v>
      </c>
      <c r="I1705">
        <v>35</v>
      </c>
      <c r="J1705">
        <v>435</v>
      </c>
      <c r="K1705" s="5">
        <v>46161.608748495368</v>
      </c>
      <c r="M1705" s="2" t="s">
        <v>4013</v>
      </c>
      <c r="N1705" s="2" t="s">
        <v>1701</v>
      </c>
      <c r="O1705" s="5">
        <v>45762.331415451386</v>
      </c>
      <c r="P1705" t="str">
        <f>IF($Q1705="DELETE",IF($S1705="CONFIRMED: NO MODS &gt; 1YR","CONFIRMED: NO MODS &gt; 1YR","DO NOT DELETE — not defensibly confirmed"),IF($Q1705="HOLD","DO NOT DELETE — HOLD (Charlie review)",IF($Q1705="KEEP","DO NOT DELETE — KEEP",IF(ISNUMBER(SEARCH("REVIEW",$Q1705)),"DO NOT DELETE — REVIEW pending",$S1705))))</f>
        <v>DO NOT DELETE — KEEP</v>
      </c>
      <c r="Q1705" t="str" cm="1">
        <f t="array" ref="Q1705">_xlfn.IFS(AND($A1705="thg-beauty",ISNUMBER(SEARCH("liveramp",$C1705))),"DELETE",$A1705="agile-bonbon-662",_xlfn.IFS(LEFT($G1705,9)="Tranche 1","DELETE",$C1705="Sessions_Level_1_All_Sites","KEEP",ISNUMBER(--$C1705),"REVIEW — UA raw logs",$C1705="Emag_Reporting","KEEP",$C1705="Nutrition_Data_Archived_Tables","KEEP",$C1705="EU_Data","KEEP",TRUE,"REVIEW"),OR($A1705="thg-influencer",$A1705="thg-ingenuity",$A1705="thg-central-marketing",$A1705="thg-seoclarity"),"HOLD",TRUE,"")</f>
        <v>KEEP</v>
      </c>
      <c r="R1705" t="str" cm="1">
        <f t="array" ref="R1705">_xlfn.IFS(AND($A1705="thg-beauty",ISNUMBER(SEARCH("liveramp",$C1705))),"thg-beauty Liveramp dataset — confirmed safe to delete",$A1705="agile-bonbon-662",_xlfn.IFS(LEFT($G1705,9)="Tranche 1","Tranche 1: cleared",$C1705="Sessions_Level_1_All_Sites","Downstream aggregation of UA raw logs — keep if raw tables go",ISNUMBER(--$C1705),"UA raw site logs (account ID) — keep pending audit-retention check",$C1705="Emag_Reporting","Legacy but likely needed",$C1705="Nutrition_Data_Archived_Tables","Worth keeping",$C1705="EU_Data","Static lookup tables — scripts still reference (smoke-test risk)",TRUE,"Review"),OR($A1705="thg-influencer",$A1705="thg-ingenuity",$A1705="thg-central-marketing",$A1705="thg-seoclarity"),"HOLD — Charlie Stringer to review before deletion",TRUE,"")</f>
        <v>Worth keeping</v>
      </c>
      <c r="S1705" t="s">
        <v>1631</v>
      </c>
    </row>
    <row r="1706" spans="1:19" ht="45.75" hidden="1">
      <c r="A1706" t="s">
        <v>89</v>
      </c>
      <c r="B1706" t="s">
        <v>1619</v>
      </c>
      <c r="C1706" t="s">
        <v>4014</v>
      </c>
      <c r="D1706" s="2" t="s">
        <v>1621</v>
      </c>
      <c r="E1706">
        <v>3.39</v>
      </c>
      <c r="F1706">
        <v>7.0000000000000007E-2</v>
      </c>
      <c r="G1706" t="s">
        <v>72</v>
      </c>
      <c r="H1706" t="s">
        <v>3457</v>
      </c>
      <c r="I1706">
        <v>35</v>
      </c>
      <c r="J1706">
        <v>723</v>
      </c>
      <c r="K1706" s="5">
        <v>46161.591925104163</v>
      </c>
      <c r="M1706" s="2" t="s">
        <v>3448</v>
      </c>
      <c r="N1706" s="2" t="s">
        <v>1701</v>
      </c>
      <c r="O1706" s="5">
        <v>45474.278895891213</v>
      </c>
      <c r="P1706" t="str">
        <f>IF($Q1706="DELETE",IF($S1706="CONFIRMED: NO MODS &gt; 1YR","CONFIRMED: NO MODS &gt; 1YR","DO NOT DELETE — not defensibly confirmed"),IF($Q1706="HOLD","DO NOT DELETE — HOLD (Charlie review)",IF($Q1706="KEEP","DO NOT DELETE — KEEP",IF(ISNUMBER(SEARCH("REVIEW",$Q1706)),"DO NOT DELETE — REVIEW pending",$S1706))))</f>
        <v>DO NOT DELETE — REVIEW pending</v>
      </c>
      <c r="Q1706" t="str" cm="1">
        <f t="array" ref="Q1706">_xlfn.IFS(AND($A1706="thg-beauty",ISNUMBER(SEARCH("liveramp",$C1706))),"DELETE",$A1706="agile-bonbon-662",_xlfn.IFS(LEFT($G1706,9)="Tranche 1","DELETE",$C1706="Sessions_Level_1_All_Sites","KEEP",ISNUMBER(--$C1706),"REVIEW — UA raw logs",$C1706="Emag_Reporting","KEEP",$C1706="Nutrition_Data_Archived_Tables","KEEP",$C1706="EU_Data","KEEP",TRUE,"REVIEW"),OR($A1706="thg-influencer",$A1706="thg-ingenuity",$A1706="thg-central-marketing",$A1706="thg-seoclarity"),"HOLD",TRUE,"")</f>
        <v>REVIEW — UA raw logs</v>
      </c>
      <c r="R1706" t="str" cm="1">
        <f t="array" ref="R1706">_xlfn.IFS(AND($A1706="thg-beauty",ISNUMBER(SEARCH("liveramp",$C1706))),"thg-beauty Liveramp dataset — confirmed safe to delete",$A1706="agile-bonbon-662",_xlfn.IFS(LEFT($G1706,9)="Tranche 1","Tranche 1: cleared",$C1706="Sessions_Level_1_All_Sites","Downstream aggregation of UA raw logs — keep if raw tables go",ISNUMBER(--$C1706),"UA raw site logs (account ID) — keep pending audit-retention check",$C1706="Emag_Reporting","Legacy but likely needed",$C1706="Nutrition_Data_Archived_Tables","Worth keeping",$C1706="EU_Data","Static lookup tables — scripts still reference (smoke-test risk)",TRUE,"Review"),OR($A1706="thg-influencer",$A1706="thg-ingenuity",$A1706="thg-central-marketing",$A1706="thg-seoclarity"),"HOLD — Charlie Stringer to review before deletion",TRUE,"")</f>
        <v>UA raw site logs (account ID) — keep pending audit-retention check</v>
      </c>
      <c r="S1706" t="s">
        <v>1631</v>
      </c>
    </row>
    <row r="1707" spans="1:19" ht="45.75" hidden="1">
      <c r="A1707" t="s">
        <v>89</v>
      </c>
      <c r="B1707" t="s">
        <v>1619</v>
      </c>
      <c r="C1707" t="s">
        <v>4015</v>
      </c>
      <c r="D1707" s="2" t="s">
        <v>1621</v>
      </c>
      <c r="E1707">
        <v>3.3</v>
      </c>
      <c r="F1707">
        <v>7.0000000000000007E-2</v>
      </c>
      <c r="G1707" t="s">
        <v>72</v>
      </c>
      <c r="H1707" t="s">
        <v>3457</v>
      </c>
      <c r="I1707">
        <v>35</v>
      </c>
      <c r="J1707">
        <v>1751</v>
      </c>
      <c r="K1707" s="5">
        <v>46161.610738333336</v>
      </c>
      <c r="M1707" s="2" t="s">
        <v>2058</v>
      </c>
      <c r="N1707" s="2" t="s">
        <v>1701</v>
      </c>
      <c r="O1707" s="5">
        <v>44446.116050833327</v>
      </c>
      <c r="P1707" t="str">
        <f>IF($Q1707="DELETE",IF($S1707="CONFIRMED: NO MODS &gt; 1YR","CONFIRMED: NO MODS &gt; 1YR","DO NOT DELETE — not defensibly confirmed"),IF($Q1707="HOLD","DO NOT DELETE — HOLD (Charlie review)",IF($Q1707="KEEP","DO NOT DELETE — KEEP",IF(ISNUMBER(SEARCH("REVIEW",$Q1707)),"DO NOT DELETE — REVIEW pending",$S1707))))</f>
        <v>DO NOT DELETE — REVIEW pending</v>
      </c>
      <c r="Q1707" t="str" cm="1">
        <f t="array" ref="Q1707">_xlfn.IFS(AND($A1707="thg-beauty",ISNUMBER(SEARCH("liveramp",$C1707))),"DELETE",$A1707="agile-bonbon-662",_xlfn.IFS(LEFT($G1707,9)="Tranche 1","DELETE",$C1707="Sessions_Level_1_All_Sites","KEEP",ISNUMBER(--$C1707),"REVIEW — UA raw logs",$C1707="Emag_Reporting","KEEP",$C1707="Nutrition_Data_Archived_Tables","KEEP",$C1707="EU_Data","KEEP",TRUE,"REVIEW"),OR($A1707="thg-influencer",$A1707="thg-ingenuity",$A1707="thg-central-marketing",$A1707="thg-seoclarity"),"HOLD",TRUE,"")</f>
        <v>REVIEW</v>
      </c>
      <c r="R1707" t="str" cm="1">
        <f t="array" ref="R1707">_xlfn.IFS(AND($A1707="thg-beauty",ISNUMBER(SEARCH("liveramp",$C1707))),"thg-beauty Liveramp dataset — confirmed safe to delete",$A1707="agile-bonbon-662",_xlfn.IFS(LEFT($G1707,9)="Tranche 1","Tranche 1: cleared",$C1707="Sessions_Level_1_All_Sites","Downstream aggregation of UA raw logs — keep if raw tables go",ISNUMBER(--$C1707),"UA raw site logs (account ID) — keep pending audit-retention check",$C1707="Emag_Reporting","Legacy but likely needed",$C1707="Nutrition_Data_Archived_Tables","Worth keeping",$C1707="EU_Data","Static lookup tables — scripts still reference (smoke-test risk)",TRUE,"Review"),OR($A1707="thg-influencer",$A1707="thg-ingenuity",$A1707="thg-central-marketing",$A1707="thg-seoclarity"),"HOLD — Charlie Stringer to review before deletion",TRUE,"")</f>
        <v>Review</v>
      </c>
      <c r="S1707" t="s">
        <v>1631</v>
      </c>
    </row>
    <row r="1708" spans="1:19" ht="45.75" hidden="1">
      <c r="A1708" t="s">
        <v>89</v>
      </c>
      <c r="B1708" t="s">
        <v>1619</v>
      </c>
      <c r="C1708" t="s">
        <v>4016</v>
      </c>
      <c r="D1708" s="2" t="s">
        <v>1621</v>
      </c>
      <c r="E1708">
        <v>3.29</v>
      </c>
      <c r="F1708">
        <v>7.0000000000000007E-2</v>
      </c>
      <c r="G1708" t="s">
        <v>72</v>
      </c>
      <c r="H1708" t="s">
        <v>3457</v>
      </c>
      <c r="I1708">
        <v>35</v>
      </c>
      <c r="J1708">
        <v>723</v>
      </c>
      <c r="K1708" s="5">
        <v>46161.593279062501</v>
      </c>
      <c r="M1708" s="2" t="s">
        <v>3979</v>
      </c>
      <c r="N1708" s="2" t="s">
        <v>1701</v>
      </c>
      <c r="O1708" s="5">
        <v>45474.281029826387</v>
      </c>
      <c r="P1708" t="str">
        <f>IF($Q1708="DELETE",IF($S1708="CONFIRMED: NO MODS &gt; 1YR","CONFIRMED: NO MODS &gt; 1YR","DO NOT DELETE — not defensibly confirmed"),IF($Q1708="HOLD","DO NOT DELETE — HOLD (Charlie review)",IF($Q1708="KEEP","DO NOT DELETE — KEEP",IF(ISNUMBER(SEARCH("REVIEW",$Q1708)),"DO NOT DELETE — REVIEW pending",$S1708))))</f>
        <v>DO NOT DELETE — REVIEW pending</v>
      </c>
      <c r="Q1708" t="str" cm="1">
        <f t="array" ref="Q1708">_xlfn.IFS(AND($A1708="thg-beauty",ISNUMBER(SEARCH("liveramp",$C1708))),"DELETE",$A1708="agile-bonbon-662",_xlfn.IFS(LEFT($G1708,9)="Tranche 1","DELETE",$C1708="Sessions_Level_1_All_Sites","KEEP",ISNUMBER(--$C1708),"REVIEW — UA raw logs",$C1708="Emag_Reporting","KEEP",$C1708="Nutrition_Data_Archived_Tables","KEEP",$C1708="EU_Data","KEEP",TRUE,"REVIEW"),OR($A1708="thg-influencer",$A1708="thg-ingenuity",$A1708="thg-central-marketing",$A1708="thg-seoclarity"),"HOLD",TRUE,"")</f>
        <v>REVIEW — UA raw logs</v>
      </c>
      <c r="R1708" t="str" cm="1">
        <f t="array" ref="R1708">_xlfn.IFS(AND($A1708="thg-beauty",ISNUMBER(SEARCH("liveramp",$C1708))),"thg-beauty Liveramp dataset — confirmed safe to delete",$A1708="agile-bonbon-662",_xlfn.IFS(LEFT($G1708,9)="Tranche 1","Tranche 1: cleared",$C1708="Sessions_Level_1_All_Sites","Downstream aggregation of UA raw logs — keep if raw tables go",ISNUMBER(--$C1708),"UA raw site logs (account ID) — keep pending audit-retention check",$C1708="Emag_Reporting","Legacy but likely needed",$C1708="Nutrition_Data_Archived_Tables","Worth keeping",$C1708="EU_Data","Static lookup tables — scripts still reference (smoke-test risk)",TRUE,"Review"),OR($A1708="thg-influencer",$A1708="thg-ingenuity",$A1708="thg-central-marketing",$A1708="thg-seoclarity"),"HOLD — Charlie Stringer to review before deletion",TRUE,"")</f>
        <v>UA raw site logs (account ID) — keep pending audit-retention check</v>
      </c>
      <c r="S1708" t="s">
        <v>1631</v>
      </c>
    </row>
    <row r="1709" spans="1:19" ht="45.75" hidden="1">
      <c r="A1709" t="s">
        <v>89</v>
      </c>
      <c r="B1709" t="s">
        <v>1619</v>
      </c>
      <c r="C1709" t="s">
        <v>4017</v>
      </c>
      <c r="D1709" s="2" t="s">
        <v>1621</v>
      </c>
      <c r="E1709">
        <v>3.29</v>
      </c>
      <c r="F1709">
        <v>7.0000000000000007E-2</v>
      </c>
      <c r="G1709" t="s">
        <v>72</v>
      </c>
      <c r="H1709" t="s">
        <v>3457</v>
      </c>
      <c r="I1709">
        <v>35</v>
      </c>
      <c r="J1709">
        <v>1966</v>
      </c>
      <c r="K1709" s="5">
        <v>46161.621346134263</v>
      </c>
      <c r="M1709" s="2" t="s">
        <v>1960</v>
      </c>
      <c r="N1709" s="2" t="s">
        <v>1701</v>
      </c>
      <c r="O1709" s="5">
        <v>44230.53101820602</v>
      </c>
      <c r="P1709" t="str">
        <f>IF($Q1709="DELETE",IF($S1709="CONFIRMED: NO MODS &gt; 1YR","CONFIRMED: NO MODS &gt; 1YR","DO NOT DELETE — not defensibly confirmed"),IF($Q1709="HOLD","DO NOT DELETE — HOLD (Charlie review)",IF($Q1709="KEEP","DO NOT DELETE — KEEP",IF(ISNUMBER(SEARCH("REVIEW",$Q1709)),"DO NOT DELETE — REVIEW pending",$S1709))))</f>
        <v>DO NOT DELETE — REVIEW pending</v>
      </c>
      <c r="Q1709" t="str" cm="1">
        <f t="array" ref="Q1709">_xlfn.IFS(AND($A1709="thg-beauty",ISNUMBER(SEARCH("liveramp",$C1709))),"DELETE",$A1709="agile-bonbon-662",_xlfn.IFS(LEFT($G1709,9)="Tranche 1","DELETE",$C1709="Sessions_Level_1_All_Sites","KEEP",ISNUMBER(--$C1709),"REVIEW — UA raw logs",$C1709="Emag_Reporting","KEEP",$C1709="Nutrition_Data_Archived_Tables","KEEP",$C1709="EU_Data","KEEP",TRUE,"REVIEW"),OR($A1709="thg-influencer",$A1709="thg-ingenuity",$A1709="thg-central-marketing",$A1709="thg-seoclarity"),"HOLD",TRUE,"")</f>
        <v>REVIEW</v>
      </c>
      <c r="R1709" t="str" cm="1">
        <f t="array" ref="R1709">_xlfn.IFS(AND($A1709="thg-beauty",ISNUMBER(SEARCH("liveramp",$C1709))),"thg-beauty Liveramp dataset — confirmed safe to delete",$A1709="agile-bonbon-662",_xlfn.IFS(LEFT($G1709,9)="Tranche 1","Tranche 1: cleared",$C1709="Sessions_Level_1_All_Sites","Downstream aggregation of UA raw logs — keep if raw tables go",ISNUMBER(--$C1709),"UA raw site logs (account ID) — keep pending audit-retention check",$C1709="Emag_Reporting","Legacy but likely needed",$C1709="Nutrition_Data_Archived_Tables","Worth keeping",$C1709="EU_Data","Static lookup tables — scripts still reference (smoke-test risk)",TRUE,"Review"),OR($A1709="thg-influencer",$A1709="thg-ingenuity",$A1709="thg-central-marketing",$A1709="thg-seoclarity"),"HOLD — Charlie Stringer to review before deletion",TRUE,"")</f>
        <v>Review</v>
      </c>
      <c r="S1709" t="s">
        <v>1631</v>
      </c>
    </row>
    <row r="1710" spans="1:19" ht="76.5" hidden="1">
      <c r="A1710" t="s">
        <v>89</v>
      </c>
      <c r="B1710" t="s">
        <v>1619</v>
      </c>
      <c r="C1710" t="s">
        <v>4018</v>
      </c>
      <c r="D1710" s="2" t="s">
        <v>1621</v>
      </c>
      <c r="E1710">
        <v>3.22</v>
      </c>
      <c r="F1710">
        <v>0.06</v>
      </c>
      <c r="G1710" t="s">
        <v>72</v>
      </c>
      <c r="H1710" t="s">
        <v>3457</v>
      </c>
      <c r="I1710">
        <v>35</v>
      </c>
      <c r="J1710">
        <v>2436</v>
      </c>
      <c r="K1710" s="5">
        <v>46161.579668611113</v>
      </c>
      <c r="M1710" s="2" t="s">
        <v>4019</v>
      </c>
      <c r="N1710" s="2" t="s">
        <v>1701</v>
      </c>
      <c r="O1710" s="5">
        <v>43760.619068935193</v>
      </c>
      <c r="P1710" t="str">
        <f>IF($Q1710="DELETE",IF($S1710="CONFIRMED: NO MODS &gt; 1YR","CONFIRMED: NO MODS &gt; 1YR","DO NOT DELETE — not defensibly confirmed"),IF($Q1710="HOLD","DO NOT DELETE — HOLD (Charlie review)",IF($Q1710="KEEP","DO NOT DELETE — KEEP",IF(ISNUMBER(SEARCH("REVIEW",$Q1710)),"DO NOT DELETE — REVIEW pending",$S1710))))</f>
        <v>DO NOT DELETE — REVIEW pending</v>
      </c>
      <c r="Q1710" t="str" cm="1">
        <f t="array" ref="Q1710">_xlfn.IFS(AND($A1710="thg-beauty",ISNUMBER(SEARCH("liveramp",$C1710))),"DELETE",$A1710="agile-bonbon-662",_xlfn.IFS(LEFT($G1710,9)="Tranche 1","DELETE",$C1710="Sessions_Level_1_All_Sites","KEEP",ISNUMBER(--$C1710),"REVIEW — UA raw logs",$C1710="Emag_Reporting","KEEP",$C1710="Nutrition_Data_Archived_Tables","KEEP",$C1710="EU_Data","KEEP",TRUE,"REVIEW"),OR($A1710="thg-influencer",$A1710="thg-ingenuity",$A1710="thg-central-marketing",$A1710="thg-seoclarity"),"HOLD",TRUE,"")</f>
        <v>REVIEW</v>
      </c>
      <c r="R1710" t="str" cm="1">
        <f t="array" ref="R1710">_xlfn.IFS(AND($A1710="thg-beauty",ISNUMBER(SEARCH("liveramp",$C1710))),"thg-beauty Liveramp dataset — confirmed safe to delete",$A1710="agile-bonbon-662",_xlfn.IFS(LEFT($G1710,9)="Tranche 1","Tranche 1: cleared",$C1710="Sessions_Level_1_All_Sites","Downstream aggregation of UA raw logs — keep if raw tables go",ISNUMBER(--$C1710),"UA raw site logs (account ID) — keep pending audit-retention check",$C1710="Emag_Reporting","Legacy but likely needed",$C1710="Nutrition_Data_Archived_Tables","Worth keeping",$C1710="EU_Data","Static lookup tables — scripts still reference (smoke-test risk)",TRUE,"Review"),OR($A1710="thg-influencer",$A1710="thg-ingenuity",$A1710="thg-central-marketing",$A1710="thg-seoclarity"),"HOLD — Charlie Stringer to review before deletion",TRUE,"")</f>
        <v>Review</v>
      </c>
      <c r="S1710" t="s">
        <v>1631</v>
      </c>
    </row>
    <row r="1711" spans="1:19" ht="45.75" hidden="1">
      <c r="A1711" t="s">
        <v>89</v>
      </c>
      <c r="B1711" t="s">
        <v>1619</v>
      </c>
      <c r="C1711" t="s">
        <v>4020</v>
      </c>
      <c r="D1711" s="2" t="s">
        <v>1621</v>
      </c>
      <c r="E1711">
        <v>3.22</v>
      </c>
      <c r="F1711">
        <v>0.06</v>
      </c>
      <c r="G1711" t="s">
        <v>72</v>
      </c>
      <c r="H1711" t="s">
        <v>3457</v>
      </c>
      <c r="I1711">
        <v>35</v>
      </c>
      <c r="J1711">
        <v>1028</v>
      </c>
      <c r="K1711" s="5">
        <v>46161.617919976852</v>
      </c>
      <c r="M1711" s="2" t="s">
        <v>1957</v>
      </c>
      <c r="N1711" s="2" t="s">
        <v>1701</v>
      </c>
      <c r="O1711" s="5">
        <v>45168.812749363417</v>
      </c>
      <c r="P1711" t="str">
        <f>IF($Q1711="DELETE",IF($S1711="CONFIRMED: NO MODS &gt; 1YR","CONFIRMED: NO MODS &gt; 1YR","DO NOT DELETE — not defensibly confirmed"),IF($Q1711="HOLD","DO NOT DELETE — HOLD (Charlie review)",IF($Q1711="KEEP","DO NOT DELETE — KEEP",IF(ISNUMBER(SEARCH("REVIEW",$Q1711)),"DO NOT DELETE — REVIEW pending",$S1711))))</f>
        <v>DO NOT DELETE — REVIEW pending</v>
      </c>
      <c r="Q1711" t="str" cm="1">
        <f t="array" ref="Q1711">_xlfn.IFS(AND($A1711="thg-beauty",ISNUMBER(SEARCH("liveramp",$C1711))),"DELETE",$A1711="agile-bonbon-662",_xlfn.IFS(LEFT($G1711,9)="Tranche 1","DELETE",$C1711="Sessions_Level_1_All_Sites","KEEP",ISNUMBER(--$C1711),"REVIEW — UA raw logs",$C1711="Emag_Reporting","KEEP",$C1711="Nutrition_Data_Archived_Tables","KEEP",$C1711="EU_Data","KEEP",TRUE,"REVIEW"),OR($A1711="thg-influencer",$A1711="thg-ingenuity",$A1711="thg-central-marketing",$A1711="thg-seoclarity"),"HOLD",TRUE,"")</f>
        <v>REVIEW</v>
      </c>
      <c r="R1711" t="str" cm="1">
        <f t="array" ref="R1711">_xlfn.IFS(AND($A1711="thg-beauty",ISNUMBER(SEARCH("liveramp",$C1711))),"thg-beauty Liveramp dataset — confirmed safe to delete",$A1711="agile-bonbon-662",_xlfn.IFS(LEFT($G1711,9)="Tranche 1","Tranche 1: cleared",$C1711="Sessions_Level_1_All_Sites","Downstream aggregation of UA raw logs — keep if raw tables go",ISNUMBER(--$C1711),"UA raw site logs (account ID) — keep pending audit-retention check",$C1711="Emag_Reporting","Legacy but likely needed",$C1711="Nutrition_Data_Archived_Tables","Worth keeping",$C1711="EU_Data","Static lookup tables — scripts still reference (smoke-test risk)",TRUE,"Review"),OR($A1711="thg-influencer",$A1711="thg-ingenuity",$A1711="thg-central-marketing",$A1711="thg-seoclarity"),"HOLD — Charlie Stringer to review before deletion",TRUE,"")</f>
        <v>Review</v>
      </c>
      <c r="S1711" t="s">
        <v>1631</v>
      </c>
    </row>
    <row r="1712" spans="1:19" ht="45.75" hidden="1">
      <c r="A1712" t="s">
        <v>89</v>
      </c>
      <c r="B1712" t="s">
        <v>1619</v>
      </c>
      <c r="C1712" t="s">
        <v>4021</v>
      </c>
      <c r="D1712" s="2" t="s">
        <v>1621</v>
      </c>
      <c r="E1712">
        <v>3.14</v>
      </c>
      <c r="F1712">
        <v>0.06</v>
      </c>
      <c r="G1712" t="s">
        <v>72</v>
      </c>
      <c r="H1712" t="s">
        <v>3457</v>
      </c>
      <c r="I1712">
        <v>35</v>
      </c>
      <c r="J1712">
        <v>1200</v>
      </c>
      <c r="K1712" s="5">
        <v>46161.584182962957</v>
      </c>
      <c r="M1712" s="2" t="s">
        <v>3417</v>
      </c>
      <c r="N1712" s="2" t="s">
        <v>1701</v>
      </c>
      <c r="O1712" s="5">
        <v>44996.605220648147</v>
      </c>
      <c r="P1712" t="str">
        <f>IF($Q1712="DELETE",IF($S1712="CONFIRMED: NO MODS &gt; 1YR","CONFIRMED: NO MODS &gt; 1YR","DO NOT DELETE — not defensibly confirmed"),IF($Q1712="HOLD","DO NOT DELETE — HOLD (Charlie review)",IF($Q1712="KEEP","DO NOT DELETE — KEEP",IF(ISNUMBER(SEARCH("REVIEW",$Q1712)),"DO NOT DELETE — REVIEW pending",$S1712))))</f>
        <v>DO NOT DELETE — REVIEW pending</v>
      </c>
      <c r="Q1712" t="str" cm="1">
        <f t="array" ref="Q1712">_xlfn.IFS(AND($A1712="thg-beauty",ISNUMBER(SEARCH("liveramp",$C1712))),"DELETE",$A1712="agile-bonbon-662",_xlfn.IFS(LEFT($G1712,9)="Tranche 1","DELETE",$C1712="Sessions_Level_1_All_Sites","KEEP",ISNUMBER(--$C1712),"REVIEW — UA raw logs",$C1712="Emag_Reporting","KEEP",$C1712="Nutrition_Data_Archived_Tables","KEEP",$C1712="EU_Data","KEEP",TRUE,"REVIEW"),OR($A1712="thg-influencer",$A1712="thg-ingenuity",$A1712="thg-central-marketing",$A1712="thg-seoclarity"),"HOLD",TRUE,"")</f>
        <v>REVIEW — UA raw logs</v>
      </c>
      <c r="R1712" t="str" cm="1">
        <f t="array" ref="R1712">_xlfn.IFS(AND($A1712="thg-beauty",ISNUMBER(SEARCH("liveramp",$C1712))),"thg-beauty Liveramp dataset — confirmed safe to delete",$A1712="agile-bonbon-662",_xlfn.IFS(LEFT($G1712,9)="Tranche 1","Tranche 1: cleared",$C1712="Sessions_Level_1_All_Sites","Downstream aggregation of UA raw logs — keep if raw tables go",ISNUMBER(--$C1712),"UA raw site logs (account ID) — keep pending audit-retention check",$C1712="Emag_Reporting","Legacy but likely needed",$C1712="Nutrition_Data_Archived_Tables","Worth keeping",$C1712="EU_Data","Static lookup tables — scripts still reference (smoke-test risk)",TRUE,"Review"),OR($A1712="thg-influencer",$A1712="thg-ingenuity",$A1712="thg-central-marketing",$A1712="thg-seoclarity"),"HOLD — Charlie Stringer to review before deletion",TRUE,"")</f>
        <v>UA raw site logs (account ID) — keep pending audit-retention check</v>
      </c>
      <c r="S1712" t="s">
        <v>1631</v>
      </c>
    </row>
    <row r="1713" spans="1:19" ht="45.75" hidden="1">
      <c r="A1713" t="s">
        <v>89</v>
      </c>
      <c r="B1713" t="s">
        <v>1619</v>
      </c>
      <c r="C1713" t="s">
        <v>4022</v>
      </c>
      <c r="D1713" s="2" t="s">
        <v>1621</v>
      </c>
      <c r="E1713">
        <v>3.13</v>
      </c>
      <c r="F1713">
        <v>0.06</v>
      </c>
      <c r="G1713" t="s">
        <v>72</v>
      </c>
      <c r="H1713" t="s">
        <v>3457</v>
      </c>
      <c r="I1713">
        <v>35</v>
      </c>
      <c r="J1713">
        <v>1230</v>
      </c>
      <c r="K1713" s="5">
        <v>46161.61700471065</v>
      </c>
      <c r="M1713" s="2" t="s">
        <v>1947</v>
      </c>
      <c r="N1713" s="2" t="s">
        <v>1701</v>
      </c>
      <c r="O1713" s="5">
        <v>44966.64775895833</v>
      </c>
      <c r="P1713" t="str">
        <f>IF($Q1713="DELETE",IF($S1713="CONFIRMED: NO MODS &gt; 1YR","CONFIRMED: NO MODS &gt; 1YR","DO NOT DELETE — not defensibly confirmed"),IF($Q1713="HOLD","DO NOT DELETE — HOLD (Charlie review)",IF($Q1713="KEEP","DO NOT DELETE — KEEP",IF(ISNUMBER(SEARCH("REVIEW",$Q1713)),"DO NOT DELETE — REVIEW pending",$S1713))))</f>
        <v>DO NOT DELETE — REVIEW pending</v>
      </c>
      <c r="Q1713" t="str" cm="1">
        <f t="array" ref="Q1713">_xlfn.IFS(AND($A1713="thg-beauty",ISNUMBER(SEARCH("liveramp",$C1713))),"DELETE",$A1713="agile-bonbon-662",_xlfn.IFS(LEFT($G1713,9)="Tranche 1","DELETE",$C1713="Sessions_Level_1_All_Sites","KEEP",ISNUMBER(--$C1713),"REVIEW — UA raw logs",$C1713="Emag_Reporting","KEEP",$C1713="Nutrition_Data_Archived_Tables","KEEP",$C1713="EU_Data","KEEP",TRUE,"REVIEW"),OR($A1713="thg-influencer",$A1713="thg-ingenuity",$A1713="thg-central-marketing",$A1713="thg-seoclarity"),"HOLD",TRUE,"")</f>
        <v>REVIEW</v>
      </c>
      <c r="R1713" t="str" cm="1">
        <f t="array" ref="R1713">_xlfn.IFS(AND($A1713="thg-beauty",ISNUMBER(SEARCH("liveramp",$C1713))),"thg-beauty Liveramp dataset — confirmed safe to delete",$A1713="agile-bonbon-662",_xlfn.IFS(LEFT($G1713,9)="Tranche 1","Tranche 1: cleared",$C1713="Sessions_Level_1_All_Sites","Downstream aggregation of UA raw logs — keep if raw tables go",ISNUMBER(--$C1713),"UA raw site logs (account ID) — keep pending audit-retention check",$C1713="Emag_Reporting","Legacy but likely needed",$C1713="Nutrition_Data_Archived_Tables","Worth keeping",$C1713="EU_Data","Static lookup tables — scripts still reference (smoke-test risk)",TRUE,"Review"),OR($A1713="thg-influencer",$A1713="thg-ingenuity",$A1713="thg-central-marketing",$A1713="thg-seoclarity"),"HOLD — Charlie Stringer to review before deletion",TRUE,"")</f>
        <v>Review</v>
      </c>
      <c r="S1713" t="s">
        <v>1631</v>
      </c>
    </row>
    <row r="1714" spans="1:19" ht="45.75" hidden="1">
      <c r="A1714" t="s">
        <v>89</v>
      </c>
      <c r="B1714" t="s">
        <v>1619</v>
      </c>
      <c r="C1714" t="s">
        <v>4023</v>
      </c>
      <c r="D1714" s="2" t="s">
        <v>1621</v>
      </c>
      <c r="E1714">
        <v>3.07</v>
      </c>
      <c r="F1714">
        <v>0.06</v>
      </c>
      <c r="G1714" t="s">
        <v>72</v>
      </c>
      <c r="H1714" t="s">
        <v>3457</v>
      </c>
      <c r="I1714">
        <v>35</v>
      </c>
      <c r="J1714">
        <v>1695</v>
      </c>
      <c r="K1714" s="5">
        <v>46161.610338194441</v>
      </c>
      <c r="M1714" s="2" t="s">
        <v>3901</v>
      </c>
      <c r="N1714" s="2" t="s">
        <v>1701</v>
      </c>
      <c r="O1714" s="5">
        <v>44502.388094953712</v>
      </c>
      <c r="P1714" t="str">
        <f>IF($Q1714="DELETE",IF($S1714="CONFIRMED: NO MODS &gt; 1YR","CONFIRMED: NO MODS &gt; 1YR","DO NOT DELETE — not defensibly confirmed"),IF($Q1714="HOLD","DO NOT DELETE — HOLD (Charlie review)",IF($Q1714="KEEP","DO NOT DELETE — KEEP",IF(ISNUMBER(SEARCH("REVIEW",$Q1714)),"DO NOT DELETE — REVIEW pending",$S1714))))</f>
        <v>DO NOT DELETE — REVIEW pending</v>
      </c>
      <c r="Q1714" t="str" cm="1">
        <f t="array" ref="Q1714">_xlfn.IFS(AND($A1714="thg-beauty",ISNUMBER(SEARCH("liveramp",$C1714))),"DELETE",$A1714="agile-bonbon-662",_xlfn.IFS(LEFT($G1714,9)="Tranche 1","DELETE",$C1714="Sessions_Level_1_All_Sites","KEEP",ISNUMBER(--$C1714),"REVIEW — UA raw logs",$C1714="Emag_Reporting","KEEP",$C1714="Nutrition_Data_Archived_Tables","KEEP",$C1714="EU_Data","KEEP",TRUE,"REVIEW"),OR($A1714="thg-influencer",$A1714="thg-ingenuity",$A1714="thg-central-marketing",$A1714="thg-seoclarity"),"HOLD",TRUE,"")</f>
        <v>REVIEW</v>
      </c>
      <c r="R1714" t="str" cm="1">
        <f t="array" ref="R1714">_xlfn.IFS(AND($A1714="thg-beauty",ISNUMBER(SEARCH("liveramp",$C1714))),"thg-beauty Liveramp dataset — confirmed safe to delete",$A1714="agile-bonbon-662",_xlfn.IFS(LEFT($G1714,9)="Tranche 1","Tranche 1: cleared",$C1714="Sessions_Level_1_All_Sites","Downstream aggregation of UA raw logs — keep if raw tables go",ISNUMBER(--$C1714),"UA raw site logs (account ID) — keep pending audit-retention check",$C1714="Emag_Reporting","Legacy but likely needed",$C1714="Nutrition_Data_Archived_Tables","Worth keeping",$C1714="EU_Data","Static lookup tables — scripts still reference (smoke-test risk)",TRUE,"Review"),OR($A1714="thg-influencer",$A1714="thg-ingenuity",$A1714="thg-central-marketing",$A1714="thg-seoclarity"),"HOLD — Charlie Stringer to review before deletion",TRUE,"")</f>
        <v>Review</v>
      </c>
      <c r="S1714" t="s">
        <v>1631</v>
      </c>
    </row>
    <row r="1715" spans="1:19" ht="45.75" hidden="1">
      <c r="A1715" t="s">
        <v>89</v>
      </c>
      <c r="B1715" t="s">
        <v>1619</v>
      </c>
      <c r="C1715" t="s">
        <v>4024</v>
      </c>
      <c r="D1715" s="2" t="s">
        <v>1621</v>
      </c>
      <c r="E1715">
        <v>2.94</v>
      </c>
      <c r="F1715">
        <v>0.06</v>
      </c>
      <c r="G1715" t="s">
        <v>72</v>
      </c>
      <c r="H1715" t="s">
        <v>3457</v>
      </c>
      <c r="I1715">
        <v>35</v>
      </c>
      <c r="J1715">
        <v>882</v>
      </c>
      <c r="K1715" s="5">
        <v>46161.620564988429</v>
      </c>
      <c r="M1715" s="2" t="s">
        <v>1943</v>
      </c>
      <c r="N1715" s="2" t="s">
        <v>1701</v>
      </c>
      <c r="O1715" s="5">
        <v>45315.392972106492</v>
      </c>
      <c r="P1715" t="str">
        <f>IF($Q1715="DELETE",IF($S1715="CONFIRMED: NO MODS &gt; 1YR","CONFIRMED: NO MODS &gt; 1YR","DO NOT DELETE — not defensibly confirmed"),IF($Q1715="HOLD","DO NOT DELETE — HOLD (Charlie review)",IF($Q1715="KEEP","DO NOT DELETE — KEEP",IF(ISNUMBER(SEARCH("REVIEW",$Q1715)),"DO NOT DELETE — REVIEW pending",$S1715))))</f>
        <v>DO NOT DELETE — REVIEW pending</v>
      </c>
      <c r="Q1715" t="str" cm="1">
        <f t="array" ref="Q1715">_xlfn.IFS(AND($A1715="thg-beauty",ISNUMBER(SEARCH("liveramp",$C1715))),"DELETE",$A1715="agile-bonbon-662",_xlfn.IFS(LEFT($G1715,9)="Tranche 1","DELETE",$C1715="Sessions_Level_1_All_Sites","KEEP",ISNUMBER(--$C1715),"REVIEW — UA raw logs",$C1715="Emag_Reporting","KEEP",$C1715="Nutrition_Data_Archived_Tables","KEEP",$C1715="EU_Data","KEEP",TRUE,"REVIEW"),OR($A1715="thg-influencer",$A1715="thg-ingenuity",$A1715="thg-central-marketing",$A1715="thg-seoclarity"),"HOLD",TRUE,"")</f>
        <v>REVIEW</v>
      </c>
      <c r="R1715" t="str" cm="1">
        <f t="array" ref="R1715">_xlfn.IFS(AND($A1715="thg-beauty",ISNUMBER(SEARCH("liveramp",$C1715))),"thg-beauty Liveramp dataset — confirmed safe to delete",$A1715="agile-bonbon-662",_xlfn.IFS(LEFT($G1715,9)="Tranche 1","Tranche 1: cleared",$C1715="Sessions_Level_1_All_Sites","Downstream aggregation of UA raw logs — keep if raw tables go",ISNUMBER(--$C1715),"UA raw site logs (account ID) — keep pending audit-retention check",$C1715="Emag_Reporting","Legacy but likely needed",$C1715="Nutrition_Data_Archived_Tables","Worth keeping",$C1715="EU_Data","Static lookup tables — scripts still reference (smoke-test risk)",TRUE,"Review"),OR($A1715="thg-influencer",$A1715="thg-ingenuity",$A1715="thg-central-marketing",$A1715="thg-seoclarity"),"HOLD — Charlie Stringer to review before deletion",TRUE,"")</f>
        <v>Review</v>
      </c>
      <c r="S1715" t="s">
        <v>1631</v>
      </c>
    </row>
    <row r="1716" spans="1:19" ht="45.75" hidden="1">
      <c r="A1716" t="s">
        <v>89</v>
      </c>
      <c r="B1716" t="s">
        <v>1619</v>
      </c>
      <c r="C1716" t="s">
        <v>4025</v>
      </c>
      <c r="D1716" s="2" t="s">
        <v>1621</v>
      </c>
      <c r="E1716">
        <v>2.94</v>
      </c>
      <c r="F1716">
        <v>0.06</v>
      </c>
      <c r="G1716" t="s">
        <v>72</v>
      </c>
      <c r="H1716" t="s">
        <v>3457</v>
      </c>
      <c r="I1716">
        <v>35</v>
      </c>
      <c r="J1716">
        <v>723</v>
      </c>
      <c r="K1716" s="5">
        <v>46161.595655300916</v>
      </c>
      <c r="M1716" s="2" t="s">
        <v>3426</v>
      </c>
      <c r="N1716" s="2" t="s">
        <v>1701</v>
      </c>
      <c r="O1716" s="5">
        <v>45474.260261377312</v>
      </c>
      <c r="P1716" t="str">
        <f>IF($Q1716="DELETE",IF($S1716="CONFIRMED: NO MODS &gt; 1YR","CONFIRMED: NO MODS &gt; 1YR","DO NOT DELETE — not defensibly confirmed"),IF($Q1716="HOLD","DO NOT DELETE — HOLD (Charlie review)",IF($Q1716="KEEP","DO NOT DELETE — KEEP",IF(ISNUMBER(SEARCH("REVIEW",$Q1716)),"DO NOT DELETE — REVIEW pending",$S1716))))</f>
        <v>DO NOT DELETE — REVIEW pending</v>
      </c>
      <c r="Q1716" t="str" cm="1">
        <f t="array" ref="Q1716">_xlfn.IFS(AND($A1716="thg-beauty",ISNUMBER(SEARCH("liveramp",$C1716))),"DELETE",$A1716="agile-bonbon-662",_xlfn.IFS(LEFT($G1716,9)="Tranche 1","DELETE",$C1716="Sessions_Level_1_All_Sites","KEEP",ISNUMBER(--$C1716),"REVIEW — UA raw logs",$C1716="Emag_Reporting","KEEP",$C1716="Nutrition_Data_Archived_Tables","KEEP",$C1716="EU_Data","KEEP",TRUE,"REVIEW"),OR($A1716="thg-influencer",$A1716="thg-ingenuity",$A1716="thg-central-marketing",$A1716="thg-seoclarity"),"HOLD",TRUE,"")</f>
        <v>REVIEW — UA raw logs</v>
      </c>
      <c r="R1716" t="str" cm="1">
        <f t="array" ref="R1716">_xlfn.IFS(AND($A1716="thg-beauty",ISNUMBER(SEARCH("liveramp",$C1716))),"thg-beauty Liveramp dataset — confirmed safe to delete",$A1716="agile-bonbon-662",_xlfn.IFS(LEFT($G1716,9)="Tranche 1","Tranche 1: cleared",$C1716="Sessions_Level_1_All_Sites","Downstream aggregation of UA raw logs — keep if raw tables go",ISNUMBER(--$C1716),"UA raw site logs (account ID) — keep pending audit-retention check",$C1716="Emag_Reporting","Legacy but likely needed",$C1716="Nutrition_Data_Archived_Tables","Worth keeping",$C1716="EU_Data","Static lookup tables — scripts still reference (smoke-test risk)",TRUE,"Review"),OR($A1716="thg-influencer",$A1716="thg-ingenuity",$A1716="thg-central-marketing",$A1716="thg-seoclarity"),"HOLD — Charlie Stringer to review before deletion",TRUE,"")</f>
        <v>UA raw site logs (account ID) — keep pending audit-retention check</v>
      </c>
      <c r="S1716" t="s">
        <v>1631</v>
      </c>
    </row>
    <row r="1717" spans="1:19" ht="45.75" hidden="1">
      <c r="A1717" t="s">
        <v>89</v>
      </c>
      <c r="B1717" t="s">
        <v>1619</v>
      </c>
      <c r="C1717" t="s">
        <v>4026</v>
      </c>
      <c r="D1717" s="2" t="s">
        <v>1621</v>
      </c>
      <c r="E1717">
        <v>2.93</v>
      </c>
      <c r="F1717">
        <v>0.06</v>
      </c>
      <c r="G1717" t="s">
        <v>72</v>
      </c>
      <c r="H1717" t="s">
        <v>3457</v>
      </c>
      <c r="I1717">
        <v>35</v>
      </c>
      <c r="J1717">
        <v>423</v>
      </c>
      <c r="K1717" s="5">
        <v>46161.618743148138</v>
      </c>
      <c r="M1717" s="2" t="s">
        <v>4027</v>
      </c>
      <c r="N1717" s="2" t="s">
        <v>1701</v>
      </c>
      <c r="O1717" s="5">
        <v>45773.664144305563</v>
      </c>
      <c r="P1717" t="str">
        <f>IF($Q1717="DELETE",IF($S1717="CONFIRMED: NO MODS &gt; 1YR","CONFIRMED: NO MODS &gt; 1YR","DO NOT DELETE — not defensibly confirmed"),IF($Q1717="HOLD","DO NOT DELETE — HOLD (Charlie review)",IF($Q1717="KEEP","DO NOT DELETE — KEEP",IF(ISNUMBER(SEARCH("REVIEW",$Q1717)),"DO NOT DELETE — REVIEW pending",$S1717))))</f>
        <v>DO NOT DELETE — REVIEW pending</v>
      </c>
      <c r="Q1717" t="str" cm="1">
        <f t="array" ref="Q1717">_xlfn.IFS(AND($A1717="thg-beauty",ISNUMBER(SEARCH("liveramp",$C1717))),"DELETE",$A1717="agile-bonbon-662",_xlfn.IFS(LEFT($G1717,9)="Tranche 1","DELETE",$C1717="Sessions_Level_1_All_Sites","KEEP",ISNUMBER(--$C1717),"REVIEW — UA raw logs",$C1717="Emag_Reporting","KEEP",$C1717="Nutrition_Data_Archived_Tables","KEEP",$C1717="EU_Data","KEEP",TRUE,"REVIEW"),OR($A1717="thg-influencer",$A1717="thg-ingenuity",$A1717="thg-central-marketing",$A1717="thg-seoclarity"),"HOLD",TRUE,"")</f>
        <v>REVIEW</v>
      </c>
      <c r="R1717" t="str" cm="1">
        <f t="array" ref="R1717">_xlfn.IFS(AND($A1717="thg-beauty",ISNUMBER(SEARCH("liveramp",$C1717))),"thg-beauty Liveramp dataset — confirmed safe to delete",$A1717="agile-bonbon-662",_xlfn.IFS(LEFT($G1717,9)="Tranche 1","Tranche 1: cleared",$C1717="Sessions_Level_1_All_Sites","Downstream aggregation of UA raw logs — keep if raw tables go",ISNUMBER(--$C1717),"UA raw site logs (account ID) — keep pending audit-retention check",$C1717="Emag_Reporting","Legacy but likely needed",$C1717="Nutrition_Data_Archived_Tables","Worth keeping",$C1717="EU_Data","Static lookup tables — scripts still reference (smoke-test risk)",TRUE,"Review"),OR($A1717="thg-influencer",$A1717="thg-ingenuity",$A1717="thg-central-marketing",$A1717="thg-seoclarity"),"HOLD — Charlie Stringer to review before deletion",TRUE,"")</f>
        <v>Review</v>
      </c>
      <c r="S1717" t="s">
        <v>1631</v>
      </c>
    </row>
    <row r="1718" spans="1:19" ht="45.75" hidden="1">
      <c r="A1718" t="s">
        <v>89</v>
      </c>
      <c r="B1718" t="s">
        <v>1619</v>
      </c>
      <c r="C1718" t="s">
        <v>4028</v>
      </c>
      <c r="D1718" s="2" t="s">
        <v>1621</v>
      </c>
      <c r="E1718">
        <v>2.93</v>
      </c>
      <c r="F1718">
        <v>0.06</v>
      </c>
      <c r="G1718" t="s">
        <v>72</v>
      </c>
      <c r="H1718" t="s">
        <v>3457</v>
      </c>
      <c r="I1718">
        <v>35</v>
      </c>
      <c r="J1718">
        <v>1133</v>
      </c>
      <c r="K1718" s="5">
        <v>46161.620815949071</v>
      </c>
      <c r="M1718" s="2" t="s">
        <v>3941</v>
      </c>
      <c r="N1718" s="2" t="s">
        <v>1701</v>
      </c>
      <c r="O1718" s="5">
        <v>45063.778399027768</v>
      </c>
      <c r="P1718" t="str">
        <f>IF($Q1718="DELETE",IF($S1718="CONFIRMED: NO MODS &gt; 1YR","CONFIRMED: NO MODS &gt; 1YR","DO NOT DELETE — not defensibly confirmed"),IF($Q1718="HOLD","DO NOT DELETE — HOLD (Charlie review)",IF($Q1718="KEEP","DO NOT DELETE — KEEP",IF(ISNUMBER(SEARCH("REVIEW",$Q1718)),"DO NOT DELETE — REVIEW pending",$S1718))))</f>
        <v>DO NOT DELETE — REVIEW pending</v>
      </c>
      <c r="Q1718" t="str" cm="1">
        <f t="array" ref="Q1718">_xlfn.IFS(AND($A1718="thg-beauty",ISNUMBER(SEARCH("liveramp",$C1718))),"DELETE",$A1718="agile-bonbon-662",_xlfn.IFS(LEFT($G1718,9)="Tranche 1","DELETE",$C1718="Sessions_Level_1_All_Sites","KEEP",ISNUMBER(--$C1718),"REVIEW — UA raw logs",$C1718="Emag_Reporting","KEEP",$C1718="Nutrition_Data_Archived_Tables","KEEP",$C1718="EU_Data","KEEP",TRUE,"REVIEW"),OR($A1718="thg-influencer",$A1718="thg-ingenuity",$A1718="thg-central-marketing",$A1718="thg-seoclarity"),"HOLD",TRUE,"")</f>
        <v>REVIEW</v>
      </c>
      <c r="R1718" t="str" cm="1">
        <f t="array" ref="R1718">_xlfn.IFS(AND($A1718="thg-beauty",ISNUMBER(SEARCH("liveramp",$C1718))),"thg-beauty Liveramp dataset — confirmed safe to delete",$A1718="agile-bonbon-662",_xlfn.IFS(LEFT($G1718,9)="Tranche 1","Tranche 1: cleared",$C1718="Sessions_Level_1_All_Sites","Downstream aggregation of UA raw logs — keep if raw tables go",ISNUMBER(--$C1718),"UA raw site logs (account ID) — keep pending audit-retention check",$C1718="Emag_Reporting","Legacy but likely needed",$C1718="Nutrition_Data_Archived_Tables","Worth keeping",$C1718="EU_Data","Static lookup tables — scripts still reference (smoke-test risk)",TRUE,"Review"),OR($A1718="thg-influencer",$A1718="thg-ingenuity",$A1718="thg-central-marketing",$A1718="thg-seoclarity"),"HOLD — Charlie Stringer to review before deletion",TRUE,"")</f>
        <v>Review</v>
      </c>
      <c r="S1718" t="s">
        <v>1631</v>
      </c>
    </row>
    <row r="1719" spans="1:19" ht="45.75" hidden="1">
      <c r="A1719" t="s">
        <v>89</v>
      </c>
      <c r="B1719" t="s">
        <v>1619</v>
      </c>
      <c r="C1719" t="s">
        <v>4029</v>
      </c>
      <c r="D1719" s="2" t="s">
        <v>1621</v>
      </c>
      <c r="E1719">
        <v>2.92</v>
      </c>
      <c r="F1719">
        <v>0.06</v>
      </c>
      <c r="G1719" t="s">
        <v>72</v>
      </c>
      <c r="H1719" t="s">
        <v>3457</v>
      </c>
      <c r="I1719">
        <v>35</v>
      </c>
      <c r="J1719">
        <v>723</v>
      </c>
      <c r="K1719" s="5">
        <v>46161.593151342589</v>
      </c>
      <c r="M1719" s="2" t="s">
        <v>3979</v>
      </c>
      <c r="N1719" s="2" t="s">
        <v>1701</v>
      </c>
      <c r="O1719" s="5">
        <v>45474.280507465279</v>
      </c>
      <c r="P1719" t="str">
        <f>IF($Q1719="DELETE",IF($S1719="CONFIRMED: NO MODS &gt; 1YR","CONFIRMED: NO MODS &gt; 1YR","DO NOT DELETE — not defensibly confirmed"),IF($Q1719="HOLD","DO NOT DELETE — HOLD (Charlie review)",IF($Q1719="KEEP","DO NOT DELETE — KEEP",IF(ISNUMBER(SEARCH("REVIEW",$Q1719)),"DO NOT DELETE — REVIEW pending",$S1719))))</f>
        <v>DO NOT DELETE — REVIEW pending</v>
      </c>
      <c r="Q1719" t="str" cm="1">
        <f t="array" ref="Q1719">_xlfn.IFS(AND($A1719="thg-beauty",ISNUMBER(SEARCH("liveramp",$C1719))),"DELETE",$A1719="agile-bonbon-662",_xlfn.IFS(LEFT($G1719,9)="Tranche 1","DELETE",$C1719="Sessions_Level_1_All_Sites","KEEP",ISNUMBER(--$C1719),"REVIEW — UA raw logs",$C1719="Emag_Reporting","KEEP",$C1719="Nutrition_Data_Archived_Tables","KEEP",$C1719="EU_Data","KEEP",TRUE,"REVIEW"),OR($A1719="thg-influencer",$A1719="thg-ingenuity",$A1719="thg-central-marketing",$A1719="thg-seoclarity"),"HOLD",TRUE,"")</f>
        <v>REVIEW — UA raw logs</v>
      </c>
      <c r="R1719" t="str" cm="1">
        <f t="array" ref="R1719">_xlfn.IFS(AND($A1719="thg-beauty",ISNUMBER(SEARCH("liveramp",$C1719))),"thg-beauty Liveramp dataset — confirmed safe to delete",$A1719="agile-bonbon-662",_xlfn.IFS(LEFT($G1719,9)="Tranche 1","Tranche 1: cleared",$C1719="Sessions_Level_1_All_Sites","Downstream aggregation of UA raw logs — keep if raw tables go",ISNUMBER(--$C1719),"UA raw site logs (account ID) — keep pending audit-retention check",$C1719="Emag_Reporting","Legacy but likely needed",$C1719="Nutrition_Data_Archived_Tables","Worth keeping",$C1719="EU_Data","Static lookup tables — scripts still reference (smoke-test risk)",TRUE,"Review"),OR($A1719="thg-influencer",$A1719="thg-ingenuity",$A1719="thg-central-marketing",$A1719="thg-seoclarity"),"HOLD — Charlie Stringer to review before deletion",TRUE,"")</f>
        <v>UA raw site logs (account ID) — keep pending audit-retention check</v>
      </c>
      <c r="S1719" t="s">
        <v>1631</v>
      </c>
    </row>
    <row r="1720" spans="1:19" ht="45.75" hidden="1">
      <c r="A1720" t="s">
        <v>89</v>
      </c>
      <c r="B1720" t="s">
        <v>1619</v>
      </c>
      <c r="C1720" t="s">
        <v>4030</v>
      </c>
      <c r="D1720" s="2" t="s">
        <v>1621</v>
      </c>
      <c r="E1720">
        <v>2.91</v>
      </c>
      <c r="F1720">
        <v>0.06</v>
      </c>
      <c r="G1720" t="s">
        <v>72</v>
      </c>
      <c r="H1720" t="s">
        <v>3457</v>
      </c>
      <c r="I1720">
        <v>35</v>
      </c>
      <c r="J1720">
        <v>816</v>
      </c>
      <c r="K1720" s="5">
        <v>46161.589368993053</v>
      </c>
      <c r="M1720" s="2" t="s">
        <v>3424</v>
      </c>
      <c r="N1720" s="2" t="s">
        <v>1701</v>
      </c>
      <c r="O1720" s="5">
        <v>45381.32087476852</v>
      </c>
      <c r="P1720" t="str">
        <f>IF($Q1720="DELETE",IF($S1720="CONFIRMED: NO MODS &gt; 1YR","CONFIRMED: NO MODS &gt; 1YR","DO NOT DELETE — not defensibly confirmed"),IF($Q1720="HOLD","DO NOT DELETE — HOLD (Charlie review)",IF($Q1720="KEEP","DO NOT DELETE — KEEP",IF(ISNUMBER(SEARCH("REVIEW",$Q1720)),"DO NOT DELETE — REVIEW pending",$S1720))))</f>
        <v>DO NOT DELETE — REVIEW pending</v>
      </c>
      <c r="Q1720" t="str" cm="1">
        <f t="array" ref="Q1720">_xlfn.IFS(AND($A1720="thg-beauty",ISNUMBER(SEARCH("liveramp",$C1720))),"DELETE",$A1720="agile-bonbon-662",_xlfn.IFS(LEFT($G1720,9)="Tranche 1","DELETE",$C1720="Sessions_Level_1_All_Sites","KEEP",ISNUMBER(--$C1720),"REVIEW — UA raw logs",$C1720="Emag_Reporting","KEEP",$C1720="Nutrition_Data_Archived_Tables","KEEP",$C1720="EU_Data","KEEP",TRUE,"REVIEW"),OR($A1720="thg-influencer",$A1720="thg-ingenuity",$A1720="thg-central-marketing",$A1720="thg-seoclarity"),"HOLD",TRUE,"")</f>
        <v>REVIEW — UA raw logs</v>
      </c>
      <c r="R1720" t="str" cm="1">
        <f t="array" ref="R1720">_xlfn.IFS(AND($A1720="thg-beauty",ISNUMBER(SEARCH("liveramp",$C1720))),"thg-beauty Liveramp dataset — confirmed safe to delete",$A1720="agile-bonbon-662",_xlfn.IFS(LEFT($G1720,9)="Tranche 1","Tranche 1: cleared",$C1720="Sessions_Level_1_All_Sites","Downstream aggregation of UA raw logs — keep if raw tables go",ISNUMBER(--$C1720),"UA raw site logs (account ID) — keep pending audit-retention check",$C1720="Emag_Reporting","Legacy but likely needed",$C1720="Nutrition_Data_Archived_Tables","Worth keeping",$C1720="EU_Data","Static lookup tables — scripts still reference (smoke-test risk)",TRUE,"Review"),OR($A1720="thg-influencer",$A1720="thg-ingenuity",$A1720="thg-central-marketing",$A1720="thg-seoclarity"),"HOLD — Charlie Stringer to review before deletion",TRUE,"")</f>
        <v>UA raw site logs (account ID) — keep pending audit-retention check</v>
      </c>
      <c r="S1720" t="s">
        <v>1631</v>
      </c>
    </row>
    <row r="1721" spans="1:19" ht="45.75" hidden="1">
      <c r="A1721" t="s">
        <v>89</v>
      </c>
      <c r="B1721" t="s">
        <v>1619</v>
      </c>
      <c r="C1721" t="s">
        <v>4031</v>
      </c>
      <c r="D1721" s="2" t="s">
        <v>1621</v>
      </c>
      <c r="E1721">
        <v>2.78</v>
      </c>
      <c r="F1721">
        <v>0.06</v>
      </c>
      <c r="G1721" t="s">
        <v>72</v>
      </c>
      <c r="H1721" t="s">
        <v>3457</v>
      </c>
      <c r="I1721">
        <v>35</v>
      </c>
      <c r="J1721">
        <v>723</v>
      </c>
      <c r="K1721" s="5">
        <v>46161.588241435187</v>
      </c>
      <c r="M1721" s="2" t="s">
        <v>3403</v>
      </c>
      <c r="N1721" s="2" t="s">
        <v>1701</v>
      </c>
      <c r="O1721" s="5">
        <v>45474.264081631947</v>
      </c>
      <c r="P1721" t="str">
        <f>IF($Q1721="DELETE",IF($S1721="CONFIRMED: NO MODS &gt; 1YR","CONFIRMED: NO MODS &gt; 1YR","DO NOT DELETE — not defensibly confirmed"),IF($Q1721="HOLD","DO NOT DELETE — HOLD (Charlie review)",IF($Q1721="KEEP","DO NOT DELETE — KEEP",IF(ISNUMBER(SEARCH("REVIEW",$Q1721)),"DO NOT DELETE — REVIEW pending",$S1721))))</f>
        <v>DO NOT DELETE — REVIEW pending</v>
      </c>
      <c r="Q1721" t="str" cm="1">
        <f t="array" ref="Q1721">_xlfn.IFS(AND($A1721="thg-beauty",ISNUMBER(SEARCH("liveramp",$C1721))),"DELETE",$A1721="agile-bonbon-662",_xlfn.IFS(LEFT($G1721,9)="Tranche 1","DELETE",$C1721="Sessions_Level_1_All_Sites","KEEP",ISNUMBER(--$C1721),"REVIEW — UA raw logs",$C1721="Emag_Reporting","KEEP",$C1721="Nutrition_Data_Archived_Tables","KEEP",$C1721="EU_Data","KEEP",TRUE,"REVIEW"),OR($A1721="thg-influencer",$A1721="thg-ingenuity",$A1721="thg-central-marketing",$A1721="thg-seoclarity"),"HOLD",TRUE,"")</f>
        <v>REVIEW — UA raw logs</v>
      </c>
      <c r="R1721" t="str" cm="1">
        <f t="array" ref="R1721">_xlfn.IFS(AND($A1721="thg-beauty",ISNUMBER(SEARCH("liveramp",$C1721))),"thg-beauty Liveramp dataset — confirmed safe to delete",$A1721="agile-bonbon-662",_xlfn.IFS(LEFT($G1721,9)="Tranche 1","Tranche 1: cleared",$C1721="Sessions_Level_1_All_Sites","Downstream aggregation of UA raw logs — keep if raw tables go",ISNUMBER(--$C1721),"UA raw site logs (account ID) — keep pending audit-retention check",$C1721="Emag_Reporting","Legacy but likely needed",$C1721="Nutrition_Data_Archived_Tables","Worth keeping",$C1721="EU_Data","Static lookup tables — scripts still reference (smoke-test risk)",TRUE,"Review"),OR($A1721="thg-influencer",$A1721="thg-ingenuity",$A1721="thg-central-marketing",$A1721="thg-seoclarity"),"HOLD — Charlie Stringer to review before deletion",TRUE,"")</f>
        <v>UA raw site logs (account ID) — keep pending audit-retention check</v>
      </c>
      <c r="S1721" t="s">
        <v>1631</v>
      </c>
    </row>
    <row r="1722" spans="1:19" ht="45.75" hidden="1">
      <c r="A1722" t="s">
        <v>89</v>
      </c>
      <c r="B1722" t="s">
        <v>1619</v>
      </c>
      <c r="C1722" t="s">
        <v>4032</v>
      </c>
      <c r="D1722" s="2" t="s">
        <v>1621</v>
      </c>
      <c r="E1722">
        <v>2.74</v>
      </c>
      <c r="F1722">
        <v>0.05</v>
      </c>
      <c r="G1722" t="s">
        <v>72</v>
      </c>
      <c r="H1722" t="s">
        <v>3457</v>
      </c>
      <c r="I1722">
        <v>35</v>
      </c>
      <c r="J1722">
        <v>1497</v>
      </c>
      <c r="K1722" s="5">
        <v>46161.604687708343</v>
      </c>
      <c r="M1722" s="2" t="s">
        <v>3177</v>
      </c>
      <c r="N1722" s="2" t="s">
        <v>1701</v>
      </c>
      <c r="O1722" s="5">
        <v>44700.299031435177</v>
      </c>
      <c r="P1722" t="str">
        <f>IF($Q1722="DELETE",IF($S1722="CONFIRMED: NO MODS &gt; 1YR","CONFIRMED: NO MODS &gt; 1YR","DO NOT DELETE — not defensibly confirmed"),IF($Q1722="HOLD","DO NOT DELETE — HOLD (Charlie review)",IF($Q1722="KEEP","DO NOT DELETE — KEEP",IF(ISNUMBER(SEARCH("REVIEW",$Q1722)),"DO NOT DELETE — REVIEW pending",$S1722))))</f>
        <v>DO NOT DELETE — REVIEW pending</v>
      </c>
      <c r="Q1722" t="str" cm="1">
        <f t="array" ref="Q1722">_xlfn.IFS(AND($A1722="thg-beauty",ISNUMBER(SEARCH("liveramp",$C1722))),"DELETE",$A1722="agile-bonbon-662",_xlfn.IFS(LEFT($G1722,9)="Tranche 1","DELETE",$C1722="Sessions_Level_1_All_Sites","KEEP",ISNUMBER(--$C1722),"REVIEW — UA raw logs",$C1722="Emag_Reporting","KEEP",$C1722="Nutrition_Data_Archived_Tables","KEEP",$C1722="EU_Data","KEEP",TRUE,"REVIEW"),OR($A1722="thg-influencer",$A1722="thg-ingenuity",$A1722="thg-central-marketing",$A1722="thg-seoclarity"),"HOLD",TRUE,"")</f>
        <v>REVIEW</v>
      </c>
      <c r="R1722" t="str" cm="1">
        <f t="array" ref="R1722">_xlfn.IFS(AND($A1722="thg-beauty",ISNUMBER(SEARCH("liveramp",$C1722))),"thg-beauty Liveramp dataset — confirmed safe to delete",$A1722="agile-bonbon-662",_xlfn.IFS(LEFT($G1722,9)="Tranche 1","Tranche 1: cleared",$C1722="Sessions_Level_1_All_Sites","Downstream aggregation of UA raw logs — keep if raw tables go",ISNUMBER(--$C1722),"UA raw site logs (account ID) — keep pending audit-retention check",$C1722="Emag_Reporting","Legacy but likely needed",$C1722="Nutrition_Data_Archived_Tables","Worth keeping",$C1722="EU_Data","Static lookup tables — scripts still reference (smoke-test risk)",TRUE,"Review"),OR($A1722="thg-influencer",$A1722="thg-ingenuity",$A1722="thg-central-marketing",$A1722="thg-seoclarity"),"HOLD — Charlie Stringer to review before deletion",TRUE,"")</f>
        <v>Review</v>
      </c>
      <c r="S1722" t="s">
        <v>1631</v>
      </c>
    </row>
    <row r="1723" spans="1:19" ht="45.75" hidden="1">
      <c r="A1723" t="s">
        <v>89</v>
      </c>
      <c r="B1723" t="s">
        <v>1619</v>
      </c>
      <c r="C1723" t="s">
        <v>4033</v>
      </c>
      <c r="D1723" s="2" t="s">
        <v>1621</v>
      </c>
      <c r="E1723">
        <v>2.73</v>
      </c>
      <c r="F1723">
        <v>0.05</v>
      </c>
      <c r="G1723" t="s">
        <v>72</v>
      </c>
      <c r="H1723" t="s">
        <v>3457</v>
      </c>
      <c r="I1723">
        <v>35</v>
      </c>
      <c r="J1723">
        <v>1126</v>
      </c>
      <c r="K1723" s="5">
        <v>46161.619809479169</v>
      </c>
      <c r="M1723" s="2" t="s">
        <v>1972</v>
      </c>
      <c r="N1723" s="2" t="s">
        <v>1701</v>
      </c>
      <c r="O1723" s="5">
        <v>45071.387038206019</v>
      </c>
      <c r="P1723" t="str">
        <f>IF($Q1723="DELETE",IF($S1723="CONFIRMED: NO MODS &gt; 1YR","CONFIRMED: NO MODS &gt; 1YR","DO NOT DELETE — not defensibly confirmed"),IF($Q1723="HOLD","DO NOT DELETE — HOLD (Charlie review)",IF($Q1723="KEEP","DO NOT DELETE — KEEP",IF(ISNUMBER(SEARCH("REVIEW",$Q1723)),"DO NOT DELETE — REVIEW pending",$S1723))))</f>
        <v>DO NOT DELETE — REVIEW pending</v>
      </c>
      <c r="Q1723" t="str" cm="1">
        <f t="array" ref="Q1723">_xlfn.IFS(AND($A1723="thg-beauty",ISNUMBER(SEARCH("liveramp",$C1723))),"DELETE",$A1723="agile-bonbon-662",_xlfn.IFS(LEFT($G1723,9)="Tranche 1","DELETE",$C1723="Sessions_Level_1_All_Sites","KEEP",ISNUMBER(--$C1723),"REVIEW — UA raw logs",$C1723="Emag_Reporting","KEEP",$C1723="Nutrition_Data_Archived_Tables","KEEP",$C1723="EU_Data","KEEP",TRUE,"REVIEW"),OR($A1723="thg-influencer",$A1723="thg-ingenuity",$A1723="thg-central-marketing",$A1723="thg-seoclarity"),"HOLD",TRUE,"")</f>
        <v>REVIEW</v>
      </c>
      <c r="R1723" t="str" cm="1">
        <f t="array" ref="R1723">_xlfn.IFS(AND($A1723="thg-beauty",ISNUMBER(SEARCH("liveramp",$C1723))),"thg-beauty Liveramp dataset — confirmed safe to delete",$A1723="agile-bonbon-662",_xlfn.IFS(LEFT($G1723,9)="Tranche 1","Tranche 1: cleared",$C1723="Sessions_Level_1_All_Sites","Downstream aggregation of UA raw logs — keep if raw tables go",ISNUMBER(--$C1723),"UA raw site logs (account ID) — keep pending audit-retention check",$C1723="Emag_Reporting","Legacy but likely needed",$C1723="Nutrition_Data_Archived_Tables","Worth keeping",$C1723="EU_Data","Static lookup tables — scripts still reference (smoke-test risk)",TRUE,"Review"),OR($A1723="thg-influencer",$A1723="thg-ingenuity",$A1723="thg-central-marketing",$A1723="thg-seoclarity"),"HOLD — Charlie Stringer to review before deletion",TRUE,"")</f>
        <v>Review</v>
      </c>
      <c r="S1723" t="s">
        <v>1631</v>
      </c>
    </row>
    <row r="1724" spans="1:19" ht="45.75" hidden="1">
      <c r="A1724" t="s">
        <v>89</v>
      </c>
      <c r="B1724" t="s">
        <v>1619</v>
      </c>
      <c r="C1724" t="s">
        <v>4034</v>
      </c>
      <c r="D1724" s="2" t="s">
        <v>1621</v>
      </c>
      <c r="E1724">
        <v>2.68</v>
      </c>
      <c r="F1724">
        <v>0.05</v>
      </c>
      <c r="G1724" t="s">
        <v>72</v>
      </c>
      <c r="H1724" t="s">
        <v>3457</v>
      </c>
      <c r="I1724">
        <v>35</v>
      </c>
      <c r="J1724">
        <v>1860</v>
      </c>
      <c r="K1724" s="5">
        <v>46161.610513738429</v>
      </c>
      <c r="M1724" s="2" t="s">
        <v>3908</v>
      </c>
      <c r="N1724" s="2" t="s">
        <v>1701</v>
      </c>
      <c r="O1724" s="5">
        <v>44336.5314325</v>
      </c>
      <c r="P1724" t="str">
        <f>IF($Q1724="DELETE",IF($S1724="CONFIRMED: NO MODS &gt; 1YR","CONFIRMED: NO MODS &gt; 1YR","DO NOT DELETE — not defensibly confirmed"),IF($Q1724="HOLD","DO NOT DELETE — HOLD (Charlie review)",IF($Q1724="KEEP","DO NOT DELETE — KEEP",IF(ISNUMBER(SEARCH("REVIEW",$Q1724)),"DO NOT DELETE — REVIEW pending",$S1724))))</f>
        <v>DO NOT DELETE — REVIEW pending</v>
      </c>
      <c r="Q1724" t="str" cm="1">
        <f t="array" ref="Q1724">_xlfn.IFS(AND($A1724="thg-beauty",ISNUMBER(SEARCH("liveramp",$C1724))),"DELETE",$A1724="agile-bonbon-662",_xlfn.IFS(LEFT($G1724,9)="Tranche 1","DELETE",$C1724="Sessions_Level_1_All_Sites","KEEP",ISNUMBER(--$C1724),"REVIEW — UA raw logs",$C1724="Emag_Reporting","KEEP",$C1724="Nutrition_Data_Archived_Tables","KEEP",$C1724="EU_Data","KEEP",TRUE,"REVIEW"),OR($A1724="thg-influencer",$A1724="thg-ingenuity",$A1724="thg-central-marketing",$A1724="thg-seoclarity"),"HOLD",TRUE,"")</f>
        <v>REVIEW</v>
      </c>
      <c r="R1724" t="str" cm="1">
        <f t="array" ref="R1724">_xlfn.IFS(AND($A1724="thg-beauty",ISNUMBER(SEARCH("liveramp",$C1724))),"thg-beauty Liveramp dataset — confirmed safe to delete",$A1724="agile-bonbon-662",_xlfn.IFS(LEFT($G1724,9)="Tranche 1","Tranche 1: cleared",$C1724="Sessions_Level_1_All_Sites","Downstream aggregation of UA raw logs — keep if raw tables go",ISNUMBER(--$C1724),"UA raw site logs (account ID) — keep pending audit-retention check",$C1724="Emag_Reporting","Legacy but likely needed",$C1724="Nutrition_Data_Archived_Tables","Worth keeping",$C1724="EU_Data","Static lookup tables — scripts still reference (smoke-test risk)",TRUE,"Review"),OR($A1724="thg-influencer",$A1724="thg-ingenuity",$A1724="thg-central-marketing",$A1724="thg-seoclarity"),"HOLD — Charlie Stringer to review before deletion",TRUE,"")</f>
        <v>Review</v>
      </c>
      <c r="S1724" t="s">
        <v>1631</v>
      </c>
    </row>
    <row r="1725" spans="1:19" ht="76.5" hidden="1">
      <c r="A1725" t="s">
        <v>89</v>
      </c>
      <c r="B1725" t="s">
        <v>1619</v>
      </c>
      <c r="C1725" t="s">
        <v>4035</v>
      </c>
      <c r="D1725" s="2" t="s">
        <v>1621</v>
      </c>
      <c r="E1725">
        <v>2.56</v>
      </c>
      <c r="F1725">
        <v>0.05</v>
      </c>
      <c r="G1725" t="s">
        <v>72</v>
      </c>
      <c r="H1725" t="s">
        <v>3457</v>
      </c>
      <c r="I1725">
        <v>35</v>
      </c>
      <c r="J1725">
        <v>1821</v>
      </c>
      <c r="K1725" s="5">
        <v>46161.58030173611</v>
      </c>
      <c r="M1725" s="2" t="s">
        <v>4036</v>
      </c>
      <c r="N1725" s="2" t="s">
        <v>1701</v>
      </c>
      <c r="O1725" s="5">
        <v>44376.425010729166</v>
      </c>
      <c r="P1725" t="str">
        <f>IF($Q1725="DELETE",IF($S1725="CONFIRMED: NO MODS &gt; 1YR","CONFIRMED: NO MODS &gt; 1YR","DO NOT DELETE — not defensibly confirmed"),IF($Q1725="HOLD","DO NOT DELETE — HOLD (Charlie review)",IF($Q1725="KEEP","DO NOT DELETE — KEEP",IF(ISNUMBER(SEARCH("REVIEW",$Q1725)),"DO NOT DELETE — REVIEW pending",$S1725))))</f>
        <v>DO NOT DELETE — REVIEW pending</v>
      </c>
      <c r="Q1725" t="str" cm="1">
        <f t="array" ref="Q1725">_xlfn.IFS(AND($A1725="thg-beauty",ISNUMBER(SEARCH("liveramp",$C1725))),"DELETE",$A1725="agile-bonbon-662",_xlfn.IFS(LEFT($G1725,9)="Tranche 1","DELETE",$C1725="Sessions_Level_1_All_Sites","KEEP",ISNUMBER(--$C1725),"REVIEW — UA raw logs",$C1725="Emag_Reporting","KEEP",$C1725="Nutrition_Data_Archived_Tables","KEEP",$C1725="EU_Data","KEEP",TRUE,"REVIEW"),OR($A1725="thg-influencer",$A1725="thg-ingenuity",$A1725="thg-central-marketing",$A1725="thg-seoclarity"),"HOLD",TRUE,"")</f>
        <v>REVIEW</v>
      </c>
      <c r="R1725" t="str" cm="1">
        <f t="array" ref="R1725">_xlfn.IFS(AND($A1725="thg-beauty",ISNUMBER(SEARCH("liveramp",$C1725))),"thg-beauty Liveramp dataset — confirmed safe to delete",$A1725="agile-bonbon-662",_xlfn.IFS(LEFT($G1725,9)="Tranche 1","Tranche 1: cleared",$C1725="Sessions_Level_1_All_Sites","Downstream aggregation of UA raw logs — keep if raw tables go",ISNUMBER(--$C1725),"UA raw site logs (account ID) — keep pending audit-retention check",$C1725="Emag_Reporting","Legacy but likely needed",$C1725="Nutrition_Data_Archived_Tables","Worth keeping",$C1725="EU_Data","Static lookup tables — scripts still reference (smoke-test risk)",TRUE,"Review"),OR($A1725="thg-influencer",$A1725="thg-ingenuity",$A1725="thg-central-marketing",$A1725="thg-seoclarity"),"HOLD — Charlie Stringer to review before deletion",TRUE,"")</f>
        <v>Review</v>
      </c>
      <c r="S1725" t="s">
        <v>1631</v>
      </c>
    </row>
    <row r="1726" spans="1:19" ht="45.75" hidden="1">
      <c r="A1726" t="s">
        <v>89</v>
      </c>
      <c r="B1726" t="s">
        <v>1619</v>
      </c>
      <c r="C1726" t="s">
        <v>4037</v>
      </c>
      <c r="D1726" s="2" t="s">
        <v>1621</v>
      </c>
      <c r="E1726">
        <v>2.52</v>
      </c>
      <c r="F1726">
        <v>0.05</v>
      </c>
      <c r="G1726" t="s">
        <v>72</v>
      </c>
      <c r="H1726" t="s">
        <v>3457</v>
      </c>
      <c r="I1726">
        <v>35</v>
      </c>
      <c r="J1726">
        <v>1180</v>
      </c>
      <c r="K1726" s="5">
        <v>46161.617566736109</v>
      </c>
      <c r="M1726" s="2" t="s">
        <v>1957</v>
      </c>
      <c r="N1726" s="2" t="s">
        <v>1701</v>
      </c>
      <c r="O1726" s="5">
        <v>45017.151754583327</v>
      </c>
      <c r="P1726" t="str">
        <f>IF($Q1726="DELETE",IF($S1726="CONFIRMED: NO MODS &gt; 1YR","CONFIRMED: NO MODS &gt; 1YR","DO NOT DELETE — not defensibly confirmed"),IF($Q1726="HOLD","DO NOT DELETE — HOLD (Charlie review)",IF($Q1726="KEEP","DO NOT DELETE — KEEP",IF(ISNUMBER(SEARCH("REVIEW",$Q1726)),"DO NOT DELETE — REVIEW pending",$S1726))))</f>
        <v>DO NOT DELETE — REVIEW pending</v>
      </c>
      <c r="Q1726" t="str" cm="1">
        <f t="array" ref="Q1726">_xlfn.IFS(AND($A1726="thg-beauty",ISNUMBER(SEARCH("liveramp",$C1726))),"DELETE",$A1726="agile-bonbon-662",_xlfn.IFS(LEFT($G1726,9)="Tranche 1","DELETE",$C1726="Sessions_Level_1_All_Sites","KEEP",ISNUMBER(--$C1726),"REVIEW — UA raw logs",$C1726="Emag_Reporting","KEEP",$C1726="Nutrition_Data_Archived_Tables","KEEP",$C1726="EU_Data","KEEP",TRUE,"REVIEW"),OR($A1726="thg-influencer",$A1726="thg-ingenuity",$A1726="thg-central-marketing",$A1726="thg-seoclarity"),"HOLD",TRUE,"")</f>
        <v>REVIEW</v>
      </c>
      <c r="R1726" t="str" cm="1">
        <f t="array" ref="R1726">_xlfn.IFS(AND($A1726="thg-beauty",ISNUMBER(SEARCH("liveramp",$C1726))),"thg-beauty Liveramp dataset — confirmed safe to delete",$A1726="agile-bonbon-662",_xlfn.IFS(LEFT($G1726,9)="Tranche 1","Tranche 1: cleared",$C1726="Sessions_Level_1_All_Sites","Downstream aggregation of UA raw logs — keep if raw tables go",ISNUMBER(--$C1726),"UA raw site logs (account ID) — keep pending audit-retention check",$C1726="Emag_Reporting","Legacy but likely needed",$C1726="Nutrition_Data_Archived_Tables","Worth keeping",$C1726="EU_Data","Static lookup tables — scripts still reference (smoke-test risk)",TRUE,"Review"),OR($A1726="thg-influencer",$A1726="thg-ingenuity",$A1726="thg-central-marketing",$A1726="thg-seoclarity"),"HOLD — Charlie Stringer to review before deletion",TRUE,"")</f>
        <v>Review</v>
      </c>
      <c r="S1726" t="s">
        <v>1631</v>
      </c>
    </row>
    <row r="1727" spans="1:19" ht="45.75" hidden="1">
      <c r="A1727" t="s">
        <v>89</v>
      </c>
      <c r="B1727" t="s">
        <v>1619</v>
      </c>
      <c r="C1727" t="s">
        <v>4038</v>
      </c>
      <c r="D1727" s="2" t="s">
        <v>1621</v>
      </c>
      <c r="E1727">
        <v>2.4500000000000002</v>
      </c>
      <c r="F1727">
        <v>0.05</v>
      </c>
      <c r="G1727" t="s">
        <v>72</v>
      </c>
      <c r="H1727" t="s">
        <v>3457</v>
      </c>
      <c r="I1727">
        <v>35</v>
      </c>
      <c r="J1727">
        <v>441</v>
      </c>
      <c r="K1727" s="5">
        <v>46161.618455856478</v>
      </c>
      <c r="M1727" s="2" t="s">
        <v>1945</v>
      </c>
      <c r="N1727" s="2" t="s">
        <v>1701</v>
      </c>
      <c r="O1727" s="5">
        <v>45756.418577800927</v>
      </c>
      <c r="P1727" t="str">
        <f>IF($Q1727="DELETE",IF($S1727="CONFIRMED: NO MODS &gt; 1YR","CONFIRMED: NO MODS &gt; 1YR","DO NOT DELETE — not defensibly confirmed"),IF($Q1727="HOLD","DO NOT DELETE — HOLD (Charlie review)",IF($Q1727="KEEP","DO NOT DELETE — KEEP",IF(ISNUMBER(SEARCH("REVIEW",$Q1727)),"DO NOT DELETE — REVIEW pending",$S1727))))</f>
        <v>DO NOT DELETE — REVIEW pending</v>
      </c>
      <c r="Q1727" t="str" cm="1">
        <f t="array" ref="Q1727">_xlfn.IFS(AND($A1727="thg-beauty",ISNUMBER(SEARCH("liveramp",$C1727))),"DELETE",$A1727="agile-bonbon-662",_xlfn.IFS(LEFT($G1727,9)="Tranche 1","DELETE",$C1727="Sessions_Level_1_All_Sites","KEEP",ISNUMBER(--$C1727),"REVIEW — UA raw logs",$C1727="Emag_Reporting","KEEP",$C1727="Nutrition_Data_Archived_Tables","KEEP",$C1727="EU_Data","KEEP",TRUE,"REVIEW"),OR($A1727="thg-influencer",$A1727="thg-ingenuity",$A1727="thg-central-marketing",$A1727="thg-seoclarity"),"HOLD",TRUE,"")</f>
        <v>REVIEW</v>
      </c>
      <c r="R1727" t="str" cm="1">
        <f t="array" ref="R1727">_xlfn.IFS(AND($A1727="thg-beauty",ISNUMBER(SEARCH("liveramp",$C1727))),"thg-beauty Liveramp dataset — confirmed safe to delete",$A1727="agile-bonbon-662",_xlfn.IFS(LEFT($G1727,9)="Tranche 1","Tranche 1: cleared",$C1727="Sessions_Level_1_All_Sites","Downstream aggregation of UA raw logs — keep if raw tables go",ISNUMBER(--$C1727),"UA raw site logs (account ID) — keep pending audit-retention check",$C1727="Emag_Reporting","Legacy but likely needed",$C1727="Nutrition_Data_Archived_Tables","Worth keeping",$C1727="EU_Data","Static lookup tables — scripts still reference (smoke-test risk)",TRUE,"Review"),OR($A1727="thg-influencer",$A1727="thg-ingenuity",$A1727="thg-central-marketing",$A1727="thg-seoclarity"),"HOLD — Charlie Stringer to review before deletion",TRUE,"")</f>
        <v>Review</v>
      </c>
      <c r="S1727" t="s">
        <v>1631</v>
      </c>
    </row>
    <row r="1728" spans="1:19" ht="45.75" hidden="1">
      <c r="A1728" t="s">
        <v>89</v>
      </c>
      <c r="B1728" t="s">
        <v>1619</v>
      </c>
      <c r="C1728" t="s">
        <v>4039</v>
      </c>
      <c r="D1728" s="2" t="s">
        <v>1621</v>
      </c>
      <c r="E1728">
        <v>2.4300000000000002</v>
      </c>
      <c r="F1728">
        <v>0.05</v>
      </c>
      <c r="G1728" t="s">
        <v>72</v>
      </c>
      <c r="H1728" t="s">
        <v>3457</v>
      </c>
      <c r="I1728">
        <v>35</v>
      </c>
      <c r="J1728">
        <v>837</v>
      </c>
      <c r="K1728" s="5">
        <v>46161.58523527778</v>
      </c>
      <c r="M1728" s="2" t="s">
        <v>3438</v>
      </c>
      <c r="N1728" s="2" t="s">
        <v>1701</v>
      </c>
      <c r="O1728" s="5">
        <v>45360.351762604158</v>
      </c>
      <c r="P1728" t="str">
        <f>IF($Q1728="DELETE",IF($S1728="CONFIRMED: NO MODS &gt; 1YR","CONFIRMED: NO MODS &gt; 1YR","DO NOT DELETE — not defensibly confirmed"),IF($Q1728="HOLD","DO NOT DELETE — HOLD (Charlie review)",IF($Q1728="KEEP","DO NOT DELETE — KEEP",IF(ISNUMBER(SEARCH("REVIEW",$Q1728)),"DO NOT DELETE — REVIEW pending",$S1728))))</f>
        <v>DO NOT DELETE — REVIEW pending</v>
      </c>
      <c r="Q1728" t="str" cm="1">
        <f t="array" ref="Q1728">_xlfn.IFS(AND($A1728="thg-beauty",ISNUMBER(SEARCH("liveramp",$C1728))),"DELETE",$A1728="agile-bonbon-662",_xlfn.IFS(LEFT($G1728,9)="Tranche 1","DELETE",$C1728="Sessions_Level_1_All_Sites","KEEP",ISNUMBER(--$C1728),"REVIEW — UA raw logs",$C1728="Emag_Reporting","KEEP",$C1728="Nutrition_Data_Archived_Tables","KEEP",$C1728="EU_Data","KEEP",TRUE,"REVIEW"),OR($A1728="thg-influencer",$A1728="thg-ingenuity",$A1728="thg-central-marketing",$A1728="thg-seoclarity"),"HOLD",TRUE,"")</f>
        <v>REVIEW — UA raw logs</v>
      </c>
      <c r="R1728" t="str" cm="1">
        <f t="array" ref="R1728">_xlfn.IFS(AND($A1728="thg-beauty",ISNUMBER(SEARCH("liveramp",$C1728))),"thg-beauty Liveramp dataset — confirmed safe to delete",$A1728="agile-bonbon-662",_xlfn.IFS(LEFT($G1728,9)="Tranche 1","Tranche 1: cleared",$C1728="Sessions_Level_1_All_Sites","Downstream aggregation of UA raw logs — keep if raw tables go",ISNUMBER(--$C1728),"UA raw site logs (account ID) — keep pending audit-retention check",$C1728="Emag_Reporting","Legacy but likely needed",$C1728="Nutrition_Data_Archived_Tables","Worth keeping",$C1728="EU_Data","Static lookup tables — scripts still reference (smoke-test risk)",TRUE,"Review"),OR($A1728="thg-influencer",$A1728="thg-ingenuity",$A1728="thg-central-marketing",$A1728="thg-seoclarity"),"HOLD — Charlie Stringer to review before deletion",TRUE,"")</f>
        <v>UA raw site logs (account ID) — keep pending audit-retention check</v>
      </c>
      <c r="S1728" t="s">
        <v>1631</v>
      </c>
    </row>
    <row r="1729" spans="1:19" ht="45.75" hidden="1">
      <c r="A1729" t="s">
        <v>89</v>
      </c>
      <c r="B1729" t="s">
        <v>1619</v>
      </c>
      <c r="C1729" t="s">
        <v>4040</v>
      </c>
      <c r="D1729" s="2" t="s">
        <v>1621</v>
      </c>
      <c r="E1729">
        <v>2.31</v>
      </c>
      <c r="F1729">
        <v>0.05</v>
      </c>
      <c r="G1729" t="s">
        <v>72</v>
      </c>
      <c r="H1729" t="s">
        <v>3457</v>
      </c>
      <c r="I1729">
        <v>35</v>
      </c>
      <c r="J1729">
        <v>723</v>
      </c>
      <c r="K1729" s="5">
        <v>46161.585713194443</v>
      </c>
      <c r="M1729" s="2" t="s">
        <v>3421</v>
      </c>
      <c r="N1729" s="2" t="s">
        <v>1701</v>
      </c>
      <c r="O1729" s="5">
        <v>45474.263852118063</v>
      </c>
      <c r="P1729" t="str">
        <f>IF($Q1729="DELETE",IF($S1729="CONFIRMED: NO MODS &gt; 1YR","CONFIRMED: NO MODS &gt; 1YR","DO NOT DELETE — not defensibly confirmed"),IF($Q1729="HOLD","DO NOT DELETE — HOLD (Charlie review)",IF($Q1729="KEEP","DO NOT DELETE — KEEP",IF(ISNUMBER(SEARCH("REVIEW",$Q1729)),"DO NOT DELETE — REVIEW pending",$S1729))))</f>
        <v>DO NOT DELETE — REVIEW pending</v>
      </c>
      <c r="Q1729" t="str" cm="1">
        <f t="array" ref="Q1729">_xlfn.IFS(AND($A1729="thg-beauty",ISNUMBER(SEARCH("liveramp",$C1729))),"DELETE",$A1729="agile-bonbon-662",_xlfn.IFS(LEFT($G1729,9)="Tranche 1","DELETE",$C1729="Sessions_Level_1_All_Sites","KEEP",ISNUMBER(--$C1729),"REVIEW — UA raw logs",$C1729="Emag_Reporting","KEEP",$C1729="Nutrition_Data_Archived_Tables","KEEP",$C1729="EU_Data","KEEP",TRUE,"REVIEW"),OR($A1729="thg-influencer",$A1729="thg-ingenuity",$A1729="thg-central-marketing",$A1729="thg-seoclarity"),"HOLD",TRUE,"")</f>
        <v>REVIEW — UA raw logs</v>
      </c>
      <c r="R1729" t="str" cm="1">
        <f t="array" ref="R1729">_xlfn.IFS(AND($A1729="thg-beauty",ISNUMBER(SEARCH("liveramp",$C1729))),"thg-beauty Liveramp dataset — confirmed safe to delete",$A1729="agile-bonbon-662",_xlfn.IFS(LEFT($G1729,9)="Tranche 1","Tranche 1: cleared",$C1729="Sessions_Level_1_All_Sites","Downstream aggregation of UA raw logs — keep if raw tables go",ISNUMBER(--$C1729),"UA raw site logs (account ID) — keep pending audit-retention check",$C1729="Emag_Reporting","Legacy but likely needed",$C1729="Nutrition_Data_Archived_Tables","Worth keeping",$C1729="EU_Data","Static lookup tables — scripts still reference (smoke-test risk)",TRUE,"Review"),OR($A1729="thg-influencer",$A1729="thg-ingenuity",$A1729="thg-central-marketing",$A1729="thg-seoclarity"),"HOLD — Charlie Stringer to review before deletion",TRUE,"")</f>
        <v>UA raw site logs (account ID) — keep pending audit-retention check</v>
      </c>
      <c r="S1729" t="s">
        <v>1631</v>
      </c>
    </row>
    <row r="1730" spans="1:19" ht="45.75" hidden="1">
      <c r="A1730" t="s">
        <v>89</v>
      </c>
      <c r="B1730" t="s">
        <v>1619</v>
      </c>
      <c r="C1730" t="s">
        <v>4041</v>
      </c>
      <c r="D1730" s="2" t="s">
        <v>1621</v>
      </c>
      <c r="E1730">
        <v>2.2400000000000002</v>
      </c>
      <c r="F1730">
        <v>0.04</v>
      </c>
      <c r="G1730" t="s">
        <v>72</v>
      </c>
      <c r="H1730" t="s">
        <v>3457</v>
      </c>
      <c r="I1730">
        <v>35</v>
      </c>
      <c r="J1730">
        <v>1112</v>
      </c>
      <c r="K1730" s="5">
        <v>46161.620352511571</v>
      </c>
      <c r="M1730" s="2" t="s">
        <v>1969</v>
      </c>
      <c r="N1730" s="2" t="s">
        <v>1701</v>
      </c>
      <c r="O1730" s="5">
        <v>45085.218375474527</v>
      </c>
      <c r="P1730" t="str">
        <f>IF($Q1730="DELETE",IF($S1730="CONFIRMED: NO MODS &gt; 1YR","CONFIRMED: NO MODS &gt; 1YR","DO NOT DELETE — not defensibly confirmed"),IF($Q1730="HOLD","DO NOT DELETE — HOLD (Charlie review)",IF($Q1730="KEEP","DO NOT DELETE — KEEP",IF(ISNUMBER(SEARCH("REVIEW",$Q1730)),"DO NOT DELETE — REVIEW pending",$S1730))))</f>
        <v>DO NOT DELETE — REVIEW pending</v>
      </c>
      <c r="Q1730" t="str" cm="1">
        <f t="array" ref="Q1730">_xlfn.IFS(AND($A1730="thg-beauty",ISNUMBER(SEARCH("liveramp",$C1730))),"DELETE",$A1730="agile-bonbon-662",_xlfn.IFS(LEFT($G1730,9)="Tranche 1","DELETE",$C1730="Sessions_Level_1_All_Sites","KEEP",ISNUMBER(--$C1730),"REVIEW — UA raw logs",$C1730="Emag_Reporting","KEEP",$C1730="Nutrition_Data_Archived_Tables","KEEP",$C1730="EU_Data","KEEP",TRUE,"REVIEW"),OR($A1730="thg-influencer",$A1730="thg-ingenuity",$A1730="thg-central-marketing",$A1730="thg-seoclarity"),"HOLD",TRUE,"")</f>
        <v>REVIEW</v>
      </c>
      <c r="R1730" t="str" cm="1">
        <f t="array" ref="R1730">_xlfn.IFS(AND($A1730="thg-beauty",ISNUMBER(SEARCH("liveramp",$C1730))),"thg-beauty Liveramp dataset — confirmed safe to delete",$A1730="agile-bonbon-662",_xlfn.IFS(LEFT($G1730,9)="Tranche 1","Tranche 1: cleared",$C1730="Sessions_Level_1_All_Sites","Downstream aggregation of UA raw logs — keep if raw tables go",ISNUMBER(--$C1730),"UA raw site logs (account ID) — keep pending audit-retention check",$C1730="Emag_Reporting","Legacy but likely needed",$C1730="Nutrition_Data_Archived_Tables","Worth keeping",$C1730="EU_Data","Static lookup tables — scripts still reference (smoke-test risk)",TRUE,"Review"),OR($A1730="thg-influencer",$A1730="thg-ingenuity",$A1730="thg-central-marketing",$A1730="thg-seoclarity"),"HOLD — Charlie Stringer to review before deletion",TRUE,"")</f>
        <v>Review</v>
      </c>
      <c r="S1730" t="s">
        <v>1631</v>
      </c>
    </row>
    <row r="1731" spans="1:19" ht="45.75" hidden="1">
      <c r="A1731" t="s">
        <v>89</v>
      </c>
      <c r="B1731" t="s">
        <v>1619</v>
      </c>
      <c r="C1731" t="s">
        <v>4042</v>
      </c>
      <c r="D1731" s="2" t="s">
        <v>1621</v>
      </c>
      <c r="E1731">
        <v>2.23</v>
      </c>
      <c r="F1731">
        <v>0.04</v>
      </c>
      <c r="G1731" t="s">
        <v>72</v>
      </c>
      <c r="H1731" t="s">
        <v>3457</v>
      </c>
      <c r="I1731">
        <v>35</v>
      </c>
      <c r="J1731">
        <v>718</v>
      </c>
      <c r="K1731" s="5">
        <v>46161.617791770826</v>
      </c>
      <c r="M1731" s="2" t="s">
        <v>1957</v>
      </c>
      <c r="N1731" s="2" t="s">
        <v>1701</v>
      </c>
      <c r="O1731" s="5">
        <v>45479.413483206023</v>
      </c>
      <c r="P1731" t="str">
        <f>IF($Q1731="DELETE",IF($S1731="CONFIRMED: NO MODS &gt; 1YR","CONFIRMED: NO MODS &gt; 1YR","DO NOT DELETE — not defensibly confirmed"),IF($Q1731="HOLD","DO NOT DELETE — HOLD (Charlie review)",IF($Q1731="KEEP","DO NOT DELETE — KEEP",IF(ISNUMBER(SEARCH("REVIEW",$Q1731)),"DO NOT DELETE — REVIEW pending",$S1731))))</f>
        <v>DO NOT DELETE — REVIEW pending</v>
      </c>
      <c r="Q1731" t="str" cm="1">
        <f t="array" ref="Q1731">_xlfn.IFS(AND($A1731="thg-beauty",ISNUMBER(SEARCH("liveramp",$C1731))),"DELETE",$A1731="agile-bonbon-662",_xlfn.IFS(LEFT($G1731,9)="Tranche 1","DELETE",$C1731="Sessions_Level_1_All_Sites","KEEP",ISNUMBER(--$C1731),"REVIEW — UA raw logs",$C1731="Emag_Reporting","KEEP",$C1731="Nutrition_Data_Archived_Tables","KEEP",$C1731="EU_Data","KEEP",TRUE,"REVIEW"),OR($A1731="thg-influencer",$A1731="thg-ingenuity",$A1731="thg-central-marketing",$A1731="thg-seoclarity"),"HOLD",TRUE,"")</f>
        <v>REVIEW</v>
      </c>
      <c r="R1731" t="str" cm="1">
        <f t="array" ref="R1731">_xlfn.IFS(AND($A1731="thg-beauty",ISNUMBER(SEARCH("liveramp",$C1731))),"thg-beauty Liveramp dataset — confirmed safe to delete",$A1731="agile-bonbon-662",_xlfn.IFS(LEFT($G1731,9)="Tranche 1","Tranche 1: cleared",$C1731="Sessions_Level_1_All_Sites","Downstream aggregation of UA raw logs — keep if raw tables go",ISNUMBER(--$C1731),"UA raw site logs (account ID) — keep pending audit-retention check",$C1731="Emag_Reporting","Legacy but likely needed",$C1731="Nutrition_Data_Archived_Tables","Worth keeping",$C1731="EU_Data","Static lookup tables — scripts still reference (smoke-test risk)",TRUE,"Review"),OR($A1731="thg-influencer",$A1731="thg-ingenuity",$A1731="thg-central-marketing",$A1731="thg-seoclarity"),"HOLD — Charlie Stringer to review before deletion",TRUE,"")</f>
        <v>Review</v>
      </c>
      <c r="S1731" t="s">
        <v>1631</v>
      </c>
    </row>
    <row r="1732" spans="1:19" ht="76.5" hidden="1">
      <c r="A1732" t="s">
        <v>89</v>
      </c>
      <c r="B1732" t="s">
        <v>1619</v>
      </c>
      <c r="C1732" t="s">
        <v>4043</v>
      </c>
      <c r="D1732" s="2" t="s">
        <v>1621</v>
      </c>
      <c r="E1732">
        <v>2.2000000000000002</v>
      </c>
      <c r="F1732">
        <v>0.04</v>
      </c>
      <c r="G1732" t="s">
        <v>72</v>
      </c>
      <c r="H1732" t="s">
        <v>3457</v>
      </c>
      <c r="I1732">
        <v>35</v>
      </c>
      <c r="J1732">
        <v>810</v>
      </c>
      <c r="K1732" s="5">
        <v>46161.580368807867</v>
      </c>
      <c r="M1732" s="2" t="s">
        <v>3895</v>
      </c>
      <c r="N1732" s="2" t="s">
        <v>1701</v>
      </c>
      <c r="O1732" s="5">
        <v>45387.275512893517</v>
      </c>
      <c r="P1732" t="str">
        <f>IF($Q1732="DELETE",IF($S1732="CONFIRMED: NO MODS &gt; 1YR","CONFIRMED: NO MODS &gt; 1YR","DO NOT DELETE — not defensibly confirmed"),IF($Q1732="HOLD","DO NOT DELETE — HOLD (Charlie review)",IF($Q1732="KEEP","DO NOT DELETE — KEEP",IF(ISNUMBER(SEARCH("REVIEW",$Q1732)),"DO NOT DELETE — REVIEW pending",$S1732))))</f>
        <v>DO NOT DELETE — REVIEW pending</v>
      </c>
      <c r="Q1732" t="str" cm="1">
        <f t="array" ref="Q1732">_xlfn.IFS(AND($A1732="thg-beauty",ISNUMBER(SEARCH("liveramp",$C1732))),"DELETE",$A1732="agile-bonbon-662",_xlfn.IFS(LEFT($G1732,9)="Tranche 1","DELETE",$C1732="Sessions_Level_1_All_Sites","KEEP",ISNUMBER(--$C1732),"REVIEW — UA raw logs",$C1732="Emag_Reporting","KEEP",$C1732="Nutrition_Data_Archived_Tables","KEEP",$C1732="EU_Data","KEEP",TRUE,"REVIEW"),OR($A1732="thg-influencer",$A1732="thg-ingenuity",$A1732="thg-central-marketing",$A1732="thg-seoclarity"),"HOLD",TRUE,"")</f>
        <v>REVIEW</v>
      </c>
      <c r="R1732" t="str" cm="1">
        <f t="array" ref="R1732">_xlfn.IFS(AND($A1732="thg-beauty",ISNUMBER(SEARCH("liveramp",$C1732))),"thg-beauty Liveramp dataset — confirmed safe to delete",$A1732="agile-bonbon-662",_xlfn.IFS(LEFT($G1732,9)="Tranche 1","Tranche 1: cleared",$C1732="Sessions_Level_1_All_Sites","Downstream aggregation of UA raw logs — keep if raw tables go",ISNUMBER(--$C1732),"UA raw site logs (account ID) — keep pending audit-retention check",$C1732="Emag_Reporting","Legacy but likely needed",$C1732="Nutrition_Data_Archived_Tables","Worth keeping",$C1732="EU_Data","Static lookup tables — scripts still reference (smoke-test risk)",TRUE,"Review"),OR($A1732="thg-influencer",$A1732="thg-ingenuity",$A1732="thg-central-marketing",$A1732="thg-seoclarity"),"HOLD — Charlie Stringer to review before deletion",TRUE,"")</f>
        <v>Review</v>
      </c>
      <c r="S1732" t="s">
        <v>1631</v>
      </c>
    </row>
    <row r="1733" spans="1:19" ht="45.75" hidden="1">
      <c r="A1733" t="s">
        <v>89</v>
      </c>
      <c r="B1733" t="s">
        <v>1619</v>
      </c>
      <c r="C1733" t="s">
        <v>4044</v>
      </c>
      <c r="D1733" s="2" t="s">
        <v>1621</v>
      </c>
      <c r="E1733">
        <v>2.19</v>
      </c>
      <c r="F1733">
        <v>0.04</v>
      </c>
      <c r="G1733" t="s">
        <v>72</v>
      </c>
      <c r="H1733" t="s">
        <v>3457</v>
      </c>
      <c r="I1733">
        <v>35</v>
      </c>
      <c r="J1733">
        <v>1134</v>
      </c>
      <c r="K1733" s="5">
        <v>46161.616855474538</v>
      </c>
      <c r="M1733" s="2" t="s">
        <v>1925</v>
      </c>
      <c r="N1733" s="2" t="s">
        <v>1701</v>
      </c>
      <c r="O1733" s="5">
        <v>45063.190533287037</v>
      </c>
      <c r="P1733" t="str">
        <f>IF($Q1733="DELETE",IF($S1733="CONFIRMED: NO MODS &gt; 1YR","CONFIRMED: NO MODS &gt; 1YR","DO NOT DELETE — not defensibly confirmed"),IF($Q1733="HOLD","DO NOT DELETE — HOLD (Charlie review)",IF($Q1733="KEEP","DO NOT DELETE — KEEP",IF(ISNUMBER(SEARCH("REVIEW",$Q1733)),"DO NOT DELETE — REVIEW pending",$S1733))))</f>
        <v>DO NOT DELETE — REVIEW pending</v>
      </c>
      <c r="Q1733" t="str" cm="1">
        <f t="array" ref="Q1733">_xlfn.IFS(AND($A1733="thg-beauty",ISNUMBER(SEARCH("liveramp",$C1733))),"DELETE",$A1733="agile-bonbon-662",_xlfn.IFS(LEFT($G1733,9)="Tranche 1","DELETE",$C1733="Sessions_Level_1_All_Sites","KEEP",ISNUMBER(--$C1733),"REVIEW — UA raw logs",$C1733="Emag_Reporting","KEEP",$C1733="Nutrition_Data_Archived_Tables","KEEP",$C1733="EU_Data","KEEP",TRUE,"REVIEW"),OR($A1733="thg-influencer",$A1733="thg-ingenuity",$A1733="thg-central-marketing",$A1733="thg-seoclarity"),"HOLD",TRUE,"")</f>
        <v>REVIEW</v>
      </c>
      <c r="R1733" t="str" cm="1">
        <f t="array" ref="R1733">_xlfn.IFS(AND($A1733="thg-beauty",ISNUMBER(SEARCH("liveramp",$C1733))),"thg-beauty Liveramp dataset — confirmed safe to delete",$A1733="agile-bonbon-662",_xlfn.IFS(LEFT($G1733,9)="Tranche 1","Tranche 1: cleared",$C1733="Sessions_Level_1_All_Sites","Downstream aggregation of UA raw logs — keep if raw tables go",ISNUMBER(--$C1733),"UA raw site logs (account ID) — keep pending audit-retention check",$C1733="Emag_Reporting","Legacy but likely needed",$C1733="Nutrition_Data_Archived_Tables","Worth keeping",$C1733="EU_Data","Static lookup tables — scripts still reference (smoke-test risk)",TRUE,"Review"),OR($A1733="thg-influencer",$A1733="thg-ingenuity",$A1733="thg-central-marketing",$A1733="thg-seoclarity"),"HOLD — Charlie Stringer to review before deletion",TRUE,"")</f>
        <v>Review</v>
      </c>
      <c r="S1733" t="s">
        <v>1631</v>
      </c>
    </row>
    <row r="1734" spans="1:19" ht="45.75" hidden="1">
      <c r="A1734" t="s">
        <v>89</v>
      </c>
      <c r="B1734" t="s">
        <v>1619</v>
      </c>
      <c r="C1734" t="s">
        <v>4045</v>
      </c>
      <c r="D1734" s="2" t="s">
        <v>1621</v>
      </c>
      <c r="E1734">
        <v>2.16</v>
      </c>
      <c r="F1734">
        <v>0.04</v>
      </c>
      <c r="G1734" t="s">
        <v>72</v>
      </c>
      <c r="H1734" t="s">
        <v>3457</v>
      </c>
      <c r="I1734">
        <v>35</v>
      </c>
      <c r="J1734">
        <v>1966</v>
      </c>
      <c r="K1734" s="5">
        <v>46161.621800092587</v>
      </c>
      <c r="M1734" s="2" t="s">
        <v>3359</v>
      </c>
      <c r="N1734" s="2" t="s">
        <v>1701</v>
      </c>
      <c r="O1734" s="5">
        <v>44230.923339872686</v>
      </c>
      <c r="P1734" t="str">
        <f>IF($Q1734="DELETE",IF($S1734="CONFIRMED: NO MODS &gt; 1YR","CONFIRMED: NO MODS &gt; 1YR","DO NOT DELETE — not defensibly confirmed"),IF($Q1734="HOLD","DO NOT DELETE — HOLD (Charlie review)",IF($Q1734="KEEP","DO NOT DELETE — KEEP",IF(ISNUMBER(SEARCH("REVIEW",$Q1734)),"DO NOT DELETE — REVIEW pending",$S1734))))</f>
        <v>DO NOT DELETE — REVIEW pending</v>
      </c>
      <c r="Q1734" t="str" cm="1">
        <f t="array" ref="Q1734">_xlfn.IFS(AND($A1734="thg-beauty",ISNUMBER(SEARCH("liveramp",$C1734))),"DELETE",$A1734="agile-bonbon-662",_xlfn.IFS(LEFT($G1734,9)="Tranche 1","DELETE",$C1734="Sessions_Level_1_All_Sites","KEEP",ISNUMBER(--$C1734),"REVIEW — UA raw logs",$C1734="Emag_Reporting","KEEP",$C1734="Nutrition_Data_Archived_Tables","KEEP",$C1734="EU_Data","KEEP",TRUE,"REVIEW"),OR($A1734="thg-influencer",$A1734="thg-ingenuity",$A1734="thg-central-marketing",$A1734="thg-seoclarity"),"HOLD",TRUE,"")</f>
        <v>REVIEW</v>
      </c>
      <c r="R1734" t="str" cm="1">
        <f t="array" ref="R1734">_xlfn.IFS(AND($A1734="thg-beauty",ISNUMBER(SEARCH("liveramp",$C1734))),"thg-beauty Liveramp dataset — confirmed safe to delete",$A1734="agile-bonbon-662",_xlfn.IFS(LEFT($G1734,9)="Tranche 1","Tranche 1: cleared",$C1734="Sessions_Level_1_All_Sites","Downstream aggregation of UA raw logs — keep if raw tables go",ISNUMBER(--$C1734),"UA raw site logs (account ID) — keep pending audit-retention check",$C1734="Emag_Reporting","Legacy but likely needed",$C1734="Nutrition_Data_Archived_Tables","Worth keeping",$C1734="EU_Data","Static lookup tables — scripts still reference (smoke-test risk)",TRUE,"Review"),OR($A1734="thg-influencer",$A1734="thg-ingenuity",$A1734="thg-central-marketing",$A1734="thg-seoclarity"),"HOLD — Charlie Stringer to review before deletion",TRUE,"")</f>
        <v>Review</v>
      </c>
      <c r="S1734" t="s">
        <v>1631</v>
      </c>
    </row>
    <row r="1735" spans="1:19" ht="45.75" hidden="1">
      <c r="A1735" t="s">
        <v>89</v>
      </c>
      <c r="B1735" t="s">
        <v>1619</v>
      </c>
      <c r="C1735" t="s">
        <v>4046</v>
      </c>
      <c r="D1735" s="2" t="s">
        <v>1621</v>
      </c>
      <c r="E1735">
        <v>2.16</v>
      </c>
      <c r="F1735">
        <v>0.04</v>
      </c>
      <c r="G1735" t="s">
        <v>72</v>
      </c>
      <c r="H1735" t="s">
        <v>3457</v>
      </c>
      <c r="I1735">
        <v>35</v>
      </c>
      <c r="J1735">
        <v>1230</v>
      </c>
      <c r="K1735" s="5">
        <v>46161.61710275463</v>
      </c>
      <c r="M1735" s="2" t="s">
        <v>1947</v>
      </c>
      <c r="N1735" s="2" t="s">
        <v>1701</v>
      </c>
      <c r="O1735" s="5">
        <v>44967.344571168978</v>
      </c>
      <c r="P1735" t="str">
        <f>IF($Q1735="DELETE",IF($S1735="CONFIRMED: NO MODS &gt; 1YR","CONFIRMED: NO MODS &gt; 1YR","DO NOT DELETE — not defensibly confirmed"),IF($Q1735="HOLD","DO NOT DELETE — HOLD (Charlie review)",IF($Q1735="KEEP","DO NOT DELETE — KEEP",IF(ISNUMBER(SEARCH("REVIEW",$Q1735)),"DO NOT DELETE — REVIEW pending",$S1735))))</f>
        <v>DO NOT DELETE — REVIEW pending</v>
      </c>
      <c r="Q1735" t="str" cm="1">
        <f t="array" ref="Q1735">_xlfn.IFS(AND($A1735="thg-beauty",ISNUMBER(SEARCH("liveramp",$C1735))),"DELETE",$A1735="agile-bonbon-662",_xlfn.IFS(LEFT($G1735,9)="Tranche 1","DELETE",$C1735="Sessions_Level_1_All_Sites","KEEP",ISNUMBER(--$C1735),"REVIEW — UA raw logs",$C1735="Emag_Reporting","KEEP",$C1735="Nutrition_Data_Archived_Tables","KEEP",$C1735="EU_Data","KEEP",TRUE,"REVIEW"),OR($A1735="thg-influencer",$A1735="thg-ingenuity",$A1735="thg-central-marketing",$A1735="thg-seoclarity"),"HOLD",TRUE,"")</f>
        <v>REVIEW</v>
      </c>
      <c r="R1735" t="str" cm="1">
        <f t="array" ref="R1735">_xlfn.IFS(AND($A1735="thg-beauty",ISNUMBER(SEARCH("liveramp",$C1735))),"thg-beauty Liveramp dataset — confirmed safe to delete",$A1735="agile-bonbon-662",_xlfn.IFS(LEFT($G1735,9)="Tranche 1","Tranche 1: cleared",$C1735="Sessions_Level_1_All_Sites","Downstream aggregation of UA raw logs — keep if raw tables go",ISNUMBER(--$C1735),"UA raw site logs (account ID) — keep pending audit-retention check",$C1735="Emag_Reporting","Legacy but likely needed",$C1735="Nutrition_Data_Archived_Tables","Worth keeping",$C1735="EU_Data","Static lookup tables — scripts still reference (smoke-test risk)",TRUE,"Review"),OR($A1735="thg-influencer",$A1735="thg-ingenuity",$A1735="thg-central-marketing",$A1735="thg-seoclarity"),"HOLD — Charlie Stringer to review before deletion",TRUE,"")</f>
        <v>Review</v>
      </c>
      <c r="S1735" t="s">
        <v>1631</v>
      </c>
    </row>
    <row r="1736" spans="1:19" ht="45.75" hidden="1">
      <c r="A1736" t="s">
        <v>89</v>
      </c>
      <c r="B1736" t="s">
        <v>1619</v>
      </c>
      <c r="C1736" t="s">
        <v>4047</v>
      </c>
      <c r="D1736" s="2" t="s">
        <v>1621</v>
      </c>
      <c r="E1736">
        <v>2.06</v>
      </c>
      <c r="F1736">
        <v>0.04</v>
      </c>
      <c r="G1736" t="s">
        <v>72</v>
      </c>
      <c r="H1736" t="s">
        <v>3457</v>
      </c>
      <c r="I1736">
        <v>35</v>
      </c>
      <c r="J1736">
        <v>1029</v>
      </c>
      <c r="K1736" s="5">
        <v>46161.616778333337</v>
      </c>
      <c r="M1736" s="2" t="s">
        <v>1925</v>
      </c>
      <c r="N1736" s="2" t="s">
        <v>1701</v>
      </c>
      <c r="O1736" s="5">
        <v>45167.924918067132</v>
      </c>
      <c r="P1736" t="str">
        <f>IF($Q1736="DELETE",IF($S1736="CONFIRMED: NO MODS &gt; 1YR","CONFIRMED: NO MODS &gt; 1YR","DO NOT DELETE — not defensibly confirmed"),IF($Q1736="HOLD","DO NOT DELETE — HOLD (Charlie review)",IF($Q1736="KEEP","DO NOT DELETE — KEEP",IF(ISNUMBER(SEARCH("REVIEW",$Q1736)),"DO NOT DELETE — REVIEW pending",$S1736))))</f>
        <v>DO NOT DELETE — REVIEW pending</v>
      </c>
      <c r="Q1736" t="str" cm="1">
        <f t="array" ref="Q1736">_xlfn.IFS(AND($A1736="thg-beauty",ISNUMBER(SEARCH("liveramp",$C1736))),"DELETE",$A1736="agile-bonbon-662",_xlfn.IFS(LEFT($G1736,9)="Tranche 1","DELETE",$C1736="Sessions_Level_1_All_Sites","KEEP",ISNUMBER(--$C1736),"REVIEW — UA raw logs",$C1736="Emag_Reporting","KEEP",$C1736="Nutrition_Data_Archived_Tables","KEEP",$C1736="EU_Data","KEEP",TRUE,"REVIEW"),OR($A1736="thg-influencer",$A1736="thg-ingenuity",$A1736="thg-central-marketing",$A1736="thg-seoclarity"),"HOLD",TRUE,"")</f>
        <v>REVIEW</v>
      </c>
      <c r="R1736" t="str" cm="1">
        <f t="array" ref="R1736">_xlfn.IFS(AND($A1736="thg-beauty",ISNUMBER(SEARCH("liveramp",$C1736))),"thg-beauty Liveramp dataset — confirmed safe to delete",$A1736="agile-bonbon-662",_xlfn.IFS(LEFT($G1736,9)="Tranche 1","Tranche 1: cleared",$C1736="Sessions_Level_1_All_Sites","Downstream aggregation of UA raw logs — keep if raw tables go",ISNUMBER(--$C1736),"UA raw site logs (account ID) — keep pending audit-retention check",$C1736="Emag_Reporting","Legacy but likely needed",$C1736="Nutrition_Data_Archived_Tables","Worth keeping",$C1736="EU_Data","Static lookup tables — scripts still reference (smoke-test risk)",TRUE,"Review"),OR($A1736="thg-influencer",$A1736="thg-ingenuity",$A1736="thg-central-marketing",$A1736="thg-seoclarity"),"HOLD — Charlie Stringer to review before deletion",TRUE,"")</f>
        <v>Review</v>
      </c>
      <c r="S1736" t="s">
        <v>1624</v>
      </c>
    </row>
    <row r="1737" spans="1:19" ht="45.75" hidden="1">
      <c r="A1737" t="s">
        <v>89</v>
      </c>
      <c r="B1737" t="s">
        <v>1619</v>
      </c>
      <c r="C1737" t="s">
        <v>4048</v>
      </c>
      <c r="D1737" s="2" t="s">
        <v>1621</v>
      </c>
      <c r="E1737">
        <v>2.0499999999999998</v>
      </c>
      <c r="F1737">
        <v>0.04</v>
      </c>
      <c r="G1737" t="s">
        <v>72</v>
      </c>
      <c r="H1737" t="s">
        <v>3457</v>
      </c>
      <c r="I1737">
        <v>35</v>
      </c>
      <c r="J1737">
        <v>723</v>
      </c>
      <c r="K1737" s="5">
        <v>46161.594880891207</v>
      </c>
      <c r="M1737" s="2" t="s">
        <v>3902</v>
      </c>
      <c r="N1737" s="2" t="s">
        <v>1701</v>
      </c>
      <c r="O1737" s="5">
        <v>45474.267192893523</v>
      </c>
      <c r="P1737" t="str">
        <f>IF($Q1737="DELETE",IF($S1737="CONFIRMED: NO MODS &gt; 1YR","CONFIRMED: NO MODS &gt; 1YR","DO NOT DELETE — not defensibly confirmed"),IF($Q1737="HOLD","DO NOT DELETE — HOLD (Charlie review)",IF($Q1737="KEEP","DO NOT DELETE — KEEP",IF(ISNUMBER(SEARCH("REVIEW",$Q1737)),"DO NOT DELETE — REVIEW pending",$S1737))))</f>
        <v>DO NOT DELETE — REVIEW pending</v>
      </c>
      <c r="Q1737" t="str" cm="1">
        <f t="array" ref="Q1737">_xlfn.IFS(AND($A1737="thg-beauty",ISNUMBER(SEARCH("liveramp",$C1737))),"DELETE",$A1737="agile-bonbon-662",_xlfn.IFS(LEFT($G1737,9)="Tranche 1","DELETE",$C1737="Sessions_Level_1_All_Sites","KEEP",ISNUMBER(--$C1737),"REVIEW — UA raw logs",$C1737="Emag_Reporting","KEEP",$C1737="Nutrition_Data_Archived_Tables","KEEP",$C1737="EU_Data","KEEP",TRUE,"REVIEW"),OR($A1737="thg-influencer",$A1737="thg-ingenuity",$A1737="thg-central-marketing",$A1737="thg-seoclarity"),"HOLD",TRUE,"")</f>
        <v>REVIEW — UA raw logs</v>
      </c>
      <c r="R1737" t="str" cm="1">
        <f t="array" ref="R1737">_xlfn.IFS(AND($A1737="thg-beauty",ISNUMBER(SEARCH("liveramp",$C1737))),"thg-beauty Liveramp dataset — confirmed safe to delete",$A1737="agile-bonbon-662",_xlfn.IFS(LEFT($G1737,9)="Tranche 1","Tranche 1: cleared",$C1737="Sessions_Level_1_All_Sites","Downstream aggregation of UA raw logs — keep if raw tables go",ISNUMBER(--$C1737),"UA raw site logs (account ID) — keep pending audit-retention check",$C1737="Emag_Reporting","Legacy but likely needed",$C1737="Nutrition_Data_Archived_Tables","Worth keeping",$C1737="EU_Data","Static lookup tables — scripts still reference (smoke-test risk)",TRUE,"Review"),OR($A1737="thg-influencer",$A1737="thg-ingenuity",$A1737="thg-central-marketing",$A1737="thg-seoclarity"),"HOLD — Charlie Stringer to review before deletion",TRUE,"")</f>
        <v>UA raw site logs (account ID) — keep pending audit-retention check</v>
      </c>
      <c r="S1737" t="s">
        <v>1631</v>
      </c>
    </row>
    <row r="1738" spans="1:19" ht="45.75" hidden="1">
      <c r="A1738" t="s">
        <v>89</v>
      </c>
      <c r="B1738" t="s">
        <v>1619</v>
      </c>
      <c r="C1738" t="s">
        <v>4049</v>
      </c>
      <c r="D1738" s="2" t="s">
        <v>1621</v>
      </c>
      <c r="E1738">
        <v>2.0099999999999998</v>
      </c>
      <c r="F1738">
        <v>0.04</v>
      </c>
      <c r="G1738" t="s">
        <v>72</v>
      </c>
      <c r="H1738" t="s">
        <v>3457</v>
      </c>
      <c r="I1738">
        <v>35</v>
      </c>
      <c r="J1738">
        <v>866</v>
      </c>
      <c r="K1738" s="5">
        <v>46161.595156342592</v>
      </c>
      <c r="M1738" s="2" t="s">
        <v>3426</v>
      </c>
      <c r="N1738" s="2" t="s">
        <v>1701</v>
      </c>
      <c r="O1738" s="5">
        <v>45331.268418449072</v>
      </c>
      <c r="P1738" t="str">
        <f>IF($Q1738="DELETE",IF($S1738="CONFIRMED: NO MODS &gt; 1YR","CONFIRMED: NO MODS &gt; 1YR","DO NOT DELETE — not defensibly confirmed"),IF($Q1738="HOLD","DO NOT DELETE — HOLD (Charlie review)",IF($Q1738="KEEP","DO NOT DELETE — KEEP",IF(ISNUMBER(SEARCH("REVIEW",$Q1738)),"DO NOT DELETE — REVIEW pending",$S1738))))</f>
        <v>DO NOT DELETE — REVIEW pending</v>
      </c>
      <c r="Q1738" t="str" cm="1">
        <f t="array" ref="Q1738">_xlfn.IFS(AND($A1738="thg-beauty",ISNUMBER(SEARCH("liveramp",$C1738))),"DELETE",$A1738="agile-bonbon-662",_xlfn.IFS(LEFT($G1738,9)="Tranche 1","DELETE",$C1738="Sessions_Level_1_All_Sites","KEEP",ISNUMBER(--$C1738),"REVIEW — UA raw logs",$C1738="Emag_Reporting","KEEP",$C1738="Nutrition_Data_Archived_Tables","KEEP",$C1738="EU_Data","KEEP",TRUE,"REVIEW"),OR($A1738="thg-influencer",$A1738="thg-ingenuity",$A1738="thg-central-marketing",$A1738="thg-seoclarity"),"HOLD",TRUE,"")</f>
        <v>REVIEW — UA raw logs</v>
      </c>
      <c r="R1738" t="str" cm="1">
        <f t="array" ref="R1738">_xlfn.IFS(AND($A1738="thg-beauty",ISNUMBER(SEARCH("liveramp",$C1738))),"thg-beauty Liveramp dataset — confirmed safe to delete",$A1738="agile-bonbon-662",_xlfn.IFS(LEFT($G1738,9)="Tranche 1","Tranche 1: cleared",$C1738="Sessions_Level_1_All_Sites","Downstream aggregation of UA raw logs — keep if raw tables go",ISNUMBER(--$C1738),"UA raw site logs (account ID) — keep pending audit-retention check",$C1738="Emag_Reporting","Legacy but likely needed",$C1738="Nutrition_Data_Archived_Tables","Worth keeping",$C1738="EU_Data","Static lookup tables — scripts still reference (smoke-test risk)",TRUE,"Review"),OR($A1738="thg-influencer",$A1738="thg-ingenuity",$A1738="thg-central-marketing",$A1738="thg-seoclarity"),"HOLD — Charlie Stringer to review before deletion",TRUE,"")</f>
        <v>UA raw site logs (account ID) — keep pending audit-retention check</v>
      </c>
      <c r="S1738" t="s">
        <v>1631</v>
      </c>
    </row>
    <row r="1739" spans="1:19" ht="45.75" hidden="1">
      <c r="A1739" t="s">
        <v>89</v>
      </c>
      <c r="B1739" t="s">
        <v>1619</v>
      </c>
      <c r="C1739" t="s">
        <v>4050</v>
      </c>
      <c r="D1739" s="2" t="s">
        <v>1621</v>
      </c>
      <c r="E1739">
        <v>1.98</v>
      </c>
      <c r="F1739">
        <v>0.04</v>
      </c>
      <c r="G1739" t="s">
        <v>72</v>
      </c>
      <c r="H1739" t="s">
        <v>3457</v>
      </c>
      <c r="I1739">
        <v>35</v>
      </c>
      <c r="J1739">
        <v>723</v>
      </c>
      <c r="K1739" s="5">
        <v>46161.587230787038</v>
      </c>
      <c r="M1739" s="2" t="s">
        <v>3440</v>
      </c>
      <c r="N1739" s="2" t="s">
        <v>1701</v>
      </c>
      <c r="O1739" s="5">
        <v>45474.264005960649</v>
      </c>
      <c r="P1739" t="str">
        <f>IF($Q1739="DELETE",IF($S1739="CONFIRMED: NO MODS &gt; 1YR","CONFIRMED: NO MODS &gt; 1YR","DO NOT DELETE — not defensibly confirmed"),IF($Q1739="HOLD","DO NOT DELETE — HOLD (Charlie review)",IF($Q1739="KEEP","DO NOT DELETE — KEEP",IF(ISNUMBER(SEARCH("REVIEW",$Q1739)),"DO NOT DELETE — REVIEW pending",$S1739))))</f>
        <v>DO NOT DELETE — REVIEW pending</v>
      </c>
      <c r="Q1739" t="str" cm="1">
        <f t="array" ref="Q1739">_xlfn.IFS(AND($A1739="thg-beauty",ISNUMBER(SEARCH("liveramp",$C1739))),"DELETE",$A1739="agile-bonbon-662",_xlfn.IFS(LEFT($G1739,9)="Tranche 1","DELETE",$C1739="Sessions_Level_1_All_Sites","KEEP",ISNUMBER(--$C1739),"REVIEW — UA raw logs",$C1739="Emag_Reporting","KEEP",$C1739="Nutrition_Data_Archived_Tables","KEEP",$C1739="EU_Data","KEEP",TRUE,"REVIEW"),OR($A1739="thg-influencer",$A1739="thg-ingenuity",$A1739="thg-central-marketing",$A1739="thg-seoclarity"),"HOLD",TRUE,"")</f>
        <v>REVIEW — UA raw logs</v>
      </c>
      <c r="R1739" t="str" cm="1">
        <f t="array" ref="R1739">_xlfn.IFS(AND($A1739="thg-beauty",ISNUMBER(SEARCH("liveramp",$C1739))),"thg-beauty Liveramp dataset — confirmed safe to delete",$A1739="agile-bonbon-662",_xlfn.IFS(LEFT($G1739,9)="Tranche 1","Tranche 1: cleared",$C1739="Sessions_Level_1_All_Sites","Downstream aggregation of UA raw logs — keep if raw tables go",ISNUMBER(--$C1739),"UA raw site logs (account ID) — keep pending audit-retention check",$C1739="Emag_Reporting","Legacy but likely needed",$C1739="Nutrition_Data_Archived_Tables","Worth keeping",$C1739="EU_Data","Static lookup tables — scripts still reference (smoke-test risk)",TRUE,"Review"),OR($A1739="thg-influencer",$A1739="thg-ingenuity",$A1739="thg-central-marketing",$A1739="thg-seoclarity"),"HOLD — Charlie Stringer to review before deletion",TRUE,"")</f>
        <v>UA raw site logs (account ID) — keep pending audit-retention check</v>
      </c>
      <c r="S1739" t="s">
        <v>1631</v>
      </c>
    </row>
    <row r="1740" spans="1:19" ht="45.75" hidden="1">
      <c r="A1740" t="s">
        <v>89</v>
      </c>
      <c r="B1740" t="s">
        <v>1619</v>
      </c>
      <c r="C1740" t="s">
        <v>4051</v>
      </c>
      <c r="D1740" s="2" t="s">
        <v>1621</v>
      </c>
      <c r="E1740">
        <v>1.98</v>
      </c>
      <c r="F1740">
        <v>0.04</v>
      </c>
      <c r="G1740" t="s">
        <v>72</v>
      </c>
      <c r="H1740" t="s">
        <v>3457</v>
      </c>
      <c r="I1740">
        <v>35</v>
      </c>
      <c r="J1740">
        <v>924</v>
      </c>
      <c r="K1740" s="5">
        <v>46161.618168032408</v>
      </c>
      <c r="M1740" s="2" t="s">
        <v>1945</v>
      </c>
      <c r="N1740" s="2" t="s">
        <v>1701</v>
      </c>
      <c r="O1740" s="5">
        <v>45272.742442268522</v>
      </c>
      <c r="P1740" t="str">
        <f>IF($Q1740="DELETE",IF($S1740="CONFIRMED: NO MODS &gt; 1YR","CONFIRMED: NO MODS &gt; 1YR","DO NOT DELETE — not defensibly confirmed"),IF($Q1740="HOLD","DO NOT DELETE — HOLD (Charlie review)",IF($Q1740="KEEP","DO NOT DELETE — KEEP",IF(ISNUMBER(SEARCH("REVIEW",$Q1740)),"DO NOT DELETE — REVIEW pending",$S1740))))</f>
        <v>DO NOT DELETE — REVIEW pending</v>
      </c>
      <c r="Q1740" t="str" cm="1">
        <f t="array" ref="Q1740">_xlfn.IFS(AND($A1740="thg-beauty",ISNUMBER(SEARCH("liveramp",$C1740))),"DELETE",$A1740="agile-bonbon-662",_xlfn.IFS(LEFT($G1740,9)="Tranche 1","DELETE",$C1740="Sessions_Level_1_All_Sites","KEEP",ISNUMBER(--$C1740),"REVIEW — UA raw logs",$C1740="Emag_Reporting","KEEP",$C1740="Nutrition_Data_Archived_Tables","KEEP",$C1740="EU_Data","KEEP",TRUE,"REVIEW"),OR($A1740="thg-influencer",$A1740="thg-ingenuity",$A1740="thg-central-marketing",$A1740="thg-seoclarity"),"HOLD",TRUE,"")</f>
        <v>REVIEW</v>
      </c>
      <c r="R1740" t="str" cm="1">
        <f t="array" ref="R1740">_xlfn.IFS(AND($A1740="thg-beauty",ISNUMBER(SEARCH("liveramp",$C1740))),"thg-beauty Liveramp dataset — confirmed safe to delete",$A1740="agile-bonbon-662",_xlfn.IFS(LEFT($G1740,9)="Tranche 1","Tranche 1: cleared",$C1740="Sessions_Level_1_All_Sites","Downstream aggregation of UA raw logs — keep if raw tables go",ISNUMBER(--$C1740),"UA raw site logs (account ID) — keep pending audit-retention check",$C1740="Emag_Reporting","Legacy but likely needed",$C1740="Nutrition_Data_Archived_Tables","Worth keeping",$C1740="EU_Data","Static lookup tables — scripts still reference (smoke-test risk)",TRUE,"Review"),OR($A1740="thg-influencer",$A1740="thg-ingenuity",$A1740="thg-central-marketing",$A1740="thg-seoclarity"),"HOLD — Charlie Stringer to review before deletion",TRUE,"")</f>
        <v>Review</v>
      </c>
      <c r="S1740" t="s">
        <v>1631</v>
      </c>
    </row>
    <row r="1741" spans="1:19" ht="45.75" hidden="1">
      <c r="A1741" t="s">
        <v>89</v>
      </c>
      <c r="B1741" t="s">
        <v>1619</v>
      </c>
      <c r="C1741" t="s">
        <v>4052</v>
      </c>
      <c r="D1741" s="2" t="s">
        <v>1621</v>
      </c>
      <c r="E1741">
        <v>1.84</v>
      </c>
      <c r="F1741">
        <v>0.04</v>
      </c>
      <c r="G1741" t="s">
        <v>72</v>
      </c>
      <c r="H1741" t="s">
        <v>3457</v>
      </c>
      <c r="I1741">
        <v>35</v>
      </c>
      <c r="J1741">
        <v>1439</v>
      </c>
      <c r="K1741" s="5">
        <v>46161.58803864583</v>
      </c>
      <c r="M1741" s="2" t="s">
        <v>3413</v>
      </c>
      <c r="N1741" s="2" t="s">
        <v>1701</v>
      </c>
      <c r="O1741" s="5">
        <v>44757.512435416669</v>
      </c>
      <c r="P1741" t="str">
        <f>IF($Q1741="DELETE",IF($S1741="CONFIRMED: NO MODS &gt; 1YR","CONFIRMED: NO MODS &gt; 1YR","DO NOT DELETE — not defensibly confirmed"),IF($Q1741="HOLD","DO NOT DELETE — HOLD (Charlie review)",IF($Q1741="KEEP","DO NOT DELETE — KEEP",IF(ISNUMBER(SEARCH("REVIEW",$Q1741)),"DO NOT DELETE — REVIEW pending",$S1741))))</f>
        <v>DO NOT DELETE — REVIEW pending</v>
      </c>
      <c r="Q1741" t="str" cm="1">
        <f t="array" ref="Q1741">_xlfn.IFS(AND($A1741="thg-beauty",ISNUMBER(SEARCH("liveramp",$C1741))),"DELETE",$A1741="agile-bonbon-662",_xlfn.IFS(LEFT($G1741,9)="Tranche 1","DELETE",$C1741="Sessions_Level_1_All_Sites","KEEP",ISNUMBER(--$C1741),"REVIEW — UA raw logs",$C1741="Emag_Reporting","KEEP",$C1741="Nutrition_Data_Archived_Tables","KEEP",$C1741="EU_Data","KEEP",TRUE,"REVIEW"),OR($A1741="thg-influencer",$A1741="thg-ingenuity",$A1741="thg-central-marketing",$A1741="thg-seoclarity"),"HOLD",TRUE,"")</f>
        <v>REVIEW — UA raw logs</v>
      </c>
      <c r="R1741" t="str" cm="1">
        <f t="array" ref="R1741">_xlfn.IFS(AND($A1741="thg-beauty",ISNUMBER(SEARCH("liveramp",$C1741))),"thg-beauty Liveramp dataset — confirmed safe to delete",$A1741="agile-bonbon-662",_xlfn.IFS(LEFT($G1741,9)="Tranche 1","Tranche 1: cleared",$C1741="Sessions_Level_1_All_Sites","Downstream aggregation of UA raw logs — keep if raw tables go",ISNUMBER(--$C1741),"UA raw site logs (account ID) — keep pending audit-retention check",$C1741="Emag_Reporting","Legacy but likely needed",$C1741="Nutrition_Data_Archived_Tables","Worth keeping",$C1741="EU_Data","Static lookup tables — scripts still reference (smoke-test risk)",TRUE,"Review"),OR($A1741="thg-influencer",$A1741="thg-ingenuity",$A1741="thg-central-marketing",$A1741="thg-seoclarity"),"HOLD — Charlie Stringer to review before deletion",TRUE,"")</f>
        <v>UA raw site logs (account ID) — keep pending audit-retention check</v>
      </c>
      <c r="S1741" t="s">
        <v>1631</v>
      </c>
    </row>
    <row r="1742" spans="1:19" ht="45.75" hidden="1">
      <c r="A1742" t="s">
        <v>89</v>
      </c>
      <c r="B1742" t="s">
        <v>1619</v>
      </c>
      <c r="C1742" t="s">
        <v>4053</v>
      </c>
      <c r="D1742" s="2" t="s">
        <v>1621</v>
      </c>
      <c r="E1742">
        <v>1.82</v>
      </c>
      <c r="F1742">
        <v>0.04</v>
      </c>
      <c r="G1742" t="s">
        <v>72</v>
      </c>
      <c r="H1742" t="s">
        <v>3457</v>
      </c>
      <c r="I1742">
        <v>35</v>
      </c>
      <c r="J1742">
        <v>1769</v>
      </c>
      <c r="K1742" s="5">
        <v>46161.593545995369</v>
      </c>
      <c r="M1742" s="2" t="s">
        <v>3900</v>
      </c>
      <c r="N1742" s="2" t="s">
        <v>1701</v>
      </c>
      <c r="O1742" s="5">
        <v>44427.514946215277</v>
      </c>
      <c r="P1742" t="str">
        <f>IF($Q1742="DELETE",IF($S1742="CONFIRMED: NO MODS &gt; 1YR","CONFIRMED: NO MODS &gt; 1YR","DO NOT DELETE — not defensibly confirmed"),IF($Q1742="HOLD","DO NOT DELETE — HOLD (Charlie review)",IF($Q1742="KEEP","DO NOT DELETE — KEEP",IF(ISNUMBER(SEARCH("REVIEW",$Q1742)),"DO NOT DELETE — REVIEW pending",$S1742))))</f>
        <v>DO NOT DELETE — REVIEW pending</v>
      </c>
      <c r="Q1742" t="str" cm="1">
        <f t="array" ref="Q1742">_xlfn.IFS(AND($A1742="thg-beauty",ISNUMBER(SEARCH("liveramp",$C1742))),"DELETE",$A1742="agile-bonbon-662",_xlfn.IFS(LEFT($G1742,9)="Tranche 1","DELETE",$C1742="Sessions_Level_1_All_Sites","KEEP",ISNUMBER(--$C1742),"REVIEW — UA raw logs",$C1742="Emag_Reporting","KEEP",$C1742="Nutrition_Data_Archived_Tables","KEEP",$C1742="EU_Data","KEEP",TRUE,"REVIEW"),OR($A1742="thg-influencer",$A1742="thg-ingenuity",$A1742="thg-central-marketing",$A1742="thg-seoclarity"),"HOLD",TRUE,"")</f>
        <v>REVIEW — UA raw logs</v>
      </c>
      <c r="R1742" t="str" cm="1">
        <f t="array" ref="R1742">_xlfn.IFS(AND($A1742="thg-beauty",ISNUMBER(SEARCH("liveramp",$C1742))),"thg-beauty Liveramp dataset — confirmed safe to delete",$A1742="agile-bonbon-662",_xlfn.IFS(LEFT($G1742,9)="Tranche 1","Tranche 1: cleared",$C1742="Sessions_Level_1_All_Sites","Downstream aggregation of UA raw logs — keep if raw tables go",ISNUMBER(--$C1742),"UA raw site logs (account ID) — keep pending audit-retention check",$C1742="Emag_Reporting","Legacy but likely needed",$C1742="Nutrition_Data_Archived_Tables","Worth keeping",$C1742="EU_Data","Static lookup tables — scripts still reference (smoke-test risk)",TRUE,"Review"),OR($A1742="thg-influencer",$A1742="thg-ingenuity",$A1742="thg-central-marketing",$A1742="thg-seoclarity"),"HOLD — Charlie Stringer to review before deletion",TRUE,"")</f>
        <v>UA raw site logs (account ID) — keep pending audit-retention check</v>
      </c>
      <c r="S1742" t="s">
        <v>1631</v>
      </c>
    </row>
    <row r="1743" spans="1:19" ht="45.75" hidden="1">
      <c r="A1743" t="s">
        <v>89</v>
      </c>
      <c r="B1743" t="s">
        <v>1619</v>
      </c>
      <c r="C1743" t="s">
        <v>4054</v>
      </c>
      <c r="D1743" s="2" t="s">
        <v>1621</v>
      </c>
      <c r="E1743">
        <v>1.79</v>
      </c>
      <c r="F1743">
        <v>0.04</v>
      </c>
      <c r="G1743" t="s">
        <v>72</v>
      </c>
      <c r="H1743" t="s">
        <v>3457</v>
      </c>
      <c r="I1743">
        <v>35</v>
      </c>
      <c r="J1743">
        <v>1569</v>
      </c>
      <c r="K1743" s="5">
        <v>46161.61142011574</v>
      </c>
      <c r="M1743" s="2" t="s">
        <v>3397</v>
      </c>
      <c r="N1743" s="2" t="s">
        <v>1701</v>
      </c>
      <c r="O1743" s="5">
        <v>44628.181624444442</v>
      </c>
      <c r="P1743" t="str">
        <f>IF($Q1743="DELETE",IF($S1743="CONFIRMED: NO MODS &gt; 1YR","CONFIRMED: NO MODS &gt; 1YR","DO NOT DELETE — not defensibly confirmed"),IF($Q1743="HOLD","DO NOT DELETE — HOLD (Charlie review)",IF($Q1743="KEEP","DO NOT DELETE — KEEP",IF(ISNUMBER(SEARCH("REVIEW",$Q1743)),"DO NOT DELETE — REVIEW pending",$S1743))))</f>
        <v>DO NOT DELETE — REVIEW pending</v>
      </c>
      <c r="Q1743" t="str" cm="1">
        <f t="array" ref="Q1743">_xlfn.IFS(AND($A1743="thg-beauty",ISNUMBER(SEARCH("liveramp",$C1743))),"DELETE",$A1743="agile-bonbon-662",_xlfn.IFS(LEFT($G1743,9)="Tranche 1","DELETE",$C1743="Sessions_Level_1_All_Sites","KEEP",ISNUMBER(--$C1743),"REVIEW — UA raw logs",$C1743="Emag_Reporting","KEEP",$C1743="Nutrition_Data_Archived_Tables","KEEP",$C1743="EU_Data","KEEP",TRUE,"REVIEW"),OR($A1743="thg-influencer",$A1743="thg-ingenuity",$A1743="thg-central-marketing",$A1743="thg-seoclarity"),"HOLD",TRUE,"")</f>
        <v>REVIEW</v>
      </c>
      <c r="R1743" t="str" cm="1">
        <f t="array" ref="R1743">_xlfn.IFS(AND($A1743="thg-beauty",ISNUMBER(SEARCH("liveramp",$C1743))),"thg-beauty Liveramp dataset — confirmed safe to delete",$A1743="agile-bonbon-662",_xlfn.IFS(LEFT($G1743,9)="Tranche 1","Tranche 1: cleared",$C1743="Sessions_Level_1_All_Sites","Downstream aggregation of UA raw logs — keep if raw tables go",ISNUMBER(--$C1743),"UA raw site logs (account ID) — keep pending audit-retention check",$C1743="Emag_Reporting","Legacy but likely needed",$C1743="Nutrition_Data_Archived_Tables","Worth keeping",$C1743="EU_Data","Static lookup tables — scripts still reference (smoke-test risk)",TRUE,"Review"),OR($A1743="thg-influencer",$A1743="thg-ingenuity",$A1743="thg-central-marketing",$A1743="thg-seoclarity"),"HOLD — Charlie Stringer to review before deletion",TRUE,"")</f>
        <v>Review</v>
      </c>
      <c r="S1743" t="s">
        <v>1631</v>
      </c>
    </row>
    <row r="1744" spans="1:19" ht="45.75" hidden="1">
      <c r="A1744" t="s">
        <v>89</v>
      </c>
      <c r="B1744" t="s">
        <v>1619</v>
      </c>
      <c r="C1744" t="s">
        <v>4055</v>
      </c>
      <c r="D1744" s="2" t="s">
        <v>1621</v>
      </c>
      <c r="E1744">
        <v>1.78</v>
      </c>
      <c r="F1744">
        <v>0.04</v>
      </c>
      <c r="G1744" t="s">
        <v>72</v>
      </c>
      <c r="H1744" t="s">
        <v>3457</v>
      </c>
      <c r="I1744">
        <v>35</v>
      </c>
      <c r="J1744">
        <v>1085</v>
      </c>
      <c r="K1744" s="5">
        <v>46161.620142719898</v>
      </c>
      <c r="M1744" s="2" t="s">
        <v>1969</v>
      </c>
      <c r="N1744" s="2" t="s">
        <v>1701</v>
      </c>
      <c r="O1744" s="5">
        <v>45112.184689317131</v>
      </c>
      <c r="P1744" t="str">
        <f>IF($Q1744="DELETE",IF($S1744="CONFIRMED: NO MODS &gt; 1YR","CONFIRMED: NO MODS &gt; 1YR","DO NOT DELETE — not defensibly confirmed"),IF($Q1744="HOLD","DO NOT DELETE — HOLD (Charlie review)",IF($Q1744="KEEP","DO NOT DELETE — KEEP",IF(ISNUMBER(SEARCH("REVIEW",$Q1744)),"DO NOT DELETE — REVIEW pending",$S1744))))</f>
        <v>DO NOT DELETE — REVIEW pending</v>
      </c>
      <c r="Q1744" t="str" cm="1">
        <f t="array" ref="Q1744">_xlfn.IFS(AND($A1744="thg-beauty",ISNUMBER(SEARCH("liveramp",$C1744))),"DELETE",$A1744="agile-bonbon-662",_xlfn.IFS(LEFT($G1744,9)="Tranche 1","DELETE",$C1744="Sessions_Level_1_All_Sites","KEEP",ISNUMBER(--$C1744),"REVIEW — UA raw logs",$C1744="Emag_Reporting","KEEP",$C1744="Nutrition_Data_Archived_Tables","KEEP",$C1744="EU_Data","KEEP",TRUE,"REVIEW"),OR($A1744="thg-influencer",$A1744="thg-ingenuity",$A1744="thg-central-marketing",$A1744="thg-seoclarity"),"HOLD",TRUE,"")</f>
        <v>REVIEW</v>
      </c>
      <c r="R1744" t="str" cm="1">
        <f t="array" ref="R1744">_xlfn.IFS(AND($A1744="thg-beauty",ISNUMBER(SEARCH("liveramp",$C1744))),"thg-beauty Liveramp dataset — confirmed safe to delete",$A1744="agile-bonbon-662",_xlfn.IFS(LEFT($G1744,9)="Tranche 1","Tranche 1: cleared",$C1744="Sessions_Level_1_All_Sites","Downstream aggregation of UA raw logs — keep if raw tables go",ISNUMBER(--$C1744),"UA raw site logs (account ID) — keep pending audit-retention check",$C1744="Emag_Reporting","Legacy but likely needed",$C1744="Nutrition_Data_Archived_Tables","Worth keeping",$C1744="EU_Data","Static lookup tables — scripts still reference (smoke-test risk)",TRUE,"Review"),OR($A1744="thg-influencer",$A1744="thg-ingenuity",$A1744="thg-central-marketing",$A1744="thg-seoclarity"),"HOLD — Charlie Stringer to review before deletion",TRUE,"")</f>
        <v>Review</v>
      </c>
      <c r="S1744" t="s">
        <v>1631</v>
      </c>
    </row>
    <row r="1745" spans="1:19" ht="45.75" hidden="1">
      <c r="A1745" t="s">
        <v>89</v>
      </c>
      <c r="B1745" t="s">
        <v>1619</v>
      </c>
      <c r="C1745" t="s">
        <v>1893</v>
      </c>
      <c r="D1745" s="2" t="s">
        <v>1621</v>
      </c>
      <c r="E1745">
        <v>1.73</v>
      </c>
      <c r="F1745">
        <v>0.03</v>
      </c>
      <c r="G1745" t="s">
        <v>72</v>
      </c>
      <c r="H1745" t="s">
        <v>3457</v>
      </c>
      <c r="I1745">
        <v>35</v>
      </c>
      <c r="J1745">
        <v>2191</v>
      </c>
      <c r="K1745" s="5">
        <v>46161.611513460652</v>
      </c>
      <c r="M1745" s="2" t="s">
        <v>3898</v>
      </c>
      <c r="N1745" s="2" t="s">
        <v>1701</v>
      </c>
      <c r="O1745" s="5">
        <v>44006.318077511583</v>
      </c>
      <c r="P1745" t="str">
        <f>IF($Q1745="DELETE",IF($S1745="CONFIRMED: NO MODS &gt; 1YR","CONFIRMED: NO MODS &gt; 1YR","DO NOT DELETE — not defensibly confirmed"),IF($Q1745="HOLD","DO NOT DELETE — HOLD (Charlie review)",IF($Q1745="KEEP","DO NOT DELETE — KEEP",IF(ISNUMBER(SEARCH("REVIEW",$Q1745)),"DO NOT DELETE — REVIEW pending",$S1745))))</f>
        <v>DO NOT DELETE — REVIEW pending</v>
      </c>
      <c r="Q1745" t="str" cm="1">
        <f t="array" ref="Q1745">_xlfn.IFS(AND($A1745="thg-beauty",ISNUMBER(SEARCH("liveramp",$C1745))),"DELETE",$A1745="agile-bonbon-662",_xlfn.IFS(LEFT($G1745,9)="Tranche 1","DELETE",$C1745="Sessions_Level_1_All_Sites","KEEP",ISNUMBER(--$C1745),"REVIEW — UA raw logs",$C1745="Emag_Reporting","KEEP",$C1745="Nutrition_Data_Archived_Tables","KEEP",$C1745="EU_Data","KEEP",TRUE,"REVIEW"),OR($A1745="thg-influencer",$A1745="thg-ingenuity",$A1745="thg-central-marketing",$A1745="thg-seoclarity"),"HOLD",TRUE,"")</f>
        <v>REVIEW</v>
      </c>
      <c r="R1745" t="str" cm="1">
        <f t="array" ref="R1745">_xlfn.IFS(AND($A1745="thg-beauty",ISNUMBER(SEARCH("liveramp",$C1745))),"thg-beauty Liveramp dataset — confirmed safe to delete",$A1745="agile-bonbon-662",_xlfn.IFS(LEFT($G1745,9)="Tranche 1","Tranche 1: cleared",$C1745="Sessions_Level_1_All_Sites","Downstream aggregation of UA raw logs — keep if raw tables go",ISNUMBER(--$C1745),"UA raw site logs (account ID) — keep pending audit-retention check",$C1745="Emag_Reporting","Legacy but likely needed",$C1745="Nutrition_Data_Archived_Tables","Worth keeping",$C1745="EU_Data","Static lookup tables — scripts still reference (smoke-test risk)",TRUE,"Review"),OR($A1745="thg-influencer",$A1745="thg-ingenuity",$A1745="thg-central-marketing",$A1745="thg-seoclarity"),"HOLD — Charlie Stringer to review before deletion",TRUE,"")</f>
        <v>Review</v>
      </c>
      <c r="S1745" t="s">
        <v>1631</v>
      </c>
    </row>
    <row r="1746" spans="1:19" ht="45.75" hidden="1">
      <c r="A1746" t="s">
        <v>89</v>
      </c>
      <c r="B1746" t="s">
        <v>1619</v>
      </c>
      <c r="C1746" t="s">
        <v>4056</v>
      </c>
      <c r="D1746" s="2" t="s">
        <v>1621</v>
      </c>
      <c r="E1746">
        <v>1.68</v>
      </c>
      <c r="F1746">
        <v>0.03</v>
      </c>
      <c r="G1746" t="s">
        <v>72</v>
      </c>
      <c r="H1746" t="s">
        <v>3457</v>
      </c>
      <c r="I1746">
        <v>35</v>
      </c>
      <c r="J1746">
        <v>450</v>
      </c>
      <c r="K1746" s="5">
        <v>46161.617873703697</v>
      </c>
      <c r="M1746" s="2" t="s">
        <v>1957</v>
      </c>
      <c r="N1746" s="2" t="s">
        <v>1701</v>
      </c>
      <c r="O1746" s="5">
        <v>45747.428398263888</v>
      </c>
      <c r="P1746" t="str">
        <f>IF($Q1746="DELETE",IF($S1746="CONFIRMED: NO MODS &gt; 1YR","CONFIRMED: NO MODS &gt; 1YR","DO NOT DELETE — not defensibly confirmed"),IF($Q1746="HOLD","DO NOT DELETE — HOLD (Charlie review)",IF($Q1746="KEEP","DO NOT DELETE — KEEP",IF(ISNUMBER(SEARCH("REVIEW",$Q1746)),"DO NOT DELETE — REVIEW pending",$S1746))))</f>
        <v>DO NOT DELETE — REVIEW pending</v>
      </c>
      <c r="Q1746" t="str" cm="1">
        <f t="array" ref="Q1746">_xlfn.IFS(AND($A1746="thg-beauty",ISNUMBER(SEARCH("liveramp",$C1746))),"DELETE",$A1746="agile-bonbon-662",_xlfn.IFS(LEFT($G1746,9)="Tranche 1","DELETE",$C1746="Sessions_Level_1_All_Sites","KEEP",ISNUMBER(--$C1746),"REVIEW — UA raw logs",$C1746="Emag_Reporting","KEEP",$C1746="Nutrition_Data_Archived_Tables","KEEP",$C1746="EU_Data","KEEP",TRUE,"REVIEW"),OR($A1746="thg-influencer",$A1746="thg-ingenuity",$A1746="thg-central-marketing",$A1746="thg-seoclarity"),"HOLD",TRUE,"")</f>
        <v>REVIEW</v>
      </c>
      <c r="R1746" t="str" cm="1">
        <f t="array" ref="R1746">_xlfn.IFS(AND($A1746="thg-beauty",ISNUMBER(SEARCH("liveramp",$C1746))),"thg-beauty Liveramp dataset — confirmed safe to delete",$A1746="agile-bonbon-662",_xlfn.IFS(LEFT($G1746,9)="Tranche 1","Tranche 1: cleared",$C1746="Sessions_Level_1_All_Sites","Downstream aggregation of UA raw logs — keep if raw tables go",ISNUMBER(--$C1746),"UA raw site logs (account ID) — keep pending audit-retention check",$C1746="Emag_Reporting","Legacy but likely needed",$C1746="Nutrition_Data_Archived_Tables","Worth keeping",$C1746="EU_Data","Static lookup tables — scripts still reference (smoke-test risk)",TRUE,"Review"),OR($A1746="thg-influencer",$A1746="thg-ingenuity",$A1746="thg-central-marketing",$A1746="thg-seoclarity"),"HOLD — Charlie Stringer to review before deletion",TRUE,"")</f>
        <v>Review</v>
      </c>
      <c r="S1746" t="s">
        <v>1631</v>
      </c>
    </row>
    <row r="1747" spans="1:19" ht="45.75" hidden="1">
      <c r="A1747" t="s">
        <v>89</v>
      </c>
      <c r="B1747" t="s">
        <v>1619</v>
      </c>
      <c r="C1747" t="s">
        <v>4057</v>
      </c>
      <c r="D1747" s="2" t="s">
        <v>1621</v>
      </c>
      <c r="E1747">
        <v>1.62</v>
      </c>
      <c r="F1747">
        <v>0.03</v>
      </c>
      <c r="G1747" t="s">
        <v>72</v>
      </c>
      <c r="H1747" t="s">
        <v>3457</v>
      </c>
      <c r="I1747">
        <v>35</v>
      </c>
      <c r="J1747">
        <v>1966</v>
      </c>
      <c r="K1747" s="5">
        <v>46161.621404120371</v>
      </c>
      <c r="M1747" s="2" t="s">
        <v>1960</v>
      </c>
      <c r="N1747" s="2" t="s">
        <v>1701</v>
      </c>
      <c r="O1747" s="5">
        <v>44230.533620648152</v>
      </c>
      <c r="P1747" t="str">
        <f>IF($Q1747="DELETE",IF($S1747="CONFIRMED: NO MODS &gt; 1YR","CONFIRMED: NO MODS &gt; 1YR","DO NOT DELETE — not defensibly confirmed"),IF($Q1747="HOLD","DO NOT DELETE — HOLD (Charlie review)",IF($Q1747="KEEP","DO NOT DELETE — KEEP",IF(ISNUMBER(SEARCH("REVIEW",$Q1747)),"DO NOT DELETE — REVIEW pending",$S1747))))</f>
        <v>DO NOT DELETE — REVIEW pending</v>
      </c>
      <c r="Q1747" t="str" cm="1">
        <f t="array" ref="Q1747">_xlfn.IFS(AND($A1747="thg-beauty",ISNUMBER(SEARCH("liveramp",$C1747))),"DELETE",$A1747="agile-bonbon-662",_xlfn.IFS(LEFT($G1747,9)="Tranche 1","DELETE",$C1747="Sessions_Level_1_All_Sites","KEEP",ISNUMBER(--$C1747),"REVIEW — UA raw logs",$C1747="Emag_Reporting","KEEP",$C1747="Nutrition_Data_Archived_Tables","KEEP",$C1747="EU_Data","KEEP",TRUE,"REVIEW"),OR($A1747="thg-influencer",$A1747="thg-ingenuity",$A1747="thg-central-marketing",$A1747="thg-seoclarity"),"HOLD",TRUE,"")</f>
        <v>REVIEW</v>
      </c>
      <c r="R1747" t="str" cm="1">
        <f t="array" ref="R1747">_xlfn.IFS(AND($A1747="thg-beauty",ISNUMBER(SEARCH("liveramp",$C1747))),"thg-beauty Liveramp dataset — confirmed safe to delete",$A1747="agile-bonbon-662",_xlfn.IFS(LEFT($G1747,9)="Tranche 1","Tranche 1: cleared",$C1747="Sessions_Level_1_All_Sites","Downstream aggregation of UA raw logs — keep if raw tables go",ISNUMBER(--$C1747),"UA raw site logs (account ID) — keep pending audit-retention check",$C1747="Emag_Reporting","Legacy but likely needed",$C1747="Nutrition_Data_Archived_Tables","Worth keeping",$C1747="EU_Data","Static lookup tables — scripts still reference (smoke-test risk)",TRUE,"Review"),OR($A1747="thg-influencer",$A1747="thg-ingenuity",$A1747="thg-central-marketing",$A1747="thg-seoclarity"),"HOLD — Charlie Stringer to review before deletion",TRUE,"")</f>
        <v>Review</v>
      </c>
      <c r="S1747" t="s">
        <v>1631</v>
      </c>
    </row>
    <row r="1748" spans="1:19" ht="45.75" hidden="1">
      <c r="A1748" t="s">
        <v>89</v>
      </c>
      <c r="B1748" t="s">
        <v>1619</v>
      </c>
      <c r="C1748" t="s">
        <v>4058</v>
      </c>
      <c r="D1748" s="2" t="s">
        <v>1621</v>
      </c>
      <c r="E1748">
        <v>1.62</v>
      </c>
      <c r="F1748">
        <v>0.03</v>
      </c>
      <c r="G1748" t="s">
        <v>72</v>
      </c>
      <c r="H1748" t="s">
        <v>3457</v>
      </c>
      <c r="I1748">
        <v>35</v>
      </c>
      <c r="J1748">
        <v>723</v>
      </c>
      <c r="K1748" s="5">
        <v>46161.590998310188</v>
      </c>
      <c r="M1748" s="2" t="s">
        <v>3418</v>
      </c>
      <c r="N1748" s="2" t="s">
        <v>1701</v>
      </c>
      <c r="O1748" s="5">
        <v>45474.276653877307</v>
      </c>
      <c r="P1748" t="str">
        <f>IF($Q1748="DELETE",IF($S1748="CONFIRMED: NO MODS &gt; 1YR","CONFIRMED: NO MODS &gt; 1YR","DO NOT DELETE — not defensibly confirmed"),IF($Q1748="HOLD","DO NOT DELETE — HOLD (Charlie review)",IF($Q1748="KEEP","DO NOT DELETE — KEEP",IF(ISNUMBER(SEARCH("REVIEW",$Q1748)),"DO NOT DELETE — REVIEW pending",$S1748))))</f>
        <v>DO NOT DELETE — REVIEW pending</v>
      </c>
      <c r="Q1748" t="str" cm="1">
        <f t="array" ref="Q1748">_xlfn.IFS(AND($A1748="thg-beauty",ISNUMBER(SEARCH("liveramp",$C1748))),"DELETE",$A1748="agile-bonbon-662",_xlfn.IFS(LEFT($G1748,9)="Tranche 1","DELETE",$C1748="Sessions_Level_1_All_Sites","KEEP",ISNUMBER(--$C1748),"REVIEW — UA raw logs",$C1748="Emag_Reporting","KEEP",$C1748="Nutrition_Data_Archived_Tables","KEEP",$C1748="EU_Data","KEEP",TRUE,"REVIEW"),OR($A1748="thg-influencer",$A1748="thg-ingenuity",$A1748="thg-central-marketing",$A1748="thg-seoclarity"),"HOLD",TRUE,"")</f>
        <v>REVIEW — UA raw logs</v>
      </c>
      <c r="R1748" t="str" cm="1">
        <f t="array" ref="R1748">_xlfn.IFS(AND($A1748="thg-beauty",ISNUMBER(SEARCH("liveramp",$C1748))),"thg-beauty Liveramp dataset — confirmed safe to delete",$A1748="agile-bonbon-662",_xlfn.IFS(LEFT($G1748,9)="Tranche 1","Tranche 1: cleared",$C1748="Sessions_Level_1_All_Sites","Downstream aggregation of UA raw logs — keep if raw tables go",ISNUMBER(--$C1748),"UA raw site logs (account ID) — keep pending audit-retention check",$C1748="Emag_Reporting","Legacy but likely needed",$C1748="Nutrition_Data_Archived_Tables","Worth keeping",$C1748="EU_Data","Static lookup tables — scripts still reference (smoke-test risk)",TRUE,"Review"),OR($A1748="thg-influencer",$A1748="thg-ingenuity",$A1748="thg-central-marketing",$A1748="thg-seoclarity"),"HOLD — Charlie Stringer to review before deletion",TRUE,"")</f>
        <v>UA raw site logs (account ID) — keep pending audit-retention check</v>
      </c>
      <c r="S1748" t="s">
        <v>1631</v>
      </c>
    </row>
    <row r="1749" spans="1:19" ht="76.5" hidden="1">
      <c r="A1749" t="s">
        <v>89</v>
      </c>
      <c r="B1749" t="s">
        <v>1619</v>
      </c>
      <c r="C1749" t="s">
        <v>4059</v>
      </c>
      <c r="D1749" s="2" t="s">
        <v>1621</v>
      </c>
      <c r="E1749">
        <v>1.6</v>
      </c>
      <c r="F1749">
        <v>0.03</v>
      </c>
      <c r="G1749" t="s">
        <v>72</v>
      </c>
      <c r="H1749" t="s">
        <v>3457</v>
      </c>
      <c r="I1749">
        <v>35</v>
      </c>
      <c r="J1749">
        <v>2696</v>
      </c>
      <c r="K1749" s="5">
        <v>46161.581800960637</v>
      </c>
      <c r="M1749" s="2" t="s">
        <v>3437</v>
      </c>
      <c r="N1749" s="2" t="s">
        <v>1701</v>
      </c>
      <c r="O1749" s="5">
        <v>43500.828941412037</v>
      </c>
      <c r="P1749" t="str">
        <f>IF($Q1749="DELETE",IF($S1749="CONFIRMED: NO MODS &gt; 1YR","CONFIRMED: NO MODS &gt; 1YR","DO NOT DELETE — not defensibly confirmed"),IF($Q1749="HOLD","DO NOT DELETE — HOLD (Charlie review)",IF($Q1749="KEEP","DO NOT DELETE — KEEP",IF(ISNUMBER(SEARCH("REVIEW",$Q1749)),"DO NOT DELETE — REVIEW pending",$S1749))))</f>
        <v>DO NOT DELETE — REVIEW pending</v>
      </c>
      <c r="Q1749" t="str" cm="1">
        <f t="array" ref="Q1749">_xlfn.IFS(AND($A1749="thg-beauty",ISNUMBER(SEARCH("liveramp",$C1749))),"DELETE",$A1749="agile-bonbon-662",_xlfn.IFS(LEFT($G1749,9)="Tranche 1","DELETE",$C1749="Sessions_Level_1_All_Sites","KEEP",ISNUMBER(--$C1749),"REVIEW — UA raw logs",$C1749="Emag_Reporting","KEEP",$C1749="Nutrition_Data_Archived_Tables","KEEP",$C1749="EU_Data","KEEP",TRUE,"REVIEW"),OR($A1749="thg-influencer",$A1749="thg-ingenuity",$A1749="thg-central-marketing",$A1749="thg-seoclarity"),"HOLD",TRUE,"")</f>
        <v>REVIEW — UA raw logs</v>
      </c>
      <c r="R1749" t="str" cm="1">
        <f t="array" ref="R1749">_xlfn.IFS(AND($A1749="thg-beauty",ISNUMBER(SEARCH("liveramp",$C1749))),"thg-beauty Liveramp dataset — confirmed safe to delete",$A1749="agile-bonbon-662",_xlfn.IFS(LEFT($G1749,9)="Tranche 1","Tranche 1: cleared",$C1749="Sessions_Level_1_All_Sites","Downstream aggregation of UA raw logs — keep if raw tables go",ISNUMBER(--$C1749),"UA raw site logs (account ID) — keep pending audit-retention check",$C1749="Emag_Reporting","Legacy but likely needed",$C1749="Nutrition_Data_Archived_Tables","Worth keeping",$C1749="EU_Data","Static lookup tables — scripts still reference (smoke-test risk)",TRUE,"Review"),OR($A1749="thg-influencer",$A1749="thg-ingenuity",$A1749="thg-central-marketing",$A1749="thg-seoclarity"),"HOLD — Charlie Stringer to review before deletion",TRUE,"")</f>
        <v>UA raw site logs (account ID) — keep pending audit-retention check</v>
      </c>
      <c r="S1749" t="s">
        <v>1631</v>
      </c>
    </row>
    <row r="1750" spans="1:19" ht="45.75" hidden="1">
      <c r="A1750" t="s">
        <v>89</v>
      </c>
      <c r="B1750" t="s">
        <v>1619</v>
      </c>
      <c r="C1750" t="s">
        <v>3764</v>
      </c>
      <c r="D1750" s="2" t="s">
        <v>1621</v>
      </c>
      <c r="E1750">
        <v>1.58</v>
      </c>
      <c r="F1750">
        <v>0.03</v>
      </c>
      <c r="G1750" t="s">
        <v>72</v>
      </c>
      <c r="H1750" t="s">
        <v>3457</v>
      </c>
      <c r="I1750">
        <v>35</v>
      </c>
      <c r="J1750">
        <v>525</v>
      </c>
      <c r="K1750" s="5">
        <v>46161.604612442126</v>
      </c>
      <c r="M1750" s="2" t="s">
        <v>3177</v>
      </c>
      <c r="N1750" s="2" t="s">
        <v>1701</v>
      </c>
      <c r="O1750" s="5">
        <v>45671.59561585648</v>
      </c>
      <c r="P1750" t="str">
        <f>IF($Q1750="DELETE",IF($S1750="CONFIRMED: NO MODS &gt; 1YR","CONFIRMED: NO MODS &gt; 1YR","DO NOT DELETE — not defensibly confirmed"),IF($Q1750="HOLD","DO NOT DELETE — HOLD (Charlie review)",IF($Q1750="KEEP","DO NOT DELETE — KEEP",IF(ISNUMBER(SEARCH("REVIEW",$Q1750)),"DO NOT DELETE — REVIEW pending",$S1750))))</f>
        <v>DO NOT DELETE — REVIEW pending</v>
      </c>
      <c r="Q1750" t="str" cm="1">
        <f t="array" ref="Q1750">_xlfn.IFS(AND($A1750="thg-beauty",ISNUMBER(SEARCH("liveramp",$C1750))),"DELETE",$A1750="agile-bonbon-662",_xlfn.IFS(LEFT($G1750,9)="Tranche 1","DELETE",$C1750="Sessions_Level_1_All_Sites","KEEP",ISNUMBER(--$C1750),"REVIEW — UA raw logs",$C1750="Emag_Reporting","KEEP",$C1750="Nutrition_Data_Archived_Tables","KEEP",$C1750="EU_Data","KEEP",TRUE,"REVIEW"),OR($A1750="thg-influencer",$A1750="thg-ingenuity",$A1750="thg-central-marketing",$A1750="thg-seoclarity"),"HOLD",TRUE,"")</f>
        <v>REVIEW</v>
      </c>
      <c r="R1750" t="str" cm="1">
        <f t="array" ref="R1750">_xlfn.IFS(AND($A1750="thg-beauty",ISNUMBER(SEARCH("liveramp",$C1750))),"thg-beauty Liveramp dataset — confirmed safe to delete",$A1750="agile-bonbon-662",_xlfn.IFS(LEFT($G1750,9)="Tranche 1","Tranche 1: cleared",$C1750="Sessions_Level_1_All_Sites","Downstream aggregation of UA raw logs — keep if raw tables go",ISNUMBER(--$C1750),"UA raw site logs (account ID) — keep pending audit-retention check",$C1750="Emag_Reporting","Legacy but likely needed",$C1750="Nutrition_Data_Archived_Tables","Worth keeping",$C1750="EU_Data","Static lookup tables — scripts still reference (smoke-test risk)",TRUE,"Review"),OR($A1750="thg-influencer",$A1750="thg-ingenuity",$A1750="thg-central-marketing",$A1750="thg-seoclarity"),"HOLD — Charlie Stringer to review before deletion",TRUE,"")</f>
        <v>Review</v>
      </c>
      <c r="S1750" t="s">
        <v>1631</v>
      </c>
    </row>
    <row r="1751" spans="1:19" ht="45.75" hidden="1">
      <c r="A1751" t="s">
        <v>89</v>
      </c>
      <c r="B1751" t="s">
        <v>1619</v>
      </c>
      <c r="C1751" t="s">
        <v>4060</v>
      </c>
      <c r="D1751" s="2" t="s">
        <v>1621</v>
      </c>
      <c r="E1751">
        <v>1.56</v>
      </c>
      <c r="F1751">
        <v>0.03</v>
      </c>
      <c r="G1751" t="s">
        <v>72</v>
      </c>
      <c r="H1751" t="s">
        <v>3457</v>
      </c>
      <c r="I1751">
        <v>35</v>
      </c>
      <c r="J1751">
        <v>2413</v>
      </c>
      <c r="K1751" s="5">
        <v>46161.611826296299</v>
      </c>
      <c r="M1751" s="2" t="s">
        <v>4061</v>
      </c>
      <c r="N1751" s="2" t="s">
        <v>1701</v>
      </c>
      <c r="O1751" s="5">
        <v>43784.321334155087</v>
      </c>
      <c r="P1751" t="str">
        <f>IF($Q1751="DELETE",IF($S1751="CONFIRMED: NO MODS &gt; 1YR","CONFIRMED: NO MODS &gt; 1YR","DO NOT DELETE — not defensibly confirmed"),IF($Q1751="HOLD","DO NOT DELETE — HOLD (Charlie review)",IF($Q1751="KEEP","DO NOT DELETE — KEEP",IF(ISNUMBER(SEARCH("REVIEW",$Q1751)),"DO NOT DELETE — REVIEW pending",$S1751))))</f>
        <v>DO NOT DELETE — REVIEW pending</v>
      </c>
      <c r="Q1751" t="str" cm="1">
        <f t="array" ref="Q1751">_xlfn.IFS(AND($A1751="thg-beauty",ISNUMBER(SEARCH("liveramp",$C1751))),"DELETE",$A1751="agile-bonbon-662",_xlfn.IFS(LEFT($G1751,9)="Tranche 1","DELETE",$C1751="Sessions_Level_1_All_Sites","KEEP",ISNUMBER(--$C1751),"REVIEW — UA raw logs",$C1751="Emag_Reporting","KEEP",$C1751="Nutrition_Data_Archived_Tables","KEEP",$C1751="EU_Data","KEEP",TRUE,"REVIEW"),OR($A1751="thg-influencer",$A1751="thg-ingenuity",$A1751="thg-central-marketing",$A1751="thg-seoclarity"),"HOLD",TRUE,"")</f>
        <v>REVIEW</v>
      </c>
      <c r="R1751" t="str" cm="1">
        <f t="array" ref="R1751">_xlfn.IFS(AND($A1751="thg-beauty",ISNUMBER(SEARCH("liveramp",$C1751))),"thg-beauty Liveramp dataset — confirmed safe to delete",$A1751="agile-bonbon-662",_xlfn.IFS(LEFT($G1751,9)="Tranche 1","Tranche 1: cleared",$C1751="Sessions_Level_1_All_Sites","Downstream aggregation of UA raw logs — keep if raw tables go",ISNUMBER(--$C1751),"UA raw site logs (account ID) — keep pending audit-retention check",$C1751="Emag_Reporting","Legacy but likely needed",$C1751="Nutrition_Data_Archived_Tables","Worth keeping",$C1751="EU_Data","Static lookup tables — scripts still reference (smoke-test risk)",TRUE,"Review"),OR($A1751="thg-influencer",$A1751="thg-ingenuity",$A1751="thg-central-marketing",$A1751="thg-seoclarity"),"HOLD — Charlie Stringer to review before deletion",TRUE,"")</f>
        <v>Review</v>
      </c>
      <c r="S1751" t="s">
        <v>1631</v>
      </c>
    </row>
    <row r="1752" spans="1:19" ht="45.75" hidden="1">
      <c r="A1752" t="s">
        <v>89</v>
      </c>
      <c r="B1752" t="s">
        <v>1619</v>
      </c>
      <c r="C1752" t="s">
        <v>4062</v>
      </c>
      <c r="D1752" s="2" t="s">
        <v>1621</v>
      </c>
      <c r="E1752">
        <v>1.53</v>
      </c>
      <c r="F1752">
        <v>0.03</v>
      </c>
      <c r="G1752" t="s">
        <v>72</v>
      </c>
      <c r="H1752" t="s">
        <v>3457</v>
      </c>
      <c r="I1752">
        <v>35</v>
      </c>
      <c r="J1752">
        <v>1230</v>
      </c>
      <c r="K1752" s="5">
        <v>46161.617053101851</v>
      </c>
      <c r="M1752" s="2" t="s">
        <v>1947</v>
      </c>
      <c r="N1752" s="2" t="s">
        <v>1701</v>
      </c>
      <c r="O1752" s="5">
        <v>44966.729871828713</v>
      </c>
      <c r="P1752" t="str">
        <f>IF($Q1752="DELETE",IF($S1752="CONFIRMED: NO MODS &gt; 1YR","CONFIRMED: NO MODS &gt; 1YR","DO NOT DELETE — not defensibly confirmed"),IF($Q1752="HOLD","DO NOT DELETE — HOLD (Charlie review)",IF($Q1752="KEEP","DO NOT DELETE — KEEP",IF(ISNUMBER(SEARCH("REVIEW",$Q1752)),"DO NOT DELETE — REVIEW pending",$S1752))))</f>
        <v>DO NOT DELETE — REVIEW pending</v>
      </c>
      <c r="Q1752" t="str" cm="1">
        <f t="array" ref="Q1752">_xlfn.IFS(AND($A1752="thg-beauty",ISNUMBER(SEARCH("liveramp",$C1752))),"DELETE",$A1752="agile-bonbon-662",_xlfn.IFS(LEFT($G1752,9)="Tranche 1","DELETE",$C1752="Sessions_Level_1_All_Sites","KEEP",ISNUMBER(--$C1752),"REVIEW — UA raw logs",$C1752="Emag_Reporting","KEEP",$C1752="Nutrition_Data_Archived_Tables","KEEP",$C1752="EU_Data","KEEP",TRUE,"REVIEW"),OR($A1752="thg-influencer",$A1752="thg-ingenuity",$A1752="thg-central-marketing",$A1752="thg-seoclarity"),"HOLD",TRUE,"")</f>
        <v>REVIEW</v>
      </c>
      <c r="R1752" t="str" cm="1">
        <f t="array" ref="R1752">_xlfn.IFS(AND($A1752="thg-beauty",ISNUMBER(SEARCH("liveramp",$C1752))),"thg-beauty Liveramp dataset — confirmed safe to delete",$A1752="agile-bonbon-662",_xlfn.IFS(LEFT($G1752,9)="Tranche 1","Tranche 1: cleared",$C1752="Sessions_Level_1_All_Sites","Downstream aggregation of UA raw logs — keep if raw tables go",ISNUMBER(--$C1752),"UA raw site logs (account ID) — keep pending audit-retention check",$C1752="Emag_Reporting","Legacy but likely needed",$C1752="Nutrition_Data_Archived_Tables","Worth keeping",$C1752="EU_Data","Static lookup tables — scripts still reference (smoke-test risk)",TRUE,"Review"),OR($A1752="thg-influencer",$A1752="thg-ingenuity",$A1752="thg-central-marketing",$A1752="thg-seoclarity"),"HOLD — Charlie Stringer to review before deletion",TRUE,"")</f>
        <v>Review</v>
      </c>
      <c r="S1752" t="s">
        <v>1631</v>
      </c>
    </row>
    <row r="1753" spans="1:19" ht="45.75" hidden="1">
      <c r="A1753" t="s">
        <v>89</v>
      </c>
      <c r="B1753" t="s">
        <v>1619</v>
      </c>
      <c r="C1753" t="s">
        <v>4063</v>
      </c>
      <c r="D1753" s="2" t="s">
        <v>1621</v>
      </c>
      <c r="E1753">
        <v>1.51</v>
      </c>
      <c r="F1753">
        <v>0.03</v>
      </c>
      <c r="G1753" t="s">
        <v>72</v>
      </c>
      <c r="H1753" t="s">
        <v>3457</v>
      </c>
      <c r="I1753">
        <v>35</v>
      </c>
      <c r="J1753">
        <v>1406</v>
      </c>
      <c r="K1753" s="5">
        <v>46161.606706354163</v>
      </c>
      <c r="M1753" s="2" t="s">
        <v>3906</v>
      </c>
      <c r="N1753" s="2" t="s">
        <v>1701</v>
      </c>
      <c r="O1753" s="5">
        <v>44790.81593780093</v>
      </c>
      <c r="P1753" t="str">
        <f>IF($Q1753="DELETE",IF($S1753="CONFIRMED: NO MODS &gt; 1YR","CONFIRMED: NO MODS &gt; 1YR","DO NOT DELETE — not defensibly confirmed"),IF($Q1753="HOLD","DO NOT DELETE — HOLD (Charlie review)",IF($Q1753="KEEP","DO NOT DELETE — KEEP",IF(ISNUMBER(SEARCH("REVIEW",$Q1753)),"DO NOT DELETE — REVIEW pending",$S1753))))</f>
        <v>DO NOT DELETE — REVIEW pending</v>
      </c>
      <c r="Q1753" t="str" cm="1">
        <f t="array" ref="Q1753">_xlfn.IFS(AND($A1753="thg-beauty",ISNUMBER(SEARCH("liveramp",$C1753))),"DELETE",$A1753="agile-bonbon-662",_xlfn.IFS(LEFT($G1753,9)="Tranche 1","DELETE",$C1753="Sessions_Level_1_All_Sites","KEEP",ISNUMBER(--$C1753),"REVIEW — UA raw logs",$C1753="Emag_Reporting","KEEP",$C1753="Nutrition_Data_Archived_Tables","KEEP",$C1753="EU_Data","KEEP",TRUE,"REVIEW"),OR($A1753="thg-influencer",$A1753="thg-ingenuity",$A1753="thg-central-marketing",$A1753="thg-seoclarity"),"HOLD",TRUE,"")</f>
        <v>REVIEW</v>
      </c>
      <c r="R1753" t="str" cm="1">
        <f t="array" ref="R1753">_xlfn.IFS(AND($A1753="thg-beauty",ISNUMBER(SEARCH("liveramp",$C1753))),"thg-beauty Liveramp dataset — confirmed safe to delete",$A1753="agile-bonbon-662",_xlfn.IFS(LEFT($G1753,9)="Tranche 1","Tranche 1: cleared",$C1753="Sessions_Level_1_All_Sites","Downstream aggregation of UA raw logs — keep if raw tables go",ISNUMBER(--$C1753),"UA raw site logs (account ID) — keep pending audit-retention check",$C1753="Emag_Reporting","Legacy but likely needed",$C1753="Nutrition_Data_Archived_Tables","Worth keeping",$C1753="EU_Data","Static lookup tables — scripts still reference (smoke-test risk)",TRUE,"Review"),OR($A1753="thg-influencer",$A1753="thg-ingenuity",$A1753="thg-central-marketing",$A1753="thg-seoclarity"),"HOLD — Charlie Stringer to review before deletion",TRUE,"")</f>
        <v>Review</v>
      </c>
      <c r="S1753" t="s">
        <v>1631</v>
      </c>
    </row>
    <row r="1754" spans="1:19" ht="45.75" hidden="1">
      <c r="A1754" t="s">
        <v>89</v>
      </c>
      <c r="B1754" t="s">
        <v>1619</v>
      </c>
      <c r="C1754" t="s">
        <v>4064</v>
      </c>
      <c r="D1754" s="2" t="s">
        <v>1621</v>
      </c>
      <c r="E1754">
        <v>1.46</v>
      </c>
      <c r="F1754">
        <v>0.03</v>
      </c>
      <c r="G1754" t="s">
        <v>72</v>
      </c>
      <c r="H1754" t="s">
        <v>3457</v>
      </c>
      <c r="I1754">
        <v>35</v>
      </c>
      <c r="J1754">
        <v>899</v>
      </c>
      <c r="K1754" s="5">
        <v>46161.59563048611</v>
      </c>
      <c r="M1754" s="2" t="s">
        <v>3426</v>
      </c>
      <c r="N1754" s="2" t="s">
        <v>1701</v>
      </c>
      <c r="O1754" s="5">
        <v>45298.335351145834</v>
      </c>
      <c r="P1754" t="str">
        <f>IF($Q1754="DELETE",IF($S1754="CONFIRMED: NO MODS &gt; 1YR","CONFIRMED: NO MODS &gt; 1YR","DO NOT DELETE — not defensibly confirmed"),IF($Q1754="HOLD","DO NOT DELETE — HOLD (Charlie review)",IF($Q1754="KEEP","DO NOT DELETE — KEEP",IF(ISNUMBER(SEARCH("REVIEW",$Q1754)),"DO NOT DELETE — REVIEW pending",$S1754))))</f>
        <v>DO NOT DELETE — REVIEW pending</v>
      </c>
      <c r="Q1754" t="str" cm="1">
        <f t="array" ref="Q1754">_xlfn.IFS(AND($A1754="thg-beauty",ISNUMBER(SEARCH("liveramp",$C1754))),"DELETE",$A1754="agile-bonbon-662",_xlfn.IFS(LEFT($G1754,9)="Tranche 1","DELETE",$C1754="Sessions_Level_1_All_Sites","KEEP",ISNUMBER(--$C1754),"REVIEW — UA raw logs",$C1754="Emag_Reporting","KEEP",$C1754="Nutrition_Data_Archived_Tables","KEEP",$C1754="EU_Data","KEEP",TRUE,"REVIEW"),OR($A1754="thg-influencer",$A1754="thg-ingenuity",$A1754="thg-central-marketing",$A1754="thg-seoclarity"),"HOLD",TRUE,"")</f>
        <v>REVIEW — UA raw logs</v>
      </c>
      <c r="R1754" t="str" cm="1">
        <f t="array" ref="R1754">_xlfn.IFS(AND($A1754="thg-beauty",ISNUMBER(SEARCH("liveramp",$C1754))),"thg-beauty Liveramp dataset — confirmed safe to delete",$A1754="agile-bonbon-662",_xlfn.IFS(LEFT($G1754,9)="Tranche 1","Tranche 1: cleared",$C1754="Sessions_Level_1_All_Sites","Downstream aggregation of UA raw logs — keep if raw tables go",ISNUMBER(--$C1754),"UA raw site logs (account ID) — keep pending audit-retention check",$C1754="Emag_Reporting","Legacy but likely needed",$C1754="Nutrition_Data_Archived_Tables","Worth keeping",$C1754="EU_Data","Static lookup tables — scripts still reference (smoke-test risk)",TRUE,"Review"),OR($A1754="thg-influencer",$A1754="thg-ingenuity",$A1754="thg-central-marketing",$A1754="thg-seoclarity"),"HOLD — Charlie Stringer to review before deletion",TRUE,"")</f>
        <v>UA raw site logs (account ID) — keep pending audit-retention check</v>
      </c>
      <c r="S1754" t="s">
        <v>1631</v>
      </c>
    </row>
    <row r="1755" spans="1:19" ht="45.75" hidden="1">
      <c r="A1755" t="s">
        <v>89</v>
      </c>
      <c r="B1755" t="s">
        <v>1619</v>
      </c>
      <c r="C1755" t="s">
        <v>4065</v>
      </c>
      <c r="D1755" s="2" t="s">
        <v>1621</v>
      </c>
      <c r="E1755">
        <v>1.41</v>
      </c>
      <c r="F1755">
        <v>0.03</v>
      </c>
      <c r="G1755" t="s">
        <v>72</v>
      </c>
      <c r="H1755" t="s">
        <v>3457</v>
      </c>
      <c r="I1755">
        <v>35</v>
      </c>
      <c r="J1755">
        <v>723</v>
      </c>
      <c r="K1755" s="5">
        <v>46161.59383982639</v>
      </c>
      <c r="M1755" s="2" t="s">
        <v>2273</v>
      </c>
      <c r="N1755" s="2" t="s">
        <v>1701</v>
      </c>
      <c r="O1755" s="5">
        <v>45474.281759884259</v>
      </c>
      <c r="P1755" t="str">
        <f>IF($Q1755="DELETE",IF($S1755="CONFIRMED: NO MODS &gt; 1YR","CONFIRMED: NO MODS &gt; 1YR","DO NOT DELETE — not defensibly confirmed"),IF($Q1755="HOLD","DO NOT DELETE — HOLD (Charlie review)",IF($Q1755="KEEP","DO NOT DELETE — KEEP",IF(ISNUMBER(SEARCH("REVIEW",$Q1755)),"DO NOT DELETE — REVIEW pending",$S1755))))</f>
        <v>DO NOT DELETE — REVIEW pending</v>
      </c>
      <c r="Q1755" t="str" cm="1">
        <f t="array" ref="Q1755">_xlfn.IFS(AND($A1755="thg-beauty",ISNUMBER(SEARCH("liveramp",$C1755))),"DELETE",$A1755="agile-bonbon-662",_xlfn.IFS(LEFT($G1755,9)="Tranche 1","DELETE",$C1755="Sessions_Level_1_All_Sites","KEEP",ISNUMBER(--$C1755),"REVIEW — UA raw logs",$C1755="Emag_Reporting","KEEP",$C1755="Nutrition_Data_Archived_Tables","KEEP",$C1755="EU_Data","KEEP",TRUE,"REVIEW"),OR($A1755="thg-influencer",$A1755="thg-ingenuity",$A1755="thg-central-marketing",$A1755="thg-seoclarity"),"HOLD",TRUE,"")</f>
        <v>REVIEW — UA raw logs</v>
      </c>
      <c r="R1755" t="str" cm="1">
        <f t="array" ref="R1755">_xlfn.IFS(AND($A1755="thg-beauty",ISNUMBER(SEARCH("liveramp",$C1755))),"thg-beauty Liveramp dataset — confirmed safe to delete",$A1755="agile-bonbon-662",_xlfn.IFS(LEFT($G1755,9)="Tranche 1","Tranche 1: cleared",$C1755="Sessions_Level_1_All_Sites","Downstream aggregation of UA raw logs — keep if raw tables go",ISNUMBER(--$C1755),"UA raw site logs (account ID) — keep pending audit-retention check",$C1755="Emag_Reporting","Legacy but likely needed",$C1755="Nutrition_Data_Archived_Tables","Worth keeping",$C1755="EU_Data","Static lookup tables — scripts still reference (smoke-test risk)",TRUE,"Review"),OR($A1755="thg-influencer",$A1755="thg-ingenuity",$A1755="thg-central-marketing",$A1755="thg-seoclarity"),"HOLD — Charlie Stringer to review before deletion",TRUE,"")</f>
        <v>UA raw site logs (account ID) — keep pending audit-retention check</v>
      </c>
      <c r="S1755" t="s">
        <v>1631</v>
      </c>
    </row>
    <row r="1756" spans="1:19" ht="45.75" hidden="1">
      <c r="A1756" t="s">
        <v>89</v>
      </c>
      <c r="B1756" t="s">
        <v>1619</v>
      </c>
      <c r="C1756" t="s">
        <v>4066</v>
      </c>
      <c r="D1756" s="2" t="s">
        <v>1621</v>
      </c>
      <c r="E1756">
        <v>1.4</v>
      </c>
      <c r="F1756">
        <v>0.03</v>
      </c>
      <c r="G1756" t="s">
        <v>72</v>
      </c>
      <c r="H1756" t="s">
        <v>3457</v>
      </c>
      <c r="I1756">
        <v>35</v>
      </c>
      <c r="J1756">
        <v>1159</v>
      </c>
      <c r="K1756" s="5">
        <v>46161.616883599527</v>
      </c>
      <c r="M1756" s="2" t="s">
        <v>1925</v>
      </c>
      <c r="N1756" s="2" t="s">
        <v>1701</v>
      </c>
      <c r="O1756" s="5">
        <v>45037.765783483803</v>
      </c>
      <c r="P1756" t="str">
        <f>IF($Q1756="DELETE",IF($S1756="CONFIRMED: NO MODS &gt; 1YR","CONFIRMED: NO MODS &gt; 1YR","DO NOT DELETE — not defensibly confirmed"),IF($Q1756="HOLD","DO NOT DELETE — HOLD (Charlie review)",IF($Q1756="KEEP","DO NOT DELETE — KEEP",IF(ISNUMBER(SEARCH("REVIEW",$Q1756)),"DO NOT DELETE — REVIEW pending",$S1756))))</f>
        <v>DO NOT DELETE — REVIEW pending</v>
      </c>
      <c r="Q1756" t="str" cm="1">
        <f t="array" ref="Q1756">_xlfn.IFS(AND($A1756="thg-beauty",ISNUMBER(SEARCH("liveramp",$C1756))),"DELETE",$A1756="agile-bonbon-662",_xlfn.IFS(LEFT($G1756,9)="Tranche 1","DELETE",$C1756="Sessions_Level_1_All_Sites","KEEP",ISNUMBER(--$C1756),"REVIEW — UA raw logs",$C1756="Emag_Reporting","KEEP",$C1756="Nutrition_Data_Archived_Tables","KEEP",$C1756="EU_Data","KEEP",TRUE,"REVIEW"),OR($A1756="thg-influencer",$A1756="thg-ingenuity",$A1756="thg-central-marketing",$A1756="thg-seoclarity"),"HOLD",TRUE,"")</f>
        <v>REVIEW</v>
      </c>
      <c r="R1756" t="str" cm="1">
        <f t="array" ref="R1756">_xlfn.IFS(AND($A1756="thg-beauty",ISNUMBER(SEARCH("liveramp",$C1756))),"thg-beauty Liveramp dataset — confirmed safe to delete",$A1756="agile-bonbon-662",_xlfn.IFS(LEFT($G1756,9)="Tranche 1","Tranche 1: cleared",$C1756="Sessions_Level_1_All_Sites","Downstream aggregation of UA raw logs — keep if raw tables go",ISNUMBER(--$C1756),"UA raw site logs (account ID) — keep pending audit-retention check",$C1756="Emag_Reporting","Legacy but likely needed",$C1756="Nutrition_Data_Archived_Tables","Worth keeping",$C1756="EU_Data","Static lookup tables — scripts still reference (smoke-test risk)",TRUE,"Review"),OR($A1756="thg-influencer",$A1756="thg-ingenuity",$A1756="thg-central-marketing",$A1756="thg-seoclarity"),"HOLD — Charlie Stringer to review before deletion",TRUE,"")</f>
        <v>Review</v>
      </c>
      <c r="S1756" t="s">
        <v>1631</v>
      </c>
    </row>
    <row r="1757" spans="1:19" ht="45.75" hidden="1">
      <c r="A1757" t="s">
        <v>89</v>
      </c>
      <c r="B1757" t="s">
        <v>1619</v>
      </c>
      <c r="C1757" t="s">
        <v>4067</v>
      </c>
      <c r="D1757" s="2" t="s">
        <v>1621</v>
      </c>
      <c r="E1757">
        <v>1.37</v>
      </c>
      <c r="F1757">
        <v>0.03</v>
      </c>
      <c r="G1757" t="s">
        <v>72</v>
      </c>
      <c r="H1757" t="s">
        <v>3457</v>
      </c>
      <c r="I1757">
        <v>35</v>
      </c>
      <c r="J1757">
        <v>723</v>
      </c>
      <c r="K1757" s="5">
        <v>46161.597991747687</v>
      </c>
      <c r="M1757" s="2" t="s">
        <v>3407</v>
      </c>
      <c r="N1757" s="2" t="s">
        <v>1701</v>
      </c>
      <c r="O1757" s="5">
        <v>45474.253794305558</v>
      </c>
      <c r="P1757" t="str">
        <f>IF($Q1757="DELETE",IF($S1757="CONFIRMED: NO MODS &gt; 1YR","CONFIRMED: NO MODS &gt; 1YR","DO NOT DELETE — not defensibly confirmed"),IF($Q1757="HOLD","DO NOT DELETE — HOLD (Charlie review)",IF($Q1757="KEEP","DO NOT DELETE — KEEP",IF(ISNUMBER(SEARCH("REVIEW",$Q1757)),"DO NOT DELETE — REVIEW pending",$S1757))))</f>
        <v>DO NOT DELETE — REVIEW pending</v>
      </c>
      <c r="Q1757" t="str" cm="1">
        <f t="array" ref="Q1757">_xlfn.IFS(AND($A1757="thg-beauty",ISNUMBER(SEARCH("liveramp",$C1757))),"DELETE",$A1757="agile-bonbon-662",_xlfn.IFS(LEFT($G1757,9)="Tranche 1","DELETE",$C1757="Sessions_Level_1_All_Sites","KEEP",ISNUMBER(--$C1757),"REVIEW — UA raw logs",$C1757="Emag_Reporting","KEEP",$C1757="Nutrition_Data_Archived_Tables","KEEP",$C1757="EU_Data","KEEP",TRUE,"REVIEW"),OR($A1757="thg-influencer",$A1757="thg-ingenuity",$A1757="thg-central-marketing",$A1757="thg-seoclarity"),"HOLD",TRUE,"")</f>
        <v>REVIEW — UA raw logs</v>
      </c>
      <c r="R1757" t="str" cm="1">
        <f t="array" ref="R1757">_xlfn.IFS(AND($A1757="thg-beauty",ISNUMBER(SEARCH("liveramp",$C1757))),"thg-beauty Liveramp dataset — confirmed safe to delete",$A1757="agile-bonbon-662",_xlfn.IFS(LEFT($G1757,9)="Tranche 1","Tranche 1: cleared",$C1757="Sessions_Level_1_All_Sites","Downstream aggregation of UA raw logs — keep if raw tables go",ISNUMBER(--$C1757),"UA raw site logs (account ID) — keep pending audit-retention check",$C1757="Emag_Reporting","Legacy but likely needed",$C1757="Nutrition_Data_Archived_Tables","Worth keeping",$C1757="EU_Data","Static lookup tables — scripts still reference (smoke-test risk)",TRUE,"Review"),OR($A1757="thg-influencer",$A1757="thg-ingenuity",$A1757="thg-central-marketing",$A1757="thg-seoclarity"),"HOLD — Charlie Stringer to review before deletion",TRUE,"")</f>
        <v>UA raw site logs (account ID) — keep pending audit-retention check</v>
      </c>
      <c r="S1757" t="s">
        <v>1631</v>
      </c>
    </row>
    <row r="1758" spans="1:19" ht="45.75" hidden="1">
      <c r="A1758" t="s">
        <v>89</v>
      </c>
      <c r="B1758" t="s">
        <v>1619</v>
      </c>
      <c r="C1758" t="s">
        <v>4068</v>
      </c>
      <c r="D1758" s="2" t="s">
        <v>1621</v>
      </c>
      <c r="E1758">
        <v>1.33</v>
      </c>
      <c r="F1758">
        <v>0.03</v>
      </c>
      <c r="G1758" t="s">
        <v>72</v>
      </c>
      <c r="H1758" t="s">
        <v>3457</v>
      </c>
      <c r="I1758">
        <v>35</v>
      </c>
      <c r="J1758">
        <v>1966</v>
      </c>
      <c r="K1758" s="5">
        <v>46161.621308981477</v>
      </c>
      <c r="M1758" s="2" t="s">
        <v>1960</v>
      </c>
      <c r="N1758" s="2" t="s">
        <v>1701</v>
      </c>
      <c r="O1758" s="5">
        <v>44230.530730486113</v>
      </c>
      <c r="P1758" t="str">
        <f>IF($Q1758="DELETE",IF($S1758="CONFIRMED: NO MODS &gt; 1YR","CONFIRMED: NO MODS &gt; 1YR","DO NOT DELETE — not defensibly confirmed"),IF($Q1758="HOLD","DO NOT DELETE — HOLD (Charlie review)",IF($Q1758="KEEP","DO NOT DELETE — KEEP",IF(ISNUMBER(SEARCH("REVIEW",$Q1758)),"DO NOT DELETE — REVIEW pending",$S1758))))</f>
        <v>DO NOT DELETE — REVIEW pending</v>
      </c>
      <c r="Q1758" t="str" cm="1">
        <f t="array" ref="Q1758">_xlfn.IFS(AND($A1758="thg-beauty",ISNUMBER(SEARCH("liveramp",$C1758))),"DELETE",$A1758="agile-bonbon-662",_xlfn.IFS(LEFT($G1758,9)="Tranche 1","DELETE",$C1758="Sessions_Level_1_All_Sites","KEEP",ISNUMBER(--$C1758),"REVIEW — UA raw logs",$C1758="Emag_Reporting","KEEP",$C1758="Nutrition_Data_Archived_Tables","KEEP",$C1758="EU_Data","KEEP",TRUE,"REVIEW"),OR($A1758="thg-influencer",$A1758="thg-ingenuity",$A1758="thg-central-marketing",$A1758="thg-seoclarity"),"HOLD",TRUE,"")</f>
        <v>REVIEW</v>
      </c>
      <c r="R1758" t="str" cm="1">
        <f t="array" ref="R1758">_xlfn.IFS(AND($A1758="thg-beauty",ISNUMBER(SEARCH("liveramp",$C1758))),"thg-beauty Liveramp dataset — confirmed safe to delete",$A1758="agile-bonbon-662",_xlfn.IFS(LEFT($G1758,9)="Tranche 1","Tranche 1: cleared",$C1758="Sessions_Level_1_All_Sites","Downstream aggregation of UA raw logs — keep if raw tables go",ISNUMBER(--$C1758),"UA raw site logs (account ID) — keep pending audit-retention check",$C1758="Emag_Reporting","Legacy but likely needed",$C1758="Nutrition_Data_Archived_Tables","Worth keeping",$C1758="EU_Data","Static lookup tables — scripts still reference (smoke-test risk)",TRUE,"Review"),OR($A1758="thg-influencer",$A1758="thg-ingenuity",$A1758="thg-central-marketing",$A1758="thg-seoclarity"),"HOLD — Charlie Stringer to review before deletion",TRUE,"")</f>
        <v>Review</v>
      </c>
      <c r="S1758" t="s">
        <v>1631</v>
      </c>
    </row>
    <row r="1759" spans="1:19" ht="45.75" hidden="1">
      <c r="A1759" t="s">
        <v>89</v>
      </c>
      <c r="B1759" t="s">
        <v>1619</v>
      </c>
      <c r="C1759" t="s">
        <v>4069</v>
      </c>
      <c r="D1759" s="2" t="s">
        <v>1621</v>
      </c>
      <c r="E1759">
        <v>1.3</v>
      </c>
      <c r="F1759">
        <v>0.03</v>
      </c>
      <c r="G1759" t="s">
        <v>72</v>
      </c>
      <c r="H1759" t="s">
        <v>3457</v>
      </c>
      <c r="I1759">
        <v>35</v>
      </c>
      <c r="J1759">
        <v>732</v>
      </c>
      <c r="K1759" s="5">
        <v>46161.618792384259</v>
      </c>
      <c r="M1759" s="2" t="s">
        <v>1981</v>
      </c>
      <c r="N1759" s="2" t="s">
        <v>1701</v>
      </c>
      <c r="O1759" s="5">
        <v>45465.404425462963</v>
      </c>
      <c r="P1759" t="str">
        <f>IF($Q1759="DELETE",IF($S1759="CONFIRMED: NO MODS &gt; 1YR","CONFIRMED: NO MODS &gt; 1YR","DO NOT DELETE — not defensibly confirmed"),IF($Q1759="HOLD","DO NOT DELETE — HOLD (Charlie review)",IF($Q1759="KEEP","DO NOT DELETE — KEEP",IF(ISNUMBER(SEARCH("REVIEW",$Q1759)),"DO NOT DELETE — REVIEW pending",$S1759))))</f>
        <v>DO NOT DELETE — REVIEW pending</v>
      </c>
      <c r="Q1759" t="str" cm="1">
        <f t="array" ref="Q1759">_xlfn.IFS(AND($A1759="thg-beauty",ISNUMBER(SEARCH("liveramp",$C1759))),"DELETE",$A1759="agile-bonbon-662",_xlfn.IFS(LEFT($G1759,9)="Tranche 1","DELETE",$C1759="Sessions_Level_1_All_Sites","KEEP",ISNUMBER(--$C1759),"REVIEW — UA raw logs",$C1759="Emag_Reporting","KEEP",$C1759="Nutrition_Data_Archived_Tables","KEEP",$C1759="EU_Data","KEEP",TRUE,"REVIEW"),OR($A1759="thg-influencer",$A1759="thg-ingenuity",$A1759="thg-central-marketing",$A1759="thg-seoclarity"),"HOLD",TRUE,"")</f>
        <v>REVIEW</v>
      </c>
      <c r="R1759" t="str" cm="1">
        <f t="array" ref="R1759">_xlfn.IFS(AND($A1759="thg-beauty",ISNUMBER(SEARCH("liveramp",$C1759))),"thg-beauty Liveramp dataset — confirmed safe to delete",$A1759="agile-bonbon-662",_xlfn.IFS(LEFT($G1759,9)="Tranche 1","Tranche 1: cleared",$C1759="Sessions_Level_1_All_Sites","Downstream aggregation of UA raw logs — keep if raw tables go",ISNUMBER(--$C1759),"UA raw site logs (account ID) — keep pending audit-retention check",$C1759="Emag_Reporting","Legacy but likely needed",$C1759="Nutrition_Data_Archived_Tables","Worth keeping",$C1759="EU_Data","Static lookup tables — scripts still reference (smoke-test risk)",TRUE,"Review"),OR($A1759="thg-influencer",$A1759="thg-ingenuity",$A1759="thg-central-marketing",$A1759="thg-seoclarity"),"HOLD — Charlie Stringer to review before deletion",TRUE,"")</f>
        <v>Review</v>
      </c>
      <c r="S1759" t="s">
        <v>1631</v>
      </c>
    </row>
    <row r="1760" spans="1:19" ht="45.75" hidden="1">
      <c r="A1760" t="s">
        <v>89</v>
      </c>
      <c r="B1760" t="s">
        <v>1619</v>
      </c>
      <c r="C1760" t="s">
        <v>4070</v>
      </c>
      <c r="D1760" s="2" t="s">
        <v>1621</v>
      </c>
      <c r="E1760">
        <v>1.29</v>
      </c>
      <c r="F1760">
        <v>0.03</v>
      </c>
      <c r="G1760" t="s">
        <v>72</v>
      </c>
      <c r="H1760" t="s">
        <v>3457</v>
      </c>
      <c r="I1760">
        <v>35</v>
      </c>
      <c r="J1760">
        <v>959</v>
      </c>
      <c r="K1760" s="5">
        <v>46161.606191909719</v>
      </c>
      <c r="M1760" s="2" t="s">
        <v>3136</v>
      </c>
      <c r="N1760" s="2" t="s">
        <v>1701</v>
      </c>
      <c r="O1760" s="5">
        <v>45238.358367824083</v>
      </c>
      <c r="P1760" t="str">
        <f>IF($Q1760="DELETE",IF($S1760="CONFIRMED: NO MODS &gt; 1YR","CONFIRMED: NO MODS &gt; 1YR","DO NOT DELETE — not defensibly confirmed"),IF($Q1760="HOLD","DO NOT DELETE — HOLD (Charlie review)",IF($Q1760="KEEP","DO NOT DELETE — KEEP",IF(ISNUMBER(SEARCH("REVIEW",$Q1760)),"DO NOT DELETE — REVIEW pending",$S1760))))</f>
        <v>DO NOT DELETE — REVIEW pending</v>
      </c>
      <c r="Q1760" t="str" cm="1">
        <f t="array" ref="Q1760">_xlfn.IFS(AND($A1760="thg-beauty",ISNUMBER(SEARCH("liveramp",$C1760))),"DELETE",$A1760="agile-bonbon-662",_xlfn.IFS(LEFT($G1760,9)="Tranche 1","DELETE",$C1760="Sessions_Level_1_All_Sites","KEEP",ISNUMBER(--$C1760),"REVIEW — UA raw logs",$C1760="Emag_Reporting","KEEP",$C1760="Nutrition_Data_Archived_Tables","KEEP",$C1760="EU_Data","KEEP",TRUE,"REVIEW"),OR($A1760="thg-influencer",$A1760="thg-ingenuity",$A1760="thg-central-marketing",$A1760="thg-seoclarity"),"HOLD",TRUE,"")</f>
        <v>REVIEW</v>
      </c>
      <c r="R1760" t="str" cm="1">
        <f t="array" ref="R1760">_xlfn.IFS(AND($A1760="thg-beauty",ISNUMBER(SEARCH("liveramp",$C1760))),"thg-beauty Liveramp dataset — confirmed safe to delete",$A1760="agile-bonbon-662",_xlfn.IFS(LEFT($G1760,9)="Tranche 1","Tranche 1: cleared",$C1760="Sessions_Level_1_All_Sites","Downstream aggregation of UA raw logs — keep if raw tables go",ISNUMBER(--$C1760),"UA raw site logs (account ID) — keep pending audit-retention check",$C1760="Emag_Reporting","Legacy but likely needed",$C1760="Nutrition_Data_Archived_Tables","Worth keeping",$C1760="EU_Data","Static lookup tables — scripts still reference (smoke-test risk)",TRUE,"Review"),OR($A1760="thg-influencer",$A1760="thg-ingenuity",$A1760="thg-central-marketing",$A1760="thg-seoclarity"),"HOLD — Charlie Stringer to review before deletion",TRUE,"")</f>
        <v>Review</v>
      </c>
      <c r="S1760" t="s">
        <v>1631</v>
      </c>
    </row>
    <row r="1761" spans="1:19" ht="45.75" hidden="1">
      <c r="A1761" t="s">
        <v>89</v>
      </c>
      <c r="B1761" t="s">
        <v>1619</v>
      </c>
      <c r="C1761" t="s">
        <v>4071</v>
      </c>
      <c r="D1761" s="2" t="s">
        <v>1621</v>
      </c>
      <c r="E1761">
        <v>1.27</v>
      </c>
      <c r="F1761">
        <v>0.03</v>
      </c>
      <c r="G1761" t="s">
        <v>72</v>
      </c>
      <c r="H1761" t="s">
        <v>3457</v>
      </c>
      <c r="I1761">
        <v>35</v>
      </c>
      <c r="J1761">
        <v>723</v>
      </c>
      <c r="K1761" s="5">
        <v>46161.594068298611</v>
      </c>
      <c r="M1761" s="2" t="s">
        <v>2273</v>
      </c>
      <c r="N1761" s="2" t="s">
        <v>1701</v>
      </c>
      <c r="O1761" s="5">
        <v>45474.28191513889</v>
      </c>
      <c r="P1761" t="str">
        <f>IF($Q1761="DELETE",IF($S1761="CONFIRMED: NO MODS &gt; 1YR","CONFIRMED: NO MODS &gt; 1YR","DO NOT DELETE — not defensibly confirmed"),IF($Q1761="HOLD","DO NOT DELETE — HOLD (Charlie review)",IF($Q1761="KEEP","DO NOT DELETE — KEEP",IF(ISNUMBER(SEARCH("REVIEW",$Q1761)),"DO NOT DELETE — REVIEW pending",$S1761))))</f>
        <v>DO NOT DELETE — REVIEW pending</v>
      </c>
      <c r="Q1761" t="str" cm="1">
        <f t="array" ref="Q1761">_xlfn.IFS(AND($A1761="thg-beauty",ISNUMBER(SEARCH("liveramp",$C1761))),"DELETE",$A1761="agile-bonbon-662",_xlfn.IFS(LEFT($G1761,9)="Tranche 1","DELETE",$C1761="Sessions_Level_1_All_Sites","KEEP",ISNUMBER(--$C1761),"REVIEW — UA raw logs",$C1761="Emag_Reporting","KEEP",$C1761="Nutrition_Data_Archived_Tables","KEEP",$C1761="EU_Data","KEEP",TRUE,"REVIEW"),OR($A1761="thg-influencer",$A1761="thg-ingenuity",$A1761="thg-central-marketing",$A1761="thg-seoclarity"),"HOLD",TRUE,"")</f>
        <v>REVIEW — UA raw logs</v>
      </c>
      <c r="R1761" t="str" cm="1">
        <f t="array" ref="R1761">_xlfn.IFS(AND($A1761="thg-beauty",ISNUMBER(SEARCH("liveramp",$C1761))),"thg-beauty Liveramp dataset — confirmed safe to delete",$A1761="agile-bonbon-662",_xlfn.IFS(LEFT($G1761,9)="Tranche 1","Tranche 1: cleared",$C1761="Sessions_Level_1_All_Sites","Downstream aggregation of UA raw logs — keep if raw tables go",ISNUMBER(--$C1761),"UA raw site logs (account ID) — keep pending audit-retention check",$C1761="Emag_Reporting","Legacy but likely needed",$C1761="Nutrition_Data_Archived_Tables","Worth keeping",$C1761="EU_Data","Static lookup tables — scripts still reference (smoke-test risk)",TRUE,"Review"),OR($A1761="thg-influencer",$A1761="thg-ingenuity",$A1761="thg-central-marketing",$A1761="thg-seoclarity"),"HOLD — Charlie Stringer to review before deletion",TRUE,"")</f>
        <v>UA raw site logs (account ID) — keep pending audit-retention check</v>
      </c>
      <c r="S1761" t="s">
        <v>1624</v>
      </c>
    </row>
    <row r="1762" spans="1:19" ht="45.75" hidden="1">
      <c r="A1762" t="s">
        <v>89</v>
      </c>
      <c r="B1762" t="s">
        <v>1619</v>
      </c>
      <c r="C1762" t="s">
        <v>4072</v>
      </c>
      <c r="D1762" s="2" t="s">
        <v>1621</v>
      </c>
      <c r="E1762">
        <v>1.26</v>
      </c>
      <c r="F1762">
        <v>0.03</v>
      </c>
      <c r="G1762" t="s">
        <v>72</v>
      </c>
      <c r="H1762" t="s">
        <v>3457</v>
      </c>
      <c r="I1762">
        <v>35</v>
      </c>
      <c r="J1762">
        <v>2694</v>
      </c>
      <c r="K1762" s="5">
        <v>46161.587406539351</v>
      </c>
      <c r="M1762" s="2" t="s">
        <v>3440</v>
      </c>
      <c r="N1762" s="2" t="s">
        <v>1701</v>
      </c>
      <c r="O1762" s="5">
        <v>43502.479457291673</v>
      </c>
      <c r="P1762" t="str">
        <f>IF($Q1762="DELETE",IF($S1762="CONFIRMED: NO MODS &gt; 1YR","CONFIRMED: NO MODS &gt; 1YR","DO NOT DELETE — not defensibly confirmed"),IF($Q1762="HOLD","DO NOT DELETE — HOLD (Charlie review)",IF($Q1762="KEEP","DO NOT DELETE — KEEP",IF(ISNUMBER(SEARCH("REVIEW",$Q1762)),"DO NOT DELETE — REVIEW pending",$S1762))))</f>
        <v>DO NOT DELETE — REVIEW pending</v>
      </c>
      <c r="Q1762" t="str" cm="1">
        <f t="array" ref="Q1762">_xlfn.IFS(AND($A1762="thg-beauty",ISNUMBER(SEARCH("liveramp",$C1762))),"DELETE",$A1762="agile-bonbon-662",_xlfn.IFS(LEFT($G1762,9)="Tranche 1","DELETE",$C1762="Sessions_Level_1_All_Sites","KEEP",ISNUMBER(--$C1762),"REVIEW — UA raw logs",$C1762="Emag_Reporting","KEEP",$C1762="Nutrition_Data_Archived_Tables","KEEP",$C1762="EU_Data","KEEP",TRUE,"REVIEW"),OR($A1762="thg-influencer",$A1762="thg-ingenuity",$A1762="thg-central-marketing",$A1762="thg-seoclarity"),"HOLD",TRUE,"")</f>
        <v>REVIEW — UA raw logs</v>
      </c>
      <c r="R1762" t="str" cm="1">
        <f t="array" ref="R1762">_xlfn.IFS(AND($A1762="thg-beauty",ISNUMBER(SEARCH("liveramp",$C1762))),"thg-beauty Liveramp dataset — confirmed safe to delete",$A1762="agile-bonbon-662",_xlfn.IFS(LEFT($G1762,9)="Tranche 1","Tranche 1: cleared",$C1762="Sessions_Level_1_All_Sites","Downstream aggregation of UA raw logs — keep if raw tables go",ISNUMBER(--$C1762),"UA raw site logs (account ID) — keep pending audit-retention check",$C1762="Emag_Reporting","Legacy but likely needed",$C1762="Nutrition_Data_Archived_Tables","Worth keeping",$C1762="EU_Data","Static lookup tables — scripts still reference (smoke-test risk)",TRUE,"Review"),OR($A1762="thg-influencer",$A1762="thg-ingenuity",$A1762="thg-central-marketing",$A1762="thg-seoclarity"),"HOLD — Charlie Stringer to review before deletion",TRUE,"")</f>
        <v>UA raw site logs (account ID) — keep pending audit-retention check</v>
      </c>
      <c r="S1762" t="s">
        <v>1631</v>
      </c>
    </row>
    <row r="1763" spans="1:19" ht="45.75" hidden="1">
      <c r="A1763" t="s">
        <v>89</v>
      </c>
      <c r="B1763" t="s">
        <v>1619</v>
      </c>
      <c r="C1763" t="s">
        <v>4073</v>
      </c>
      <c r="D1763" s="2" t="s">
        <v>1621</v>
      </c>
      <c r="E1763">
        <v>1.22</v>
      </c>
      <c r="F1763">
        <v>0.02</v>
      </c>
      <c r="G1763" t="s">
        <v>72</v>
      </c>
      <c r="H1763" t="s">
        <v>3457</v>
      </c>
      <c r="I1763">
        <v>35</v>
      </c>
      <c r="J1763">
        <v>729</v>
      </c>
      <c r="K1763" s="5">
        <v>46161.61947578704</v>
      </c>
      <c r="M1763" s="2" t="s">
        <v>1972</v>
      </c>
      <c r="N1763" s="2" t="s">
        <v>1701</v>
      </c>
      <c r="O1763" s="5">
        <v>45468.385808090279</v>
      </c>
      <c r="P1763" t="str">
        <f>IF($Q1763="DELETE",IF($S1763="CONFIRMED: NO MODS &gt; 1YR","CONFIRMED: NO MODS &gt; 1YR","DO NOT DELETE — not defensibly confirmed"),IF($Q1763="HOLD","DO NOT DELETE — HOLD (Charlie review)",IF($Q1763="KEEP","DO NOT DELETE — KEEP",IF(ISNUMBER(SEARCH("REVIEW",$Q1763)),"DO NOT DELETE — REVIEW pending",$S1763))))</f>
        <v>DO NOT DELETE — REVIEW pending</v>
      </c>
      <c r="Q1763" t="str" cm="1">
        <f t="array" ref="Q1763">_xlfn.IFS(AND($A1763="thg-beauty",ISNUMBER(SEARCH("liveramp",$C1763))),"DELETE",$A1763="agile-bonbon-662",_xlfn.IFS(LEFT($G1763,9)="Tranche 1","DELETE",$C1763="Sessions_Level_1_All_Sites","KEEP",ISNUMBER(--$C1763),"REVIEW — UA raw logs",$C1763="Emag_Reporting","KEEP",$C1763="Nutrition_Data_Archived_Tables","KEEP",$C1763="EU_Data","KEEP",TRUE,"REVIEW"),OR($A1763="thg-influencer",$A1763="thg-ingenuity",$A1763="thg-central-marketing",$A1763="thg-seoclarity"),"HOLD",TRUE,"")</f>
        <v>REVIEW</v>
      </c>
      <c r="R1763" t="str" cm="1">
        <f t="array" ref="R1763">_xlfn.IFS(AND($A1763="thg-beauty",ISNUMBER(SEARCH("liveramp",$C1763))),"thg-beauty Liveramp dataset — confirmed safe to delete",$A1763="agile-bonbon-662",_xlfn.IFS(LEFT($G1763,9)="Tranche 1","Tranche 1: cleared",$C1763="Sessions_Level_1_All_Sites","Downstream aggregation of UA raw logs — keep if raw tables go",ISNUMBER(--$C1763),"UA raw site logs (account ID) — keep pending audit-retention check",$C1763="Emag_Reporting","Legacy but likely needed",$C1763="Nutrition_Data_Archived_Tables","Worth keeping",$C1763="EU_Data","Static lookup tables — scripts still reference (smoke-test risk)",TRUE,"Review"),OR($A1763="thg-influencer",$A1763="thg-ingenuity",$A1763="thg-central-marketing",$A1763="thg-seoclarity"),"HOLD — Charlie Stringer to review before deletion",TRUE,"")</f>
        <v>Review</v>
      </c>
      <c r="S1763" t="s">
        <v>1631</v>
      </c>
    </row>
    <row r="1764" spans="1:19" ht="45.75" hidden="1">
      <c r="A1764" t="s">
        <v>89</v>
      </c>
      <c r="B1764" t="s">
        <v>1619</v>
      </c>
      <c r="C1764" t="s">
        <v>4074</v>
      </c>
      <c r="D1764" s="2" t="s">
        <v>1621</v>
      </c>
      <c r="E1764">
        <v>1.22</v>
      </c>
      <c r="F1764">
        <v>0.02</v>
      </c>
      <c r="G1764" t="s">
        <v>72</v>
      </c>
      <c r="H1764" t="s">
        <v>3457</v>
      </c>
      <c r="I1764">
        <v>35</v>
      </c>
      <c r="J1764">
        <v>723</v>
      </c>
      <c r="K1764" s="5">
        <v>46161.594594895832</v>
      </c>
      <c r="M1764" s="2" t="s">
        <v>3902</v>
      </c>
      <c r="N1764" s="2" t="s">
        <v>1701</v>
      </c>
      <c r="O1764" s="5">
        <v>45474.282391666668</v>
      </c>
      <c r="P1764" t="str">
        <f>IF($Q1764="DELETE",IF($S1764="CONFIRMED: NO MODS &gt; 1YR","CONFIRMED: NO MODS &gt; 1YR","DO NOT DELETE — not defensibly confirmed"),IF($Q1764="HOLD","DO NOT DELETE — HOLD (Charlie review)",IF($Q1764="KEEP","DO NOT DELETE — KEEP",IF(ISNUMBER(SEARCH("REVIEW",$Q1764)),"DO NOT DELETE — REVIEW pending",$S1764))))</f>
        <v>DO NOT DELETE — REVIEW pending</v>
      </c>
      <c r="Q1764" t="str" cm="1">
        <f t="array" ref="Q1764">_xlfn.IFS(AND($A1764="thg-beauty",ISNUMBER(SEARCH("liveramp",$C1764))),"DELETE",$A1764="agile-bonbon-662",_xlfn.IFS(LEFT($G1764,9)="Tranche 1","DELETE",$C1764="Sessions_Level_1_All_Sites","KEEP",ISNUMBER(--$C1764),"REVIEW — UA raw logs",$C1764="Emag_Reporting","KEEP",$C1764="Nutrition_Data_Archived_Tables","KEEP",$C1764="EU_Data","KEEP",TRUE,"REVIEW"),OR($A1764="thg-influencer",$A1764="thg-ingenuity",$A1764="thg-central-marketing",$A1764="thg-seoclarity"),"HOLD",TRUE,"")</f>
        <v>REVIEW — UA raw logs</v>
      </c>
      <c r="R1764" t="str" cm="1">
        <f t="array" ref="R1764">_xlfn.IFS(AND($A1764="thg-beauty",ISNUMBER(SEARCH("liveramp",$C1764))),"thg-beauty Liveramp dataset — confirmed safe to delete",$A1764="agile-bonbon-662",_xlfn.IFS(LEFT($G1764,9)="Tranche 1","Tranche 1: cleared",$C1764="Sessions_Level_1_All_Sites","Downstream aggregation of UA raw logs — keep if raw tables go",ISNUMBER(--$C1764),"UA raw site logs (account ID) — keep pending audit-retention check",$C1764="Emag_Reporting","Legacy but likely needed",$C1764="Nutrition_Data_Archived_Tables","Worth keeping",$C1764="EU_Data","Static lookup tables — scripts still reference (smoke-test risk)",TRUE,"Review"),OR($A1764="thg-influencer",$A1764="thg-ingenuity",$A1764="thg-central-marketing",$A1764="thg-seoclarity"),"HOLD — Charlie Stringer to review before deletion",TRUE,"")</f>
        <v>UA raw site logs (account ID) — keep pending audit-retention check</v>
      </c>
      <c r="S1764" t="s">
        <v>1631</v>
      </c>
    </row>
    <row r="1765" spans="1:19" ht="45.75" hidden="1">
      <c r="A1765" t="s">
        <v>89</v>
      </c>
      <c r="B1765" t="s">
        <v>1619</v>
      </c>
      <c r="C1765" t="s">
        <v>4075</v>
      </c>
      <c r="D1765" s="2" t="s">
        <v>1621</v>
      </c>
      <c r="E1765">
        <v>1.1499999999999999</v>
      </c>
      <c r="F1765">
        <v>0.02</v>
      </c>
      <c r="G1765" t="s">
        <v>72</v>
      </c>
      <c r="H1765" t="s">
        <v>3457</v>
      </c>
      <c r="I1765">
        <v>35</v>
      </c>
      <c r="J1765">
        <v>1694</v>
      </c>
      <c r="K1765" s="5">
        <v>46161.608236886583</v>
      </c>
      <c r="M1765" s="2" t="s">
        <v>2047</v>
      </c>
      <c r="N1765" s="2" t="s">
        <v>1701</v>
      </c>
      <c r="O1765" s="5">
        <v>44503.286799421287</v>
      </c>
      <c r="P1765" t="str">
        <f>IF($Q1765="DELETE",IF($S1765="CONFIRMED: NO MODS &gt; 1YR","CONFIRMED: NO MODS &gt; 1YR","DO NOT DELETE — not defensibly confirmed"),IF($Q1765="HOLD","DO NOT DELETE — HOLD (Charlie review)",IF($Q1765="KEEP","DO NOT DELETE — KEEP",IF(ISNUMBER(SEARCH("REVIEW",$Q1765)),"DO NOT DELETE — REVIEW pending",$S1765))))</f>
        <v>DO NOT DELETE — REVIEW pending</v>
      </c>
      <c r="Q1765" t="str" cm="1">
        <f t="array" ref="Q1765">_xlfn.IFS(AND($A1765="thg-beauty",ISNUMBER(SEARCH("liveramp",$C1765))),"DELETE",$A1765="agile-bonbon-662",_xlfn.IFS(LEFT($G1765,9)="Tranche 1","DELETE",$C1765="Sessions_Level_1_All_Sites","KEEP",ISNUMBER(--$C1765),"REVIEW — UA raw logs",$C1765="Emag_Reporting","KEEP",$C1765="Nutrition_Data_Archived_Tables","KEEP",$C1765="EU_Data","KEEP",TRUE,"REVIEW"),OR($A1765="thg-influencer",$A1765="thg-ingenuity",$A1765="thg-central-marketing",$A1765="thg-seoclarity"),"HOLD",TRUE,"")</f>
        <v>REVIEW</v>
      </c>
      <c r="R1765" t="str" cm="1">
        <f t="array" ref="R1765">_xlfn.IFS(AND($A1765="thg-beauty",ISNUMBER(SEARCH("liveramp",$C1765))),"thg-beauty Liveramp dataset — confirmed safe to delete",$A1765="agile-bonbon-662",_xlfn.IFS(LEFT($G1765,9)="Tranche 1","Tranche 1: cleared",$C1765="Sessions_Level_1_All_Sites","Downstream aggregation of UA raw logs — keep if raw tables go",ISNUMBER(--$C1765),"UA raw site logs (account ID) — keep pending audit-retention check",$C1765="Emag_Reporting","Legacy but likely needed",$C1765="Nutrition_Data_Archived_Tables","Worth keeping",$C1765="EU_Data","Static lookup tables — scripts still reference (smoke-test risk)",TRUE,"Review"),OR($A1765="thg-influencer",$A1765="thg-ingenuity",$A1765="thg-central-marketing",$A1765="thg-seoclarity"),"HOLD — Charlie Stringer to review before deletion",TRUE,"")</f>
        <v>Review</v>
      </c>
      <c r="S1765" t="s">
        <v>1631</v>
      </c>
    </row>
    <row r="1766" spans="1:19" ht="45.75" hidden="1">
      <c r="A1766" t="s">
        <v>89</v>
      </c>
      <c r="B1766" t="s">
        <v>1619</v>
      </c>
      <c r="C1766" t="s">
        <v>4076</v>
      </c>
      <c r="D1766" s="2" t="s">
        <v>1621</v>
      </c>
      <c r="E1766">
        <v>1.1399999999999999</v>
      </c>
      <c r="F1766">
        <v>0.02</v>
      </c>
      <c r="G1766" t="s">
        <v>72</v>
      </c>
      <c r="H1766" t="s">
        <v>3457</v>
      </c>
      <c r="I1766">
        <v>35</v>
      </c>
      <c r="J1766">
        <v>723</v>
      </c>
      <c r="K1766" s="5">
        <v>46161.586565231482</v>
      </c>
      <c r="M1766" s="2" t="s">
        <v>3429</v>
      </c>
      <c r="N1766" s="2" t="s">
        <v>1701</v>
      </c>
      <c r="O1766" s="5">
        <v>45474.273783680554</v>
      </c>
      <c r="P1766" t="str">
        <f>IF($Q1766="DELETE",IF($S1766="CONFIRMED: NO MODS &gt; 1YR","CONFIRMED: NO MODS &gt; 1YR","DO NOT DELETE — not defensibly confirmed"),IF($Q1766="HOLD","DO NOT DELETE — HOLD (Charlie review)",IF($Q1766="KEEP","DO NOT DELETE — KEEP",IF(ISNUMBER(SEARCH("REVIEW",$Q1766)),"DO NOT DELETE — REVIEW pending",$S1766))))</f>
        <v>DO NOT DELETE — REVIEW pending</v>
      </c>
      <c r="Q1766" t="str" cm="1">
        <f t="array" ref="Q1766">_xlfn.IFS(AND($A1766="thg-beauty",ISNUMBER(SEARCH("liveramp",$C1766))),"DELETE",$A1766="agile-bonbon-662",_xlfn.IFS(LEFT($G1766,9)="Tranche 1","DELETE",$C1766="Sessions_Level_1_All_Sites","KEEP",ISNUMBER(--$C1766),"REVIEW — UA raw logs",$C1766="Emag_Reporting","KEEP",$C1766="Nutrition_Data_Archived_Tables","KEEP",$C1766="EU_Data","KEEP",TRUE,"REVIEW"),OR($A1766="thg-influencer",$A1766="thg-ingenuity",$A1766="thg-central-marketing",$A1766="thg-seoclarity"),"HOLD",TRUE,"")</f>
        <v>REVIEW — UA raw logs</v>
      </c>
      <c r="R1766" t="str" cm="1">
        <f t="array" ref="R1766">_xlfn.IFS(AND($A1766="thg-beauty",ISNUMBER(SEARCH("liveramp",$C1766))),"thg-beauty Liveramp dataset — confirmed safe to delete",$A1766="agile-bonbon-662",_xlfn.IFS(LEFT($G1766,9)="Tranche 1","Tranche 1: cleared",$C1766="Sessions_Level_1_All_Sites","Downstream aggregation of UA raw logs — keep if raw tables go",ISNUMBER(--$C1766),"UA raw site logs (account ID) — keep pending audit-retention check",$C1766="Emag_Reporting","Legacy but likely needed",$C1766="Nutrition_Data_Archived_Tables","Worth keeping",$C1766="EU_Data","Static lookup tables — scripts still reference (smoke-test risk)",TRUE,"Review"),OR($A1766="thg-influencer",$A1766="thg-ingenuity",$A1766="thg-central-marketing",$A1766="thg-seoclarity"),"HOLD — Charlie Stringer to review before deletion",TRUE,"")</f>
        <v>UA raw site logs (account ID) — keep pending audit-retention check</v>
      </c>
      <c r="S1766" t="s">
        <v>1631</v>
      </c>
    </row>
    <row r="1767" spans="1:19" ht="45.75" hidden="1">
      <c r="A1767" t="s">
        <v>89</v>
      </c>
      <c r="B1767" t="s">
        <v>1619</v>
      </c>
      <c r="C1767" t="s">
        <v>4077</v>
      </c>
      <c r="D1767" s="2" t="s">
        <v>1621</v>
      </c>
      <c r="E1767">
        <v>1.1100000000000001</v>
      </c>
      <c r="F1767">
        <v>0.02</v>
      </c>
      <c r="G1767" t="s">
        <v>72</v>
      </c>
      <c r="H1767" t="s">
        <v>3457</v>
      </c>
      <c r="I1767">
        <v>35</v>
      </c>
      <c r="J1767">
        <v>1219</v>
      </c>
      <c r="K1767" s="5">
        <v>46161.617168553239</v>
      </c>
      <c r="M1767" s="2" t="s">
        <v>1947</v>
      </c>
      <c r="N1767" s="2" t="s">
        <v>1701</v>
      </c>
      <c r="O1767" s="5">
        <v>44977.775631944452</v>
      </c>
      <c r="P1767" t="str">
        <f>IF($Q1767="DELETE",IF($S1767="CONFIRMED: NO MODS &gt; 1YR","CONFIRMED: NO MODS &gt; 1YR","DO NOT DELETE — not defensibly confirmed"),IF($Q1767="HOLD","DO NOT DELETE — HOLD (Charlie review)",IF($Q1767="KEEP","DO NOT DELETE — KEEP",IF(ISNUMBER(SEARCH("REVIEW",$Q1767)),"DO NOT DELETE — REVIEW pending",$S1767))))</f>
        <v>DO NOT DELETE — REVIEW pending</v>
      </c>
      <c r="Q1767" t="str" cm="1">
        <f t="array" ref="Q1767">_xlfn.IFS(AND($A1767="thg-beauty",ISNUMBER(SEARCH("liveramp",$C1767))),"DELETE",$A1767="agile-bonbon-662",_xlfn.IFS(LEFT($G1767,9)="Tranche 1","DELETE",$C1767="Sessions_Level_1_All_Sites","KEEP",ISNUMBER(--$C1767),"REVIEW — UA raw logs",$C1767="Emag_Reporting","KEEP",$C1767="Nutrition_Data_Archived_Tables","KEEP",$C1767="EU_Data","KEEP",TRUE,"REVIEW"),OR($A1767="thg-influencer",$A1767="thg-ingenuity",$A1767="thg-central-marketing",$A1767="thg-seoclarity"),"HOLD",TRUE,"")</f>
        <v>REVIEW</v>
      </c>
      <c r="R1767" t="str" cm="1">
        <f t="array" ref="R1767">_xlfn.IFS(AND($A1767="thg-beauty",ISNUMBER(SEARCH("liveramp",$C1767))),"thg-beauty Liveramp dataset — confirmed safe to delete",$A1767="agile-bonbon-662",_xlfn.IFS(LEFT($G1767,9)="Tranche 1","Tranche 1: cleared",$C1767="Sessions_Level_1_All_Sites","Downstream aggregation of UA raw logs — keep if raw tables go",ISNUMBER(--$C1767),"UA raw site logs (account ID) — keep pending audit-retention check",$C1767="Emag_Reporting","Legacy but likely needed",$C1767="Nutrition_Data_Archived_Tables","Worth keeping",$C1767="EU_Data","Static lookup tables — scripts still reference (smoke-test risk)",TRUE,"Review"),OR($A1767="thg-influencer",$A1767="thg-ingenuity",$A1767="thg-central-marketing",$A1767="thg-seoclarity"),"HOLD — Charlie Stringer to review before deletion",TRUE,"")</f>
        <v>Review</v>
      </c>
      <c r="S1767" t="s">
        <v>1631</v>
      </c>
    </row>
    <row r="1768" spans="1:19" ht="45.75" hidden="1">
      <c r="A1768" t="s">
        <v>89</v>
      </c>
      <c r="B1768" t="s">
        <v>1619</v>
      </c>
      <c r="C1768" t="s">
        <v>4078</v>
      </c>
      <c r="D1768" s="2" t="s">
        <v>1621</v>
      </c>
      <c r="E1768">
        <v>1.1100000000000001</v>
      </c>
      <c r="F1768">
        <v>0.02</v>
      </c>
      <c r="G1768" t="s">
        <v>72</v>
      </c>
      <c r="H1768" t="s">
        <v>3457</v>
      </c>
      <c r="I1768">
        <v>35</v>
      </c>
      <c r="J1768">
        <v>1122</v>
      </c>
      <c r="K1768" s="5">
        <v>46161.620201168982</v>
      </c>
      <c r="M1768" s="2" t="s">
        <v>1969</v>
      </c>
      <c r="N1768" s="2" t="s">
        <v>1701</v>
      </c>
      <c r="O1768" s="5">
        <v>45075.345305543982</v>
      </c>
      <c r="P1768" t="str">
        <f>IF($Q1768="DELETE",IF($S1768="CONFIRMED: NO MODS &gt; 1YR","CONFIRMED: NO MODS &gt; 1YR","DO NOT DELETE — not defensibly confirmed"),IF($Q1768="HOLD","DO NOT DELETE — HOLD (Charlie review)",IF($Q1768="KEEP","DO NOT DELETE — KEEP",IF(ISNUMBER(SEARCH("REVIEW",$Q1768)),"DO NOT DELETE — REVIEW pending",$S1768))))</f>
        <v>DO NOT DELETE — REVIEW pending</v>
      </c>
      <c r="Q1768" t="str" cm="1">
        <f t="array" ref="Q1768">_xlfn.IFS(AND($A1768="thg-beauty",ISNUMBER(SEARCH("liveramp",$C1768))),"DELETE",$A1768="agile-bonbon-662",_xlfn.IFS(LEFT($G1768,9)="Tranche 1","DELETE",$C1768="Sessions_Level_1_All_Sites","KEEP",ISNUMBER(--$C1768),"REVIEW — UA raw logs",$C1768="Emag_Reporting","KEEP",$C1768="Nutrition_Data_Archived_Tables","KEEP",$C1768="EU_Data","KEEP",TRUE,"REVIEW"),OR($A1768="thg-influencer",$A1768="thg-ingenuity",$A1768="thg-central-marketing",$A1768="thg-seoclarity"),"HOLD",TRUE,"")</f>
        <v>REVIEW</v>
      </c>
      <c r="R1768" t="str" cm="1">
        <f t="array" ref="R1768">_xlfn.IFS(AND($A1768="thg-beauty",ISNUMBER(SEARCH("liveramp",$C1768))),"thg-beauty Liveramp dataset — confirmed safe to delete",$A1768="agile-bonbon-662",_xlfn.IFS(LEFT($G1768,9)="Tranche 1","Tranche 1: cleared",$C1768="Sessions_Level_1_All_Sites","Downstream aggregation of UA raw logs — keep if raw tables go",ISNUMBER(--$C1768),"UA raw site logs (account ID) — keep pending audit-retention check",$C1768="Emag_Reporting","Legacy but likely needed",$C1768="Nutrition_Data_Archived_Tables","Worth keeping",$C1768="EU_Data","Static lookup tables — scripts still reference (smoke-test risk)",TRUE,"Review"),OR($A1768="thg-influencer",$A1768="thg-ingenuity",$A1768="thg-central-marketing",$A1768="thg-seoclarity"),"HOLD — Charlie Stringer to review before deletion",TRUE,"")</f>
        <v>Review</v>
      </c>
      <c r="S1768" t="s">
        <v>1631</v>
      </c>
    </row>
    <row r="1769" spans="1:19" ht="45.75" hidden="1">
      <c r="A1769" t="s">
        <v>89</v>
      </c>
      <c r="B1769" t="s">
        <v>1619</v>
      </c>
      <c r="C1769" t="s">
        <v>4079</v>
      </c>
      <c r="D1769" s="2" t="s">
        <v>1621</v>
      </c>
      <c r="E1769">
        <v>1.1000000000000001</v>
      </c>
      <c r="F1769">
        <v>0.02</v>
      </c>
      <c r="G1769" t="s">
        <v>72</v>
      </c>
      <c r="H1769" t="s">
        <v>3457</v>
      </c>
      <c r="I1769">
        <v>35</v>
      </c>
      <c r="J1769">
        <v>1966</v>
      </c>
      <c r="K1769" s="5">
        <v>46161.621428379629</v>
      </c>
      <c r="M1769" s="2" t="s">
        <v>3432</v>
      </c>
      <c r="N1769" s="2" t="s">
        <v>1701</v>
      </c>
      <c r="O1769" s="5">
        <v>44230.535072916668</v>
      </c>
      <c r="P1769" t="str">
        <f>IF($Q1769="DELETE",IF($S1769="CONFIRMED: NO MODS &gt; 1YR","CONFIRMED: NO MODS &gt; 1YR","DO NOT DELETE — not defensibly confirmed"),IF($Q1769="HOLD","DO NOT DELETE — HOLD (Charlie review)",IF($Q1769="KEEP","DO NOT DELETE — KEEP",IF(ISNUMBER(SEARCH("REVIEW",$Q1769)),"DO NOT DELETE — REVIEW pending",$S1769))))</f>
        <v>DO NOT DELETE — REVIEW pending</v>
      </c>
      <c r="Q1769" t="str" cm="1">
        <f t="array" ref="Q1769">_xlfn.IFS(AND($A1769="thg-beauty",ISNUMBER(SEARCH("liveramp",$C1769))),"DELETE",$A1769="agile-bonbon-662",_xlfn.IFS(LEFT($G1769,9)="Tranche 1","DELETE",$C1769="Sessions_Level_1_All_Sites","KEEP",ISNUMBER(--$C1769),"REVIEW — UA raw logs",$C1769="Emag_Reporting","KEEP",$C1769="Nutrition_Data_Archived_Tables","KEEP",$C1769="EU_Data","KEEP",TRUE,"REVIEW"),OR($A1769="thg-influencer",$A1769="thg-ingenuity",$A1769="thg-central-marketing",$A1769="thg-seoclarity"),"HOLD",TRUE,"")</f>
        <v>REVIEW</v>
      </c>
      <c r="R1769" t="str" cm="1">
        <f t="array" ref="R1769">_xlfn.IFS(AND($A1769="thg-beauty",ISNUMBER(SEARCH("liveramp",$C1769))),"thg-beauty Liveramp dataset — confirmed safe to delete",$A1769="agile-bonbon-662",_xlfn.IFS(LEFT($G1769,9)="Tranche 1","Tranche 1: cleared",$C1769="Sessions_Level_1_All_Sites","Downstream aggregation of UA raw logs — keep if raw tables go",ISNUMBER(--$C1769),"UA raw site logs (account ID) — keep pending audit-retention check",$C1769="Emag_Reporting","Legacy but likely needed",$C1769="Nutrition_Data_Archived_Tables","Worth keeping",$C1769="EU_Data","Static lookup tables — scripts still reference (smoke-test risk)",TRUE,"Review"),OR($A1769="thg-influencer",$A1769="thg-ingenuity",$A1769="thg-central-marketing",$A1769="thg-seoclarity"),"HOLD — Charlie Stringer to review before deletion",TRUE,"")</f>
        <v>Review</v>
      </c>
      <c r="S1769" t="s">
        <v>1631</v>
      </c>
    </row>
    <row r="1770" spans="1:19" ht="45.75" hidden="1">
      <c r="A1770" t="s">
        <v>89</v>
      </c>
      <c r="B1770" t="s">
        <v>1619</v>
      </c>
      <c r="C1770" t="s">
        <v>4080</v>
      </c>
      <c r="D1770" s="2" t="s">
        <v>1621</v>
      </c>
      <c r="E1770">
        <v>1.07</v>
      </c>
      <c r="F1770">
        <v>0.02</v>
      </c>
      <c r="G1770" t="s">
        <v>72</v>
      </c>
      <c r="H1770" t="s">
        <v>3457</v>
      </c>
      <c r="I1770">
        <v>35</v>
      </c>
      <c r="J1770">
        <v>723</v>
      </c>
      <c r="K1770" s="5">
        <v>46161.59540435185</v>
      </c>
      <c r="M1770" s="2" t="s">
        <v>3426</v>
      </c>
      <c r="N1770" s="2" t="s">
        <v>1701</v>
      </c>
      <c r="O1770" s="5">
        <v>45474.283427476847</v>
      </c>
      <c r="P1770" t="str">
        <f>IF($Q1770="DELETE",IF($S1770="CONFIRMED: NO MODS &gt; 1YR","CONFIRMED: NO MODS &gt; 1YR","DO NOT DELETE — not defensibly confirmed"),IF($Q1770="HOLD","DO NOT DELETE — HOLD (Charlie review)",IF($Q1770="KEEP","DO NOT DELETE — KEEP",IF(ISNUMBER(SEARCH("REVIEW",$Q1770)),"DO NOT DELETE — REVIEW pending",$S1770))))</f>
        <v>DO NOT DELETE — REVIEW pending</v>
      </c>
      <c r="Q1770" t="str" cm="1">
        <f t="array" ref="Q1770">_xlfn.IFS(AND($A1770="thg-beauty",ISNUMBER(SEARCH("liveramp",$C1770))),"DELETE",$A1770="agile-bonbon-662",_xlfn.IFS(LEFT($G1770,9)="Tranche 1","DELETE",$C1770="Sessions_Level_1_All_Sites","KEEP",ISNUMBER(--$C1770),"REVIEW — UA raw logs",$C1770="Emag_Reporting","KEEP",$C1770="Nutrition_Data_Archived_Tables","KEEP",$C1770="EU_Data","KEEP",TRUE,"REVIEW"),OR($A1770="thg-influencer",$A1770="thg-ingenuity",$A1770="thg-central-marketing",$A1770="thg-seoclarity"),"HOLD",TRUE,"")</f>
        <v>REVIEW — UA raw logs</v>
      </c>
      <c r="R1770" t="str" cm="1">
        <f t="array" ref="R1770">_xlfn.IFS(AND($A1770="thg-beauty",ISNUMBER(SEARCH("liveramp",$C1770))),"thg-beauty Liveramp dataset — confirmed safe to delete",$A1770="agile-bonbon-662",_xlfn.IFS(LEFT($G1770,9)="Tranche 1","Tranche 1: cleared",$C1770="Sessions_Level_1_All_Sites","Downstream aggregation of UA raw logs — keep if raw tables go",ISNUMBER(--$C1770),"UA raw site logs (account ID) — keep pending audit-retention check",$C1770="Emag_Reporting","Legacy but likely needed",$C1770="Nutrition_Data_Archived_Tables","Worth keeping",$C1770="EU_Data","Static lookup tables — scripts still reference (smoke-test risk)",TRUE,"Review"),OR($A1770="thg-influencer",$A1770="thg-ingenuity",$A1770="thg-central-marketing",$A1770="thg-seoclarity"),"HOLD — Charlie Stringer to review before deletion",TRUE,"")</f>
        <v>UA raw site logs (account ID) — keep pending audit-retention check</v>
      </c>
      <c r="S1770" t="s">
        <v>1631</v>
      </c>
    </row>
    <row r="1771" spans="1:19" ht="45.75" hidden="1">
      <c r="A1771" t="s">
        <v>89</v>
      </c>
      <c r="B1771" t="s">
        <v>1619</v>
      </c>
      <c r="C1771" t="s">
        <v>4081</v>
      </c>
      <c r="D1771" s="2" t="s">
        <v>1621</v>
      </c>
      <c r="E1771">
        <v>1.03</v>
      </c>
      <c r="F1771">
        <v>0.02</v>
      </c>
      <c r="G1771" t="s">
        <v>72</v>
      </c>
      <c r="H1771" t="s">
        <v>3457</v>
      </c>
      <c r="I1771">
        <v>35</v>
      </c>
      <c r="J1771">
        <v>992</v>
      </c>
      <c r="K1771" s="5">
        <v>46161.609842557868</v>
      </c>
      <c r="M1771" s="2" t="s">
        <v>4082</v>
      </c>
      <c r="N1771" s="2" t="s">
        <v>1701</v>
      </c>
      <c r="O1771" s="5">
        <v>45204.956076319453</v>
      </c>
      <c r="P1771" t="str">
        <f>IF($Q1771="DELETE",IF($S1771="CONFIRMED: NO MODS &gt; 1YR","CONFIRMED: NO MODS &gt; 1YR","DO NOT DELETE — not defensibly confirmed"),IF($Q1771="HOLD","DO NOT DELETE — HOLD (Charlie review)",IF($Q1771="KEEP","DO NOT DELETE — KEEP",IF(ISNUMBER(SEARCH("REVIEW",$Q1771)),"DO NOT DELETE — REVIEW pending",$S1771))))</f>
        <v>DO NOT DELETE — REVIEW pending</v>
      </c>
      <c r="Q1771" t="str" cm="1">
        <f t="array" ref="Q1771">_xlfn.IFS(AND($A1771="thg-beauty",ISNUMBER(SEARCH("liveramp",$C1771))),"DELETE",$A1771="agile-bonbon-662",_xlfn.IFS(LEFT($G1771,9)="Tranche 1","DELETE",$C1771="Sessions_Level_1_All_Sites","KEEP",ISNUMBER(--$C1771),"REVIEW — UA raw logs",$C1771="Emag_Reporting","KEEP",$C1771="Nutrition_Data_Archived_Tables","KEEP",$C1771="EU_Data","KEEP",TRUE,"REVIEW"),OR($A1771="thg-influencer",$A1771="thg-ingenuity",$A1771="thg-central-marketing",$A1771="thg-seoclarity"),"HOLD",TRUE,"")</f>
        <v>REVIEW</v>
      </c>
      <c r="R1771" t="str" cm="1">
        <f t="array" ref="R1771">_xlfn.IFS(AND($A1771="thg-beauty",ISNUMBER(SEARCH("liveramp",$C1771))),"thg-beauty Liveramp dataset — confirmed safe to delete",$A1771="agile-bonbon-662",_xlfn.IFS(LEFT($G1771,9)="Tranche 1","Tranche 1: cleared",$C1771="Sessions_Level_1_All_Sites","Downstream aggregation of UA raw logs — keep if raw tables go",ISNUMBER(--$C1771),"UA raw site logs (account ID) — keep pending audit-retention check",$C1771="Emag_Reporting","Legacy but likely needed",$C1771="Nutrition_Data_Archived_Tables","Worth keeping",$C1771="EU_Data","Static lookup tables — scripts still reference (smoke-test risk)",TRUE,"Review"),OR($A1771="thg-influencer",$A1771="thg-ingenuity",$A1771="thg-central-marketing",$A1771="thg-seoclarity"),"HOLD — Charlie Stringer to review before deletion",TRUE,"")</f>
        <v>Review</v>
      </c>
      <c r="S1771" t="s">
        <v>1631</v>
      </c>
    </row>
    <row r="1772" spans="1:19" ht="76.5" hidden="1">
      <c r="A1772" t="s">
        <v>89</v>
      </c>
      <c r="B1772" t="s">
        <v>1619</v>
      </c>
      <c r="C1772" t="s">
        <v>4083</v>
      </c>
      <c r="D1772" s="2" t="s">
        <v>1621</v>
      </c>
      <c r="E1772">
        <v>1.03</v>
      </c>
      <c r="F1772">
        <v>0.02</v>
      </c>
      <c r="G1772" t="s">
        <v>72</v>
      </c>
      <c r="H1772" t="s">
        <v>3457</v>
      </c>
      <c r="I1772">
        <v>35</v>
      </c>
      <c r="J1772">
        <v>440</v>
      </c>
      <c r="K1772" s="5">
        <v>46161.579925879632</v>
      </c>
      <c r="M1772" s="2" t="s">
        <v>4084</v>
      </c>
      <c r="N1772" s="2" t="s">
        <v>1701</v>
      </c>
      <c r="O1772" s="5">
        <v>45757.366538310183</v>
      </c>
      <c r="P1772" t="str">
        <f>IF($Q1772="DELETE",IF($S1772="CONFIRMED: NO MODS &gt; 1YR","CONFIRMED: NO MODS &gt; 1YR","DO NOT DELETE — not defensibly confirmed"),IF($Q1772="HOLD","DO NOT DELETE — HOLD (Charlie review)",IF($Q1772="KEEP","DO NOT DELETE — KEEP",IF(ISNUMBER(SEARCH("REVIEW",$Q1772)),"DO NOT DELETE — REVIEW pending",$S1772))))</f>
        <v>DO NOT DELETE — REVIEW pending</v>
      </c>
      <c r="Q1772" t="str" cm="1">
        <f t="array" ref="Q1772">_xlfn.IFS(AND($A1772="thg-beauty",ISNUMBER(SEARCH("liveramp",$C1772))),"DELETE",$A1772="agile-bonbon-662",_xlfn.IFS(LEFT($G1772,9)="Tranche 1","DELETE",$C1772="Sessions_Level_1_All_Sites","KEEP",ISNUMBER(--$C1772),"REVIEW — UA raw logs",$C1772="Emag_Reporting","KEEP",$C1772="Nutrition_Data_Archived_Tables","KEEP",$C1772="EU_Data","KEEP",TRUE,"REVIEW"),OR($A1772="thg-influencer",$A1772="thg-ingenuity",$A1772="thg-central-marketing",$A1772="thg-seoclarity"),"HOLD",TRUE,"")</f>
        <v>REVIEW</v>
      </c>
      <c r="R1772" t="str" cm="1">
        <f t="array" ref="R1772">_xlfn.IFS(AND($A1772="thg-beauty",ISNUMBER(SEARCH("liveramp",$C1772))),"thg-beauty Liveramp dataset — confirmed safe to delete",$A1772="agile-bonbon-662",_xlfn.IFS(LEFT($G1772,9)="Tranche 1","Tranche 1: cleared",$C1772="Sessions_Level_1_All_Sites","Downstream aggregation of UA raw logs — keep if raw tables go",ISNUMBER(--$C1772),"UA raw site logs (account ID) — keep pending audit-retention check",$C1772="Emag_Reporting","Legacy but likely needed",$C1772="Nutrition_Data_Archived_Tables","Worth keeping",$C1772="EU_Data","Static lookup tables — scripts still reference (smoke-test risk)",TRUE,"Review"),OR($A1772="thg-influencer",$A1772="thg-ingenuity",$A1772="thg-central-marketing",$A1772="thg-seoclarity"),"HOLD — Charlie Stringer to review before deletion",TRUE,"")</f>
        <v>Review</v>
      </c>
      <c r="S1772" t="s">
        <v>1631</v>
      </c>
    </row>
    <row r="1773" spans="1:19" ht="60.75" hidden="1">
      <c r="A1773" t="s">
        <v>89</v>
      </c>
      <c r="B1773" t="s">
        <v>1619</v>
      </c>
      <c r="C1773" t="s">
        <v>4085</v>
      </c>
      <c r="D1773" s="2" t="s">
        <v>1621</v>
      </c>
      <c r="E1773">
        <v>1.02</v>
      </c>
      <c r="F1773">
        <v>0.02</v>
      </c>
      <c r="G1773" t="s">
        <v>72</v>
      </c>
      <c r="H1773" t="s">
        <v>3457</v>
      </c>
      <c r="I1773">
        <v>35</v>
      </c>
      <c r="J1773">
        <v>1109</v>
      </c>
      <c r="K1773" s="5">
        <v>46161.616314178238</v>
      </c>
      <c r="M1773" s="2" t="s">
        <v>4086</v>
      </c>
      <c r="N1773" s="2" t="s">
        <v>1701</v>
      </c>
      <c r="O1773" s="5">
        <v>45087.620547812498</v>
      </c>
      <c r="P1773" t="str">
        <f>IF($Q1773="DELETE",IF($S1773="CONFIRMED: NO MODS &gt; 1YR","CONFIRMED: NO MODS &gt; 1YR","DO NOT DELETE — not defensibly confirmed"),IF($Q1773="HOLD","DO NOT DELETE — HOLD (Charlie review)",IF($Q1773="KEEP","DO NOT DELETE — KEEP",IF(ISNUMBER(SEARCH("REVIEW",$Q1773)),"DO NOT DELETE — REVIEW pending",$S1773))))</f>
        <v>DO NOT DELETE — REVIEW pending</v>
      </c>
      <c r="Q1773" t="str" cm="1">
        <f t="array" ref="Q1773">_xlfn.IFS(AND($A1773="thg-beauty",ISNUMBER(SEARCH("liveramp",$C1773))),"DELETE",$A1773="agile-bonbon-662",_xlfn.IFS(LEFT($G1773,9)="Tranche 1","DELETE",$C1773="Sessions_Level_1_All_Sites","KEEP",ISNUMBER(--$C1773),"REVIEW — UA raw logs",$C1773="Emag_Reporting","KEEP",$C1773="Nutrition_Data_Archived_Tables","KEEP",$C1773="EU_Data","KEEP",TRUE,"REVIEW"),OR($A1773="thg-influencer",$A1773="thg-ingenuity",$A1773="thg-central-marketing",$A1773="thg-seoclarity"),"HOLD",TRUE,"")</f>
        <v>REVIEW</v>
      </c>
      <c r="R1773" t="str" cm="1">
        <f t="array" ref="R1773">_xlfn.IFS(AND($A1773="thg-beauty",ISNUMBER(SEARCH("liveramp",$C1773))),"thg-beauty Liveramp dataset — confirmed safe to delete",$A1773="agile-bonbon-662",_xlfn.IFS(LEFT($G1773,9)="Tranche 1","Tranche 1: cleared",$C1773="Sessions_Level_1_All_Sites","Downstream aggregation of UA raw logs — keep if raw tables go",ISNUMBER(--$C1773),"UA raw site logs (account ID) — keep pending audit-retention check",$C1773="Emag_Reporting","Legacy but likely needed",$C1773="Nutrition_Data_Archived_Tables","Worth keeping",$C1773="EU_Data","Static lookup tables — scripts still reference (smoke-test risk)",TRUE,"Review"),OR($A1773="thg-influencer",$A1773="thg-ingenuity",$A1773="thg-central-marketing",$A1773="thg-seoclarity"),"HOLD — Charlie Stringer to review before deletion",TRUE,"")</f>
        <v>Review</v>
      </c>
      <c r="S1773" t="s">
        <v>1631</v>
      </c>
    </row>
    <row r="1774" spans="1:19" ht="76.5" hidden="1">
      <c r="A1774" t="s">
        <v>89</v>
      </c>
      <c r="B1774" t="s">
        <v>1619</v>
      </c>
      <c r="C1774" t="s">
        <v>4087</v>
      </c>
      <c r="D1774" s="2" t="s">
        <v>1621</v>
      </c>
      <c r="E1774">
        <v>0.99</v>
      </c>
      <c r="F1774">
        <v>0.02</v>
      </c>
      <c r="G1774" t="s">
        <v>72</v>
      </c>
      <c r="H1774" t="s">
        <v>3457</v>
      </c>
      <c r="I1774">
        <v>35</v>
      </c>
      <c r="J1774">
        <v>2317</v>
      </c>
      <c r="K1774" s="5">
        <v>46161.607552361107</v>
      </c>
      <c r="M1774" s="2" t="s">
        <v>4088</v>
      </c>
      <c r="N1774" s="2" t="s">
        <v>1701</v>
      </c>
      <c r="O1774" s="5">
        <v>43879.923200034733</v>
      </c>
      <c r="P1774" t="str">
        <f>IF($Q1774="DELETE",IF($S1774="CONFIRMED: NO MODS &gt; 1YR","CONFIRMED: NO MODS &gt; 1YR","DO NOT DELETE — not defensibly confirmed"),IF($Q1774="HOLD","DO NOT DELETE — HOLD (Charlie review)",IF($Q1774="KEEP","DO NOT DELETE — KEEP",IF(ISNUMBER(SEARCH("REVIEW",$Q1774)),"DO NOT DELETE — REVIEW pending",$S1774))))</f>
        <v>DO NOT DELETE — REVIEW pending</v>
      </c>
      <c r="Q1774" t="str" cm="1">
        <f t="array" ref="Q1774">_xlfn.IFS(AND($A1774="thg-beauty",ISNUMBER(SEARCH("liveramp",$C1774))),"DELETE",$A1774="agile-bonbon-662",_xlfn.IFS(LEFT($G1774,9)="Tranche 1","DELETE",$C1774="Sessions_Level_1_All_Sites","KEEP",ISNUMBER(--$C1774),"REVIEW — UA raw logs",$C1774="Emag_Reporting","KEEP",$C1774="Nutrition_Data_Archived_Tables","KEEP",$C1774="EU_Data","KEEP",TRUE,"REVIEW"),OR($A1774="thg-influencer",$A1774="thg-ingenuity",$A1774="thg-central-marketing",$A1774="thg-seoclarity"),"HOLD",TRUE,"")</f>
        <v>REVIEW</v>
      </c>
      <c r="R1774" t="str" cm="1">
        <f t="array" ref="R1774">_xlfn.IFS(AND($A1774="thg-beauty",ISNUMBER(SEARCH("liveramp",$C1774))),"thg-beauty Liveramp dataset — confirmed safe to delete",$A1774="agile-bonbon-662",_xlfn.IFS(LEFT($G1774,9)="Tranche 1","Tranche 1: cleared",$C1774="Sessions_Level_1_All_Sites","Downstream aggregation of UA raw logs — keep if raw tables go",ISNUMBER(--$C1774),"UA raw site logs (account ID) — keep pending audit-retention check",$C1774="Emag_Reporting","Legacy but likely needed",$C1774="Nutrition_Data_Archived_Tables","Worth keeping",$C1774="EU_Data","Static lookup tables — scripts still reference (smoke-test risk)",TRUE,"Review"),OR($A1774="thg-influencer",$A1774="thg-ingenuity",$A1774="thg-central-marketing",$A1774="thg-seoclarity"),"HOLD — Charlie Stringer to review before deletion",TRUE,"")</f>
        <v>Review</v>
      </c>
      <c r="S1774" t="s">
        <v>1631</v>
      </c>
    </row>
    <row r="1775" spans="1:19" ht="45.75" hidden="1">
      <c r="A1775" t="s">
        <v>89</v>
      </c>
      <c r="B1775" t="s">
        <v>1619</v>
      </c>
      <c r="C1775" t="s">
        <v>4089</v>
      </c>
      <c r="D1775" s="2" t="s">
        <v>1621</v>
      </c>
      <c r="E1775">
        <v>0.96</v>
      </c>
      <c r="F1775">
        <v>0.02</v>
      </c>
      <c r="G1775" t="s">
        <v>72</v>
      </c>
      <c r="H1775" t="s">
        <v>3457</v>
      </c>
      <c r="I1775">
        <v>35</v>
      </c>
      <c r="J1775">
        <v>1691</v>
      </c>
      <c r="K1775" s="5">
        <v>46161.607070532409</v>
      </c>
      <c r="M1775" s="2" t="s">
        <v>2062</v>
      </c>
      <c r="N1775" s="2" t="s">
        <v>1701</v>
      </c>
      <c r="O1775" s="5">
        <v>44505.463563807869</v>
      </c>
      <c r="P1775" t="str">
        <f>IF($Q1775="DELETE",IF($S1775="CONFIRMED: NO MODS &gt; 1YR","CONFIRMED: NO MODS &gt; 1YR","DO NOT DELETE — not defensibly confirmed"),IF($Q1775="HOLD","DO NOT DELETE — HOLD (Charlie review)",IF($Q1775="KEEP","DO NOT DELETE — KEEP",IF(ISNUMBER(SEARCH("REVIEW",$Q1775)),"DO NOT DELETE — REVIEW pending",$S1775))))</f>
        <v>DO NOT DELETE — REVIEW pending</v>
      </c>
      <c r="Q1775" t="str" cm="1">
        <f t="array" ref="Q1775">_xlfn.IFS(AND($A1775="thg-beauty",ISNUMBER(SEARCH("liveramp",$C1775))),"DELETE",$A1775="agile-bonbon-662",_xlfn.IFS(LEFT($G1775,9)="Tranche 1","DELETE",$C1775="Sessions_Level_1_All_Sites","KEEP",ISNUMBER(--$C1775),"REVIEW — UA raw logs",$C1775="Emag_Reporting","KEEP",$C1775="Nutrition_Data_Archived_Tables","KEEP",$C1775="EU_Data","KEEP",TRUE,"REVIEW"),OR($A1775="thg-influencer",$A1775="thg-ingenuity",$A1775="thg-central-marketing",$A1775="thg-seoclarity"),"HOLD",TRUE,"")</f>
        <v>REVIEW</v>
      </c>
      <c r="R1775" t="str" cm="1">
        <f t="array" ref="R1775">_xlfn.IFS(AND($A1775="thg-beauty",ISNUMBER(SEARCH("liveramp",$C1775))),"thg-beauty Liveramp dataset — confirmed safe to delete",$A1775="agile-bonbon-662",_xlfn.IFS(LEFT($G1775,9)="Tranche 1","Tranche 1: cleared",$C1775="Sessions_Level_1_All_Sites","Downstream aggregation of UA raw logs — keep if raw tables go",ISNUMBER(--$C1775),"UA raw site logs (account ID) — keep pending audit-retention check",$C1775="Emag_Reporting","Legacy but likely needed",$C1775="Nutrition_Data_Archived_Tables","Worth keeping",$C1775="EU_Data","Static lookup tables — scripts still reference (smoke-test risk)",TRUE,"Review"),OR($A1775="thg-influencer",$A1775="thg-ingenuity",$A1775="thg-central-marketing",$A1775="thg-seoclarity"),"HOLD — Charlie Stringer to review before deletion",TRUE,"")</f>
        <v>Review</v>
      </c>
      <c r="S1775" t="s">
        <v>1631</v>
      </c>
    </row>
    <row r="1776" spans="1:19" ht="45.75" hidden="1">
      <c r="A1776" t="s">
        <v>89</v>
      </c>
      <c r="B1776" t="s">
        <v>1619</v>
      </c>
      <c r="C1776" t="s">
        <v>4090</v>
      </c>
      <c r="D1776" s="2" t="s">
        <v>1621</v>
      </c>
      <c r="E1776">
        <v>0.95</v>
      </c>
      <c r="F1776">
        <v>0.02</v>
      </c>
      <c r="G1776" t="s">
        <v>72</v>
      </c>
      <c r="H1776" t="s">
        <v>3457</v>
      </c>
      <c r="I1776">
        <v>35</v>
      </c>
      <c r="J1776">
        <v>2695</v>
      </c>
      <c r="K1776" s="5">
        <v>46161.582473483802</v>
      </c>
      <c r="M1776" s="2" t="s">
        <v>3422</v>
      </c>
      <c r="N1776" s="2" t="s">
        <v>1701</v>
      </c>
      <c r="O1776" s="5">
        <v>43501.5758890625</v>
      </c>
      <c r="P1776" t="str">
        <f>IF($Q1776="DELETE",IF($S1776="CONFIRMED: NO MODS &gt; 1YR","CONFIRMED: NO MODS &gt; 1YR","DO NOT DELETE — not defensibly confirmed"),IF($Q1776="HOLD","DO NOT DELETE — HOLD (Charlie review)",IF($Q1776="KEEP","DO NOT DELETE — KEEP",IF(ISNUMBER(SEARCH("REVIEW",$Q1776)),"DO NOT DELETE — REVIEW pending",$S1776))))</f>
        <v>DO NOT DELETE — REVIEW pending</v>
      </c>
      <c r="Q1776" t="str" cm="1">
        <f t="array" ref="Q1776">_xlfn.IFS(AND($A1776="thg-beauty",ISNUMBER(SEARCH("liveramp",$C1776))),"DELETE",$A1776="agile-bonbon-662",_xlfn.IFS(LEFT($G1776,9)="Tranche 1","DELETE",$C1776="Sessions_Level_1_All_Sites","KEEP",ISNUMBER(--$C1776),"REVIEW — UA raw logs",$C1776="Emag_Reporting","KEEP",$C1776="Nutrition_Data_Archived_Tables","KEEP",$C1776="EU_Data","KEEP",TRUE,"REVIEW"),OR($A1776="thg-influencer",$A1776="thg-ingenuity",$A1776="thg-central-marketing",$A1776="thg-seoclarity"),"HOLD",TRUE,"")</f>
        <v>REVIEW — UA raw logs</v>
      </c>
      <c r="R1776" t="str" cm="1">
        <f t="array" ref="R1776">_xlfn.IFS(AND($A1776="thg-beauty",ISNUMBER(SEARCH("liveramp",$C1776))),"thg-beauty Liveramp dataset — confirmed safe to delete",$A1776="agile-bonbon-662",_xlfn.IFS(LEFT($G1776,9)="Tranche 1","Tranche 1: cleared",$C1776="Sessions_Level_1_All_Sites","Downstream aggregation of UA raw logs — keep if raw tables go",ISNUMBER(--$C1776),"UA raw site logs (account ID) — keep pending audit-retention check",$C1776="Emag_Reporting","Legacy but likely needed",$C1776="Nutrition_Data_Archived_Tables","Worth keeping",$C1776="EU_Data","Static lookup tables — scripts still reference (smoke-test risk)",TRUE,"Review"),OR($A1776="thg-influencer",$A1776="thg-ingenuity",$A1776="thg-central-marketing",$A1776="thg-seoclarity"),"HOLD — Charlie Stringer to review before deletion",TRUE,"")</f>
        <v>UA raw site logs (account ID) — keep pending audit-retention check</v>
      </c>
      <c r="S1776" t="s">
        <v>1631</v>
      </c>
    </row>
    <row r="1777" spans="1:19" ht="45.75" hidden="1">
      <c r="A1777" t="s">
        <v>89</v>
      </c>
      <c r="B1777" t="s">
        <v>1619</v>
      </c>
      <c r="C1777" t="s">
        <v>4091</v>
      </c>
      <c r="D1777" s="2" t="s">
        <v>1621</v>
      </c>
      <c r="E1777">
        <v>0.89</v>
      </c>
      <c r="F1777">
        <v>0.02</v>
      </c>
      <c r="G1777" t="s">
        <v>72</v>
      </c>
      <c r="H1777" t="s">
        <v>3457</v>
      </c>
      <c r="I1777">
        <v>35</v>
      </c>
      <c r="J1777">
        <v>723</v>
      </c>
      <c r="K1777" s="5">
        <v>46161.59450644676</v>
      </c>
      <c r="M1777" s="2" t="s">
        <v>3902</v>
      </c>
      <c r="N1777" s="2" t="s">
        <v>1701</v>
      </c>
      <c r="O1777" s="5">
        <v>45474.282350462963</v>
      </c>
      <c r="P1777" t="str">
        <f>IF($Q1777="DELETE",IF($S1777="CONFIRMED: NO MODS &gt; 1YR","CONFIRMED: NO MODS &gt; 1YR","DO NOT DELETE — not defensibly confirmed"),IF($Q1777="HOLD","DO NOT DELETE — HOLD (Charlie review)",IF($Q1777="KEEP","DO NOT DELETE — KEEP",IF(ISNUMBER(SEARCH("REVIEW",$Q1777)),"DO NOT DELETE — REVIEW pending",$S1777))))</f>
        <v>DO NOT DELETE — REVIEW pending</v>
      </c>
      <c r="Q1777" t="str" cm="1">
        <f t="array" ref="Q1777">_xlfn.IFS(AND($A1777="thg-beauty",ISNUMBER(SEARCH("liveramp",$C1777))),"DELETE",$A1777="agile-bonbon-662",_xlfn.IFS(LEFT($G1777,9)="Tranche 1","DELETE",$C1777="Sessions_Level_1_All_Sites","KEEP",ISNUMBER(--$C1777),"REVIEW — UA raw logs",$C1777="Emag_Reporting","KEEP",$C1777="Nutrition_Data_Archived_Tables","KEEP",$C1777="EU_Data","KEEP",TRUE,"REVIEW"),OR($A1777="thg-influencer",$A1777="thg-ingenuity",$A1777="thg-central-marketing",$A1777="thg-seoclarity"),"HOLD",TRUE,"")</f>
        <v>REVIEW — UA raw logs</v>
      </c>
      <c r="R1777" t="str" cm="1">
        <f t="array" ref="R1777">_xlfn.IFS(AND($A1777="thg-beauty",ISNUMBER(SEARCH("liveramp",$C1777))),"thg-beauty Liveramp dataset — confirmed safe to delete",$A1777="agile-bonbon-662",_xlfn.IFS(LEFT($G1777,9)="Tranche 1","Tranche 1: cleared",$C1777="Sessions_Level_1_All_Sites","Downstream aggregation of UA raw logs — keep if raw tables go",ISNUMBER(--$C1777),"UA raw site logs (account ID) — keep pending audit-retention check",$C1777="Emag_Reporting","Legacy but likely needed",$C1777="Nutrition_Data_Archived_Tables","Worth keeping",$C1777="EU_Data","Static lookup tables — scripts still reference (smoke-test risk)",TRUE,"Review"),OR($A1777="thg-influencer",$A1777="thg-ingenuity",$A1777="thg-central-marketing",$A1777="thg-seoclarity"),"HOLD — Charlie Stringer to review before deletion",TRUE,"")</f>
        <v>UA raw site logs (account ID) — keep pending audit-retention check</v>
      </c>
      <c r="S1777" t="s">
        <v>1631</v>
      </c>
    </row>
    <row r="1778" spans="1:19" ht="45.75" hidden="1">
      <c r="A1778" t="s">
        <v>89</v>
      </c>
      <c r="B1778" t="s">
        <v>1619</v>
      </c>
      <c r="C1778" t="s">
        <v>4092</v>
      </c>
      <c r="D1778" s="2" t="s">
        <v>1621</v>
      </c>
      <c r="E1778">
        <v>0.88</v>
      </c>
      <c r="F1778">
        <v>0.02</v>
      </c>
      <c r="G1778" t="s">
        <v>72</v>
      </c>
      <c r="H1778" t="s">
        <v>3457</v>
      </c>
      <c r="I1778">
        <v>35</v>
      </c>
      <c r="J1778">
        <v>1063</v>
      </c>
      <c r="K1778" s="5">
        <v>46161.616807210637</v>
      </c>
      <c r="M1778" s="2" t="s">
        <v>1925</v>
      </c>
      <c r="N1778" s="2" t="s">
        <v>1701</v>
      </c>
      <c r="O1778" s="5">
        <v>45134.060723425922</v>
      </c>
      <c r="P1778" t="str">
        <f>IF($Q1778="DELETE",IF($S1778="CONFIRMED: NO MODS &gt; 1YR","CONFIRMED: NO MODS &gt; 1YR","DO NOT DELETE — not defensibly confirmed"),IF($Q1778="HOLD","DO NOT DELETE — HOLD (Charlie review)",IF($Q1778="KEEP","DO NOT DELETE — KEEP",IF(ISNUMBER(SEARCH("REVIEW",$Q1778)),"DO NOT DELETE — REVIEW pending",$S1778))))</f>
        <v>DO NOT DELETE — REVIEW pending</v>
      </c>
      <c r="Q1778" t="str" cm="1">
        <f t="array" ref="Q1778">_xlfn.IFS(AND($A1778="thg-beauty",ISNUMBER(SEARCH("liveramp",$C1778))),"DELETE",$A1778="agile-bonbon-662",_xlfn.IFS(LEFT($G1778,9)="Tranche 1","DELETE",$C1778="Sessions_Level_1_All_Sites","KEEP",ISNUMBER(--$C1778),"REVIEW — UA raw logs",$C1778="Emag_Reporting","KEEP",$C1778="Nutrition_Data_Archived_Tables","KEEP",$C1778="EU_Data","KEEP",TRUE,"REVIEW"),OR($A1778="thg-influencer",$A1778="thg-ingenuity",$A1778="thg-central-marketing",$A1778="thg-seoclarity"),"HOLD",TRUE,"")</f>
        <v>REVIEW</v>
      </c>
      <c r="R1778" t="str" cm="1">
        <f t="array" ref="R1778">_xlfn.IFS(AND($A1778="thg-beauty",ISNUMBER(SEARCH("liveramp",$C1778))),"thg-beauty Liveramp dataset — confirmed safe to delete",$A1778="agile-bonbon-662",_xlfn.IFS(LEFT($G1778,9)="Tranche 1","Tranche 1: cleared",$C1778="Sessions_Level_1_All_Sites","Downstream aggregation of UA raw logs — keep if raw tables go",ISNUMBER(--$C1778),"UA raw site logs (account ID) — keep pending audit-retention check",$C1778="Emag_Reporting","Legacy but likely needed",$C1778="Nutrition_Data_Archived_Tables","Worth keeping",$C1778="EU_Data","Static lookup tables — scripts still reference (smoke-test risk)",TRUE,"Review"),OR($A1778="thg-influencer",$A1778="thg-ingenuity",$A1778="thg-central-marketing",$A1778="thg-seoclarity"),"HOLD — Charlie Stringer to review before deletion",TRUE,"")</f>
        <v>Review</v>
      </c>
      <c r="S1778" t="s">
        <v>1631</v>
      </c>
    </row>
    <row r="1779" spans="1:19" ht="45.75" hidden="1">
      <c r="A1779" t="s">
        <v>89</v>
      </c>
      <c r="B1779" t="s">
        <v>1619</v>
      </c>
      <c r="C1779" t="s">
        <v>4093</v>
      </c>
      <c r="D1779" s="2" t="s">
        <v>1621</v>
      </c>
      <c r="E1779">
        <v>0.88</v>
      </c>
      <c r="F1779">
        <v>0.02</v>
      </c>
      <c r="G1779" t="s">
        <v>72</v>
      </c>
      <c r="H1779" t="s">
        <v>3457</v>
      </c>
      <c r="I1779">
        <v>35</v>
      </c>
      <c r="J1779">
        <v>1191</v>
      </c>
      <c r="K1779" s="5">
        <v>46161.618878738424</v>
      </c>
      <c r="M1779" s="2" t="s">
        <v>1981</v>
      </c>
      <c r="N1779" s="2" t="s">
        <v>1701</v>
      </c>
      <c r="O1779" s="5">
        <v>45006.412350752318</v>
      </c>
      <c r="P1779" t="str">
        <f>IF($Q1779="DELETE",IF($S1779="CONFIRMED: NO MODS &gt; 1YR","CONFIRMED: NO MODS &gt; 1YR","DO NOT DELETE — not defensibly confirmed"),IF($Q1779="HOLD","DO NOT DELETE — HOLD (Charlie review)",IF($Q1779="KEEP","DO NOT DELETE — KEEP",IF(ISNUMBER(SEARCH("REVIEW",$Q1779)),"DO NOT DELETE — REVIEW pending",$S1779))))</f>
        <v>DO NOT DELETE — REVIEW pending</v>
      </c>
      <c r="Q1779" t="str" cm="1">
        <f t="array" ref="Q1779">_xlfn.IFS(AND($A1779="thg-beauty",ISNUMBER(SEARCH("liveramp",$C1779))),"DELETE",$A1779="agile-bonbon-662",_xlfn.IFS(LEFT($G1779,9)="Tranche 1","DELETE",$C1779="Sessions_Level_1_All_Sites","KEEP",ISNUMBER(--$C1779),"REVIEW — UA raw logs",$C1779="Emag_Reporting","KEEP",$C1779="Nutrition_Data_Archived_Tables","KEEP",$C1779="EU_Data","KEEP",TRUE,"REVIEW"),OR($A1779="thg-influencer",$A1779="thg-ingenuity",$A1779="thg-central-marketing",$A1779="thg-seoclarity"),"HOLD",TRUE,"")</f>
        <v>REVIEW</v>
      </c>
      <c r="R1779" t="str" cm="1">
        <f t="array" ref="R1779">_xlfn.IFS(AND($A1779="thg-beauty",ISNUMBER(SEARCH("liveramp",$C1779))),"thg-beauty Liveramp dataset — confirmed safe to delete",$A1779="agile-bonbon-662",_xlfn.IFS(LEFT($G1779,9)="Tranche 1","Tranche 1: cleared",$C1779="Sessions_Level_1_All_Sites","Downstream aggregation of UA raw logs — keep if raw tables go",ISNUMBER(--$C1779),"UA raw site logs (account ID) — keep pending audit-retention check",$C1779="Emag_Reporting","Legacy but likely needed",$C1779="Nutrition_Data_Archived_Tables","Worth keeping",$C1779="EU_Data","Static lookup tables — scripts still reference (smoke-test risk)",TRUE,"Review"),OR($A1779="thg-influencer",$A1779="thg-ingenuity",$A1779="thg-central-marketing",$A1779="thg-seoclarity"),"HOLD — Charlie Stringer to review before deletion",TRUE,"")</f>
        <v>Review</v>
      </c>
      <c r="S1779" t="s">
        <v>1631</v>
      </c>
    </row>
    <row r="1780" spans="1:19" ht="45.75" hidden="1">
      <c r="A1780" t="s">
        <v>89</v>
      </c>
      <c r="B1780" t="s">
        <v>1619</v>
      </c>
      <c r="C1780" t="s">
        <v>4094</v>
      </c>
      <c r="D1780" s="2" t="s">
        <v>1621</v>
      </c>
      <c r="E1780">
        <v>0.86</v>
      </c>
      <c r="F1780">
        <v>0.02</v>
      </c>
      <c r="G1780" t="s">
        <v>72</v>
      </c>
      <c r="H1780" t="s">
        <v>3457</v>
      </c>
      <c r="I1780">
        <v>35</v>
      </c>
      <c r="J1780">
        <v>723</v>
      </c>
      <c r="K1780" s="5">
        <v>46161.58672767361</v>
      </c>
      <c r="M1780" s="2" t="s">
        <v>3429</v>
      </c>
      <c r="N1780" s="2" t="s">
        <v>1701</v>
      </c>
      <c r="O1780" s="5">
        <v>45474.263961342593</v>
      </c>
      <c r="P1780" t="str">
        <f>IF($Q1780="DELETE",IF($S1780="CONFIRMED: NO MODS &gt; 1YR","CONFIRMED: NO MODS &gt; 1YR","DO NOT DELETE — not defensibly confirmed"),IF($Q1780="HOLD","DO NOT DELETE — HOLD (Charlie review)",IF($Q1780="KEEP","DO NOT DELETE — KEEP",IF(ISNUMBER(SEARCH("REVIEW",$Q1780)),"DO NOT DELETE — REVIEW pending",$S1780))))</f>
        <v>DO NOT DELETE — REVIEW pending</v>
      </c>
      <c r="Q1780" t="str" cm="1">
        <f t="array" ref="Q1780">_xlfn.IFS(AND($A1780="thg-beauty",ISNUMBER(SEARCH("liveramp",$C1780))),"DELETE",$A1780="agile-bonbon-662",_xlfn.IFS(LEFT($G1780,9)="Tranche 1","DELETE",$C1780="Sessions_Level_1_All_Sites","KEEP",ISNUMBER(--$C1780),"REVIEW — UA raw logs",$C1780="Emag_Reporting","KEEP",$C1780="Nutrition_Data_Archived_Tables","KEEP",$C1780="EU_Data","KEEP",TRUE,"REVIEW"),OR($A1780="thg-influencer",$A1780="thg-ingenuity",$A1780="thg-central-marketing",$A1780="thg-seoclarity"),"HOLD",TRUE,"")</f>
        <v>REVIEW — UA raw logs</v>
      </c>
      <c r="R1780" t="str" cm="1">
        <f t="array" ref="R1780">_xlfn.IFS(AND($A1780="thg-beauty",ISNUMBER(SEARCH("liveramp",$C1780))),"thg-beauty Liveramp dataset — confirmed safe to delete",$A1780="agile-bonbon-662",_xlfn.IFS(LEFT($G1780,9)="Tranche 1","Tranche 1: cleared",$C1780="Sessions_Level_1_All_Sites","Downstream aggregation of UA raw logs — keep if raw tables go",ISNUMBER(--$C1780),"UA raw site logs (account ID) — keep pending audit-retention check",$C1780="Emag_Reporting","Legacy but likely needed",$C1780="Nutrition_Data_Archived_Tables","Worth keeping",$C1780="EU_Data","Static lookup tables — scripts still reference (smoke-test risk)",TRUE,"Review"),OR($A1780="thg-influencer",$A1780="thg-ingenuity",$A1780="thg-central-marketing",$A1780="thg-seoclarity"),"HOLD — Charlie Stringer to review before deletion",TRUE,"")</f>
        <v>UA raw site logs (account ID) — keep pending audit-retention check</v>
      </c>
      <c r="S1780" t="s">
        <v>1631</v>
      </c>
    </row>
    <row r="1781" spans="1:19" ht="45.75" hidden="1">
      <c r="A1781" t="s">
        <v>89</v>
      </c>
      <c r="B1781" t="s">
        <v>1619</v>
      </c>
      <c r="C1781" t="s">
        <v>4095</v>
      </c>
      <c r="D1781" s="2" t="s">
        <v>1621</v>
      </c>
      <c r="E1781">
        <v>0.85</v>
      </c>
      <c r="F1781">
        <v>0.02</v>
      </c>
      <c r="G1781" t="s">
        <v>72</v>
      </c>
      <c r="H1781" t="s">
        <v>3457</v>
      </c>
      <c r="I1781">
        <v>35</v>
      </c>
      <c r="J1781">
        <v>883</v>
      </c>
      <c r="K1781" s="5">
        <v>46161.587611990741</v>
      </c>
      <c r="M1781" s="2" t="s">
        <v>3413</v>
      </c>
      <c r="N1781" s="2" t="s">
        <v>1701</v>
      </c>
      <c r="O1781" s="5">
        <v>45314.262165046297</v>
      </c>
      <c r="P1781" t="str">
        <f>IF($Q1781="DELETE",IF($S1781="CONFIRMED: NO MODS &gt; 1YR","CONFIRMED: NO MODS &gt; 1YR","DO NOT DELETE — not defensibly confirmed"),IF($Q1781="HOLD","DO NOT DELETE — HOLD (Charlie review)",IF($Q1781="KEEP","DO NOT DELETE — KEEP",IF(ISNUMBER(SEARCH("REVIEW",$Q1781)),"DO NOT DELETE — REVIEW pending",$S1781))))</f>
        <v>DO NOT DELETE — REVIEW pending</v>
      </c>
      <c r="Q1781" t="str" cm="1">
        <f t="array" ref="Q1781">_xlfn.IFS(AND($A1781="thg-beauty",ISNUMBER(SEARCH("liveramp",$C1781))),"DELETE",$A1781="agile-bonbon-662",_xlfn.IFS(LEFT($G1781,9)="Tranche 1","DELETE",$C1781="Sessions_Level_1_All_Sites","KEEP",ISNUMBER(--$C1781),"REVIEW — UA raw logs",$C1781="Emag_Reporting","KEEP",$C1781="Nutrition_Data_Archived_Tables","KEEP",$C1781="EU_Data","KEEP",TRUE,"REVIEW"),OR($A1781="thg-influencer",$A1781="thg-ingenuity",$A1781="thg-central-marketing",$A1781="thg-seoclarity"),"HOLD",TRUE,"")</f>
        <v>REVIEW — UA raw logs</v>
      </c>
      <c r="R1781" t="str" cm="1">
        <f t="array" ref="R1781">_xlfn.IFS(AND($A1781="thg-beauty",ISNUMBER(SEARCH("liveramp",$C1781))),"thg-beauty Liveramp dataset — confirmed safe to delete",$A1781="agile-bonbon-662",_xlfn.IFS(LEFT($G1781,9)="Tranche 1","Tranche 1: cleared",$C1781="Sessions_Level_1_All_Sites","Downstream aggregation of UA raw logs — keep if raw tables go",ISNUMBER(--$C1781),"UA raw site logs (account ID) — keep pending audit-retention check",$C1781="Emag_Reporting","Legacy but likely needed",$C1781="Nutrition_Data_Archived_Tables","Worth keeping",$C1781="EU_Data","Static lookup tables — scripts still reference (smoke-test risk)",TRUE,"Review"),OR($A1781="thg-influencer",$A1781="thg-ingenuity",$A1781="thg-central-marketing",$A1781="thg-seoclarity"),"HOLD — Charlie Stringer to review before deletion",TRUE,"")</f>
        <v>UA raw site logs (account ID) — keep pending audit-retention check</v>
      </c>
      <c r="S1781" t="s">
        <v>1631</v>
      </c>
    </row>
    <row r="1782" spans="1:19" ht="45.75" hidden="1">
      <c r="A1782" t="s">
        <v>89</v>
      </c>
      <c r="B1782" t="s">
        <v>1619</v>
      </c>
      <c r="C1782" t="s">
        <v>4096</v>
      </c>
      <c r="D1782" s="2" t="s">
        <v>1621</v>
      </c>
      <c r="E1782">
        <v>0.85</v>
      </c>
      <c r="F1782">
        <v>0.02</v>
      </c>
      <c r="G1782" t="s">
        <v>72</v>
      </c>
      <c r="H1782" t="s">
        <v>3457</v>
      </c>
      <c r="I1782">
        <v>35</v>
      </c>
      <c r="J1782">
        <v>1006</v>
      </c>
      <c r="K1782" s="5">
        <v>46161.590277835647</v>
      </c>
      <c r="M1782" s="2" t="s">
        <v>3447</v>
      </c>
      <c r="N1782" s="2" t="s">
        <v>1701</v>
      </c>
      <c r="O1782" s="5">
        <v>45191.249770381954</v>
      </c>
      <c r="P1782" t="str">
        <f>IF($Q1782="DELETE",IF($S1782="CONFIRMED: NO MODS &gt; 1YR","CONFIRMED: NO MODS &gt; 1YR","DO NOT DELETE — not defensibly confirmed"),IF($Q1782="HOLD","DO NOT DELETE — HOLD (Charlie review)",IF($Q1782="KEEP","DO NOT DELETE — KEEP",IF(ISNUMBER(SEARCH("REVIEW",$Q1782)),"DO NOT DELETE — REVIEW pending",$S1782))))</f>
        <v>DO NOT DELETE — REVIEW pending</v>
      </c>
      <c r="Q1782" t="str" cm="1">
        <f t="array" ref="Q1782">_xlfn.IFS(AND($A1782="thg-beauty",ISNUMBER(SEARCH("liveramp",$C1782))),"DELETE",$A1782="agile-bonbon-662",_xlfn.IFS(LEFT($G1782,9)="Tranche 1","DELETE",$C1782="Sessions_Level_1_All_Sites","KEEP",ISNUMBER(--$C1782),"REVIEW — UA raw logs",$C1782="Emag_Reporting","KEEP",$C1782="Nutrition_Data_Archived_Tables","KEEP",$C1782="EU_Data","KEEP",TRUE,"REVIEW"),OR($A1782="thg-influencer",$A1782="thg-ingenuity",$A1782="thg-central-marketing",$A1782="thg-seoclarity"),"HOLD",TRUE,"")</f>
        <v>REVIEW — UA raw logs</v>
      </c>
      <c r="R1782" t="str" cm="1">
        <f t="array" ref="R1782">_xlfn.IFS(AND($A1782="thg-beauty",ISNUMBER(SEARCH("liveramp",$C1782))),"thg-beauty Liveramp dataset — confirmed safe to delete",$A1782="agile-bonbon-662",_xlfn.IFS(LEFT($G1782,9)="Tranche 1","Tranche 1: cleared",$C1782="Sessions_Level_1_All_Sites","Downstream aggregation of UA raw logs — keep if raw tables go",ISNUMBER(--$C1782),"UA raw site logs (account ID) — keep pending audit-retention check",$C1782="Emag_Reporting","Legacy but likely needed",$C1782="Nutrition_Data_Archived_Tables","Worth keeping",$C1782="EU_Data","Static lookup tables — scripts still reference (smoke-test risk)",TRUE,"Review"),OR($A1782="thg-influencer",$A1782="thg-ingenuity",$A1782="thg-central-marketing",$A1782="thg-seoclarity"),"HOLD — Charlie Stringer to review before deletion",TRUE,"")</f>
        <v>UA raw site logs (account ID) — keep pending audit-retention check</v>
      </c>
      <c r="S1782" t="s">
        <v>1631</v>
      </c>
    </row>
    <row r="1783" spans="1:19" ht="45.75" hidden="1">
      <c r="A1783" t="s">
        <v>89</v>
      </c>
      <c r="B1783" t="s">
        <v>1619</v>
      </c>
      <c r="C1783" t="s">
        <v>4097</v>
      </c>
      <c r="D1783" s="2" t="s">
        <v>1621</v>
      </c>
      <c r="E1783">
        <v>0.82</v>
      </c>
      <c r="F1783">
        <v>0.02</v>
      </c>
      <c r="G1783" t="s">
        <v>72</v>
      </c>
      <c r="H1783" t="s">
        <v>3457</v>
      </c>
      <c r="I1783">
        <v>35</v>
      </c>
      <c r="J1783">
        <v>589</v>
      </c>
      <c r="K1783" s="5">
        <v>46161.607916365741</v>
      </c>
      <c r="M1783" s="2" t="s">
        <v>2047</v>
      </c>
      <c r="N1783" s="2" t="s">
        <v>1701</v>
      </c>
      <c r="O1783" s="5">
        <v>45608.429331712963</v>
      </c>
      <c r="P1783" t="str">
        <f>IF($Q1783="DELETE",IF($S1783="CONFIRMED: NO MODS &gt; 1YR","CONFIRMED: NO MODS &gt; 1YR","DO NOT DELETE — not defensibly confirmed"),IF($Q1783="HOLD","DO NOT DELETE — HOLD (Charlie review)",IF($Q1783="KEEP","DO NOT DELETE — KEEP",IF(ISNUMBER(SEARCH("REVIEW",$Q1783)),"DO NOT DELETE — REVIEW pending",$S1783))))</f>
        <v>DO NOT DELETE — REVIEW pending</v>
      </c>
      <c r="Q1783" t="str" cm="1">
        <f t="array" ref="Q1783">_xlfn.IFS(AND($A1783="thg-beauty",ISNUMBER(SEARCH("liveramp",$C1783))),"DELETE",$A1783="agile-bonbon-662",_xlfn.IFS(LEFT($G1783,9)="Tranche 1","DELETE",$C1783="Sessions_Level_1_All_Sites","KEEP",ISNUMBER(--$C1783),"REVIEW — UA raw logs",$C1783="Emag_Reporting","KEEP",$C1783="Nutrition_Data_Archived_Tables","KEEP",$C1783="EU_Data","KEEP",TRUE,"REVIEW"),OR($A1783="thg-influencer",$A1783="thg-ingenuity",$A1783="thg-central-marketing",$A1783="thg-seoclarity"),"HOLD",TRUE,"")</f>
        <v>REVIEW</v>
      </c>
      <c r="R1783" t="str" cm="1">
        <f t="array" ref="R1783">_xlfn.IFS(AND($A1783="thg-beauty",ISNUMBER(SEARCH("liveramp",$C1783))),"thg-beauty Liveramp dataset — confirmed safe to delete",$A1783="agile-bonbon-662",_xlfn.IFS(LEFT($G1783,9)="Tranche 1","Tranche 1: cleared",$C1783="Sessions_Level_1_All_Sites","Downstream aggregation of UA raw logs — keep if raw tables go",ISNUMBER(--$C1783),"UA raw site logs (account ID) — keep pending audit-retention check",$C1783="Emag_Reporting","Legacy but likely needed",$C1783="Nutrition_Data_Archived_Tables","Worth keeping",$C1783="EU_Data","Static lookup tables — scripts still reference (smoke-test risk)",TRUE,"Review"),OR($A1783="thg-influencer",$A1783="thg-ingenuity",$A1783="thg-central-marketing",$A1783="thg-seoclarity"),"HOLD — Charlie Stringer to review before deletion",TRUE,"")</f>
        <v>Review</v>
      </c>
      <c r="S1783" t="s">
        <v>1631</v>
      </c>
    </row>
    <row r="1784" spans="1:19" ht="45.75" hidden="1">
      <c r="A1784" t="s">
        <v>89</v>
      </c>
      <c r="B1784" t="s">
        <v>1619</v>
      </c>
      <c r="C1784" t="s">
        <v>4098</v>
      </c>
      <c r="D1784" s="2" t="s">
        <v>1621</v>
      </c>
      <c r="E1784">
        <v>0.81</v>
      </c>
      <c r="F1784">
        <v>0.02</v>
      </c>
      <c r="G1784" t="s">
        <v>72</v>
      </c>
      <c r="H1784" t="s">
        <v>3457</v>
      </c>
      <c r="I1784">
        <v>35</v>
      </c>
      <c r="J1784">
        <v>723</v>
      </c>
      <c r="K1784" s="5">
        <v>46161.593329988427</v>
      </c>
      <c r="M1784" s="2" t="s">
        <v>3979</v>
      </c>
      <c r="N1784" s="2" t="s">
        <v>1701</v>
      </c>
      <c r="O1784" s="5">
        <v>45474.266554664347</v>
      </c>
      <c r="P1784" t="str">
        <f>IF($Q1784="DELETE",IF($S1784="CONFIRMED: NO MODS &gt; 1YR","CONFIRMED: NO MODS &gt; 1YR","DO NOT DELETE — not defensibly confirmed"),IF($Q1784="HOLD","DO NOT DELETE — HOLD (Charlie review)",IF($Q1784="KEEP","DO NOT DELETE — KEEP",IF(ISNUMBER(SEARCH("REVIEW",$Q1784)),"DO NOT DELETE — REVIEW pending",$S1784))))</f>
        <v>DO NOT DELETE — REVIEW pending</v>
      </c>
      <c r="Q1784" t="str" cm="1">
        <f t="array" ref="Q1784">_xlfn.IFS(AND($A1784="thg-beauty",ISNUMBER(SEARCH("liveramp",$C1784))),"DELETE",$A1784="agile-bonbon-662",_xlfn.IFS(LEFT($G1784,9)="Tranche 1","DELETE",$C1784="Sessions_Level_1_All_Sites","KEEP",ISNUMBER(--$C1784),"REVIEW — UA raw logs",$C1784="Emag_Reporting","KEEP",$C1784="Nutrition_Data_Archived_Tables","KEEP",$C1784="EU_Data","KEEP",TRUE,"REVIEW"),OR($A1784="thg-influencer",$A1784="thg-ingenuity",$A1784="thg-central-marketing",$A1784="thg-seoclarity"),"HOLD",TRUE,"")</f>
        <v>REVIEW — UA raw logs</v>
      </c>
      <c r="R1784" t="str" cm="1">
        <f t="array" ref="R1784">_xlfn.IFS(AND($A1784="thg-beauty",ISNUMBER(SEARCH("liveramp",$C1784))),"thg-beauty Liveramp dataset — confirmed safe to delete",$A1784="agile-bonbon-662",_xlfn.IFS(LEFT($G1784,9)="Tranche 1","Tranche 1: cleared",$C1784="Sessions_Level_1_All_Sites","Downstream aggregation of UA raw logs — keep if raw tables go",ISNUMBER(--$C1784),"UA raw site logs (account ID) — keep pending audit-retention check",$C1784="Emag_Reporting","Legacy but likely needed",$C1784="Nutrition_Data_Archived_Tables","Worth keeping",$C1784="EU_Data","Static lookup tables — scripts still reference (smoke-test risk)",TRUE,"Review"),OR($A1784="thg-influencer",$A1784="thg-ingenuity",$A1784="thg-central-marketing",$A1784="thg-seoclarity"),"HOLD — Charlie Stringer to review before deletion",TRUE,"")</f>
        <v>UA raw site logs (account ID) — keep pending audit-retention check</v>
      </c>
      <c r="S1784" t="s">
        <v>1631</v>
      </c>
    </row>
    <row r="1785" spans="1:19" ht="45.75" hidden="1">
      <c r="A1785" t="s">
        <v>89</v>
      </c>
      <c r="B1785" t="s">
        <v>1619</v>
      </c>
      <c r="C1785" t="s">
        <v>4099</v>
      </c>
      <c r="D1785" s="2" t="s">
        <v>1621</v>
      </c>
      <c r="E1785">
        <v>0.79</v>
      </c>
      <c r="F1785">
        <v>0.02</v>
      </c>
      <c r="G1785" t="s">
        <v>72</v>
      </c>
      <c r="H1785" t="s">
        <v>3457</v>
      </c>
      <c r="I1785">
        <v>35</v>
      </c>
      <c r="J1785">
        <v>1159</v>
      </c>
      <c r="K1785" s="5">
        <v>46161.615703854157</v>
      </c>
      <c r="M1785" s="2" t="s">
        <v>1977</v>
      </c>
      <c r="N1785" s="2" t="s">
        <v>1701</v>
      </c>
      <c r="O1785" s="5">
        <v>45037.765668958331</v>
      </c>
      <c r="P1785" t="str">
        <f>IF($Q1785="DELETE",IF($S1785="CONFIRMED: NO MODS &gt; 1YR","CONFIRMED: NO MODS &gt; 1YR","DO NOT DELETE — not defensibly confirmed"),IF($Q1785="HOLD","DO NOT DELETE — HOLD (Charlie review)",IF($Q1785="KEEP","DO NOT DELETE — KEEP",IF(ISNUMBER(SEARCH("REVIEW",$Q1785)),"DO NOT DELETE — REVIEW pending",$S1785))))</f>
        <v>DO NOT DELETE — REVIEW pending</v>
      </c>
      <c r="Q1785" t="str" cm="1">
        <f t="array" ref="Q1785">_xlfn.IFS(AND($A1785="thg-beauty",ISNUMBER(SEARCH("liveramp",$C1785))),"DELETE",$A1785="agile-bonbon-662",_xlfn.IFS(LEFT($G1785,9)="Tranche 1","DELETE",$C1785="Sessions_Level_1_All_Sites","KEEP",ISNUMBER(--$C1785),"REVIEW — UA raw logs",$C1785="Emag_Reporting","KEEP",$C1785="Nutrition_Data_Archived_Tables","KEEP",$C1785="EU_Data","KEEP",TRUE,"REVIEW"),OR($A1785="thg-influencer",$A1785="thg-ingenuity",$A1785="thg-central-marketing",$A1785="thg-seoclarity"),"HOLD",TRUE,"")</f>
        <v>REVIEW</v>
      </c>
      <c r="R1785" t="str" cm="1">
        <f t="array" ref="R1785">_xlfn.IFS(AND($A1785="thg-beauty",ISNUMBER(SEARCH("liveramp",$C1785))),"thg-beauty Liveramp dataset — confirmed safe to delete",$A1785="agile-bonbon-662",_xlfn.IFS(LEFT($G1785,9)="Tranche 1","Tranche 1: cleared",$C1785="Sessions_Level_1_All_Sites","Downstream aggregation of UA raw logs — keep if raw tables go",ISNUMBER(--$C1785),"UA raw site logs (account ID) — keep pending audit-retention check",$C1785="Emag_Reporting","Legacy but likely needed",$C1785="Nutrition_Data_Archived_Tables","Worth keeping",$C1785="EU_Data","Static lookup tables — scripts still reference (smoke-test risk)",TRUE,"Review"),OR($A1785="thg-influencer",$A1785="thg-ingenuity",$A1785="thg-central-marketing",$A1785="thg-seoclarity"),"HOLD — Charlie Stringer to review before deletion",TRUE,"")</f>
        <v>Review</v>
      </c>
      <c r="S1785" t="s">
        <v>1631</v>
      </c>
    </row>
    <row r="1786" spans="1:19" ht="45.75" hidden="1">
      <c r="A1786" t="s">
        <v>89</v>
      </c>
      <c r="B1786" t="s">
        <v>1619</v>
      </c>
      <c r="C1786" t="s">
        <v>4100</v>
      </c>
      <c r="D1786" s="2" t="s">
        <v>1621</v>
      </c>
      <c r="E1786">
        <v>0.78</v>
      </c>
      <c r="F1786">
        <v>0.02</v>
      </c>
      <c r="G1786" t="s">
        <v>72</v>
      </c>
      <c r="H1786" t="s">
        <v>3457</v>
      </c>
      <c r="I1786">
        <v>35</v>
      </c>
      <c r="J1786">
        <v>2695</v>
      </c>
      <c r="K1786" s="5">
        <v>46161.582983356479</v>
      </c>
      <c r="M1786" s="2" t="s">
        <v>3435</v>
      </c>
      <c r="N1786" s="2" t="s">
        <v>1701</v>
      </c>
      <c r="O1786" s="5">
        <v>43501.474009930564</v>
      </c>
      <c r="P1786" t="str">
        <f>IF($Q1786="DELETE",IF($S1786="CONFIRMED: NO MODS &gt; 1YR","CONFIRMED: NO MODS &gt; 1YR","DO NOT DELETE — not defensibly confirmed"),IF($Q1786="HOLD","DO NOT DELETE — HOLD (Charlie review)",IF($Q1786="KEEP","DO NOT DELETE — KEEP",IF(ISNUMBER(SEARCH("REVIEW",$Q1786)),"DO NOT DELETE — REVIEW pending",$S1786))))</f>
        <v>DO NOT DELETE — REVIEW pending</v>
      </c>
      <c r="Q1786" t="str" cm="1">
        <f t="array" ref="Q1786">_xlfn.IFS(AND($A1786="thg-beauty",ISNUMBER(SEARCH("liveramp",$C1786))),"DELETE",$A1786="agile-bonbon-662",_xlfn.IFS(LEFT($G1786,9)="Tranche 1","DELETE",$C1786="Sessions_Level_1_All_Sites","KEEP",ISNUMBER(--$C1786),"REVIEW — UA raw logs",$C1786="Emag_Reporting","KEEP",$C1786="Nutrition_Data_Archived_Tables","KEEP",$C1786="EU_Data","KEEP",TRUE,"REVIEW"),OR($A1786="thg-influencer",$A1786="thg-ingenuity",$A1786="thg-central-marketing",$A1786="thg-seoclarity"),"HOLD",TRUE,"")</f>
        <v>REVIEW — UA raw logs</v>
      </c>
      <c r="R1786" t="str" cm="1">
        <f t="array" ref="R1786">_xlfn.IFS(AND($A1786="thg-beauty",ISNUMBER(SEARCH("liveramp",$C1786))),"thg-beauty Liveramp dataset — confirmed safe to delete",$A1786="agile-bonbon-662",_xlfn.IFS(LEFT($G1786,9)="Tranche 1","Tranche 1: cleared",$C1786="Sessions_Level_1_All_Sites","Downstream aggregation of UA raw logs — keep if raw tables go",ISNUMBER(--$C1786),"UA raw site logs (account ID) — keep pending audit-retention check",$C1786="Emag_Reporting","Legacy but likely needed",$C1786="Nutrition_Data_Archived_Tables","Worth keeping",$C1786="EU_Data","Static lookup tables — scripts still reference (smoke-test risk)",TRUE,"Review"),OR($A1786="thg-influencer",$A1786="thg-ingenuity",$A1786="thg-central-marketing",$A1786="thg-seoclarity"),"HOLD — Charlie Stringer to review before deletion",TRUE,"")</f>
        <v>UA raw site logs (account ID) — keep pending audit-retention check</v>
      </c>
      <c r="S1786" t="s">
        <v>1631</v>
      </c>
    </row>
    <row r="1787" spans="1:19" ht="45.75" hidden="1">
      <c r="A1787" t="s">
        <v>89</v>
      </c>
      <c r="B1787" t="s">
        <v>1619</v>
      </c>
      <c r="C1787" t="s">
        <v>4101</v>
      </c>
      <c r="D1787" s="2" t="s">
        <v>1621</v>
      </c>
      <c r="E1787">
        <v>0.76</v>
      </c>
      <c r="F1787">
        <v>0.02</v>
      </c>
      <c r="G1787" t="s">
        <v>72</v>
      </c>
      <c r="H1787" t="s">
        <v>3457</v>
      </c>
      <c r="I1787">
        <v>35</v>
      </c>
      <c r="J1787">
        <v>1189</v>
      </c>
      <c r="K1787" s="5">
        <v>46161.620697268518</v>
      </c>
      <c r="M1787" s="2" t="s">
        <v>1943</v>
      </c>
      <c r="N1787" s="2" t="s">
        <v>1701</v>
      </c>
      <c r="O1787" s="5">
        <v>45007.73587222222</v>
      </c>
      <c r="P1787" t="str">
        <f>IF($Q1787="DELETE",IF($S1787="CONFIRMED: NO MODS &gt; 1YR","CONFIRMED: NO MODS &gt; 1YR","DO NOT DELETE — not defensibly confirmed"),IF($Q1787="HOLD","DO NOT DELETE — HOLD (Charlie review)",IF($Q1787="KEEP","DO NOT DELETE — KEEP",IF(ISNUMBER(SEARCH("REVIEW",$Q1787)),"DO NOT DELETE — REVIEW pending",$S1787))))</f>
        <v>DO NOT DELETE — REVIEW pending</v>
      </c>
      <c r="Q1787" t="str" cm="1">
        <f t="array" ref="Q1787">_xlfn.IFS(AND($A1787="thg-beauty",ISNUMBER(SEARCH("liveramp",$C1787))),"DELETE",$A1787="agile-bonbon-662",_xlfn.IFS(LEFT($G1787,9)="Tranche 1","DELETE",$C1787="Sessions_Level_1_All_Sites","KEEP",ISNUMBER(--$C1787),"REVIEW — UA raw logs",$C1787="Emag_Reporting","KEEP",$C1787="Nutrition_Data_Archived_Tables","KEEP",$C1787="EU_Data","KEEP",TRUE,"REVIEW"),OR($A1787="thg-influencer",$A1787="thg-ingenuity",$A1787="thg-central-marketing",$A1787="thg-seoclarity"),"HOLD",TRUE,"")</f>
        <v>REVIEW</v>
      </c>
      <c r="R1787" t="str" cm="1">
        <f t="array" ref="R1787">_xlfn.IFS(AND($A1787="thg-beauty",ISNUMBER(SEARCH("liveramp",$C1787))),"thg-beauty Liveramp dataset — confirmed safe to delete",$A1787="agile-bonbon-662",_xlfn.IFS(LEFT($G1787,9)="Tranche 1","Tranche 1: cleared",$C1787="Sessions_Level_1_All_Sites","Downstream aggregation of UA raw logs — keep if raw tables go",ISNUMBER(--$C1787),"UA raw site logs (account ID) — keep pending audit-retention check",$C1787="Emag_Reporting","Legacy but likely needed",$C1787="Nutrition_Data_Archived_Tables","Worth keeping",$C1787="EU_Data","Static lookup tables — scripts still reference (smoke-test risk)",TRUE,"Review"),OR($A1787="thg-influencer",$A1787="thg-ingenuity",$A1787="thg-central-marketing",$A1787="thg-seoclarity"),"HOLD — Charlie Stringer to review before deletion",TRUE,"")</f>
        <v>Review</v>
      </c>
      <c r="S1787" t="s">
        <v>1631</v>
      </c>
    </row>
    <row r="1788" spans="1:19" ht="45.75" hidden="1">
      <c r="A1788" t="s">
        <v>89</v>
      </c>
      <c r="B1788" t="s">
        <v>1619</v>
      </c>
      <c r="C1788" t="s">
        <v>4102</v>
      </c>
      <c r="D1788" s="2" t="s">
        <v>1621</v>
      </c>
      <c r="E1788">
        <v>0.76</v>
      </c>
      <c r="F1788">
        <v>0.02</v>
      </c>
      <c r="G1788" t="s">
        <v>72</v>
      </c>
      <c r="H1788" t="s">
        <v>3457</v>
      </c>
      <c r="I1788">
        <v>35</v>
      </c>
      <c r="J1788">
        <v>1966</v>
      </c>
      <c r="K1788" s="5">
        <v>46161.622148333343</v>
      </c>
      <c r="M1788" s="2" t="s">
        <v>3354</v>
      </c>
      <c r="N1788" s="2" t="s">
        <v>1701</v>
      </c>
      <c r="O1788" s="5">
        <v>44231.190036608787</v>
      </c>
      <c r="P1788" t="str">
        <f>IF($Q1788="DELETE",IF($S1788="CONFIRMED: NO MODS &gt; 1YR","CONFIRMED: NO MODS &gt; 1YR","DO NOT DELETE — not defensibly confirmed"),IF($Q1788="HOLD","DO NOT DELETE — HOLD (Charlie review)",IF($Q1788="KEEP","DO NOT DELETE — KEEP",IF(ISNUMBER(SEARCH("REVIEW",$Q1788)),"DO NOT DELETE — REVIEW pending",$S1788))))</f>
        <v>DO NOT DELETE — REVIEW pending</v>
      </c>
      <c r="Q1788" t="str" cm="1">
        <f t="array" ref="Q1788">_xlfn.IFS(AND($A1788="thg-beauty",ISNUMBER(SEARCH("liveramp",$C1788))),"DELETE",$A1788="agile-bonbon-662",_xlfn.IFS(LEFT($G1788,9)="Tranche 1","DELETE",$C1788="Sessions_Level_1_All_Sites","KEEP",ISNUMBER(--$C1788),"REVIEW — UA raw logs",$C1788="Emag_Reporting","KEEP",$C1788="Nutrition_Data_Archived_Tables","KEEP",$C1788="EU_Data","KEEP",TRUE,"REVIEW"),OR($A1788="thg-influencer",$A1788="thg-ingenuity",$A1788="thg-central-marketing",$A1788="thg-seoclarity"),"HOLD",TRUE,"")</f>
        <v>REVIEW</v>
      </c>
      <c r="R1788" t="str" cm="1">
        <f t="array" ref="R1788">_xlfn.IFS(AND($A1788="thg-beauty",ISNUMBER(SEARCH("liveramp",$C1788))),"thg-beauty Liveramp dataset — confirmed safe to delete",$A1788="agile-bonbon-662",_xlfn.IFS(LEFT($G1788,9)="Tranche 1","Tranche 1: cleared",$C1788="Sessions_Level_1_All_Sites","Downstream aggregation of UA raw logs — keep if raw tables go",ISNUMBER(--$C1788),"UA raw site logs (account ID) — keep pending audit-retention check",$C1788="Emag_Reporting","Legacy but likely needed",$C1788="Nutrition_Data_Archived_Tables","Worth keeping",$C1788="EU_Data","Static lookup tables — scripts still reference (smoke-test risk)",TRUE,"Review"),OR($A1788="thg-influencer",$A1788="thg-ingenuity",$A1788="thg-central-marketing",$A1788="thg-seoclarity"),"HOLD — Charlie Stringer to review before deletion",TRUE,"")</f>
        <v>Review</v>
      </c>
      <c r="S1788" t="s">
        <v>1631</v>
      </c>
    </row>
    <row r="1789" spans="1:19" ht="45.75" hidden="1">
      <c r="A1789" t="s">
        <v>89</v>
      </c>
      <c r="B1789" t="s">
        <v>1619</v>
      </c>
      <c r="C1789" t="s">
        <v>4103</v>
      </c>
      <c r="D1789" s="2" t="s">
        <v>1621</v>
      </c>
      <c r="E1789">
        <v>0.75</v>
      </c>
      <c r="F1789">
        <v>0.02</v>
      </c>
      <c r="G1789" t="s">
        <v>72</v>
      </c>
      <c r="H1789" t="s">
        <v>3457</v>
      </c>
      <c r="I1789">
        <v>35</v>
      </c>
      <c r="J1789">
        <v>723</v>
      </c>
      <c r="K1789" s="5">
        <v>46161.593902685177</v>
      </c>
      <c r="M1789" s="2" t="s">
        <v>2273</v>
      </c>
      <c r="N1789" s="2" t="s">
        <v>1701</v>
      </c>
      <c r="O1789" s="5">
        <v>45474.266792986113</v>
      </c>
      <c r="P1789" t="str">
        <f>IF($Q1789="DELETE",IF($S1789="CONFIRMED: NO MODS &gt; 1YR","CONFIRMED: NO MODS &gt; 1YR","DO NOT DELETE — not defensibly confirmed"),IF($Q1789="HOLD","DO NOT DELETE — HOLD (Charlie review)",IF($Q1789="KEEP","DO NOT DELETE — KEEP",IF(ISNUMBER(SEARCH("REVIEW",$Q1789)),"DO NOT DELETE — REVIEW pending",$S1789))))</f>
        <v>DO NOT DELETE — REVIEW pending</v>
      </c>
      <c r="Q1789" t="str" cm="1">
        <f t="array" ref="Q1789">_xlfn.IFS(AND($A1789="thg-beauty",ISNUMBER(SEARCH("liveramp",$C1789))),"DELETE",$A1789="agile-bonbon-662",_xlfn.IFS(LEFT($G1789,9)="Tranche 1","DELETE",$C1789="Sessions_Level_1_All_Sites","KEEP",ISNUMBER(--$C1789),"REVIEW — UA raw logs",$C1789="Emag_Reporting","KEEP",$C1789="Nutrition_Data_Archived_Tables","KEEP",$C1789="EU_Data","KEEP",TRUE,"REVIEW"),OR($A1789="thg-influencer",$A1789="thg-ingenuity",$A1789="thg-central-marketing",$A1789="thg-seoclarity"),"HOLD",TRUE,"")</f>
        <v>REVIEW — UA raw logs</v>
      </c>
      <c r="R1789" t="str" cm="1">
        <f t="array" ref="R1789">_xlfn.IFS(AND($A1789="thg-beauty",ISNUMBER(SEARCH("liveramp",$C1789))),"thg-beauty Liveramp dataset — confirmed safe to delete",$A1789="agile-bonbon-662",_xlfn.IFS(LEFT($G1789,9)="Tranche 1","Tranche 1: cleared",$C1789="Sessions_Level_1_All_Sites","Downstream aggregation of UA raw logs — keep if raw tables go",ISNUMBER(--$C1789),"UA raw site logs (account ID) — keep pending audit-retention check",$C1789="Emag_Reporting","Legacy but likely needed",$C1789="Nutrition_Data_Archived_Tables","Worth keeping",$C1789="EU_Data","Static lookup tables — scripts still reference (smoke-test risk)",TRUE,"Review"),OR($A1789="thg-influencer",$A1789="thg-ingenuity",$A1789="thg-central-marketing",$A1789="thg-seoclarity"),"HOLD — Charlie Stringer to review before deletion",TRUE,"")</f>
        <v>UA raw site logs (account ID) — keep pending audit-retention check</v>
      </c>
      <c r="S1789" t="s">
        <v>1631</v>
      </c>
    </row>
    <row r="1790" spans="1:19" ht="45.75" hidden="1">
      <c r="A1790" t="s">
        <v>89</v>
      </c>
      <c r="B1790" t="s">
        <v>1619</v>
      </c>
      <c r="C1790" t="s">
        <v>4104</v>
      </c>
      <c r="D1790" s="2" t="s">
        <v>1621</v>
      </c>
      <c r="E1790">
        <v>0.73</v>
      </c>
      <c r="F1790">
        <v>0.01</v>
      </c>
      <c r="G1790" t="s">
        <v>72</v>
      </c>
      <c r="H1790" t="s">
        <v>3457</v>
      </c>
      <c r="I1790">
        <v>35</v>
      </c>
      <c r="J1790">
        <v>397</v>
      </c>
      <c r="K1790" s="5">
        <v>46161.606625752313</v>
      </c>
      <c r="M1790" s="2" t="s">
        <v>3906</v>
      </c>
      <c r="N1790" s="2" t="s">
        <v>1701</v>
      </c>
      <c r="O1790" s="5">
        <v>45800.198243854167</v>
      </c>
      <c r="P1790" t="str">
        <f>IF($Q1790="DELETE",IF($S1790="CONFIRMED: NO MODS &gt; 1YR","CONFIRMED: NO MODS &gt; 1YR","DO NOT DELETE — not defensibly confirmed"),IF($Q1790="HOLD","DO NOT DELETE — HOLD (Charlie review)",IF($Q1790="KEEP","DO NOT DELETE — KEEP",IF(ISNUMBER(SEARCH("REVIEW",$Q1790)),"DO NOT DELETE — REVIEW pending",$S1790))))</f>
        <v>DO NOT DELETE — REVIEW pending</v>
      </c>
      <c r="Q1790" t="str" cm="1">
        <f t="array" ref="Q1790">_xlfn.IFS(AND($A1790="thg-beauty",ISNUMBER(SEARCH("liveramp",$C1790))),"DELETE",$A1790="agile-bonbon-662",_xlfn.IFS(LEFT($G1790,9)="Tranche 1","DELETE",$C1790="Sessions_Level_1_All_Sites","KEEP",ISNUMBER(--$C1790),"REVIEW — UA raw logs",$C1790="Emag_Reporting","KEEP",$C1790="Nutrition_Data_Archived_Tables","KEEP",$C1790="EU_Data","KEEP",TRUE,"REVIEW"),OR($A1790="thg-influencer",$A1790="thg-ingenuity",$A1790="thg-central-marketing",$A1790="thg-seoclarity"),"HOLD",TRUE,"")</f>
        <v>REVIEW</v>
      </c>
      <c r="R1790" t="str" cm="1">
        <f t="array" ref="R1790">_xlfn.IFS(AND($A1790="thg-beauty",ISNUMBER(SEARCH("liveramp",$C1790))),"thg-beauty Liveramp dataset — confirmed safe to delete",$A1790="agile-bonbon-662",_xlfn.IFS(LEFT($G1790,9)="Tranche 1","Tranche 1: cleared",$C1790="Sessions_Level_1_All_Sites","Downstream aggregation of UA raw logs — keep if raw tables go",ISNUMBER(--$C1790),"UA raw site logs (account ID) — keep pending audit-retention check",$C1790="Emag_Reporting","Legacy but likely needed",$C1790="Nutrition_Data_Archived_Tables","Worth keeping",$C1790="EU_Data","Static lookup tables — scripts still reference (smoke-test risk)",TRUE,"Review"),OR($A1790="thg-influencer",$A1790="thg-ingenuity",$A1790="thg-central-marketing",$A1790="thg-seoclarity"),"HOLD — Charlie Stringer to review before deletion",TRUE,"")</f>
        <v>Review</v>
      </c>
      <c r="S1790" t="s">
        <v>1631</v>
      </c>
    </row>
    <row r="1791" spans="1:19" ht="45.75" hidden="1">
      <c r="A1791" t="s">
        <v>89</v>
      </c>
      <c r="B1791" t="s">
        <v>1619</v>
      </c>
      <c r="C1791" t="s">
        <v>4105</v>
      </c>
      <c r="D1791" s="2" t="s">
        <v>1621</v>
      </c>
      <c r="E1791">
        <v>0.68</v>
      </c>
      <c r="F1791">
        <v>0.01</v>
      </c>
      <c r="G1791" t="s">
        <v>72</v>
      </c>
      <c r="H1791" t="s">
        <v>3457</v>
      </c>
      <c r="I1791">
        <v>35</v>
      </c>
      <c r="J1791">
        <v>1966</v>
      </c>
      <c r="K1791" s="5">
        <v>46161.621439826391</v>
      </c>
      <c r="M1791" s="2" t="s">
        <v>3432</v>
      </c>
      <c r="N1791" s="2" t="s">
        <v>1701</v>
      </c>
      <c r="O1791" s="5">
        <v>44230.563711979157</v>
      </c>
      <c r="P1791" t="str">
        <f>IF($Q1791="DELETE",IF($S1791="CONFIRMED: NO MODS &gt; 1YR","CONFIRMED: NO MODS &gt; 1YR","DO NOT DELETE — not defensibly confirmed"),IF($Q1791="HOLD","DO NOT DELETE — HOLD (Charlie review)",IF($Q1791="KEEP","DO NOT DELETE — KEEP",IF(ISNUMBER(SEARCH("REVIEW",$Q1791)),"DO NOT DELETE — REVIEW pending",$S1791))))</f>
        <v>DO NOT DELETE — REVIEW pending</v>
      </c>
      <c r="Q1791" t="str" cm="1">
        <f t="array" ref="Q1791">_xlfn.IFS(AND($A1791="thg-beauty",ISNUMBER(SEARCH("liveramp",$C1791))),"DELETE",$A1791="agile-bonbon-662",_xlfn.IFS(LEFT($G1791,9)="Tranche 1","DELETE",$C1791="Sessions_Level_1_All_Sites","KEEP",ISNUMBER(--$C1791),"REVIEW — UA raw logs",$C1791="Emag_Reporting","KEEP",$C1791="Nutrition_Data_Archived_Tables","KEEP",$C1791="EU_Data","KEEP",TRUE,"REVIEW"),OR($A1791="thg-influencer",$A1791="thg-ingenuity",$A1791="thg-central-marketing",$A1791="thg-seoclarity"),"HOLD",TRUE,"")</f>
        <v>REVIEW</v>
      </c>
      <c r="R1791" t="str" cm="1">
        <f t="array" ref="R1791">_xlfn.IFS(AND($A1791="thg-beauty",ISNUMBER(SEARCH("liveramp",$C1791))),"thg-beauty Liveramp dataset — confirmed safe to delete",$A1791="agile-bonbon-662",_xlfn.IFS(LEFT($G1791,9)="Tranche 1","Tranche 1: cleared",$C1791="Sessions_Level_1_All_Sites","Downstream aggregation of UA raw logs — keep if raw tables go",ISNUMBER(--$C1791),"UA raw site logs (account ID) — keep pending audit-retention check",$C1791="Emag_Reporting","Legacy but likely needed",$C1791="Nutrition_Data_Archived_Tables","Worth keeping",$C1791="EU_Data","Static lookup tables — scripts still reference (smoke-test risk)",TRUE,"Review"),OR($A1791="thg-influencer",$A1791="thg-ingenuity",$A1791="thg-central-marketing",$A1791="thg-seoclarity"),"HOLD — Charlie Stringer to review before deletion",TRUE,"")</f>
        <v>Review</v>
      </c>
      <c r="S1791" t="s">
        <v>1631</v>
      </c>
    </row>
    <row r="1792" spans="1:19" ht="45.75" hidden="1">
      <c r="A1792" t="s">
        <v>89</v>
      </c>
      <c r="B1792" t="s">
        <v>1619</v>
      </c>
      <c r="C1792" t="s">
        <v>4106</v>
      </c>
      <c r="D1792" s="2" t="s">
        <v>1621</v>
      </c>
      <c r="E1792">
        <v>0.68</v>
      </c>
      <c r="F1792">
        <v>0.01</v>
      </c>
      <c r="G1792" t="s">
        <v>72</v>
      </c>
      <c r="H1792" t="s">
        <v>3457</v>
      </c>
      <c r="I1792">
        <v>35</v>
      </c>
      <c r="J1792">
        <v>803</v>
      </c>
      <c r="K1792" s="5">
        <v>46161.586896805558</v>
      </c>
      <c r="M1792" s="2" t="s">
        <v>3911</v>
      </c>
      <c r="N1792" s="2" t="s">
        <v>1701</v>
      </c>
      <c r="O1792" s="5">
        <v>45394.256206724538</v>
      </c>
      <c r="P1792" t="str">
        <f>IF($Q1792="DELETE",IF($S1792="CONFIRMED: NO MODS &gt; 1YR","CONFIRMED: NO MODS &gt; 1YR","DO NOT DELETE — not defensibly confirmed"),IF($Q1792="HOLD","DO NOT DELETE — HOLD (Charlie review)",IF($Q1792="KEEP","DO NOT DELETE — KEEP",IF(ISNUMBER(SEARCH("REVIEW",$Q1792)),"DO NOT DELETE — REVIEW pending",$S1792))))</f>
        <v>DO NOT DELETE — REVIEW pending</v>
      </c>
      <c r="Q1792" t="str" cm="1">
        <f t="array" ref="Q1792">_xlfn.IFS(AND($A1792="thg-beauty",ISNUMBER(SEARCH("liveramp",$C1792))),"DELETE",$A1792="agile-bonbon-662",_xlfn.IFS(LEFT($G1792,9)="Tranche 1","DELETE",$C1792="Sessions_Level_1_All_Sites","KEEP",ISNUMBER(--$C1792),"REVIEW — UA raw logs",$C1792="Emag_Reporting","KEEP",$C1792="Nutrition_Data_Archived_Tables","KEEP",$C1792="EU_Data","KEEP",TRUE,"REVIEW"),OR($A1792="thg-influencer",$A1792="thg-ingenuity",$A1792="thg-central-marketing",$A1792="thg-seoclarity"),"HOLD",TRUE,"")</f>
        <v>REVIEW — UA raw logs</v>
      </c>
      <c r="R1792" t="str" cm="1">
        <f t="array" ref="R1792">_xlfn.IFS(AND($A1792="thg-beauty",ISNUMBER(SEARCH("liveramp",$C1792))),"thg-beauty Liveramp dataset — confirmed safe to delete",$A1792="agile-bonbon-662",_xlfn.IFS(LEFT($G1792,9)="Tranche 1","Tranche 1: cleared",$C1792="Sessions_Level_1_All_Sites","Downstream aggregation of UA raw logs — keep if raw tables go",ISNUMBER(--$C1792),"UA raw site logs (account ID) — keep pending audit-retention check",$C1792="Emag_Reporting","Legacy but likely needed",$C1792="Nutrition_Data_Archived_Tables","Worth keeping",$C1792="EU_Data","Static lookup tables — scripts still reference (smoke-test risk)",TRUE,"Review"),OR($A1792="thg-influencer",$A1792="thg-ingenuity",$A1792="thg-central-marketing",$A1792="thg-seoclarity"),"HOLD — Charlie Stringer to review before deletion",TRUE,"")</f>
        <v>UA raw site logs (account ID) — keep pending audit-retention check</v>
      </c>
      <c r="S1792" t="s">
        <v>1631</v>
      </c>
    </row>
    <row r="1793" spans="1:19" ht="45.75" hidden="1">
      <c r="A1793" t="s">
        <v>89</v>
      </c>
      <c r="B1793" t="s">
        <v>1619</v>
      </c>
      <c r="C1793" t="s">
        <v>4107</v>
      </c>
      <c r="D1793" s="2" t="s">
        <v>1621</v>
      </c>
      <c r="E1793">
        <v>0.67</v>
      </c>
      <c r="F1793">
        <v>0.01</v>
      </c>
      <c r="G1793" t="s">
        <v>72</v>
      </c>
      <c r="H1793" t="s">
        <v>3457</v>
      </c>
      <c r="I1793">
        <v>35</v>
      </c>
      <c r="J1793">
        <v>453</v>
      </c>
      <c r="K1793" s="5">
        <v>46161.619332314818</v>
      </c>
      <c r="M1793" s="2" t="s">
        <v>1981</v>
      </c>
      <c r="N1793" s="2" t="s">
        <v>1701</v>
      </c>
      <c r="O1793" s="5">
        <v>45743.566090567132</v>
      </c>
      <c r="P1793" t="str">
        <f>IF($Q1793="DELETE",IF($S1793="CONFIRMED: NO MODS &gt; 1YR","CONFIRMED: NO MODS &gt; 1YR","DO NOT DELETE — not defensibly confirmed"),IF($Q1793="HOLD","DO NOT DELETE — HOLD (Charlie review)",IF($Q1793="KEEP","DO NOT DELETE — KEEP",IF(ISNUMBER(SEARCH("REVIEW",$Q1793)),"DO NOT DELETE — REVIEW pending",$S1793))))</f>
        <v>DO NOT DELETE — REVIEW pending</v>
      </c>
      <c r="Q1793" t="str" cm="1">
        <f t="array" ref="Q1793">_xlfn.IFS(AND($A1793="thg-beauty",ISNUMBER(SEARCH("liveramp",$C1793))),"DELETE",$A1793="agile-bonbon-662",_xlfn.IFS(LEFT($G1793,9)="Tranche 1","DELETE",$C1793="Sessions_Level_1_All_Sites","KEEP",ISNUMBER(--$C1793),"REVIEW — UA raw logs",$C1793="Emag_Reporting","KEEP",$C1793="Nutrition_Data_Archived_Tables","KEEP",$C1793="EU_Data","KEEP",TRUE,"REVIEW"),OR($A1793="thg-influencer",$A1793="thg-ingenuity",$A1793="thg-central-marketing",$A1793="thg-seoclarity"),"HOLD",TRUE,"")</f>
        <v>REVIEW</v>
      </c>
      <c r="R1793" t="str" cm="1">
        <f t="array" ref="R1793">_xlfn.IFS(AND($A1793="thg-beauty",ISNUMBER(SEARCH("liveramp",$C1793))),"thg-beauty Liveramp dataset — confirmed safe to delete",$A1793="agile-bonbon-662",_xlfn.IFS(LEFT($G1793,9)="Tranche 1","Tranche 1: cleared",$C1793="Sessions_Level_1_All_Sites","Downstream aggregation of UA raw logs — keep if raw tables go",ISNUMBER(--$C1793),"UA raw site logs (account ID) — keep pending audit-retention check",$C1793="Emag_Reporting","Legacy but likely needed",$C1793="Nutrition_Data_Archived_Tables","Worth keeping",$C1793="EU_Data","Static lookup tables — scripts still reference (smoke-test risk)",TRUE,"Review"),OR($A1793="thg-influencer",$A1793="thg-ingenuity",$A1793="thg-central-marketing",$A1793="thg-seoclarity"),"HOLD — Charlie Stringer to review before deletion",TRUE,"")</f>
        <v>Review</v>
      </c>
      <c r="S1793" t="s">
        <v>1631</v>
      </c>
    </row>
    <row r="1794" spans="1:19" ht="76.5" hidden="1">
      <c r="A1794" t="s">
        <v>89</v>
      </c>
      <c r="B1794" t="s">
        <v>1619</v>
      </c>
      <c r="C1794" t="s">
        <v>4108</v>
      </c>
      <c r="D1794" s="2" t="s">
        <v>1621</v>
      </c>
      <c r="E1794">
        <v>0.67</v>
      </c>
      <c r="F1794">
        <v>0.01</v>
      </c>
      <c r="G1794" t="s">
        <v>72</v>
      </c>
      <c r="H1794" t="s">
        <v>3457</v>
      </c>
      <c r="I1794">
        <v>35</v>
      </c>
      <c r="J1794">
        <v>1533</v>
      </c>
      <c r="K1794" s="5">
        <v>46161.581464074072</v>
      </c>
      <c r="M1794" s="2" t="s">
        <v>4109</v>
      </c>
      <c r="N1794" s="2" t="s">
        <v>1701</v>
      </c>
      <c r="O1794" s="5">
        <v>44663.558121458344</v>
      </c>
      <c r="P1794" t="str">
        <f>IF($Q1794="DELETE",IF($S1794="CONFIRMED: NO MODS &gt; 1YR","CONFIRMED: NO MODS &gt; 1YR","DO NOT DELETE — not defensibly confirmed"),IF($Q1794="HOLD","DO NOT DELETE — HOLD (Charlie review)",IF($Q1794="KEEP","DO NOT DELETE — KEEP",IF(ISNUMBER(SEARCH("REVIEW",$Q1794)),"DO NOT DELETE — REVIEW pending",$S1794))))</f>
        <v>DO NOT DELETE — REVIEW pending</v>
      </c>
      <c r="Q1794" t="str" cm="1">
        <f t="array" ref="Q1794">_xlfn.IFS(AND($A1794="thg-beauty",ISNUMBER(SEARCH("liveramp",$C1794))),"DELETE",$A1794="agile-bonbon-662",_xlfn.IFS(LEFT($G1794,9)="Tranche 1","DELETE",$C1794="Sessions_Level_1_All_Sites","KEEP",ISNUMBER(--$C1794),"REVIEW — UA raw logs",$C1794="Emag_Reporting","KEEP",$C1794="Nutrition_Data_Archived_Tables","KEEP",$C1794="EU_Data","KEEP",TRUE,"REVIEW"),OR($A1794="thg-influencer",$A1794="thg-ingenuity",$A1794="thg-central-marketing",$A1794="thg-seoclarity"),"HOLD",TRUE,"")</f>
        <v>REVIEW</v>
      </c>
      <c r="R1794" t="str" cm="1">
        <f t="array" ref="R1794">_xlfn.IFS(AND($A1794="thg-beauty",ISNUMBER(SEARCH("liveramp",$C1794))),"thg-beauty Liveramp dataset — confirmed safe to delete",$A1794="agile-bonbon-662",_xlfn.IFS(LEFT($G1794,9)="Tranche 1","Tranche 1: cleared",$C1794="Sessions_Level_1_All_Sites","Downstream aggregation of UA raw logs — keep if raw tables go",ISNUMBER(--$C1794),"UA raw site logs (account ID) — keep pending audit-retention check",$C1794="Emag_Reporting","Legacy but likely needed",$C1794="Nutrition_Data_Archived_Tables","Worth keeping",$C1794="EU_Data","Static lookup tables — scripts still reference (smoke-test risk)",TRUE,"Review"),OR($A1794="thg-influencer",$A1794="thg-ingenuity",$A1794="thg-central-marketing",$A1794="thg-seoclarity"),"HOLD — Charlie Stringer to review before deletion",TRUE,"")</f>
        <v>Review</v>
      </c>
      <c r="S1794" t="s">
        <v>1624</v>
      </c>
    </row>
    <row r="1795" spans="1:19" ht="45.75" hidden="1">
      <c r="A1795" t="s">
        <v>89</v>
      </c>
      <c r="B1795" t="s">
        <v>1619</v>
      </c>
      <c r="C1795" t="s">
        <v>4110</v>
      </c>
      <c r="D1795" s="2" t="s">
        <v>1621</v>
      </c>
      <c r="E1795">
        <v>0.66</v>
      </c>
      <c r="F1795">
        <v>0.01</v>
      </c>
      <c r="G1795" t="s">
        <v>72</v>
      </c>
      <c r="H1795" t="s">
        <v>3457</v>
      </c>
      <c r="I1795">
        <v>35</v>
      </c>
      <c r="J1795">
        <v>2341</v>
      </c>
      <c r="K1795" s="5">
        <v>46161.597620300927</v>
      </c>
      <c r="M1795" s="2" t="s">
        <v>3416</v>
      </c>
      <c r="N1795" s="2" t="s">
        <v>1701</v>
      </c>
      <c r="O1795" s="5">
        <v>43855.523614548612</v>
      </c>
      <c r="P1795" t="str">
        <f>IF($Q1795="DELETE",IF($S1795="CONFIRMED: NO MODS &gt; 1YR","CONFIRMED: NO MODS &gt; 1YR","DO NOT DELETE — not defensibly confirmed"),IF($Q1795="HOLD","DO NOT DELETE — HOLD (Charlie review)",IF($Q1795="KEEP","DO NOT DELETE — KEEP",IF(ISNUMBER(SEARCH("REVIEW",$Q1795)),"DO NOT DELETE — REVIEW pending",$S1795))))</f>
        <v>DO NOT DELETE — REVIEW pending</v>
      </c>
      <c r="Q1795" t="str" cm="1">
        <f t="array" ref="Q1795">_xlfn.IFS(AND($A1795="thg-beauty",ISNUMBER(SEARCH("liveramp",$C1795))),"DELETE",$A1795="agile-bonbon-662",_xlfn.IFS(LEFT($G1795,9)="Tranche 1","DELETE",$C1795="Sessions_Level_1_All_Sites","KEEP",ISNUMBER(--$C1795),"REVIEW — UA raw logs",$C1795="Emag_Reporting","KEEP",$C1795="Nutrition_Data_Archived_Tables","KEEP",$C1795="EU_Data","KEEP",TRUE,"REVIEW"),OR($A1795="thg-influencer",$A1795="thg-ingenuity",$A1795="thg-central-marketing",$A1795="thg-seoclarity"),"HOLD",TRUE,"")</f>
        <v>REVIEW — UA raw logs</v>
      </c>
      <c r="R1795" t="str" cm="1">
        <f t="array" ref="R1795">_xlfn.IFS(AND($A1795="thg-beauty",ISNUMBER(SEARCH("liveramp",$C1795))),"thg-beauty Liveramp dataset — confirmed safe to delete",$A1795="agile-bonbon-662",_xlfn.IFS(LEFT($G1795,9)="Tranche 1","Tranche 1: cleared",$C1795="Sessions_Level_1_All_Sites","Downstream aggregation of UA raw logs — keep if raw tables go",ISNUMBER(--$C1795),"UA raw site logs (account ID) — keep pending audit-retention check",$C1795="Emag_Reporting","Legacy but likely needed",$C1795="Nutrition_Data_Archived_Tables","Worth keeping",$C1795="EU_Data","Static lookup tables — scripts still reference (smoke-test risk)",TRUE,"Review"),OR($A1795="thg-influencer",$A1795="thg-ingenuity",$A1795="thg-central-marketing",$A1795="thg-seoclarity"),"HOLD — Charlie Stringer to review before deletion",TRUE,"")</f>
        <v>UA raw site logs (account ID) — keep pending audit-retention check</v>
      </c>
      <c r="S1795" t="s">
        <v>1631</v>
      </c>
    </row>
    <row r="1796" spans="1:19" ht="45.75" hidden="1">
      <c r="A1796" t="s">
        <v>89</v>
      </c>
      <c r="B1796" t="s">
        <v>1619</v>
      </c>
      <c r="C1796" t="s">
        <v>4111</v>
      </c>
      <c r="D1796" s="2" t="s">
        <v>1621</v>
      </c>
      <c r="E1796">
        <v>0.66</v>
      </c>
      <c r="F1796">
        <v>0.01</v>
      </c>
      <c r="G1796" t="s">
        <v>72</v>
      </c>
      <c r="H1796" t="s">
        <v>3457</v>
      </c>
      <c r="I1796">
        <v>35</v>
      </c>
      <c r="J1796">
        <v>424</v>
      </c>
      <c r="K1796" s="5">
        <v>46161.61789721065</v>
      </c>
      <c r="M1796" s="2" t="s">
        <v>1957</v>
      </c>
      <c r="N1796" s="2" t="s">
        <v>1701</v>
      </c>
      <c r="O1796" s="5">
        <v>45772.50351289352</v>
      </c>
      <c r="P1796" t="str">
        <f>IF($Q1796="DELETE",IF($S1796="CONFIRMED: NO MODS &gt; 1YR","CONFIRMED: NO MODS &gt; 1YR","DO NOT DELETE — not defensibly confirmed"),IF($Q1796="HOLD","DO NOT DELETE — HOLD (Charlie review)",IF($Q1796="KEEP","DO NOT DELETE — KEEP",IF(ISNUMBER(SEARCH("REVIEW",$Q1796)),"DO NOT DELETE — REVIEW pending",$S1796))))</f>
        <v>DO NOT DELETE — REVIEW pending</v>
      </c>
      <c r="Q1796" t="str" cm="1">
        <f t="array" ref="Q1796">_xlfn.IFS(AND($A1796="thg-beauty",ISNUMBER(SEARCH("liveramp",$C1796))),"DELETE",$A1796="agile-bonbon-662",_xlfn.IFS(LEFT($G1796,9)="Tranche 1","DELETE",$C1796="Sessions_Level_1_All_Sites","KEEP",ISNUMBER(--$C1796),"REVIEW — UA raw logs",$C1796="Emag_Reporting","KEEP",$C1796="Nutrition_Data_Archived_Tables","KEEP",$C1796="EU_Data","KEEP",TRUE,"REVIEW"),OR($A1796="thg-influencer",$A1796="thg-ingenuity",$A1796="thg-central-marketing",$A1796="thg-seoclarity"),"HOLD",TRUE,"")</f>
        <v>REVIEW</v>
      </c>
      <c r="R1796" t="str" cm="1">
        <f t="array" ref="R1796">_xlfn.IFS(AND($A1796="thg-beauty",ISNUMBER(SEARCH("liveramp",$C1796))),"thg-beauty Liveramp dataset — confirmed safe to delete",$A1796="agile-bonbon-662",_xlfn.IFS(LEFT($G1796,9)="Tranche 1","Tranche 1: cleared",$C1796="Sessions_Level_1_All_Sites","Downstream aggregation of UA raw logs — keep if raw tables go",ISNUMBER(--$C1796),"UA raw site logs (account ID) — keep pending audit-retention check",$C1796="Emag_Reporting","Legacy but likely needed",$C1796="Nutrition_Data_Archived_Tables","Worth keeping",$C1796="EU_Data","Static lookup tables — scripts still reference (smoke-test risk)",TRUE,"Review"),OR($A1796="thg-influencer",$A1796="thg-ingenuity",$A1796="thg-central-marketing",$A1796="thg-seoclarity"),"HOLD — Charlie Stringer to review before deletion",TRUE,"")</f>
        <v>Review</v>
      </c>
      <c r="S1796" t="s">
        <v>1631</v>
      </c>
    </row>
    <row r="1797" spans="1:19" ht="45.75" hidden="1">
      <c r="A1797" t="s">
        <v>89</v>
      </c>
      <c r="B1797" t="s">
        <v>1619</v>
      </c>
      <c r="C1797" t="s">
        <v>4112</v>
      </c>
      <c r="D1797" s="2" t="s">
        <v>1621</v>
      </c>
      <c r="E1797">
        <v>0.65</v>
      </c>
      <c r="F1797">
        <v>0.01</v>
      </c>
      <c r="G1797" t="s">
        <v>72</v>
      </c>
      <c r="H1797" t="s">
        <v>3457</v>
      </c>
      <c r="I1797">
        <v>35</v>
      </c>
      <c r="J1797">
        <v>2542</v>
      </c>
      <c r="K1797" s="5">
        <v>46161.602592916657</v>
      </c>
      <c r="M1797" s="2" t="s">
        <v>4113</v>
      </c>
      <c r="N1797" s="2" t="s">
        <v>1701</v>
      </c>
      <c r="O1797" s="5">
        <v>43655.251254849543</v>
      </c>
      <c r="P1797" t="str">
        <f>IF($Q1797="DELETE",IF($S1797="CONFIRMED: NO MODS &gt; 1YR","CONFIRMED: NO MODS &gt; 1YR","DO NOT DELETE — not defensibly confirmed"),IF($Q1797="HOLD","DO NOT DELETE — HOLD (Charlie review)",IF($Q1797="KEEP","DO NOT DELETE — KEEP",IF(ISNUMBER(SEARCH("REVIEW",$Q1797)),"DO NOT DELETE — REVIEW pending",$S1797))))</f>
        <v>DO NOT DELETE — REVIEW pending</v>
      </c>
      <c r="Q1797" t="str" cm="1">
        <f t="array" ref="Q1797">_xlfn.IFS(AND($A1797="thg-beauty",ISNUMBER(SEARCH("liveramp",$C1797))),"DELETE",$A1797="agile-bonbon-662",_xlfn.IFS(LEFT($G1797,9)="Tranche 1","DELETE",$C1797="Sessions_Level_1_All_Sites","KEEP",ISNUMBER(--$C1797),"REVIEW — UA raw logs",$C1797="Emag_Reporting","KEEP",$C1797="Nutrition_Data_Archived_Tables","KEEP",$C1797="EU_Data","KEEP",TRUE,"REVIEW"),OR($A1797="thg-influencer",$A1797="thg-ingenuity",$A1797="thg-central-marketing",$A1797="thg-seoclarity"),"HOLD",TRUE,"")</f>
        <v>REVIEW — UA raw logs</v>
      </c>
      <c r="R1797" t="str" cm="1">
        <f t="array" ref="R1797">_xlfn.IFS(AND($A1797="thg-beauty",ISNUMBER(SEARCH("liveramp",$C1797))),"thg-beauty Liveramp dataset — confirmed safe to delete",$A1797="agile-bonbon-662",_xlfn.IFS(LEFT($G1797,9)="Tranche 1","Tranche 1: cleared",$C1797="Sessions_Level_1_All_Sites","Downstream aggregation of UA raw logs — keep if raw tables go",ISNUMBER(--$C1797),"UA raw site logs (account ID) — keep pending audit-retention check",$C1797="Emag_Reporting","Legacy but likely needed",$C1797="Nutrition_Data_Archived_Tables","Worth keeping",$C1797="EU_Data","Static lookup tables — scripts still reference (smoke-test risk)",TRUE,"Review"),OR($A1797="thg-influencer",$A1797="thg-ingenuity",$A1797="thg-central-marketing",$A1797="thg-seoclarity"),"HOLD — Charlie Stringer to review before deletion",TRUE,"")</f>
        <v>UA raw site logs (account ID) — keep pending audit-retention check</v>
      </c>
      <c r="S1797" t="s">
        <v>1631</v>
      </c>
    </row>
    <row r="1798" spans="1:19" ht="45.75" hidden="1">
      <c r="A1798" t="s">
        <v>89</v>
      </c>
      <c r="B1798" t="s">
        <v>1619</v>
      </c>
      <c r="C1798" t="s">
        <v>4114</v>
      </c>
      <c r="D1798" s="2" t="s">
        <v>1621</v>
      </c>
      <c r="E1798">
        <v>0.62</v>
      </c>
      <c r="F1798">
        <v>0.01</v>
      </c>
      <c r="G1798" t="s">
        <v>72</v>
      </c>
      <c r="H1798" t="s">
        <v>3457</v>
      </c>
      <c r="I1798">
        <v>35</v>
      </c>
      <c r="J1798">
        <v>713</v>
      </c>
      <c r="K1798" s="5">
        <v>46161.618623240742</v>
      </c>
      <c r="M1798" s="2" t="s">
        <v>1945</v>
      </c>
      <c r="N1798" s="2" t="s">
        <v>1701</v>
      </c>
      <c r="O1798" s="5">
        <v>45484.379545937503</v>
      </c>
      <c r="P1798" t="str">
        <f>IF($Q1798="DELETE",IF($S1798="CONFIRMED: NO MODS &gt; 1YR","CONFIRMED: NO MODS &gt; 1YR","DO NOT DELETE — not defensibly confirmed"),IF($Q1798="HOLD","DO NOT DELETE — HOLD (Charlie review)",IF($Q1798="KEEP","DO NOT DELETE — KEEP",IF(ISNUMBER(SEARCH("REVIEW",$Q1798)),"DO NOT DELETE — REVIEW pending",$S1798))))</f>
        <v>DO NOT DELETE — REVIEW pending</v>
      </c>
      <c r="Q1798" t="str" cm="1">
        <f t="array" ref="Q1798">_xlfn.IFS(AND($A1798="thg-beauty",ISNUMBER(SEARCH("liveramp",$C1798))),"DELETE",$A1798="agile-bonbon-662",_xlfn.IFS(LEFT($G1798,9)="Tranche 1","DELETE",$C1798="Sessions_Level_1_All_Sites","KEEP",ISNUMBER(--$C1798),"REVIEW — UA raw logs",$C1798="Emag_Reporting","KEEP",$C1798="Nutrition_Data_Archived_Tables","KEEP",$C1798="EU_Data","KEEP",TRUE,"REVIEW"),OR($A1798="thg-influencer",$A1798="thg-ingenuity",$A1798="thg-central-marketing",$A1798="thg-seoclarity"),"HOLD",TRUE,"")</f>
        <v>REVIEW</v>
      </c>
      <c r="R1798" t="str" cm="1">
        <f t="array" ref="R1798">_xlfn.IFS(AND($A1798="thg-beauty",ISNUMBER(SEARCH("liveramp",$C1798))),"thg-beauty Liveramp dataset — confirmed safe to delete",$A1798="agile-bonbon-662",_xlfn.IFS(LEFT($G1798,9)="Tranche 1","Tranche 1: cleared",$C1798="Sessions_Level_1_All_Sites","Downstream aggregation of UA raw logs — keep if raw tables go",ISNUMBER(--$C1798),"UA raw site logs (account ID) — keep pending audit-retention check",$C1798="Emag_Reporting","Legacy but likely needed",$C1798="Nutrition_Data_Archived_Tables","Worth keeping",$C1798="EU_Data","Static lookup tables — scripts still reference (smoke-test risk)",TRUE,"Review"),OR($A1798="thg-influencer",$A1798="thg-ingenuity",$A1798="thg-central-marketing",$A1798="thg-seoclarity"),"HOLD — Charlie Stringer to review before deletion",TRUE,"")</f>
        <v>Review</v>
      </c>
      <c r="S1798" t="s">
        <v>1631</v>
      </c>
    </row>
    <row r="1799" spans="1:19" ht="45.75" hidden="1">
      <c r="A1799" t="s">
        <v>89</v>
      </c>
      <c r="B1799" t="s">
        <v>1619</v>
      </c>
      <c r="C1799" t="s">
        <v>4115</v>
      </c>
      <c r="D1799" s="2" t="s">
        <v>1621</v>
      </c>
      <c r="E1799">
        <v>0.61</v>
      </c>
      <c r="F1799">
        <v>0.01</v>
      </c>
      <c r="G1799" t="s">
        <v>72</v>
      </c>
      <c r="H1799" t="s">
        <v>3457</v>
      </c>
      <c r="I1799">
        <v>35</v>
      </c>
      <c r="J1799">
        <v>1156</v>
      </c>
      <c r="K1799" s="5">
        <v>46161.618512499997</v>
      </c>
      <c r="M1799" s="2" t="s">
        <v>1945</v>
      </c>
      <c r="N1799" s="2" t="s">
        <v>1701</v>
      </c>
      <c r="O1799" s="5">
        <v>45041.114583055547</v>
      </c>
      <c r="P1799" t="str">
        <f>IF($Q1799="DELETE",IF($S1799="CONFIRMED: NO MODS &gt; 1YR","CONFIRMED: NO MODS &gt; 1YR","DO NOT DELETE — not defensibly confirmed"),IF($Q1799="HOLD","DO NOT DELETE — HOLD (Charlie review)",IF($Q1799="KEEP","DO NOT DELETE — KEEP",IF(ISNUMBER(SEARCH("REVIEW",$Q1799)),"DO NOT DELETE — REVIEW pending",$S1799))))</f>
        <v>DO NOT DELETE — REVIEW pending</v>
      </c>
      <c r="Q1799" t="str" cm="1">
        <f t="array" ref="Q1799">_xlfn.IFS(AND($A1799="thg-beauty",ISNUMBER(SEARCH("liveramp",$C1799))),"DELETE",$A1799="agile-bonbon-662",_xlfn.IFS(LEFT($G1799,9)="Tranche 1","DELETE",$C1799="Sessions_Level_1_All_Sites","KEEP",ISNUMBER(--$C1799),"REVIEW — UA raw logs",$C1799="Emag_Reporting","KEEP",$C1799="Nutrition_Data_Archived_Tables","KEEP",$C1799="EU_Data","KEEP",TRUE,"REVIEW"),OR($A1799="thg-influencer",$A1799="thg-ingenuity",$A1799="thg-central-marketing",$A1799="thg-seoclarity"),"HOLD",TRUE,"")</f>
        <v>REVIEW</v>
      </c>
      <c r="R1799" t="str" cm="1">
        <f t="array" ref="R1799">_xlfn.IFS(AND($A1799="thg-beauty",ISNUMBER(SEARCH("liveramp",$C1799))),"thg-beauty Liveramp dataset — confirmed safe to delete",$A1799="agile-bonbon-662",_xlfn.IFS(LEFT($G1799,9)="Tranche 1","Tranche 1: cleared",$C1799="Sessions_Level_1_All_Sites","Downstream aggregation of UA raw logs — keep if raw tables go",ISNUMBER(--$C1799),"UA raw site logs (account ID) — keep pending audit-retention check",$C1799="Emag_Reporting","Legacy but likely needed",$C1799="Nutrition_Data_Archived_Tables","Worth keeping",$C1799="EU_Data","Static lookup tables — scripts still reference (smoke-test risk)",TRUE,"Review"),OR($A1799="thg-influencer",$A1799="thg-ingenuity",$A1799="thg-central-marketing",$A1799="thg-seoclarity"),"HOLD — Charlie Stringer to review before deletion",TRUE,"")</f>
        <v>Review</v>
      </c>
      <c r="S1799" t="s">
        <v>1631</v>
      </c>
    </row>
    <row r="1800" spans="1:19" ht="45.75" hidden="1">
      <c r="A1800" t="s">
        <v>89</v>
      </c>
      <c r="B1800" t="s">
        <v>1619</v>
      </c>
      <c r="C1800" t="s">
        <v>4116</v>
      </c>
      <c r="D1800" s="2" t="s">
        <v>1621</v>
      </c>
      <c r="E1800">
        <v>0.61</v>
      </c>
      <c r="F1800">
        <v>0.01</v>
      </c>
      <c r="G1800" t="s">
        <v>72</v>
      </c>
      <c r="H1800" t="s">
        <v>3457</v>
      </c>
      <c r="I1800">
        <v>35</v>
      </c>
      <c r="J1800">
        <v>1193</v>
      </c>
      <c r="K1800" s="5">
        <v>46161.617822118053</v>
      </c>
      <c r="M1800" s="2" t="s">
        <v>1957</v>
      </c>
      <c r="N1800" s="2" t="s">
        <v>1701</v>
      </c>
      <c r="O1800" s="5">
        <v>45004.145038298608</v>
      </c>
      <c r="P1800" t="str">
        <f>IF($Q1800="DELETE",IF($S1800="CONFIRMED: NO MODS &gt; 1YR","CONFIRMED: NO MODS &gt; 1YR","DO NOT DELETE — not defensibly confirmed"),IF($Q1800="HOLD","DO NOT DELETE — HOLD (Charlie review)",IF($Q1800="KEEP","DO NOT DELETE — KEEP",IF(ISNUMBER(SEARCH("REVIEW",$Q1800)),"DO NOT DELETE — REVIEW pending",$S1800))))</f>
        <v>DO NOT DELETE — REVIEW pending</v>
      </c>
      <c r="Q1800" t="str" cm="1">
        <f t="array" ref="Q1800">_xlfn.IFS(AND($A1800="thg-beauty",ISNUMBER(SEARCH("liveramp",$C1800))),"DELETE",$A1800="agile-bonbon-662",_xlfn.IFS(LEFT($G1800,9)="Tranche 1","DELETE",$C1800="Sessions_Level_1_All_Sites","KEEP",ISNUMBER(--$C1800),"REVIEW — UA raw logs",$C1800="Emag_Reporting","KEEP",$C1800="Nutrition_Data_Archived_Tables","KEEP",$C1800="EU_Data","KEEP",TRUE,"REVIEW"),OR($A1800="thg-influencer",$A1800="thg-ingenuity",$A1800="thg-central-marketing",$A1800="thg-seoclarity"),"HOLD",TRUE,"")</f>
        <v>REVIEW</v>
      </c>
      <c r="R1800" t="str" cm="1">
        <f t="array" ref="R1800">_xlfn.IFS(AND($A1800="thg-beauty",ISNUMBER(SEARCH("liveramp",$C1800))),"thg-beauty Liveramp dataset — confirmed safe to delete",$A1800="agile-bonbon-662",_xlfn.IFS(LEFT($G1800,9)="Tranche 1","Tranche 1: cleared",$C1800="Sessions_Level_1_All_Sites","Downstream aggregation of UA raw logs — keep if raw tables go",ISNUMBER(--$C1800),"UA raw site logs (account ID) — keep pending audit-retention check",$C1800="Emag_Reporting","Legacy but likely needed",$C1800="Nutrition_Data_Archived_Tables","Worth keeping",$C1800="EU_Data","Static lookup tables — scripts still reference (smoke-test risk)",TRUE,"Review"),OR($A1800="thg-influencer",$A1800="thg-ingenuity",$A1800="thg-central-marketing",$A1800="thg-seoclarity"),"HOLD — Charlie Stringer to review before deletion",TRUE,"")</f>
        <v>Review</v>
      </c>
      <c r="S1800" t="s">
        <v>1631</v>
      </c>
    </row>
    <row r="1801" spans="1:19" ht="45.75" hidden="1">
      <c r="A1801" t="s">
        <v>89</v>
      </c>
      <c r="B1801" t="s">
        <v>1619</v>
      </c>
      <c r="C1801" t="s">
        <v>4117</v>
      </c>
      <c r="D1801" s="2" t="s">
        <v>1621</v>
      </c>
      <c r="E1801">
        <v>0.59</v>
      </c>
      <c r="F1801">
        <v>0.01</v>
      </c>
      <c r="G1801" t="s">
        <v>72</v>
      </c>
      <c r="H1801" t="s">
        <v>3457</v>
      </c>
      <c r="I1801">
        <v>35</v>
      </c>
      <c r="J1801">
        <v>1715</v>
      </c>
      <c r="K1801" s="5">
        <v>46161.607004652768</v>
      </c>
      <c r="M1801" s="2" t="s">
        <v>2062</v>
      </c>
      <c r="N1801" s="2" t="s">
        <v>1701</v>
      </c>
      <c r="O1801" s="5">
        <v>44482.239033993057</v>
      </c>
      <c r="P1801" t="str">
        <f>IF($Q1801="DELETE",IF($S1801="CONFIRMED: NO MODS &gt; 1YR","CONFIRMED: NO MODS &gt; 1YR","DO NOT DELETE — not defensibly confirmed"),IF($Q1801="HOLD","DO NOT DELETE — HOLD (Charlie review)",IF($Q1801="KEEP","DO NOT DELETE — KEEP",IF(ISNUMBER(SEARCH("REVIEW",$Q1801)),"DO NOT DELETE — REVIEW pending",$S1801))))</f>
        <v>DO NOT DELETE — REVIEW pending</v>
      </c>
      <c r="Q1801" t="str" cm="1">
        <f t="array" ref="Q1801">_xlfn.IFS(AND($A1801="thg-beauty",ISNUMBER(SEARCH("liveramp",$C1801))),"DELETE",$A1801="agile-bonbon-662",_xlfn.IFS(LEFT($G1801,9)="Tranche 1","DELETE",$C1801="Sessions_Level_1_All_Sites","KEEP",ISNUMBER(--$C1801),"REVIEW — UA raw logs",$C1801="Emag_Reporting","KEEP",$C1801="Nutrition_Data_Archived_Tables","KEEP",$C1801="EU_Data","KEEP",TRUE,"REVIEW"),OR($A1801="thg-influencer",$A1801="thg-ingenuity",$A1801="thg-central-marketing",$A1801="thg-seoclarity"),"HOLD",TRUE,"")</f>
        <v>REVIEW</v>
      </c>
      <c r="R1801" t="str" cm="1">
        <f t="array" ref="R1801">_xlfn.IFS(AND($A1801="thg-beauty",ISNUMBER(SEARCH("liveramp",$C1801))),"thg-beauty Liveramp dataset — confirmed safe to delete",$A1801="agile-bonbon-662",_xlfn.IFS(LEFT($G1801,9)="Tranche 1","Tranche 1: cleared",$C1801="Sessions_Level_1_All_Sites","Downstream aggregation of UA raw logs — keep if raw tables go",ISNUMBER(--$C1801),"UA raw site logs (account ID) — keep pending audit-retention check",$C1801="Emag_Reporting","Legacy but likely needed",$C1801="Nutrition_Data_Archived_Tables","Worth keeping",$C1801="EU_Data","Static lookup tables — scripts still reference (smoke-test risk)",TRUE,"Review"),OR($A1801="thg-influencer",$A1801="thg-ingenuity",$A1801="thg-central-marketing",$A1801="thg-seoclarity"),"HOLD — Charlie Stringer to review before deletion",TRUE,"")</f>
        <v>Review</v>
      </c>
      <c r="S1801" t="s">
        <v>1631</v>
      </c>
    </row>
    <row r="1802" spans="1:19" ht="45.75" hidden="1">
      <c r="A1802" t="s">
        <v>89</v>
      </c>
      <c r="B1802" t="s">
        <v>1619</v>
      </c>
      <c r="C1802" t="s">
        <v>4118</v>
      </c>
      <c r="D1802" s="2" t="s">
        <v>1621</v>
      </c>
      <c r="E1802">
        <v>0.57999999999999996</v>
      </c>
      <c r="F1802">
        <v>0.01</v>
      </c>
      <c r="G1802" t="s">
        <v>72</v>
      </c>
      <c r="H1802" t="s">
        <v>3457</v>
      </c>
      <c r="I1802">
        <v>35</v>
      </c>
      <c r="J1802">
        <v>2660</v>
      </c>
      <c r="K1802" s="5">
        <v>46161.60336296296</v>
      </c>
      <c r="M1802" s="2" t="s">
        <v>4119</v>
      </c>
      <c r="N1802" s="2" t="s">
        <v>1701</v>
      </c>
      <c r="O1802" s="5">
        <v>43537.319920543981</v>
      </c>
      <c r="P1802" t="str">
        <f>IF($Q1802="DELETE",IF($S1802="CONFIRMED: NO MODS &gt; 1YR","CONFIRMED: NO MODS &gt; 1YR","DO NOT DELETE — not defensibly confirmed"),IF($Q1802="HOLD","DO NOT DELETE — HOLD (Charlie review)",IF($Q1802="KEEP","DO NOT DELETE — KEEP",IF(ISNUMBER(SEARCH("REVIEW",$Q1802)),"DO NOT DELETE — REVIEW pending",$S1802))))</f>
        <v>DO NOT DELETE — REVIEW pending</v>
      </c>
      <c r="Q1802" t="str" cm="1">
        <f t="array" ref="Q1802">_xlfn.IFS(AND($A1802="thg-beauty",ISNUMBER(SEARCH("liveramp",$C1802))),"DELETE",$A1802="agile-bonbon-662",_xlfn.IFS(LEFT($G1802,9)="Tranche 1","DELETE",$C1802="Sessions_Level_1_All_Sites","KEEP",ISNUMBER(--$C1802),"REVIEW — UA raw logs",$C1802="Emag_Reporting","KEEP",$C1802="Nutrition_Data_Archived_Tables","KEEP",$C1802="EU_Data","KEEP",TRUE,"REVIEW"),OR($A1802="thg-influencer",$A1802="thg-ingenuity",$A1802="thg-central-marketing",$A1802="thg-seoclarity"),"HOLD",TRUE,"")</f>
        <v>REVIEW — UA raw logs</v>
      </c>
      <c r="R1802" t="str" cm="1">
        <f t="array" ref="R1802">_xlfn.IFS(AND($A1802="thg-beauty",ISNUMBER(SEARCH("liveramp",$C1802))),"thg-beauty Liveramp dataset — confirmed safe to delete",$A1802="agile-bonbon-662",_xlfn.IFS(LEFT($G1802,9)="Tranche 1","Tranche 1: cleared",$C1802="Sessions_Level_1_All_Sites","Downstream aggregation of UA raw logs — keep if raw tables go",ISNUMBER(--$C1802),"UA raw site logs (account ID) — keep pending audit-retention check",$C1802="Emag_Reporting","Legacy but likely needed",$C1802="Nutrition_Data_Archived_Tables","Worth keeping",$C1802="EU_Data","Static lookup tables — scripts still reference (smoke-test risk)",TRUE,"Review"),OR($A1802="thg-influencer",$A1802="thg-ingenuity",$A1802="thg-central-marketing",$A1802="thg-seoclarity"),"HOLD — Charlie Stringer to review before deletion",TRUE,"")</f>
        <v>UA raw site logs (account ID) — keep pending audit-retention check</v>
      </c>
      <c r="S1802" t="s">
        <v>1631</v>
      </c>
    </row>
    <row r="1803" spans="1:19" ht="45.75" hidden="1">
      <c r="A1803" t="s">
        <v>89</v>
      </c>
      <c r="B1803" t="s">
        <v>1619</v>
      </c>
      <c r="C1803" t="s">
        <v>4120</v>
      </c>
      <c r="D1803" s="2" t="s">
        <v>1621</v>
      </c>
      <c r="E1803">
        <v>0.56999999999999995</v>
      </c>
      <c r="F1803">
        <v>0.01</v>
      </c>
      <c r="G1803" t="s">
        <v>72</v>
      </c>
      <c r="H1803" t="s">
        <v>3457</v>
      </c>
      <c r="I1803">
        <v>35</v>
      </c>
      <c r="J1803">
        <v>934</v>
      </c>
      <c r="K1803" s="5">
        <v>46161.616729814807</v>
      </c>
      <c r="M1803" s="2" t="s">
        <v>1925</v>
      </c>
      <c r="N1803" s="2" t="s">
        <v>1701</v>
      </c>
      <c r="O1803" s="5">
        <v>45263.397333680557</v>
      </c>
      <c r="P1803" t="str">
        <f>IF($Q1803="DELETE",IF($S1803="CONFIRMED: NO MODS &gt; 1YR","CONFIRMED: NO MODS &gt; 1YR","DO NOT DELETE — not defensibly confirmed"),IF($Q1803="HOLD","DO NOT DELETE — HOLD (Charlie review)",IF($Q1803="KEEP","DO NOT DELETE — KEEP",IF(ISNUMBER(SEARCH("REVIEW",$Q1803)),"DO NOT DELETE — REVIEW pending",$S1803))))</f>
        <v>DO NOT DELETE — REVIEW pending</v>
      </c>
      <c r="Q1803" t="str" cm="1">
        <f t="array" ref="Q1803">_xlfn.IFS(AND($A1803="thg-beauty",ISNUMBER(SEARCH("liveramp",$C1803))),"DELETE",$A1803="agile-bonbon-662",_xlfn.IFS(LEFT($G1803,9)="Tranche 1","DELETE",$C1803="Sessions_Level_1_All_Sites","KEEP",ISNUMBER(--$C1803),"REVIEW — UA raw logs",$C1803="Emag_Reporting","KEEP",$C1803="Nutrition_Data_Archived_Tables","KEEP",$C1803="EU_Data","KEEP",TRUE,"REVIEW"),OR($A1803="thg-influencer",$A1803="thg-ingenuity",$A1803="thg-central-marketing",$A1803="thg-seoclarity"),"HOLD",TRUE,"")</f>
        <v>REVIEW</v>
      </c>
      <c r="R1803" t="str" cm="1">
        <f t="array" ref="R1803">_xlfn.IFS(AND($A1803="thg-beauty",ISNUMBER(SEARCH("liveramp",$C1803))),"thg-beauty Liveramp dataset — confirmed safe to delete",$A1803="agile-bonbon-662",_xlfn.IFS(LEFT($G1803,9)="Tranche 1","Tranche 1: cleared",$C1803="Sessions_Level_1_All_Sites","Downstream aggregation of UA raw logs — keep if raw tables go",ISNUMBER(--$C1803),"UA raw site logs (account ID) — keep pending audit-retention check",$C1803="Emag_Reporting","Legacy but likely needed",$C1803="Nutrition_Data_Archived_Tables","Worth keeping",$C1803="EU_Data","Static lookup tables — scripts still reference (smoke-test risk)",TRUE,"Review"),OR($A1803="thg-influencer",$A1803="thg-ingenuity",$A1803="thg-central-marketing",$A1803="thg-seoclarity"),"HOLD — Charlie Stringer to review before deletion",TRUE,"")</f>
        <v>Review</v>
      </c>
      <c r="S1803" t="s">
        <v>1631</v>
      </c>
    </row>
    <row r="1804" spans="1:19" ht="45.75" hidden="1">
      <c r="A1804" t="s">
        <v>89</v>
      </c>
      <c r="B1804" t="s">
        <v>1619</v>
      </c>
      <c r="C1804" t="s">
        <v>4121</v>
      </c>
      <c r="D1804" s="2" t="s">
        <v>1621</v>
      </c>
      <c r="E1804">
        <v>0.56000000000000005</v>
      </c>
      <c r="F1804">
        <v>0.01</v>
      </c>
      <c r="G1804" t="s">
        <v>72</v>
      </c>
      <c r="H1804" t="s">
        <v>3457</v>
      </c>
      <c r="I1804">
        <v>35</v>
      </c>
      <c r="J1804">
        <v>2275</v>
      </c>
      <c r="K1804" s="5">
        <v>46161.6024927662</v>
      </c>
      <c r="M1804" s="2" t="s">
        <v>4122</v>
      </c>
      <c r="N1804" s="2" t="s">
        <v>1701</v>
      </c>
      <c r="O1804" s="5">
        <v>43922.221285335647</v>
      </c>
      <c r="P1804" t="str">
        <f>IF($Q1804="DELETE",IF($S1804="CONFIRMED: NO MODS &gt; 1YR","CONFIRMED: NO MODS &gt; 1YR","DO NOT DELETE — not defensibly confirmed"),IF($Q1804="HOLD","DO NOT DELETE — HOLD (Charlie review)",IF($Q1804="KEEP","DO NOT DELETE — KEEP",IF(ISNUMBER(SEARCH("REVIEW",$Q1804)),"DO NOT DELETE — REVIEW pending",$S1804))))</f>
        <v>DO NOT DELETE — REVIEW pending</v>
      </c>
      <c r="Q1804" t="str" cm="1">
        <f t="array" ref="Q1804">_xlfn.IFS(AND($A1804="thg-beauty",ISNUMBER(SEARCH("liveramp",$C1804))),"DELETE",$A1804="agile-bonbon-662",_xlfn.IFS(LEFT($G1804,9)="Tranche 1","DELETE",$C1804="Sessions_Level_1_All_Sites","KEEP",ISNUMBER(--$C1804),"REVIEW — UA raw logs",$C1804="Emag_Reporting","KEEP",$C1804="Nutrition_Data_Archived_Tables","KEEP",$C1804="EU_Data","KEEP",TRUE,"REVIEW"),OR($A1804="thg-influencer",$A1804="thg-ingenuity",$A1804="thg-central-marketing",$A1804="thg-seoclarity"),"HOLD",TRUE,"")</f>
        <v>REVIEW — UA raw logs</v>
      </c>
      <c r="R1804" t="str" cm="1">
        <f t="array" ref="R1804">_xlfn.IFS(AND($A1804="thg-beauty",ISNUMBER(SEARCH("liveramp",$C1804))),"thg-beauty Liveramp dataset — confirmed safe to delete",$A1804="agile-bonbon-662",_xlfn.IFS(LEFT($G1804,9)="Tranche 1","Tranche 1: cleared",$C1804="Sessions_Level_1_All_Sites","Downstream aggregation of UA raw logs — keep if raw tables go",ISNUMBER(--$C1804),"UA raw site logs (account ID) — keep pending audit-retention check",$C1804="Emag_Reporting","Legacy but likely needed",$C1804="Nutrition_Data_Archived_Tables","Worth keeping",$C1804="EU_Data","Static lookup tables — scripts still reference (smoke-test risk)",TRUE,"Review"),OR($A1804="thg-influencer",$A1804="thg-ingenuity",$A1804="thg-central-marketing",$A1804="thg-seoclarity"),"HOLD — Charlie Stringer to review before deletion",TRUE,"")</f>
        <v>UA raw site logs (account ID) — keep pending audit-retention check</v>
      </c>
      <c r="S1804" t="s">
        <v>1631</v>
      </c>
    </row>
    <row r="1805" spans="1:19" ht="45.75" hidden="1">
      <c r="A1805" t="s">
        <v>89</v>
      </c>
      <c r="B1805" t="s">
        <v>1619</v>
      </c>
      <c r="C1805" t="s">
        <v>4123</v>
      </c>
      <c r="D1805" s="2" t="s">
        <v>1621</v>
      </c>
      <c r="E1805">
        <v>0.55000000000000004</v>
      </c>
      <c r="F1805">
        <v>0.01</v>
      </c>
      <c r="G1805" t="s">
        <v>72</v>
      </c>
      <c r="H1805" t="s">
        <v>3457</v>
      </c>
      <c r="I1805">
        <v>35</v>
      </c>
      <c r="J1805">
        <v>1966</v>
      </c>
      <c r="K1805" s="5">
        <v>46161.622240416669</v>
      </c>
      <c r="M1805" s="2" t="s">
        <v>3356</v>
      </c>
      <c r="N1805" s="2" t="s">
        <v>1701</v>
      </c>
      <c r="O1805" s="5">
        <v>44231.190119965278</v>
      </c>
      <c r="P1805" t="str">
        <f>IF($Q1805="DELETE",IF($S1805="CONFIRMED: NO MODS &gt; 1YR","CONFIRMED: NO MODS &gt; 1YR","DO NOT DELETE — not defensibly confirmed"),IF($Q1805="HOLD","DO NOT DELETE — HOLD (Charlie review)",IF($Q1805="KEEP","DO NOT DELETE — KEEP",IF(ISNUMBER(SEARCH("REVIEW",$Q1805)),"DO NOT DELETE — REVIEW pending",$S1805))))</f>
        <v>DO NOT DELETE — REVIEW pending</v>
      </c>
      <c r="Q1805" t="str" cm="1">
        <f t="array" ref="Q1805">_xlfn.IFS(AND($A1805="thg-beauty",ISNUMBER(SEARCH("liveramp",$C1805))),"DELETE",$A1805="agile-bonbon-662",_xlfn.IFS(LEFT($G1805,9)="Tranche 1","DELETE",$C1805="Sessions_Level_1_All_Sites","KEEP",ISNUMBER(--$C1805),"REVIEW — UA raw logs",$C1805="Emag_Reporting","KEEP",$C1805="Nutrition_Data_Archived_Tables","KEEP",$C1805="EU_Data","KEEP",TRUE,"REVIEW"),OR($A1805="thg-influencer",$A1805="thg-ingenuity",$A1805="thg-central-marketing",$A1805="thg-seoclarity"),"HOLD",TRUE,"")</f>
        <v>REVIEW</v>
      </c>
      <c r="R1805" t="str" cm="1">
        <f t="array" ref="R1805">_xlfn.IFS(AND($A1805="thg-beauty",ISNUMBER(SEARCH("liveramp",$C1805))),"thg-beauty Liveramp dataset — confirmed safe to delete",$A1805="agile-bonbon-662",_xlfn.IFS(LEFT($G1805,9)="Tranche 1","Tranche 1: cleared",$C1805="Sessions_Level_1_All_Sites","Downstream aggregation of UA raw logs — keep if raw tables go",ISNUMBER(--$C1805),"UA raw site logs (account ID) — keep pending audit-retention check",$C1805="Emag_Reporting","Legacy but likely needed",$C1805="Nutrition_Data_Archived_Tables","Worth keeping",$C1805="EU_Data","Static lookup tables — scripts still reference (smoke-test risk)",TRUE,"Review"),OR($A1805="thg-influencer",$A1805="thg-ingenuity",$A1805="thg-central-marketing",$A1805="thg-seoclarity"),"HOLD — Charlie Stringer to review before deletion",TRUE,"")</f>
        <v>Review</v>
      </c>
      <c r="S1805" t="s">
        <v>1631</v>
      </c>
    </row>
    <row r="1806" spans="1:19" ht="45.75" hidden="1">
      <c r="A1806" t="s">
        <v>89</v>
      </c>
      <c r="B1806" t="s">
        <v>1619</v>
      </c>
      <c r="C1806" t="s">
        <v>4124</v>
      </c>
      <c r="D1806" s="2" t="s">
        <v>1621</v>
      </c>
      <c r="E1806">
        <v>0.49</v>
      </c>
      <c r="F1806">
        <v>0.01</v>
      </c>
      <c r="G1806" t="s">
        <v>72</v>
      </c>
      <c r="H1806" t="s">
        <v>3457</v>
      </c>
      <c r="I1806">
        <v>35</v>
      </c>
      <c r="J1806">
        <v>2591</v>
      </c>
      <c r="K1806" s="5">
        <v>46161.623790821759</v>
      </c>
      <c r="M1806" s="2" t="s">
        <v>3352</v>
      </c>
      <c r="N1806" s="2" t="s">
        <v>1701</v>
      </c>
      <c r="O1806" s="5">
        <v>43605.639592488427</v>
      </c>
      <c r="P1806" t="str">
        <f>IF($Q1806="DELETE",IF($S1806="CONFIRMED: NO MODS &gt; 1YR","CONFIRMED: NO MODS &gt; 1YR","DO NOT DELETE — not defensibly confirmed"),IF($Q1806="HOLD","DO NOT DELETE — HOLD (Charlie review)",IF($Q1806="KEEP","DO NOT DELETE — KEEP",IF(ISNUMBER(SEARCH("REVIEW",$Q1806)),"DO NOT DELETE — REVIEW pending",$S1806))))</f>
        <v>DO NOT DELETE — REVIEW pending</v>
      </c>
      <c r="Q1806" t="str" cm="1">
        <f t="array" ref="Q1806">_xlfn.IFS(AND($A1806="thg-beauty",ISNUMBER(SEARCH("liveramp",$C1806))),"DELETE",$A1806="agile-bonbon-662",_xlfn.IFS(LEFT($G1806,9)="Tranche 1","DELETE",$C1806="Sessions_Level_1_All_Sites","KEEP",ISNUMBER(--$C1806),"REVIEW — UA raw logs",$C1806="Emag_Reporting","KEEP",$C1806="Nutrition_Data_Archived_Tables","KEEP",$C1806="EU_Data","KEEP",TRUE,"REVIEW"),OR($A1806="thg-influencer",$A1806="thg-ingenuity",$A1806="thg-central-marketing",$A1806="thg-seoclarity"),"HOLD",TRUE,"")</f>
        <v>REVIEW</v>
      </c>
      <c r="R1806" t="str" cm="1">
        <f t="array" ref="R1806">_xlfn.IFS(AND($A1806="thg-beauty",ISNUMBER(SEARCH("liveramp",$C1806))),"thg-beauty Liveramp dataset — confirmed safe to delete",$A1806="agile-bonbon-662",_xlfn.IFS(LEFT($G1806,9)="Tranche 1","Tranche 1: cleared",$C1806="Sessions_Level_1_All_Sites","Downstream aggregation of UA raw logs — keep if raw tables go",ISNUMBER(--$C1806),"UA raw site logs (account ID) — keep pending audit-retention check",$C1806="Emag_Reporting","Legacy but likely needed",$C1806="Nutrition_Data_Archived_Tables","Worth keeping",$C1806="EU_Data","Static lookup tables — scripts still reference (smoke-test risk)",TRUE,"Review"),OR($A1806="thg-influencer",$A1806="thg-ingenuity",$A1806="thg-central-marketing",$A1806="thg-seoclarity"),"HOLD — Charlie Stringer to review before deletion",TRUE,"")</f>
        <v>Review</v>
      </c>
      <c r="S1806" t="s">
        <v>1631</v>
      </c>
    </row>
    <row r="1807" spans="1:19" ht="45.75" hidden="1">
      <c r="A1807" t="s">
        <v>89</v>
      </c>
      <c r="B1807" t="s">
        <v>1619</v>
      </c>
      <c r="C1807" t="s">
        <v>4125</v>
      </c>
      <c r="D1807" s="2" t="s">
        <v>1621</v>
      </c>
      <c r="E1807">
        <v>0.48</v>
      </c>
      <c r="F1807">
        <v>0.01</v>
      </c>
      <c r="G1807" t="s">
        <v>72</v>
      </c>
      <c r="H1807" t="s">
        <v>3457</v>
      </c>
      <c r="I1807">
        <v>35</v>
      </c>
      <c r="J1807">
        <v>1076</v>
      </c>
      <c r="K1807" s="5">
        <v>46161.590425648152</v>
      </c>
      <c r="M1807" s="2" t="s">
        <v>3447</v>
      </c>
      <c r="N1807" s="2" t="s">
        <v>1701</v>
      </c>
      <c r="O1807" s="5">
        <v>45120.559055347221</v>
      </c>
      <c r="P1807" t="str">
        <f>IF($Q1807="DELETE",IF($S1807="CONFIRMED: NO MODS &gt; 1YR","CONFIRMED: NO MODS &gt; 1YR","DO NOT DELETE — not defensibly confirmed"),IF($Q1807="HOLD","DO NOT DELETE — HOLD (Charlie review)",IF($Q1807="KEEP","DO NOT DELETE — KEEP",IF(ISNUMBER(SEARCH("REVIEW",$Q1807)),"DO NOT DELETE — REVIEW pending",$S1807))))</f>
        <v>DO NOT DELETE — REVIEW pending</v>
      </c>
      <c r="Q1807" t="str" cm="1">
        <f t="array" ref="Q1807">_xlfn.IFS(AND($A1807="thg-beauty",ISNUMBER(SEARCH("liveramp",$C1807))),"DELETE",$A1807="agile-bonbon-662",_xlfn.IFS(LEFT($G1807,9)="Tranche 1","DELETE",$C1807="Sessions_Level_1_All_Sites","KEEP",ISNUMBER(--$C1807),"REVIEW — UA raw logs",$C1807="Emag_Reporting","KEEP",$C1807="Nutrition_Data_Archived_Tables","KEEP",$C1807="EU_Data","KEEP",TRUE,"REVIEW"),OR($A1807="thg-influencer",$A1807="thg-ingenuity",$A1807="thg-central-marketing",$A1807="thg-seoclarity"),"HOLD",TRUE,"")</f>
        <v>REVIEW — UA raw logs</v>
      </c>
      <c r="R1807" t="str" cm="1">
        <f t="array" ref="R1807">_xlfn.IFS(AND($A1807="thg-beauty",ISNUMBER(SEARCH("liveramp",$C1807))),"thg-beauty Liveramp dataset — confirmed safe to delete",$A1807="agile-bonbon-662",_xlfn.IFS(LEFT($G1807,9)="Tranche 1","Tranche 1: cleared",$C1807="Sessions_Level_1_All_Sites","Downstream aggregation of UA raw logs — keep if raw tables go",ISNUMBER(--$C1807),"UA raw site logs (account ID) — keep pending audit-retention check",$C1807="Emag_Reporting","Legacy but likely needed",$C1807="Nutrition_Data_Archived_Tables","Worth keeping",$C1807="EU_Data","Static lookup tables — scripts still reference (smoke-test risk)",TRUE,"Review"),OR($A1807="thg-influencer",$A1807="thg-ingenuity",$A1807="thg-central-marketing",$A1807="thg-seoclarity"),"HOLD — Charlie Stringer to review before deletion",TRUE,"")</f>
        <v>UA raw site logs (account ID) — keep pending audit-retention check</v>
      </c>
      <c r="S1807" t="s">
        <v>1631</v>
      </c>
    </row>
    <row r="1808" spans="1:19" ht="45.75" hidden="1">
      <c r="A1808" t="s">
        <v>89</v>
      </c>
      <c r="B1808" t="s">
        <v>1619</v>
      </c>
      <c r="C1808" t="s">
        <v>4126</v>
      </c>
      <c r="D1808" s="2" t="s">
        <v>1621</v>
      </c>
      <c r="E1808">
        <v>0.47</v>
      </c>
      <c r="F1808">
        <v>0.01</v>
      </c>
      <c r="G1808" t="s">
        <v>72</v>
      </c>
      <c r="H1808" t="s">
        <v>3457</v>
      </c>
      <c r="I1808">
        <v>35</v>
      </c>
      <c r="J1808">
        <v>1860</v>
      </c>
      <c r="K1808" s="5">
        <v>46161.610456527778</v>
      </c>
      <c r="M1808" s="2" t="s">
        <v>3908</v>
      </c>
      <c r="N1808" s="2" t="s">
        <v>1701</v>
      </c>
      <c r="O1808" s="5">
        <v>44336.532505034716</v>
      </c>
      <c r="P1808" t="str">
        <f>IF($Q1808="DELETE",IF($S1808="CONFIRMED: NO MODS &gt; 1YR","CONFIRMED: NO MODS &gt; 1YR","DO NOT DELETE — not defensibly confirmed"),IF($Q1808="HOLD","DO NOT DELETE — HOLD (Charlie review)",IF($Q1808="KEEP","DO NOT DELETE — KEEP",IF(ISNUMBER(SEARCH("REVIEW",$Q1808)),"DO NOT DELETE — REVIEW pending",$S1808))))</f>
        <v>DO NOT DELETE — REVIEW pending</v>
      </c>
      <c r="Q1808" t="str" cm="1">
        <f t="array" ref="Q1808">_xlfn.IFS(AND($A1808="thg-beauty",ISNUMBER(SEARCH("liveramp",$C1808))),"DELETE",$A1808="agile-bonbon-662",_xlfn.IFS(LEFT($G1808,9)="Tranche 1","DELETE",$C1808="Sessions_Level_1_All_Sites","KEEP",ISNUMBER(--$C1808),"REVIEW — UA raw logs",$C1808="Emag_Reporting","KEEP",$C1808="Nutrition_Data_Archived_Tables","KEEP",$C1808="EU_Data","KEEP",TRUE,"REVIEW"),OR($A1808="thg-influencer",$A1808="thg-ingenuity",$A1808="thg-central-marketing",$A1808="thg-seoclarity"),"HOLD",TRUE,"")</f>
        <v>REVIEW</v>
      </c>
      <c r="R1808" t="str" cm="1">
        <f t="array" ref="R1808">_xlfn.IFS(AND($A1808="thg-beauty",ISNUMBER(SEARCH("liveramp",$C1808))),"thg-beauty Liveramp dataset — confirmed safe to delete",$A1808="agile-bonbon-662",_xlfn.IFS(LEFT($G1808,9)="Tranche 1","Tranche 1: cleared",$C1808="Sessions_Level_1_All_Sites","Downstream aggregation of UA raw logs — keep if raw tables go",ISNUMBER(--$C1808),"UA raw site logs (account ID) — keep pending audit-retention check",$C1808="Emag_Reporting","Legacy but likely needed",$C1808="Nutrition_Data_Archived_Tables","Worth keeping",$C1808="EU_Data","Static lookup tables — scripts still reference (smoke-test risk)",TRUE,"Review"),OR($A1808="thg-influencer",$A1808="thg-ingenuity",$A1808="thg-central-marketing",$A1808="thg-seoclarity"),"HOLD — Charlie Stringer to review before deletion",TRUE,"")</f>
        <v>Review</v>
      </c>
      <c r="S1808" t="s">
        <v>1631</v>
      </c>
    </row>
    <row r="1809" spans="1:19" ht="45.75" hidden="1">
      <c r="A1809" t="s">
        <v>89</v>
      </c>
      <c r="B1809" t="s">
        <v>1619</v>
      </c>
      <c r="C1809" t="s">
        <v>4127</v>
      </c>
      <c r="D1809" s="2" t="s">
        <v>1621</v>
      </c>
      <c r="E1809">
        <v>0.47</v>
      </c>
      <c r="F1809">
        <v>0.01</v>
      </c>
      <c r="G1809" t="s">
        <v>72</v>
      </c>
      <c r="H1809" t="s">
        <v>3457</v>
      </c>
      <c r="I1809">
        <v>35</v>
      </c>
      <c r="J1809">
        <v>1860</v>
      </c>
      <c r="K1809" s="5">
        <v>46161.610483993063</v>
      </c>
      <c r="M1809" s="2" t="s">
        <v>3908</v>
      </c>
      <c r="N1809" s="2" t="s">
        <v>1701</v>
      </c>
      <c r="O1809" s="5">
        <v>44336.571427233786</v>
      </c>
      <c r="P1809" t="str">
        <f>IF($Q1809="DELETE",IF($S1809="CONFIRMED: NO MODS &gt; 1YR","CONFIRMED: NO MODS &gt; 1YR","DO NOT DELETE — not defensibly confirmed"),IF($Q1809="HOLD","DO NOT DELETE — HOLD (Charlie review)",IF($Q1809="KEEP","DO NOT DELETE — KEEP",IF(ISNUMBER(SEARCH("REVIEW",$Q1809)),"DO NOT DELETE — REVIEW pending",$S1809))))</f>
        <v>DO NOT DELETE — REVIEW pending</v>
      </c>
      <c r="Q1809" t="str" cm="1">
        <f t="array" ref="Q1809">_xlfn.IFS(AND($A1809="thg-beauty",ISNUMBER(SEARCH("liveramp",$C1809))),"DELETE",$A1809="agile-bonbon-662",_xlfn.IFS(LEFT($G1809,9)="Tranche 1","DELETE",$C1809="Sessions_Level_1_All_Sites","KEEP",ISNUMBER(--$C1809),"REVIEW — UA raw logs",$C1809="Emag_Reporting","KEEP",$C1809="Nutrition_Data_Archived_Tables","KEEP",$C1809="EU_Data","KEEP",TRUE,"REVIEW"),OR($A1809="thg-influencer",$A1809="thg-ingenuity",$A1809="thg-central-marketing",$A1809="thg-seoclarity"),"HOLD",TRUE,"")</f>
        <v>REVIEW</v>
      </c>
      <c r="R1809" t="str" cm="1">
        <f t="array" ref="R1809">_xlfn.IFS(AND($A1809="thg-beauty",ISNUMBER(SEARCH("liveramp",$C1809))),"thg-beauty Liveramp dataset — confirmed safe to delete",$A1809="agile-bonbon-662",_xlfn.IFS(LEFT($G1809,9)="Tranche 1","Tranche 1: cleared",$C1809="Sessions_Level_1_All_Sites","Downstream aggregation of UA raw logs — keep if raw tables go",ISNUMBER(--$C1809),"UA raw site logs (account ID) — keep pending audit-retention check",$C1809="Emag_Reporting","Legacy but likely needed",$C1809="Nutrition_Data_Archived_Tables","Worth keeping",$C1809="EU_Data","Static lookup tables — scripts still reference (smoke-test risk)",TRUE,"Review"),OR($A1809="thg-influencer",$A1809="thg-ingenuity",$A1809="thg-central-marketing",$A1809="thg-seoclarity"),"HOLD — Charlie Stringer to review before deletion",TRUE,"")</f>
        <v>Review</v>
      </c>
      <c r="S1809" t="s">
        <v>1624</v>
      </c>
    </row>
    <row r="1810" spans="1:19" ht="45.75" hidden="1">
      <c r="A1810" t="s">
        <v>89</v>
      </c>
      <c r="B1810" t="s">
        <v>1619</v>
      </c>
      <c r="C1810" t="s">
        <v>4128</v>
      </c>
      <c r="D1810" s="2" t="s">
        <v>1621</v>
      </c>
      <c r="E1810">
        <v>0.44</v>
      </c>
      <c r="F1810">
        <v>0.01</v>
      </c>
      <c r="G1810" t="s">
        <v>72</v>
      </c>
      <c r="H1810" t="s">
        <v>3457</v>
      </c>
      <c r="I1810">
        <v>35</v>
      </c>
      <c r="J1810">
        <v>669</v>
      </c>
      <c r="K1810" s="5">
        <v>46161.620779062498</v>
      </c>
      <c r="M1810" s="2" t="s">
        <v>3941</v>
      </c>
      <c r="N1810" s="2" t="s">
        <v>1701</v>
      </c>
      <c r="O1810" s="5">
        <v>45528.427643078707</v>
      </c>
      <c r="P1810" t="str">
        <f>IF($Q1810="DELETE",IF($S1810="CONFIRMED: NO MODS &gt; 1YR","CONFIRMED: NO MODS &gt; 1YR","DO NOT DELETE — not defensibly confirmed"),IF($Q1810="HOLD","DO NOT DELETE — HOLD (Charlie review)",IF($Q1810="KEEP","DO NOT DELETE — KEEP",IF(ISNUMBER(SEARCH("REVIEW",$Q1810)),"DO NOT DELETE — REVIEW pending",$S1810))))</f>
        <v>DO NOT DELETE — REVIEW pending</v>
      </c>
      <c r="Q1810" t="str" cm="1">
        <f t="array" ref="Q1810">_xlfn.IFS(AND($A1810="thg-beauty",ISNUMBER(SEARCH("liveramp",$C1810))),"DELETE",$A1810="agile-bonbon-662",_xlfn.IFS(LEFT($G1810,9)="Tranche 1","DELETE",$C1810="Sessions_Level_1_All_Sites","KEEP",ISNUMBER(--$C1810),"REVIEW — UA raw logs",$C1810="Emag_Reporting","KEEP",$C1810="Nutrition_Data_Archived_Tables","KEEP",$C1810="EU_Data","KEEP",TRUE,"REVIEW"),OR($A1810="thg-influencer",$A1810="thg-ingenuity",$A1810="thg-central-marketing",$A1810="thg-seoclarity"),"HOLD",TRUE,"")</f>
        <v>REVIEW</v>
      </c>
      <c r="R1810" t="str" cm="1">
        <f t="array" ref="R1810">_xlfn.IFS(AND($A1810="thg-beauty",ISNUMBER(SEARCH("liveramp",$C1810))),"thg-beauty Liveramp dataset — confirmed safe to delete",$A1810="agile-bonbon-662",_xlfn.IFS(LEFT($G1810,9)="Tranche 1","Tranche 1: cleared",$C1810="Sessions_Level_1_All_Sites","Downstream aggregation of UA raw logs — keep if raw tables go",ISNUMBER(--$C1810),"UA raw site logs (account ID) — keep pending audit-retention check",$C1810="Emag_Reporting","Legacy but likely needed",$C1810="Nutrition_Data_Archived_Tables","Worth keeping",$C1810="EU_Data","Static lookup tables — scripts still reference (smoke-test risk)",TRUE,"Review"),OR($A1810="thg-influencer",$A1810="thg-ingenuity",$A1810="thg-central-marketing",$A1810="thg-seoclarity"),"HOLD — Charlie Stringer to review before deletion",TRUE,"")</f>
        <v>Review</v>
      </c>
      <c r="S1810" t="s">
        <v>1631</v>
      </c>
    </row>
    <row r="1811" spans="1:19" ht="45.75" hidden="1">
      <c r="A1811" t="s">
        <v>89</v>
      </c>
      <c r="B1811" t="s">
        <v>1619</v>
      </c>
      <c r="C1811" t="s">
        <v>4129</v>
      </c>
      <c r="D1811" s="2" t="s">
        <v>1621</v>
      </c>
      <c r="E1811">
        <v>0.43</v>
      </c>
      <c r="F1811">
        <v>0.01</v>
      </c>
      <c r="G1811" t="s">
        <v>72</v>
      </c>
      <c r="H1811" t="s">
        <v>3457</v>
      </c>
      <c r="I1811">
        <v>35</v>
      </c>
      <c r="J1811">
        <v>723</v>
      </c>
      <c r="K1811" s="5">
        <v>46161.591988773151</v>
      </c>
      <c r="M1811" s="2" t="s">
        <v>3448</v>
      </c>
      <c r="N1811" s="2" t="s">
        <v>1701</v>
      </c>
      <c r="O1811" s="5">
        <v>45474.278882118058</v>
      </c>
      <c r="P1811" t="str">
        <f>IF($Q1811="DELETE",IF($S1811="CONFIRMED: NO MODS &gt; 1YR","CONFIRMED: NO MODS &gt; 1YR","DO NOT DELETE — not defensibly confirmed"),IF($Q1811="HOLD","DO NOT DELETE — HOLD (Charlie review)",IF($Q1811="KEEP","DO NOT DELETE — KEEP",IF(ISNUMBER(SEARCH("REVIEW",$Q1811)),"DO NOT DELETE — REVIEW pending",$S1811))))</f>
        <v>DO NOT DELETE — REVIEW pending</v>
      </c>
      <c r="Q1811" t="str" cm="1">
        <f t="array" ref="Q1811">_xlfn.IFS(AND($A1811="thg-beauty",ISNUMBER(SEARCH("liveramp",$C1811))),"DELETE",$A1811="agile-bonbon-662",_xlfn.IFS(LEFT($G1811,9)="Tranche 1","DELETE",$C1811="Sessions_Level_1_All_Sites","KEEP",ISNUMBER(--$C1811),"REVIEW — UA raw logs",$C1811="Emag_Reporting","KEEP",$C1811="Nutrition_Data_Archived_Tables","KEEP",$C1811="EU_Data","KEEP",TRUE,"REVIEW"),OR($A1811="thg-influencer",$A1811="thg-ingenuity",$A1811="thg-central-marketing",$A1811="thg-seoclarity"),"HOLD",TRUE,"")</f>
        <v>REVIEW — UA raw logs</v>
      </c>
      <c r="R1811" t="str" cm="1">
        <f t="array" ref="R1811">_xlfn.IFS(AND($A1811="thg-beauty",ISNUMBER(SEARCH("liveramp",$C1811))),"thg-beauty Liveramp dataset — confirmed safe to delete",$A1811="agile-bonbon-662",_xlfn.IFS(LEFT($G1811,9)="Tranche 1","Tranche 1: cleared",$C1811="Sessions_Level_1_All_Sites","Downstream aggregation of UA raw logs — keep if raw tables go",ISNUMBER(--$C1811),"UA raw site logs (account ID) — keep pending audit-retention check",$C1811="Emag_Reporting","Legacy but likely needed",$C1811="Nutrition_Data_Archived_Tables","Worth keeping",$C1811="EU_Data","Static lookup tables — scripts still reference (smoke-test risk)",TRUE,"Review"),OR($A1811="thg-influencer",$A1811="thg-ingenuity",$A1811="thg-central-marketing",$A1811="thg-seoclarity"),"HOLD — Charlie Stringer to review before deletion",TRUE,"")</f>
        <v>UA raw site logs (account ID) — keep pending audit-retention check</v>
      </c>
      <c r="S1811" t="s">
        <v>1631</v>
      </c>
    </row>
    <row r="1812" spans="1:19" ht="45.75" hidden="1">
      <c r="A1812" t="s">
        <v>89</v>
      </c>
      <c r="B1812" t="s">
        <v>1619</v>
      </c>
      <c r="C1812" t="s">
        <v>4130</v>
      </c>
      <c r="D1812" s="2" t="s">
        <v>1621</v>
      </c>
      <c r="E1812">
        <v>0.42</v>
      </c>
      <c r="F1812">
        <v>0.01</v>
      </c>
      <c r="G1812" t="s">
        <v>72</v>
      </c>
      <c r="H1812" t="s">
        <v>3457</v>
      </c>
      <c r="I1812">
        <v>35</v>
      </c>
      <c r="J1812">
        <v>723</v>
      </c>
      <c r="K1812" s="5">
        <v>46161.594254710653</v>
      </c>
      <c r="M1812" s="2" t="s">
        <v>2273</v>
      </c>
      <c r="N1812" s="2" t="s">
        <v>1701</v>
      </c>
      <c r="O1812" s="5">
        <v>45474.297232916673</v>
      </c>
      <c r="P1812" t="str">
        <f>IF($Q1812="DELETE",IF($S1812="CONFIRMED: NO MODS &gt; 1YR","CONFIRMED: NO MODS &gt; 1YR","DO NOT DELETE — not defensibly confirmed"),IF($Q1812="HOLD","DO NOT DELETE — HOLD (Charlie review)",IF($Q1812="KEEP","DO NOT DELETE — KEEP",IF(ISNUMBER(SEARCH("REVIEW",$Q1812)),"DO NOT DELETE — REVIEW pending",$S1812))))</f>
        <v>DO NOT DELETE — REVIEW pending</v>
      </c>
      <c r="Q1812" t="str" cm="1">
        <f t="array" ref="Q1812">_xlfn.IFS(AND($A1812="thg-beauty",ISNUMBER(SEARCH("liveramp",$C1812))),"DELETE",$A1812="agile-bonbon-662",_xlfn.IFS(LEFT($G1812,9)="Tranche 1","DELETE",$C1812="Sessions_Level_1_All_Sites","KEEP",ISNUMBER(--$C1812),"REVIEW — UA raw logs",$C1812="Emag_Reporting","KEEP",$C1812="Nutrition_Data_Archived_Tables","KEEP",$C1812="EU_Data","KEEP",TRUE,"REVIEW"),OR($A1812="thg-influencer",$A1812="thg-ingenuity",$A1812="thg-central-marketing",$A1812="thg-seoclarity"),"HOLD",TRUE,"")</f>
        <v>REVIEW — UA raw logs</v>
      </c>
      <c r="R1812" t="str" cm="1">
        <f t="array" ref="R1812">_xlfn.IFS(AND($A1812="thg-beauty",ISNUMBER(SEARCH("liveramp",$C1812))),"thg-beauty Liveramp dataset — confirmed safe to delete",$A1812="agile-bonbon-662",_xlfn.IFS(LEFT($G1812,9)="Tranche 1","Tranche 1: cleared",$C1812="Sessions_Level_1_All_Sites","Downstream aggregation of UA raw logs — keep if raw tables go",ISNUMBER(--$C1812),"UA raw site logs (account ID) — keep pending audit-retention check",$C1812="Emag_Reporting","Legacy but likely needed",$C1812="Nutrition_Data_Archived_Tables","Worth keeping",$C1812="EU_Data","Static lookup tables — scripts still reference (smoke-test risk)",TRUE,"Review"),OR($A1812="thg-influencer",$A1812="thg-ingenuity",$A1812="thg-central-marketing",$A1812="thg-seoclarity"),"HOLD — Charlie Stringer to review before deletion",TRUE,"")</f>
        <v>UA raw site logs (account ID) — keep pending audit-retention check</v>
      </c>
      <c r="S1812" t="s">
        <v>1631</v>
      </c>
    </row>
    <row r="1813" spans="1:19" ht="45.75" hidden="1">
      <c r="A1813" t="s">
        <v>89</v>
      </c>
      <c r="B1813" t="s">
        <v>1619</v>
      </c>
      <c r="C1813" t="s">
        <v>4131</v>
      </c>
      <c r="D1813" s="2" t="s">
        <v>1621</v>
      </c>
      <c r="E1813">
        <v>0.42</v>
      </c>
      <c r="F1813">
        <v>0.01</v>
      </c>
      <c r="G1813" t="s">
        <v>72</v>
      </c>
      <c r="H1813" t="s">
        <v>3457</v>
      </c>
      <c r="I1813">
        <v>35</v>
      </c>
      <c r="J1813">
        <v>1966</v>
      </c>
      <c r="K1813" s="5">
        <v>46161.622080300927</v>
      </c>
      <c r="M1813" s="2" t="s">
        <v>3354</v>
      </c>
      <c r="N1813" s="2" t="s">
        <v>1701</v>
      </c>
      <c r="O1813" s="5">
        <v>44231.149470567128</v>
      </c>
      <c r="P1813" t="str">
        <f>IF($Q1813="DELETE",IF($S1813="CONFIRMED: NO MODS &gt; 1YR","CONFIRMED: NO MODS &gt; 1YR","DO NOT DELETE — not defensibly confirmed"),IF($Q1813="HOLD","DO NOT DELETE — HOLD (Charlie review)",IF($Q1813="KEEP","DO NOT DELETE — KEEP",IF(ISNUMBER(SEARCH("REVIEW",$Q1813)),"DO NOT DELETE — REVIEW pending",$S1813))))</f>
        <v>DO NOT DELETE — REVIEW pending</v>
      </c>
      <c r="Q1813" t="str" cm="1">
        <f t="array" ref="Q1813">_xlfn.IFS(AND($A1813="thg-beauty",ISNUMBER(SEARCH("liveramp",$C1813))),"DELETE",$A1813="agile-bonbon-662",_xlfn.IFS(LEFT($G1813,9)="Tranche 1","DELETE",$C1813="Sessions_Level_1_All_Sites","KEEP",ISNUMBER(--$C1813),"REVIEW — UA raw logs",$C1813="Emag_Reporting","KEEP",$C1813="Nutrition_Data_Archived_Tables","KEEP",$C1813="EU_Data","KEEP",TRUE,"REVIEW"),OR($A1813="thg-influencer",$A1813="thg-ingenuity",$A1813="thg-central-marketing",$A1813="thg-seoclarity"),"HOLD",TRUE,"")</f>
        <v>REVIEW</v>
      </c>
      <c r="R1813" t="str" cm="1">
        <f t="array" ref="R1813">_xlfn.IFS(AND($A1813="thg-beauty",ISNUMBER(SEARCH("liveramp",$C1813))),"thg-beauty Liveramp dataset — confirmed safe to delete",$A1813="agile-bonbon-662",_xlfn.IFS(LEFT($G1813,9)="Tranche 1","Tranche 1: cleared",$C1813="Sessions_Level_1_All_Sites","Downstream aggregation of UA raw logs — keep if raw tables go",ISNUMBER(--$C1813),"UA raw site logs (account ID) — keep pending audit-retention check",$C1813="Emag_Reporting","Legacy but likely needed",$C1813="Nutrition_Data_Archived_Tables","Worth keeping",$C1813="EU_Data","Static lookup tables — scripts still reference (smoke-test risk)",TRUE,"Review"),OR($A1813="thg-influencer",$A1813="thg-ingenuity",$A1813="thg-central-marketing",$A1813="thg-seoclarity"),"HOLD — Charlie Stringer to review before deletion",TRUE,"")</f>
        <v>Review</v>
      </c>
      <c r="S1813" t="s">
        <v>1631</v>
      </c>
    </row>
    <row r="1814" spans="1:19" ht="45.75" hidden="1">
      <c r="A1814" t="s">
        <v>89</v>
      </c>
      <c r="B1814" t="s">
        <v>1619</v>
      </c>
      <c r="C1814" t="s">
        <v>4132</v>
      </c>
      <c r="D1814" s="2" t="s">
        <v>1621</v>
      </c>
      <c r="E1814">
        <v>0.42</v>
      </c>
      <c r="F1814">
        <v>0.01</v>
      </c>
      <c r="G1814" t="s">
        <v>72</v>
      </c>
      <c r="H1814" t="s">
        <v>3457</v>
      </c>
      <c r="I1814">
        <v>35</v>
      </c>
      <c r="J1814">
        <v>1653</v>
      </c>
      <c r="K1814" s="5">
        <v>46161.603610081023</v>
      </c>
      <c r="M1814" s="2" t="s">
        <v>3425</v>
      </c>
      <c r="N1814" s="2" t="s">
        <v>1701</v>
      </c>
      <c r="O1814" s="5">
        <v>44544.252915925928</v>
      </c>
      <c r="P1814" t="str">
        <f>IF($Q1814="DELETE",IF($S1814="CONFIRMED: NO MODS &gt; 1YR","CONFIRMED: NO MODS &gt; 1YR","DO NOT DELETE — not defensibly confirmed"),IF($Q1814="HOLD","DO NOT DELETE — HOLD (Charlie review)",IF($Q1814="KEEP","DO NOT DELETE — KEEP",IF(ISNUMBER(SEARCH("REVIEW",$Q1814)),"DO NOT DELETE — REVIEW pending",$S1814))))</f>
        <v>DO NOT DELETE — REVIEW pending</v>
      </c>
      <c r="Q1814" t="str" cm="1">
        <f t="array" ref="Q1814">_xlfn.IFS(AND($A1814="thg-beauty",ISNUMBER(SEARCH("liveramp",$C1814))),"DELETE",$A1814="agile-bonbon-662",_xlfn.IFS(LEFT($G1814,9)="Tranche 1","DELETE",$C1814="Sessions_Level_1_All_Sites","KEEP",ISNUMBER(--$C1814),"REVIEW — UA raw logs",$C1814="Emag_Reporting","KEEP",$C1814="Nutrition_Data_Archived_Tables","KEEP",$C1814="EU_Data","KEEP",TRUE,"REVIEW"),OR($A1814="thg-influencer",$A1814="thg-ingenuity",$A1814="thg-central-marketing",$A1814="thg-seoclarity"),"HOLD",TRUE,"")</f>
        <v>REVIEW — UA raw logs</v>
      </c>
      <c r="R1814" t="str" cm="1">
        <f t="array" ref="R1814">_xlfn.IFS(AND($A1814="thg-beauty",ISNUMBER(SEARCH("liveramp",$C1814))),"thg-beauty Liveramp dataset — confirmed safe to delete",$A1814="agile-bonbon-662",_xlfn.IFS(LEFT($G1814,9)="Tranche 1","Tranche 1: cleared",$C1814="Sessions_Level_1_All_Sites","Downstream aggregation of UA raw logs — keep if raw tables go",ISNUMBER(--$C1814),"UA raw site logs (account ID) — keep pending audit-retention check",$C1814="Emag_Reporting","Legacy but likely needed",$C1814="Nutrition_Data_Archived_Tables","Worth keeping",$C1814="EU_Data","Static lookup tables — scripts still reference (smoke-test risk)",TRUE,"Review"),OR($A1814="thg-influencer",$A1814="thg-ingenuity",$A1814="thg-central-marketing",$A1814="thg-seoclarity"),"HOLD — Charlie Stringer to review before deletion",TRUE,"")</f>
        <v>UA raw site logs (account ID) — keep pending audit-retention check</v>
      </c>
      <c r="S1814" t="s">
        <v>1631</v>
      </c>
    </row>
    <row r="1815" spans="1:19" ht="45.75" hidden="1">
      <c r="A1815" t="s">
        <v>89</v>
      </c>
      <c r="B1815" t="s">
        <v>1619</v>
      </c>
      <c r="C1815" t="s">
        <v>4133</v>
      </c>
      <c r="D1815" s="2" t="s">
        <v>1621</v>
      </c>
      <c r="E1815">
        <v>0.41</v>
      </c>
      <c r="F1815">
        <v>0.01</v>
      </c>
      <c r="G1815" t="s">
        <v>72</v>
      </c>
      <c r="H1815" t="s">
        <v>3457</v>
      </c>
      <c r="I1815">
        <v>35</v>
      </c>
      <c r="J1815">
        <v>1966</v>
      </c>
      <c r="K1815" s="5">
        <v>46161.621699791664</v>
      </c>
      <c r="M1815" s="2" t="s">
        <v>3359</v>
      </c>
      <c r="N1815" s="2" t="s">
        <v>1701</v>
      </c>
      <c r="O1815" s="5">
        <v>44230.86546734954</v>
      </c>
      <c r="P1815" t="str">
        <f>IF($Q1815="DELETE",IF($S1815="CONFIRMED: NO MODS &gt; 1YR","CONFIRMED: NO MODS &gt; 1YR","DO NOT DELETE — not defensibly confirmed"),IF($Q1815="HOLD","DO NOT DELETE — HOLD (Charlie review)",IF($Q1815="KEEP","DO NOT DELETE — KEEP",IF(ISNUMBER(SEARCH("REVIEW",$Q1815)),"DO NOT DELETE — REVIEW pending",$S1815))))</f>
        <v>DO NOT DELETE — REVIEW pending</v>
      </c>
      <c r="Q1815" t="str" cm="1">
        <f t="array" ref="Q1815">_xlfn.IFS(AND($A1815="thg-beauty",ISNUMBER(SEARCH("liveramp",$C1815))),"DELETE",$A1815="agile-bonbon-662",_xlfn.IFS(LEFT($G1815,9)="Tranche 1","DELETE",$C1815="Sessions_Level_1_All_Sites","KEEP",ISNUMBER(--$C1815),"REVIEW — UA raw logs",$C1815="Emag_Reporting","KEEP",$C1815="Nutrition_Data_Archived_Tables","KEEP",$C1815="EU_Data","KEEP",TRUE,"REVIEW"),OR($A1815="thg-influencer",$A1815="thg-ingenuity",$A1815="thg-central-marketing",$A1815="thg-seoclarity"),"HOLD",TRUE,"")</f>
        <v>REVIEW</v>
      </c>
      <c r="R1815" t="str" cm="1">
        <f t="array" ref="R1815">_xlfn.IFS(AND($A1815="thg-beauty",ISNUMBER(SEARCH("liveramp",$C1815))),"thg-beauty Liveramp dataset — confirmed safe to delete",$A1815="agile-bonbon-662",_xlfn.IFS(LEFT($G1815,9)="Tranche 1","Tranche 1: cleared",$C1815="Sessions_Level_1_All_Sites","Downstream aggregation of UA raw logs — keep if raw tables go",ISNUMBER(--$C1815),"UA raw site logs (account ID) — keep pending audit-retention check",$C1815="Emag_Reporting","Legacy but likely needed",$C1815="Nutrition_Data_Archived_Tables","Worth keeping",$C1815="EU_Data","Static lookup tables — scripts still reference (smoke-test risk)",TRUE,"Review"),OR($A1815="thg-influencer",$A1815="thg-ingenuity",$A1815="thg-central-marketing",$A1815="thg-seoclarity"),"HOLD — Charlie Stringer to review before deletion",TRUE,"")</f>
        <v>Review</v>
      </c>
      <c r="S1815" t="s">
        <v>1631</v>
      </c>
    </row>
    <row r="1816" spans="1:19" ht="45.75" hidden="1">
      <c r="A1816" t="s">
        <v>89</v>
      </c>
      <c r="B1816" t="s">
        <v>1619</v>
      </c>
      <c r="C1816" t="s">
        <v>4134</v>
      </c>
      <c r="D1816" s="2" t="s">
        <v>1621</v>
      </c>
      <c r="E1816">
        <v>0.4</v>
      </c>
      <c r="F1816">
        <v>0.01</v>
      </c>
      <c r="G1816" t="s">
        <v>72</v>
      </c>
      <c r="H1816" t="s">
        <v>3457</v>
      </c>
      <c r="I1816">
        <v>35</v>
      </c>
      <c r="J1816">
        <v>1134</v>
      </c>
      <c r="K1816" s="5">
        <v>46161.615993356478</v>
      </c>
      <c r="M1816" s="2" t="s">
        <v>1938</v>
      </c>
      <c r="N1816" s="2" t="s">
        <v>1701</v>
      </c>
      <c r="O1816" s="5">
        <v>45063.190184953703</v>
      </c>
      <c r="P1816" t="str">
        <f>IF($Q1816="DELETE",IF($S1816="CONFIRMED: NO MODS &gt; 1YR","CONFIRMED: NO MODS &gt; 1YR","DO NOT DELETE — not defensibly confirmed"),IF($Q1816="HOLD","DO NOT DELETE — HOLD (Charlie review)",IF($Q1816="KEEP","DO NOT DELETE — KEEP",IF(ISNUMBER(SEARCH("REVIEW",$Q1816)),"DO NOT DELETE — REVIEW pending",$S1816))))</f>
        <v>DO NOT DELETE — REVIEW pending</v>
      </c>
      <c r="Q1816" t="str" cm="1">
        <f t="array" ref="Q1816">_xlfn.IFS(AND($A1816="thg-beauty",ISNUMBER(SEARCH("liveramp",$C1816))),"DELETE",$A1816="agile-bonbon-662",_xlfn.IFS(LEFT($G1816,9)="Tranche 1","DELETE",$C1816="Sessions_Level_1_All_Sites","KEEP",ISNUMBER(--$C1816),"REVIEW — UA raw logs",$C1816="Emag_Reporting","KEEP",$C1816="Nutrition_Data_Archived_Tables","KEEP",$C1816="EU_Data","KEEP",TRUE,"REVIEW"),OR($A1816="thg-influencer",$A1816="thg-ingenuity",$A1816="thg-central-marketing",$A1816="thg-seoclarity"),"HOLD",TRUE,"")</f>
        <v>REVIEW</v>
      </c>
      <c r="R1816" t="str" cm="1">
        <f t="array" ref="R1816">_xlfn.IFS(AND($A1816="thg-beauty",ISNUMBER(SEARCH("liveramp",$C1816))),"thg-beauty Liveramp dataset — confirmed safe to delete",$A1816="agile-bonbon-662",_xlfn.IFS(LEFT($G1816,9)="Tranche 1","Tranche 1: cleared",$C1816="Sessions_Level_1_All_Sites","Downstream aggregation of UA raw logs — keep if raw tables go",ISNUMBER(--$C1816),"UA raw site logs (account ID) — keep pending audit-retention check",$C1816="Emag_Reporting","Legacy but likely needed",$C1816="Nutrition_Data_Archived_Tables","Worth keeping",$C1816="EU_Data","Static lookup tables — scripts still reference (smoke-test risk)",TRUE,"Review"),OR($A1816="thg-influencer",$A1816="thg-ingenuity",$A1816="thg-central-marketing",$A1816="thg-seoclarity"),"HOLD — Charlie Stringer to review before deletion",TRUE,"")</f>
        <v>Review</v>
      </c>
      <c r="S1816" t="s">
        <v>1631</v>
      </c>
    </row>
    <row r="1817" spans="1:19" ht="45.75" hidden="1">
      <c r="A1817" t="s">
        <v>89</v>
      </c>
      <c r="B1817" t="s">
        <v>1619</v>
      </c>
      <c r="C1817" t="s">
        <v>4135</v>
      </c>
      <c r="D1817" s="2" t="s">
        <v>1621</v>
      </c>
      <c r="E1817">
        <v>0.39</v>
      </c>
      <c r="F1817">
        <v>0.01</v>
      </c>
      <c r="G1817" t="s">
        <v>72</v>
      </c>
      <c r="H1817" t="s">
        <v>3457</v>
      </c>
      <c r="I1817">
        <v>35</v>
      </c>
      <c r="J1817">
        <v>1132</v>
      </c>
      <c r="K1817" s="5">
        <v>46161.587824780087</v>
      </c>
      <c r="M1817" s="2" t="s">
        <v>3413</v>
      </c>
      <c r="N1817" s="2" t="s">
        <v>1701</v>
      </c>
      <c r="O1817" s="5">
        <v>45065.247709687501</v>
      </c>
      <c r="P1817" t="str">
        <f>IF($Q1817="DELETE",IF($S1817="CONFIRMED: NO MODS &gt; 1YR","CONFIRMED: NO MODS &gt; 1YR","DO NOT DELETE — not defensibly confirmed"),IF($Q1817="HOLD","DO NOT DELETE — HOLD (Charlie review)",IF($Q1817="KEEP","DO NOT DELETE — KEEP",IF(ISNUMBER(SEARCH("REVIEW",$Q1817)),"DO NOT DELETE — REVIEW pending",$S1817))))</f>
        <v>DO NOT DELETE — REVIEW pending</v>
      </c>
      <c r="Q1817" t="str" cm="1">
        <f t="array" ref="Q1817">_xlfn.IFS(AND($A1817="thg-beauty",ISNUMBER(SEARCH("liveramp",$C1817))),"DELETE",$A1817="agile-bonbon-662",_xlfn.IFS(LEFT($G1817,9)="Tranche 1","DELETE",$C1817="Sessions_Level_1_All_Sites","KEEP",ISNUMBER(--$C1817),"REVIEW — UA raw logs",$C1817="Emag_Reporting","KEEP",$C1817="Nutrition_Data_Archived_Tables","KEEP",$C1817="EU_Data","KEEP",TRUE,"REVIEW"),OR($A1817="thg-influencer",$A1817="thg-ingenuity",$A1817="thg-central-marketing",$A1817="thg-seoclarity"),"HOLD",TRUE,"")</f>
        <v>REVIEW — UA raw logs</v>
      </c>
      <c r="R1817" t="str" cm="1">
        <f t="array" ref="R1817">_xlfn.IFS(AND($A1817="thg-beauty",ISNUMBER(SEARCH("liveramp",$C1817))),"thg-beauty Liveramp dataset — confirmed safe to delete",$A1817="agile-bonbon-662",_xlfn.IFS(LEFT($G1817,9)="Tranche 1","Tranche 1: cleared",$C1817="Sessions_Level_1_All_Sites","Downstream aggregation of UA raw logs — keep if raw tables go",ISNUMBER(--$C1817),"UA raw site logs (account ID) — keep pending audit-retention check",$C1817="Emag_Reporting","Legacy but likely needed",$C1817="Nutrition_Data_Archived_Tables","Worth keeping",$C1817="EU_Data","Static lookup tables — scripts still reference (smoke-test risk)",TRUE,"Review"),OR($A1817="thg-influencer",$A1817="thg-ingenuity",$A1817="thg-central-marketing",$A1817="thg-seoclarity"),"HOLD — Charlie Stringer to review before deletion",TRUE,"")</f>
        <v>UA raw site logs (account ID) — keep pending audit-retention check</v>
      </c>
      <c r="S1817" t="s">
        <v>1631</v>
      </c>
    </row>
    <row r="1818" spans="1:19" ht="45.75" hidden="1">
      <c r="A1818" t="s">
        <v>89</v>
      </c>
      <c r="B1818" t="s">
        <v>1619</v>
      </c>
      <c r="C1818" t="s">
        <v>4136</v>
      </c>
      <c r="D1818" s="2" t="s">
        <v>1621</v>
      </c>
      <c r="E1818">
        <v>0.35</v>
      </c>
      <c r="F1818">
        <v>0.01</v>
      </c>
      <c r="G1818" t="s">
        <v>72</v>
      </c>
      <c r="H1818" t="s">
        <v>3457</v>
      </c>
      <c r="I1818">
        <v>35</v>
      </c>
      <c r="J1818">
        <v>2699</v>
      </c>
      <c r="K1818" s="5">
        <v>46161.602847743059</v>
      </c>
      <c r="M1818" s="2" t="s">
        <v>4137</v>
      </c>
      <c r="N1818" s="2" t="s">
        <v>1701</v>
      </c>
      <c r="O1818" s="5">
        <v>43497.558584386577</v>
      </c>
      <c r="P1818" t="str">
        <f>IF($Q1818="DELETE",IF($S1818="CONFIRMED: NO MODS &gt; 1YR","CONFIRMED: NO MODS &gt; 1YR","DO NOT DELETE — not defensibly confirmed"),IF($Q1818="HOLD","DO NOT DELETE — HOLD (Charlie review)",IF($Q1818="KEEP","DO NOT DELETE — KEEP",IF(ISNUMBER(SEARCH("REVIEW",$Q1818)),"DO NOT DELETE — REVIEW pending",$S1818))))</f>
        <v>DO NOT DELETE — REVIEW pending</v>
      </c>
      <c r="Q1818" t="str" cm="1">
        <f t="array" ref="Q1818">_xlfn.IFS(AND($A1818="thg-beauty",ISNUMBER(SEARCH("liveramp",$C1818))),"DELETE",$A1818="agile-bonbon-662",_xlfn.IFS(LEFT($G1818,9)="Tranche 1","DELETE",$C1818="Sessions_Level_1_All_Sites","KEEP",ISNUMBER(--$C1818),"REVIEW — UA raw logs",$C1818="Emag_Reporting","KEEP",$C1818="Nutrition_Data_Archived_Tables","KEEP",$C1818="EU_Data","KEEP",TRUE,"REVIEW"),OR($A1818="thg-influencer",$A1818="thg-ingenuity",$A1818="thg-central-marketing",$A1818="thg-seoclarity"),"HOLD",TRUE,"")</f>
        <v>REVIEW — UA raw logs</v>
      </c>
      <c r="R1818" t="str" cm="1">
        <f t="array" ref="R1818">_xlfn.IFS(AND($A1818="thg-beauty",ISNUMBER(SEARCH("liveramp",$C1818))),"thg-beauty Liveramp dataset — confirmed safe to delete",$A1818="agile-bonbon-662",_xlfn.IFS(LEFT($G1818,9)="Tranche 1","Tranche 1: cleared",$C1818="Sessions_Level_1_All_Sites","Downstream aggregation of UA raw logs — keep if raw tables go",ISNUMBER(--$C1818),"UA raw site logs (account ID) — keep pending audit-retention check",$C1818="Emag_Reporting","Legacy but likely needed",$C1818="Nutrition_Data_Archived_Tables","Worth keeping",$C1818="EU_Data","Static lookup tables — scripts still reference (smoke-test risk)",TRUE,"Review"),OR($A1818="thg-influencer",$A1818="thg-ingenuity",$A1818="thg-central-marketing",$A1818="thg-seoclarity"),"HOLD — Charlie Stringer to review before deletion",TRUE,"")</f>
        <v>UA raw site logs (account ID) — keep pending audit-retention check</v>
      </c>
      <c r="S1818" t="s">
        <v>1631</v>
      </c>
    </row>
    <row r="1819" spans="1:19" ht="45.75" hidden="1">
      <c r="A1819" t="s">
        <v>89</v>
      </c>
      <c r="B1819" t="s">
        <v>1619</v>
      </c>
      <c r="C1819" t="s">
        <v>4138</v>
      </c>
      <c r="D1819" s="2" t="s">
        <v>1621</v>
      </c>
      <c r="E1819">
        <v>0.34</v>
      </c>
      <c r="F1819">
        <v>0.01</v>
      </c>
      <c r="G1819" t="s">
        <v>72</v>
      </c>
      <c r="H1819" t="s">
        <v>3457</v>
      </c>
      <c r="I1819">
        <v>35</v>
      </c>
      <c r="J1819">
        <v>2407</v>
      </c>
      <c r="K1819" s="5">
        <v>46161.603502094913</v>
      </c>
      <c r="M1819" s="2" t="s">
        <v>3425</v>
      </c>
      <c r="N1819" s="2" t="s">
        <v>1701</v>
      </c>
      <c r="O1819" s="5">
        <v>43790.225054016213</v>
      </c>
      <c r="P1819" t="str">
        <f>IF($Q1819="DELETE",IF($S1819="CONFIRMED: NO MODS &gt; 1YR","CONFIRMED: NO MODS &gt; 1YR","DO NOT DELETE — not defensibly confirmed"),IF($Q1819="HOLD","DO NOT DELETE — HOLD (Charlie review)",IF($Q1819="KEEP","DO NOT DELETE — KEEP",IF(ISNUMBER(SEARCH("REVIEW",$Q1819)),"DO NOT DELETE — REVIEW pending",$S1819))))</f>
        <v>DO NOT DELETE — REVIEW pending</v>
      </c>
      <c r="Q1819" t="str" cm="1">
        <f t="array" ref="Q1819">_xlfn.IFS(AND($A1819="thg-beauty",ISNUMBER(SEARCH("liveramp",$C1819))),"DELETE",$A1819="agile-bonbon-662",_xlfn.IFS(LEFT($G1819,9)="Tranche 1","DELETE",$C1819="Sessions_Level_1_All_Sites","KEEP",ISNUMBER(--$C1819),"REVIEW — UA raw logs",$C1819="Emag_Reporting","KEEP",$C1819="Nutrition_Data_Archived_Tables","KEEP",$C1819="EU_Data","KEEP",TRUE,"REVIEW"),OR($A1819="thg-influencer",$A1819="thg-ingenuity",$A1819="thg-central-marketing",$A1819="thg-seoclarity"),"HOLD",TRUE,"")</f>
        <v>REVIEW — UA raw logs</v>
      </c>
      <c r="R1819" t="str" cm="1">
        <f t="array" ref="R1819">_xlfn.IFS(AND($A1819="thg-beauty",ISNUMBER(SEARCH("liveramp",$C1819))),"thg-beauty Liveramp dataset — confirmed safe to delete",$A1819="agile-bonbon-662",_xlfn.IFS(LEFT($G1819,9)="Tranche 1","Tranche 1: cleared",$C1819="Sessions_Level_1_All_Sites","Downstream aggregation of UA raw logs — keep if raw tables go",ISNUMBER(--$C1819),"UA raw site logs (account ID) — keep pending audit-retention check",$C1819="Emag_Reporting","Legacy but likely needed",$C1819="Nutrition_Data_Archived_Tables","Worth keeping",$C1819="EU_Data","Static lookup tables — scripts still reference (smoke-test risk)",TRUE,"Review"),OR($A1819="thg-influencer",$A1819="thg-ingenuity",$A1819="thg-central-marketing",$A1819="thg-seoclarity"),"HOLD — Charlie Stringer to review before deletion",TRUE,"")</f>
        <v>UA raw site logs (account ID) — keep pending audit-retention check</v>
      </c>
      <c r="S1819" t="s">
        <v>1631</v>
      </c>
    </row>
    <row r="1820" spans="1:19" ht="45.75" hidden="1">
      <c r="A1820" t="s">
        <v>89</v>
      </c>
      <c r="B1820" t="s">
        <v>1619</v>
      </c>
      <c r="C1820" t="s">
        <v>4139</v>
      </c>
      <c r="D1820" s="2" t="s">
        <v>1621</v>
      </c>
      <c r="E1820">
        <v>0.34</v>
      </c>
      <c r="F1820">
        <v>0.01</v>
      </c>
      <c r="G1820" t="s">
        <v>72</v>
      </c>
      <c r="H1820" t="s">
        <v>3457</v>
      </c>
      <c r="I1820">
        <v>35</v>
      </c>
      <c r="J1820">
        <v>429</v>
      </c>
      <c r="K1820" s="5">
        <v>46161.619859664352</v>
      </c>
      <c r="M1820" s="2" t="s">
        <v>1972</v>
      </c>
      <c r="N1820" s="2" t="s">
        <v>1701</v>
      </c>
      <c r="O1820" s="5">
        <v>45768.412107118063</v>
      </c>
      <c r="P1820" t="str">
        <f>IF($Q1820="DELETE",IF($S1820="CONFIRMED: NO MODS &gt; 1YR","CONFIRMED: NO MODS &gt; 1YR","DO NOT DELETE — not defensibly confirmed"),IF($Q1820="HOLD","DO NOT DELETE — HOLD (Charlie review)",IF($Q1820="KEEP","DO NOT DELETE — KEEP",IF(ISNUMBER(SEARCH("REVIEW",$Q1820)),"DO NOT DELETE — REVIEW pending",$S1820))))</f>
        <v>DO NOT DELETE — REVIEW pending</v>
      </c>
      <c r="Q1820" t="str" cm="1">
        <f t="array" ref="Q1820">_xlfn.IFS(AND($A1820="thg-beauty",ISNUMBER(SEARCH("liveramp",$C1820))),"DELETE",$A1820="agile-bonbon-662",_xlfn.IFS(LEFT($G1820,9)="Tranche 1","DELETE",$C1820="Sessions_Level_1_All_Sites","KEEP",ISNUMBER(--$C1820),"REVIEW — UA raw logs",$C1820="Emag_Reporting","KEEP",$C1820="Nutrition_Data_Archived_Tables","KEEP",$C1820="EU_Data","KEEP",TRUE,"REVIEW"),OR($A1820="thg-influencer",$A1820="thg-ingenuity",$A1820="thg-central-marketing",$A1820="thg-seoclarity"),"HOLD",TRUE,"")</f>
        <v>REVIEW</v>
      </c>
      <c r="R1820" t="str" cm="1">
        <f t="array" ref="R1820">_xlfn.IFS(AND($A1820="thg-beauty",ISNUMBER(SEARCH("liveramp",$C1820))),"thg-beauty Liveramp dataset — confirmed safe to delete",$A1820="agile-bonbon-662",_xlfn.IFS(LEFT($G1820,9)="Tranche 1","Tranche 1: cleared",$C1820="Sessions_Level_1_All_Sites","Downstream aggregation of UA raw logs — keep if raw tables go",ISNUMBER(--$C1820),"UA raw site logs (account ID) — keep pending audit-retention check",$C1820="Emag_Reporting","Legacy but likely needed",$C1820="Nutrition_Data_Archived_Tables","Worth keeping",$C1820="EU_Data","Static lookup tables — scripts still reference (smoke-test risk)",TRUE,"Review"),OR($A1820="thg-influencer",$A1820="thg-ingenuity",$A1820="thg-central-marketing",$A1820="thg-seoclarity"),"HOLD — Charlie Stringer to review before deletion",TRUE,"")</f>
        <v>Review</v>
      </c>
      <c r="S1820" t="s">
        <v>1631</v>
      </c>
    </row>
    <row r="1821" spans="1:19" ht="45.75" hidden="1">
      <c r="A1821" t="s">
        <v>89</v>
      </c>
      <c r="B1821" t="s">
        <v>1619</v>
      </c>
      <c r="C1821" t="s">
        <v>4140</v>
      </c>
      <c r="D1821" s="2" t="s">
        <v>1621</v>
      </c>
      <c r="E1821">
        <v>0.33</v>
      </c>
      <c r="F1821">
        <v>0.01</v>
      </c>
      <c r="G1821" t="s">
        <v>72</v>
      </c>
      <c r="H1821" t="s">
        <v>3457</v>
      </c>
      <c r="I1821">
        <v>35</v>
      </c>
      <c r="J1821">
        <v>1966</v>
      </c>
      <c r="K1821" s="5">
        <v>46161.621290127317</v>
      </c>
      <c r="M1821" s="2" t="s">
        <v>1960</v>
      </c>
      <c r="N1821" s="2" t="s">
        <v>1701</v>
      </c>
      <c r="O1821" s="5">
        <v>44230.528679872688</v>
      </c>
      <c r="P1821" t="str">
        <f>IF($Q1821="DELETE",IF($S1821="CONFIRMED: NO MODS &gt; 1YR","CONFIRMED: NO MODS &gt; 1YR","DO NOT DELETE — not defensibly confirmed"),IF($Q1821="HOLD","DO NOT DELETE — HOLD (Charlie review)",IF($Q1821="KEEP","DO NOT DELETE — KEEP",IF(ISNUMBER(SEARCH("REVIEW",$Q1821)),"DO NOT DELETE — REVIEW pending",$S1821))))</f>
        <v>DO NOT DELETE — REVIEW pending</v>
      </c>
      <c r="Q1821" t="str" cm="1">
        <f t="array" ref="Q1821">_xlfn.IFS(AND($A1821="thg-beauty",ISNUMBER(SEARCH("liveramp",$C1821))),"DELETE",$A1821="agile-bonbon-662",_xlfn.IFS(LEFT($G1821,9)="Tranche 1","DELETE",$C1821="Sessions_Level_1_All_Sites","KEEP",ISNUMBER(--$C1821),"REVIEW — UA raw logs",$C1821="Emag_Reporting","KEEP",$C1821="Nutrition_Data_Archived_Tables","KEEP",$C1821="EU_Data","KEEP",TRUE,"REVIEW"),OR($A1821="thg-influencer",$A1821="thg-ingenuity",$A1821="thg-central-marketing",$A1821="thg-seoclarity"),"HOLD",TRUE,"")</f>
        <v>REVIEW</v>
      </c>
      <c r="R1821" t="str" cm="1">
        <f t="array" ref="R1821">_xlfn.IFS(AND($A1821="thg-beauty",ISNUMBER(SEARCH("liveramp",$C1821))),"thg-beauty Liveramp dataset — confirmed safe to delete",$A1821="agile-bonbon-662",_xlfn.IFS(LEFT($G1821,9)="Tranche 1","Tranche 1: cleared",$C1821="Sessions_Level_1_All_Sites","Downstream aggregation of UA raw logs — keep if raw tables go",ISNUMBER(--$C1821),"UA raw site logs (account ID) — keep pending audit-retention check",$C1821="Emag_Reporting","Legacy but likely needed",$C1821="Nutrition_Data_Archived_Tables","Worth keeping",$C1821="EU_Data","Static lookup tables — scripts still reference (smoke-test risk)",TRUE,"Review"),OR($A1821="thg-influencer",$A1821="thg-ingenuity",$A1821="thg-central-marketing",$A1821="thg-seoclarity"),"HOLD — Charlie Stringer to review before deletion",TRUE,"")</f>
        <v>Review</v>
      </c>
      <c r="S1821" t="s">
        <v>1631</v>
      </c>
    </row>
    <row r="1822" spans="1:19" ht="45.75" hidden="1">
      <c r="A1822" t="s">
        <v>89</v>
      </c>
      <c r="B1822" t="s">
        <v>1619</v>
      </c>
      <c r="C1822" t="s">
        <v>4141</v>
      </c>
      <c r="D1822" s="2" t="s">
        <v>1621</v>
      </c>
      <c r="E1822">
        <v>0.33</v>
      </c>
      <c r="F1822">
        <v>0.01</v>
      </c>
      <c r="G1822" t="s">
        <v>72</v>
      </c>
      <c r="H1822" t="s">
        <v>3457</v>
      </c>
      <c r="I1822">
        <v>35</v>
      </c>
      <c r="J1822">
        <v>707</v>
      </c>
      <c r="K1822" s="5">
        <v>46161.615230000003</v>
      </c>
      <c r="M1822" s="2" t="s">
        <v>2025</v>
      </c>
      <c r="N1822" s="2" t="s">
        <v>1701</v>
      </c>
      <c r="O1822" s="5">
        <v>45490.367962719909</v>
      </c>
      <c r="P1822" t="str">
        <f>IF($Q1822="DELETE",IF($S1822="CONFIRMED: NO MODS &gt; 1YR","CONFIRMED: NO MODS &gt; 1YR","DO NOT DELETE — not defensibly confirmed"),IF($Q1822="HOLD","DO NOT DELETE — HOLD (Charlie review)",IF($Q1822="KEEP","DO NOT DELETE — KEEP",IF(ISNUMBER(SEARCH("REVIEW",$Q1822)),"DO NOT DELETE — REVIEW pending",$S1822))))</f>
        <v>DO NOT DELETE — REVIEW pending</v>
      </c>
      <c r="Q1822" t="str" cm="1">
        <f t="array" ref="Q1822">_xlfn.IFS(AND($A1822="thg-beauty",ISNUMBER(SEARCH("liveramp",$C1822))),"DELETE",$A1822="agile-bonbon-662",_xlfn.IFS(LEFT($G1822,9)="Tranche 1","DELETE",$C1822="Sessions_Level_1_All_Sites","KEEP",ISNUMBER(--$C1822),"REVIEW — UA raw logs",$C1822="Emag_Reporting","KEEP",$C1822="Nutrition_Data_Archived_Tables","KEEP",$C1822="EU_Data","KEEP",TRUE,"REVIEW"),OR($A1822="thg-influencer",$A1822="thg-ingenuity",$A1822="thg-central-marketing",$A1822="thg-seoclarity"),"HOLD",TRUE,"")</f>
        <v>REVIEW</v>
      </c>
      <c r="R1822" t="str" cm="1">
        <f t="array" ref="R1822">_xlfn.IFS(AND($A1822="thg-beauty",ISNUMBER(SEARCH("liveramp",$C1822))),"thg-beauty Liveramp dataset — confirmed safe to delete",$A1822="agile-bonbon-662",_xlfn.IFS(LEFT($G1822,9)="Tranche 1","Tranche 1: cleared",$C1822="Sessions_Level_1_All_Sites","Downstream aggregation of UA raw logs — keep if raw tables go",ISNUMBER(--$C1822),"UA raw site logs (account ID) — keep pending audit-retention check",$C1822="Emag_Reporting","Legacy but likely needed",$C1822="Nutrition_Data_Archived_Tables","Worth keeping",$C1822="EU_Data","Static lookup tables — scripts still reference (smoke-test risk)",TRUE,"Review"),OR($A1822="thg-influencer",$A1822="thg-ingenuity",$A1822="thg-central-marketing",$A1822="thg-seoclarity"),"HOLD — Charlie Stringer to review before deletion",TRUE,"")</f>
        <v>Review</v>
      </c>
      <c r="S1822" t="s">
        <v>1631</v>
      </c>
    </row>
    <row r="1823" spans="1:19" ht="45.75" hidden="1">
      <c r="A1823" t="s">
        <v>89</v>
      </c>
      <c r="B1823" t="s">
        <v>1619</v>
      </c>
      <c r="C1823" t="s">
        <v>4142</v>
      </c>
      <c r="D1823" s="2" t="s">
        <v>1621</v>
      </c>
      <c r="E1823">
        <v>0.32</v>
      </c>
      <c r="F1823">
        <v>0.01</v>
      </c>
      <c r="G1823" t="s">
        <v>72</v>
      </c>
      <c r="H1823" t="s">
        <v>3457</v>
      </c>
      <c r="I1823">
        <v>35</v>
      </c>
      <c r="J1823">
        <v>1190</v>
      </c>
      <c r="K1823" s="5">
        <v>46161.618903541668</v>
      </c>
      <c r="M1823" s="2" t="s">
        <v>1981</v>
      </c>
      <c r="N1823" s="2" t="s">
        <v>1701</v>
      </c>
      <c r="O1823" s="5">
        <v>45007.434891168981</v>
      </c>
      <c r="P1823" t="str">
        <f>IF($Q1823="DELETE",IF($S1823="CONFIRMED: NO MODS &gt; 1YR","CONFIRMED: NO MODS &gt; 1YR","DO NOT DELETE — not defensibly confirmed"),IF($Q1823="HOLD","DO NOT DELETE — HOLD (Charlie review)",IF($Q1823="KEEP","DO NOT DELETE — KEEP",IF(ISNUMBER(SEARCH("REVIEW",$Q1823)),"DO NOT DELETE — REVIEW pending",$S1823))))</f>
        <v>DO NOT DELETE — REVIEW pending</v>
      </c>
      <c r="Q1823" t="str" cm="1">
        <f t="array" ref="Q1823">_xlfn.IFS(AND($A1823="thg-beauty",ISNUMBER(SEARCH("liveramp",$C1823))),"DELETE",$A1823="agile-bonbon-662",_xlfn.IFS(LEFT($G1823,9)="Tranche 1","DELETE",$C1823="Sessions_Level_1_All_Sites","KEEP",ISNUMBER(--$C1823),"REVIEW — UA raw logs",$C1823="Emag_Reporting","KEEP",$C1823="Nutrition_Data_Archived_Tables","KEEP",$C1823="EU_Data","KEEP",TRUE,"REVIEW"),OR($A1823="thg-influencer",$A1823="thg-ingenuity",$A1823="thg-central-marketing",$A1823="thg-seoclarity"),"HOLD",TRUE,"")</f>
        <v>REVIEW</v>
      </c>
      <c r="R1823" t="str" cm="1">
        <f t="array" ref="R1823">_xlfn.IFS(AND($A1823="thg-beauty",ISNUMBER(SEARCH("liveramp",$C1823))),"thg-beauty Liveramp dataset — confirmed safe to delete",$A1823="agile-bonbon-662",_xlfn.IFS(LEFT($G1823,9)="Tranche 1","Tranche 1: cleared",$C1823="Sessions_Level_1_All_Sites","Downstream aggregation of UA raw logs — keep if raw tables go",ISNUMBER(--$C1823),"UA raw site logs (account ID) — keep pending audit-retention check",$C1823="Emag_Reporting","Legacy but likely needed",$C1823="Nutrition_Data_Archived_Tables","Worth keeping",$C1823="EU_Data","Static lookup tables — scripts still reference (smoke-test risk)",TRUE,"Review"),OR($A1823="thg-influencer",$A1823="thg-ingenuity",$A1823="thg-central-marketing",$A1823="thg-seoclarity"),"HOLD — Charlie Stringer to review before deletion",TRUE,"")</f>
        <v>Review</v>
      </c>
      <c r="S1823" t="s">
        <v>1631</v>
      </c>
    </row>
    <row r="1824" spans="1:19" ht="45.75" hidden="1">
      <c r="A1824" t="s">
        <v>89</v>
      </c>
      <c r="B1824" t="s">
        <v>1619</v>
      </c>
      <c r="C1824" t="s">
        <v>4143</v>
      </c>
      <c r="D1824" s="2" t="s">
        <v>1621</v>
      </c>
      <c r="E1824">
        <v>0.31</v>
      </c>
      <c r="F1824">
        <v>0.01</v>
      </c>
      <c r="G1824" t="s">
        <v>72</v>
      </c>
      <c r="H1824" t="s">
        <v>3457</v>
      </c>
      <c r="I1824">
        <v>35</v>
      </c>
      <c r="J1824">
        <v>2472</v>
      </c>
      <c r="K1824" s="5">
        <v>46161.602385578713</v>
      </c>
      <c r="M1824" s="2" t="s">
        <v>4122</v>
      </c>
      <c r="N1824" s="2" t="s">
        <v>1701</v>
      </c>
      <c r="O1824" s="5">
        <v>43725.24366310185</v>
      </c>
      <c r="P1824" t="str">
        <f>IF($Q1824="DELETE",IF($S1824="CONFIRMED: NO MODS &gt; 1YR","CONFIRMED: NO MODS &gt; 1YR","DO NOT DELETE — not defensibly confirmed"),IF($Q1824="HOLD","DO NOT DELETE — HOLD (Charlie review)",IF($Q1824="KEEP","DO NOT DELETE — KEEP",IF(ISNUMBER(SEARCH("REVIEW",$Q1824)),"DO NOT DELETE — REVIEW pending",$S1824))))</f>
        <v>DO NOT DELETE — REVIEW pending</v>
      </c>
      <c r="Q1824" t="str" cm="1">
        <f t="array" ref="Q1824">_xlfn.IFS(AND($A1824="thg-beauty",ISNUMBER(SEARCH("liveramp",$C1824))),"DELETE",$A1824="agile-bonbon-662",_xlfn.IFS(LEFT($G1824,9)="Tranche 1","DELETE",$C1824="Sessions_Level_1_All_Sites","KEEP",ISNUMBER(--$C1824),"REVIEW — UA raw logs",$C1824="Emag_Reporting","KEEP",$C1824="Nutrition_Data_Archived_Tables","KEEP",$C1824="EU_Data","KEEP",TRUE,"REVIEW"),OR($A1824="thg-influencer",$A1824="thg-ingenuity",$A1824="thg-central-marketing",$A1824="thg-seoclarity"),"HOLD",TRUE,"")</f>
        <v>REVIEW — UA raw logs</v>
      </c>
      <c r="R1824" t="str" cm="1">
        <f t="array" ref="R1824">_xlfn.IFS(AND($A1824="thg-beauty",ISNUMBER(SEARCH("liveramp",$C1824))),"thg-beauty Liveramp dataset — confirmed safe to delete",$A1824="agile-bonbon-662",_xlfn.IFS(LEFT($G1824,9)="Tranche 1","Tranche 1: cleared",$C1824="Sessions_Level_1_All_Sites","Downstream aggregation of UA raw logs — keep if raw tables go",ISNUMBER(--$C1824),"UA raw site logs (account ID) — keep pending audit-retention check",$C1824="Emag_Reporting","Legacy but likely needed",$C1824="Nutrition_Data_Archived_Tables","Worth keeping",$C1824="EU_Data","Static lookup tables — scripts still reference (smoke-test risk)",TRUE,"Review"),OR($A1824="thg-influencer",$A1824="thg-ingenuity",$A1824="thg-central-marketing",$A1824="thg-seoclarity"),"HOLD — Charlie Stringer to review before deletion",TRUE,"")</f>
        <v>UA raw site logs (account ID) — keep pending audit-retention check</v>
      </c>
      <c r="S1824" t="s">
        <v>1631</v>
      </c>
    </row>
    <row r="1825" spans="1:19" ht="45.75" hidden="1">
      <c r="A1825" t="s">
        <v>89</v>
      </c>
      <c r="B1825" t="s">
        <v>1619</v>
      </c>
      <c r="C1825" t="s">
        <v>4144</v>
      </c>
      <c r="D1825" s="2" t="s">
        <v>1621</v>
      </c>
      <c r="E1825">
        <v>0.31</v>
      </c>
      <c r="F1825">
        <v>0.01</v>
      </c>
      <c r="G1825" t="s">
        <v>72</v>
      </c>
      <c r="H1825" t="s">
        <v>3457</v>
      </c>
      <c r="I1825">
        <v>35</v>
      </c>
      <c r="J1825">
        <v>1109</v>
      </c>
      <c r="K1825" s="5">
        <v>46161.590558460652</v>
      </c>
      <c r="M1825" s="2" t="s">
        <v>3447</v>
      </c>
      <c r="N1825" s="2" t="s">
        <v>1701</v>
      </c>
      <c r="O1825" s="5">
        <v>45088.266777893521</v>
      </c>
      <c r="P1825" t="str">
        <f>IF($Q1825="DELETE",IF($S1825="CONFIRMED: NO MODS &gt; 1YR","CONFIRMED: NO MODS &gt; 1YR","DO NOT DELETE — not defensibly confirmed"),IF($Q1825="HOLD","DO NOT DELETE — HOLD (Charlie review)",IF($Q1825="KEEP","DO NOT DELETE — KEEP",IF(ISNUMBER(SEARCH("REVIEW",$Q1825)),"DO NOT DELETE — REVIEW pending",$S1825))))</f>
        <v>DO NOT DELETE — REVIEW pending</v>
      </c>
      <c r="Q1825" t="str" cm="1">
        <f t="array" ref="Q1825">_xlfn.IFS(AND($A1825="thg-beauty",ISNUMBER(SEARCH("liveramp",$C1825))),"DELETE",$A1825="agile-bonbon-662",_xlfn.IFS(LEFT($G1825,9)="Tranche 1","DELETE",$C1825="Sessions_Level_1_All_Sites","KEEP",ISNUMBER(--$C1825),"REVIEW — UA raw logs",$C1825="Emag_Reporting","KEEP",$C1825="Nutrition_Data_Archived_Tables","KEEP",$C1825="EU_Data","KEEP",TRUE,"REVIEW"),OR($A1825="thg-influencer",$A1825="thg-ingenuity",$A1825="thg-central-marketing",$A1825="thg-seoclarity"),"HOLD",TRUE,"")</f>
        <v>REVIEW — UA raw logs</v>
      </c>
      <c r="R1825" t="str" cm="1">
        <f t="array" ref="R1825">_xlfn.IFS(AND($A1825="thg-beauty",ISNUMBER(SEARCH("liveramp",$C1825))),"thg-beauty Liveramp dataset — confirmed safe to delete",$A1825="agile-bonbon-662",_xlfn.IFS(LEFT($G1825,9)="Tranche 1","Tranche 1: cleared",$C1825="Sessions_Level_1_All_Sites","Downstream aggregation of UA raw logs — keep if raw tables go",ISNUMBER(--$C1825),"UA raw site logs (account ID) — keep pending audit-retention check",$C1825="Emag_Reporting","Legacy but likely needed",$C1825="Nutrition_Data_Archived_Tables","Worth keeping",$C1825="EU_Data","Static lookup tables — scripts still reference (smoke-test risk)",TRUE,"Review"),OR($A1825="thg-influencer",$A1825="thg-ingenuity",$A1825="thg-central-marketing",$A1825="thg-seoclarity"),"HOLD — Charlie Stringer to review before deletion",TRUE,"")</f>
        <v>UA raw site logs (account ID) — keep pending audit-retention check</v>
      </c>
      <c r="S1825" t="s">
        <v>1631</v>
      </c>
    </row>
    <row r="1826" spans="1:19" ht="45.75" hidden="1">
      <c r="A1826" t="s">
        <v>89</v>
      </c>
      <c r="B1826" t="s">
        <v>1619</v>
      </c>
      <c r="C1826" t="s">
        <v>4145</v>
      </c>
      <c r="D1826" s="2" t="s">
        <v>1621</v>
      </c>
      <c r="E1826">
        <v>0.3</v>
      </c>
      <c r="F1826">
        <v>0.01</v>
      </c>
      <c r="G1826" t="s">
        <v>72</v>
      </c>
      <c r="H1826" t="s">
        <v>3457</v>
      </c>
      <c r="I1826">
        <v>35</v>
      </c>
      <c r="J1826">
        <v>1511</v>
      </c>
      <c r="K1826" s="5">
        <v>46161.589524340277</v>
      </c>
      <c r="M1826" s="2" t="s">
        <v>3424</v>
      </c>
      <c r="N1826" s="2" t="s">
        <v>1701</v>
      </c>
      <c r="O1826" s="5">
        <v>44685.499091724538</v>
      </c>
      <c r="P1826" t="str">
        <f>IF($Q1826="DELETE",IF($S1826="CONFIRMED: NO MODS &gt; 1YR","CONFIRMED: NO MODS &gt; 1YR","DO NOT DELETE — not defensibly confirmed"),IF($Q1826="HOLD","DO NOT DELETE — HOLD (Charlie review)",IF($Q1826="KEEP","DO NOT DELETE — KEEP",IF(ISNUMBER(SEARCH("REVIEW",$Q1826)),"DO NOT DELETE — REVIEW pending",$S1826))))</f>
        <v>DO NOT DELETE — REVIEW pending</v>
      </c>
      <c r="Q1826" t="str" cm="1">
        <f t="array" ref="Q1826">_xlfn.IFS(AND($A1826="thg-beauty",ISNUMBER(SEARCH("liveramp",$C1826))),"DELETE",$A1826="agile-bonbon-662",_xlfn.IFS(LEFT($G1826,9)="Tranche 1","DELETE",$C1826="Sessions_Level_1_All_Sites","KEEP",ISNUMBER(--$C1826),"REVIEW — UA raw logs",$C1826="Emag_Reporting","KEEP",$C1826="Nutrition_Data_Archived_Tables","KEEP",$C1826="EU_Data","KEEP",TRUE,"REVIEW"),OR($A1826="thg-influencer",$A1826="thg-ingenuity",$A1826="thg-central-marketing",$A1826="thg-seoclarity"),"HOLD",TRUE,"")</f>
        <v>REVIEW — UA raw logs</v>
      </c>
      <c r="R1826" t="str" cm="1">
        <f t="array" ref="R1826">_xlfn.IFS(AND($A1826="thg-beauty",ISNUMBER(SEARCH("liveramp",$C1826))),"thg-beauty Liveramp dataset — confirmed safe to delete",$A1826="agile-bonbon-662",_xlfn.IFS(LEFT($G1826,9)="Tranche 1","Tranche 1: cleared",$C1826="Sessions_Level_1_All_Sites","Downstream aggregation of UA raw logs — keep if raw tables go",ISNUMBER(--$C1826),"UA raw site logs (account ID) — keep pending audit-retention check",$C1826="Emag_Reporting","Legacy but likely needed",$C1826="Nutrition_Data_Archived_Tables","Worth keeping",$C1826="EU_Data","Static lookup tables — scripts still reference (smoke-test risk)",TRUE,"Review"),OR($A1826="thg-influencer",$A1826="thg-ingenuity",$A1826="thg-central-marketing",$A1826="thg-seoclarity"),"HOLD — Charlie Stringer to review before deletion",TRUE,"")</f>
        <v>UA raw site logs (account ID) — keep pending audit-retention check</v>
      </c>
      <c r="S1826" t="s">
        <v>1631</v>
      </c>
    </row>
    <row r="1827" spans="1:19" ht="45.75" hidden="1">
      <c r="A1827" t="s">
        <v>89</v>
      </c>
      <c r="B1827" t="s">
        <v>1619</v>
      </c>
      <c r="C1827" t="s">
        <v>4146</v>
      </c>
      <c r="D1827" s="2" t="s">
        <v>1621</v>
      </c>
      <c r="E1827">
        <v>0.28999999999999998</v>
      </c>
      <c r="F1827">
        <v>0.01</v>
      </c>
      <c r="G1827" t="s">
        <v>72</v>
      </c>
      <c r="H1827" t="s">
        <v>3457</v>
      </c>
      <c r="I1827">
        <v>35</v>
      </c>
      <c r="J1827">
        <v>2696</v>
      </c>
      <c r="K1827" s="5">
        <v>46161.603412488417</v>
      </c>
      <c r="M1827" s="2" t="s">
        <v>4119</v>
      </c>
      <c r="N1827" s="2" t="s">
        <v>1701</v>
      </c>
      <c r="O1827" s="5">
        <v>43501.270669467587</v>
      </c>
      <c r="P1827" t="str">
        <f>IF($Q1827="DELETE",IF($S1827="CONFIRMED: NO MODS &gt; 1YR","CONFIRMED: NO MODS &gt; 1YR","DO NOT DELETE — not defensibly confirmed"),IF($Q1827="HOLD","DO NOT DELETE — HOLD (Charlie review)",IF($Q1827="KEEP","DO NOT DELETE — KEEP",IF(ISNUMBER(SEARCH("REVIEW",$Q1827)),"DO NOT DELETE — REVIEW pending",$S1827))))</f>
        <v>DO NOT DELETE — REVIEW pending</v>
      </c>
      <c r="Q1827" t="str" cm="1">
        <f t="array" ref="Q1827">_xlfn.IFS(AND($A1827="thg-beauty",ISNUMBER(SEARCH("liveramp",$C1827))),"DELETE",$A1827="agile-bonbon-662",_xlfn.IFS(LEFT($G1827,9)="Tranche 1","DELETE",$C1827="Sessions_Level_1_All_Sites","KEEP",ISNUMBER(--$C1827),"REVIEW — UA raw logs",$C1827="Emag_Reporting","KEEP",$C1827="Nutrition_Data_Archived_Tables","KEEP",$C1827="EU_Data","KEEP",TRUE,"REVIEW"),OR($A1827="thg-influencer",$A1827="thg-ingenuity",$A1827="thg-central-marketing",$A1827="thg-seoclarity"),"HOLD",TRUE,"")</f>
        <v>REVIEW — UA raw logs</v>
      </c>
      <c r="R1827" t="str" cm="1">
        <f t="array" ref="R1827">_xlfn.IFS(AND($A1827="thg-beauty",ISNUMBER(SEARCH("liveramp",$C1827))),"thg-beauty Liveramp dataset — confirmed safe to delete",$A1827="agile-bonbon-662",_xlfn.IFS(LEFT($G1827,9)="Tranche 1","Tranche 1: cleared",$C1827="Sessions_Level_1_All_Sites","Downstream aggregation of UA raw logs — keep if raw tables go",ISNUMBER(--$C1827),"UA raw site logs (account ID) — keep pending audit-retention check",$C1827="Emag_Reporting","Legacy but likely needed",$C1827="Nutrition_Data_Archived_Tables","Worth keeping",$C1827="EU_Data","Static lookup tables — scripts still reference (smoke-test risk)",TRUE,"Review"),OR($A1827="thg-influencer",$A1827="thg-ingenuity",$A1827="thg-central-marketing",$A1827="thg-seoclarity"),"HOLD — Charlie Stringer to review before deletion",TRUE,"")</f>
        <v>UA raw site logs (account ID) — keep pending audit-retention check</v>
      </c>
      <c r="S1827" t="s">
        <v>1631</v>
      </c>
    </row>
    <row r="1828" spans="1:19" ht="45.75" hidden="1">
      <c r="A1828" t="s">
        <v>89</v>
      </c>
      <c r="B1828" t="s">
        <v>1619</v>
      </c>
      <c r="C1828" t="s">
        <v>4147</v>
      </c>
      <c r="D1828" s="2" t="s">
        <v>1621</v>
      </c>
      <c r="E1828">
        <v>0.28000000000000003</v>
      </c>
      <c r="F1828">
        <v>0.01</v>
      </c>
      <c r="G1828" t="s">
        <v>72</v>
      </c>
      <c r="H1828" t="s">
        <v>3457</v>
      </c>
      <c r="I1828">
        <v>35</v>
      </c>
      <c r="J1828">
        <v>735</v>
      </c>
      <c r="K1828" s="5">
        <v>46161.619531921293</v>
      </c>
      <c r="M1828" s="2" t="s">
        <v>1972</v>
      </c>
      <c r="N1828" s="2" t="s">
        <v>1701</v>
      </c>
      <c r="O1828" s="5">
        <v>45461.454705798613</v>
      </c>
      <c r="P1828" t="str">
        <f>IF($Q1828="DELETE",IF($S1828="CONFIRMED: NO MODS &gt; 1YR","CONFIRMED: NO MODS &gt; 1YR","DO NOT DELETE — not defensibly confirmed"),IF($Q1828="HOLD","DO NOT DELETE — HOLD (Charlie review)",IF($Q1828="KEEP","DO NOT DELETE — KEEP",IF(ISNUMBER(SEARCH("REVIEW",$Q1828)),"DO NOT DELETE — REVIEW pending",$S1828))))</f>
        <v>DO NOT DELETE — REVIEW pending</v>
      </c>
      <c r="Q1828" t="str" cm="1">
        <f t="array" ref="Q1828">_xlfn.IFS(AND($A1828="thg-beauty",ISNUMBER(SEARCH("liveramp",$C1828))),"DELETE",$A1828="agile-bonbon-662",_xlfn.IFS(LEFT($G1828,9)="Tranche 1","DELETE",$C1828="Sessions_Level_1_All_Sites","KEEP",ISNUMBER(--$C1828),"REVIEW — UA raw logs",$C1828="Emag_Reporting","KEEP",$C1828="Nutrition_Data_Archived_Tables","KEEP",$C1828="EU_Data","KEEP",TRUE,"REVIEW"),OR($A1828="thg-influencer",$A1828="thg-ingenuity",$A1828="thg-central-marketing",$A1828="thg-seoclarity"),"HOLD",TRUE,"")</f>
        <v>REVIEW</v>
      </c>
      <c r="R1828" t="str" cm="1">
        <f t="array" ref="R1828">_xlfn.IFS(AND($A1828="thg-beauty",ISNUMBER(SEARCH("liveramp",$C1828))),"thg-beauty Liveramp dataset — confirmed safe to delete",$A1828="agile-bonbon-662",_xlfn.IFS(LEFT($G1828,9)="Tranche 1","Tranche 1: cleared",$C1828="Sessions_Level_1_All_Sites","Downstream aggregation of UA raw logs — keep if raw tables go",ISNUMBER(--$C1828),"UA raw site logs (account ID) — keep pending audit-retention check",$C1828="Emag_Reporting","Legacy but likely needed",$C1828="Nutrition_Data_Archived_Tables","Worth keeping",$C1828="EU_Data","Static lookup tables — scripts still reference (smoke-test risk)",TRUE,"Review"),OR($A1828="thg-influencer",$A1828="thg-ingenuity",$A1828="thg-central-marketing",$A1828="thg-seoclarity"),"HOLD — Charlie Stringer to review before deletion",TRUE,"")</f>
        <v>Review</v>
      </c>
      <c r="S1828" t="s">
        <v>1631</v>
      </c>
    </row>
    <row r="1829" spans="1:19" ht="45.75" hidden="1">
      <c r="A1829" t="s">
        <v>89</v>
      </c>
      <c r="B1829" t="s">
        <v>1619</v>
      </c>
      <c r="C1829" t="s">
        <v>4148</v>
      </c>
      <c r="D1829" s="2" t="s">
        <v>1621</v>
      </c>
      <c r="E1829">
        <v>0.28000000000000003</v>
      </c>
      <c r="F1829">
        <v>0.01</v>
      </c>
      <c r="G1829" t="s">
        <v>72</v>
      </c>
      <c r="H1829" t="s">
        <v>3457</v>
      </c>
      <c r="I1829">
        <v>35</v>
      </c>
      <c r="J1829">
        <v>928</v>
      </c>
      <c r="K1829" s="5">
        <v>46161.590337881942</v>
      </c>
      <c r="M1829" s="2" t="s">
        <v>3447</v>
      </c>
      <c r="N1829" s="2" t="s">
        <v>1701</v>
      </c>
      <c r="O1829" s="5">
        <v>45269.287639131937</v>
      </c>
      <c r="P1829" t="str">
        <f>IF($Q1829="DELETE",IF($S1829="CONFIRMED: NO MODS &gt; 1YR","CONFIRMED: NO MODS &gt; 1YR","DO NOT DELETE — not defensibly confirmed"),IF($Q1829="HOLD","DO NOT DELETE — HOLD (Charlie review)",IF($Q1829="KEEP","DO NOT DELETE — KEEP",IF(ISNUMBER(SEARCH("REVIEW",$Q1829)),"DO NOT DELETE — REVIEW pending",$S1829))))</f>
        <v>DO NOT DELETE — REVIEW pending</v>
      </c>
      <c r="Q1829" t="str" cm="1">
        <f t="array" ref="Q1829">_xlfn.IFS(AND($A1829="thg-beauty",ISNUMBER(SEARCH("liveramp",$C1829))),"DELETE",$A1829="agile-bonbon-662",_xlfn.IFS(LEFT($G1829,9)="Tranche 1","DELETE",$C1829="Sessions_Level_1_All_Sites","KEEP",ISNUMBER(--$C1829),"REVIEW — UA raw logs",$C1829="Emag_Reporting","KEEP",$C1829="Nutrition_Data_Archived_Tables","KEEP",$C1829="EU_Data","KEEP",TRUE,"REVIEW"),OR($A1829="thg-influencer",$A1829="thg-ingenuity",$A1829="thg-central-marketing",$A1829="thg-seoclarity"),"HOLD",TRUE,"")</f>
        <v>REVIEW — UA raw logs</v>
      </c>
      <c r="R1829" t="str" cm="1">
        <f t="array" ref="R1829">_xlfn.IFS(AND($A1829="thg-beauty",ISNUMBER(SEARCH("liveramp",$C1829))),"thg-beauty Liveramp dataset — confirmed safe to delete",$A1829="agile-bonbon-662",_xlfn.IFS(LEFT($G1829,9)="Tranche 1","Tranche 1: cleared",$C1829="Sessions_Level_1_All_Sites","Downstream aggregation of UA raw logs — keep if raw tables go",ISNUMBER(--$C1829),"UA raw site logs (account ID) — keep pending audit-retention check",$C1829="Emag_Reporting","Legacy but likely needed",$C1829="Nutrition_Data_Archived_Tables","Worth keeping",$C1829="EU_Data","Static lookup tables — scripts still reference (smoke-test risk)",TRUE,"Review"),OR($A1829="thg-influencer",$A1829="thg-ingenuity",$A1829="thg-central-marketing",$A1829="thg-seoclarity"),"HOLD — Charlie Stringer to review before deletion",TRUE,"")</f>
        <v>UA raw site logs (account ID) — keep pending audit-retention check</v>
      </c>
      <c r="S1829" t="s">
        <v>1631</v>
      </c>
    </row>
    <row r="1830" spans="1:19" ht="45.75" hidden="1">
      <c r="A1830" t="s">
        <v>89</v>
      </c>
      <c r="B1830" t="s">
        <v>1619</v>
      </c>
      <c r="C1830" t="s">
        <v>4149</v>
      </c>
      <c r="D1830" s="2" t="s">
        <v>1621</v>
      </c>
      <c r="E1830">
        <v>0.28000000000000003</v>
      </c>
      <c r="F1830">
        <v>0.01</v>
      </c>
      <c r="G1830" t="s">
        <v>72</v>
      </c>
      <c r="H1830" t="s">
        <v>3457</v>
      </c>
      <c r="I1830">
        <v>35</v>
      </c>
      <c r="J1830">
        <v>2695</v>
      </c>
      <c r="K1830" s="5">
        <v>46161.582775428244</v>
      </c>
      <c r="M1830" s="2" t="s">
        <v>3423</v>
      </c>
      <c r="N1830" s="2" t="s">
        <v>1701</v>
      </c>
      <c r="O1830" s="5">
        <v>43501.470479236108</v>
      </c>
      <c r="P1830" t="str">
        <f>IF($Q1830="DELETE",IF($S1830="CONFIRMED: NO MODS &gt; 1YR","CONFIRMED: NO MODS &gt; 1YR","DO NOT DELETE — not defensibly confirmed"),IF($Q1830="HOLD","DO NOT DELETE — HOLD (Charlie review)",IF($Q1830="KEEP","DO NOT DELETE — KEEP",IF(ISNUMBER(SEARCH("REVIEW",$Q1830)),"DO NOT DELETE — REVIEW pending",$S1830))))</f>
        <v>DO NOT DELETE — REVIEW pending</v>
      </c>
      <c r="Q1830" t="str" cm="1">
        <f t="array" ref="Q1830">_xlfn.IFS(AND($A1830="thg-beauty",ISNUMBER(SEARCH("liveramp",$C1830))),"DELETE",$A1830="agile-bonbon-662",_xlfn.IFS(LEFT($G1830,9)="Tranche 1","DELETE",$C1830="Sessions_Level_1_All_Sites","KEEP",ISNUMBER(--$C1830),"REVIEW — UA raw logs",$C1830="Emag_Reporting","KEEP",$C1830="Nutrition_Data_Archived_Tables","KEEP",$C1830="EU_Data","KEEP",TRUE,"REVIEW"),OR($A1830="thg-influencer",$A1830="thg-ingenuity",$A1830="thg-central-marketing",$A1830="thg-seoclarity"),"HOLD",TRUE,"")</f>
        <v>REVIEW — UA raw logs</v>
      </c>
      <c r="R1830" t="str" cm="1">
        <f t="array" ref="R1830">_xlfn.IFS(AND($A1830="thg-beauty",ISNUMBER(SEARCH("liveramp",$C1830))),"thg-beauty Liveramp dataset — confirmed safe to delete",$A1830="agile-bonbon-662",_xlfn.IFS(LEFT($G1830,9)="Tranche 1","Tranche 1: cleared",$C1830="Sessions_Level_1_All_Sites","Downstream aggregation of UA raw logs — keep if raw tables go",ISNUMBER(--$C1830),"UA raw site logs (account ID) — keep pending audit-retention check",$C1830="Emag_Reporting","Legacy but likely needed",$C1830="Nutrition_Data_Archived_Tables","Worth keeping",$C1830="EU_Data","Static lookup tables — scripts still reference (smoke-test risk)",TRUE,"Review"),OR($A1830="thg-influencer",$A1830="thg-ingenuity",$A1830="thg-central-marketing",$A1830="thg-seoclarity"),"HOLD — Charlie Stringer to review before deletion",TRUE,"")</f>
        <v>UA raw site logs (account ID) — keep pending audit-retention check</v>
      </c>
      <c r="S1830" t="s">
        <v>1631</v>
      </c>
    </row>
    <row r="1831" spans="1:19" ht="45.75" hidden="1">
      <c r="A1831" t="s">
        <v>89</v>
      </c>
      <c r="B1831" t="s">
        <v>1619</v>
      </c>
      <c r="C1831" t="s">
        <v>4150</v>
      </c>
      <c r="D1831" s="2" t="s">
        <v>1621</v>
      </c>
      <c r="E1831">
        <v>0.27</v>
      </c>
      <c r="F1831">
        <v>0.01</v>
      </c>
      <c r="G1831" t="s">
        <v>72</v>
      </c>
      <c r="H1831" t="s">
        <v>3457</v>
      </c>
      <c r="I1831">
        <v>35</v>
      </c>
      <c r="J1831">
        <v>1966</v>
      </c>
      <c r="K1831" s="5">
        <v>46161.621264131943</v>
      </c>
      <c r="M1831" s="2" t="s">
        <v>1960</v>
      </c>
      <c r="N1831" s="2" t="s">
        <v>1701</v>
      </c>
      <c r="O1831" s="5">
        <v>44230.528233900463</v>
      </c>
      <c r="P1831" t="str">
        <f>IF($Q1831="DELETE",IF($S1831="CONFIRMED: NO MODS &gt; 1YR","CONFIRMED: NO MODS &gt; 1YR","DO NOT DELETE — not defensibly confirmed"),IF($Q1831="HOLD","DO NOT DELETE — HOLD (Charlie review)",IF($Q1831="KEEP","DO NOT DELETE — KEEP",IF(ISNUMBER(SEARCH("REVIEW",$Q1831)),"DO NOT DELETE — REVIEW pending",$S1831))))</f>
        <v>DO NOT DELETE — REVIEW pending</v>
      </c>
      <c r="Q1831" t="str" cm="1">
        <f t="array" ref="Q1831">_xlfn.IFS(AND($A1831="thg-beauty",ISNUMBER(SEARCH("liveramp",$C1831))),"DELETE",$A1831="agile-bonbon-662",_xlfn.IFS(LEFT($G1831,9)="Tranche 1","DELETE",$C1831="Sessions_Level_1_All_Sites","KEEP",ISNUMBER(--$C1831),"REVIEW — UA raw logs",$C1831="Emag_Reporting","KEEP",$C1831="Nutrition_Data_Archived_Tables","KEEP",$C1831="EU_Data","KEEP",TRUE,"REVIEW"),OR($A1831="thg-influencer",$A1831="thg-ingenuity",$A1831="thg-central-marketing",$A1831="thg-seoclarity"),"HOLD",TRUE,"")</f>
        <v>REVIEW</v>
      </c>
      <c r="R1831" t="str" cm="1">
        <f t="array" ref="R1831">_xlfn.IFS(AND($A1831="thg-beauty",ISNUMBER(SEARCH("liveramp",$C1831))),"thg-beauty Liveramp dataset — confirmed safe to delete",$A1831="agile-bonbon-662",_xlfn.IFS(LEFT($G1831,9)="Tranche 1","Tranche 1: cleared",$C1831="Sessions_Level_1_All_Sites","Downstream aggregation of UA raw logs — keep if raw tables go",ISNUMBER(--$C1831),"UA raw site logs (account ID) — keep pending audit-retention check",$C1831="Emag_Reporting","Legacy but likely needed",$C1831="Nutrition_Data_Archived_Tables","Worth keeping",$C1831="EU_Data","Static lookup tables — scripts still reference (smoke-test risk)",TRUE,"Review"),OR($A1831="thg-influencer",$A1831="thg-ingenuity",$A1831="thg-central-marketing",$A1831="thg-seoclarity"),"HOLD — Charlie Stringer to review before deletion",TRUE,"")</f>
        <v>Review</v>
      </c>
      <c r="S1831" t="s">
        <v>1631</v>
      </c>
    </row>
    <row r="1832" spans="1:19" ht="45.75" hidden="1">
      <c r="A1832" t="s">
        <v>89</v>
      </c>
      <c r="B1832" t="s">
        <v>1619</v>
      </c>
      <c r="C1832" t="s">
        <v>4151</v>
      </c>
      <c r="D1832" s="2" t="s">
        <v>1621</v>
      </c>
      <c r="E1832">
        <v>0.27</v>
      </c>
      <c r="F1832">
        <v>0.01</v>
      </c>
      <c r="G1832" t="s">
        <v>72</v>
      </c>
      <c r="H1832" t="s">
        <v>3457</v>
      </c>
      <c r="I1832">
        <v>35</v>
      </c>
      <c r="J1832">
        <v>459</v>
      </c>
      <c r="K1832" s="5">
        <v>46161.617730335653</v>
      </c>
      <c r="M1832" s="2" t="s">
        <v>1957</v>
      </c>
      <c r="N1832" s="2" t="s">
        <v>1701</v>
      </c>
      <c r="O1832" s="5">
        <v>45737.468898368053</v>
      </c>
      <c r="P1832" t="str">
        <f>IF($Q1832="DELETE",IF($S1832="CONFIRMED: NO MODS &gt; 1YR","CONFIRMED: NO MODS &gt; 1YR","DO NOT DELETE — not defensibly confirmed"),IF($Q1832="HOLD","DO NOT DELETE — HOLD (Charlie review)",IF($Q1832="KEEP","DO NOT DELETE — KEEP",IF(ISNUMBER(SEARCH("REVIEW",$Q1832)),"DO NOT DELETE — REVIEW pending",$S1832))))</f>
        <v>DO NOT DELETE — REVIEW pending</v>
      </c>
      <c r="Q1832" t="str" cm="1">
        <f t="array" ref="Q1832">_xlfn.IFS(AND($A1832="thg-beauty",ISNUMBER(SEARCH("liveramp",$C1832))),"DELETE",$A1832="agile-bonbon-662",_xlfn.IFS(LEFT($G1832,9)="Tranche 1","DELETE",$C1832="Sessions_Level_1_All_Sites","KEEP",ISNUMBER(--$C1832),"REVIEW — UA raw logs",$C1832="Emag_Reporting","KEEP",$C1832="Nutrition_Data_Archived_Tables","KEEP",$C1832="EU_Data","KEEP",TRUE,"REVIEW"),OR($A1832="thg-influencer",$A1832="thg-ingenuity",$A1832="thg-central-marketing",$A1832="thg-seoclarity"),"HOLD",TRUE,"")</f>
        <v>REVIEW</v>
      </c>
      <c r="R1832" t="str" cm="1">
        <f t="array" ref="R1832">_xlfn.IFS(AND($A1832="thg-beauty",ISNUMBER(SEARCH("liveramp",$C1832))),"thg-beauty Liveramp dataset — confirmed safe to delete",$A1832="agile-bonbon-662",_xlfn.IFS(LEFT($G1832,9)="Tranche 1","Tranche 1: cleared",$C1832="Sessions_Level_1_All_Sites","Downstream aggregation of UA raw logs — keep if raw tables go",ISNUMBER(--$C1832),"UA raw site logs (account ID) — keep pending audit-retention check",$C1832="Emag_Reporting","Legacy but likely needed",$C1832="Nutrition_Data_Archived_Tables","Worth keeping",$C1832="EU_Data","Static lookup tables — scripts still reference (smoke-test risk)",TRUE,"Review"),OR($A1832="thg-influencer",$A1832="thg-ingenuity",$A1832="thg-central-marketing",$A1832="thg-seoclarity"),"HOLD — Charlie Stringer to review before deletion",TRUE,"")</f>
        <v>Review</v>
      </c>
      <c r="S1832" t="s">
        <v>1631</v>
      </c>
    </row>
    <row r="1833" spans="1:19" ht="60.75" hidden="1">
      <c r="A1833" t="s">
        <v>89</v>
      </c>
      <c r="B1833" t="s">
        <v>1619</v>
      </c>
      <c r="C1833" t="s">
        <v>4152</v>
      </c>
      <c r="D1833" s="2" t="s">
        <v>1621</v>
      </c>
      <c r="E1833">
        <v>0.27</v>
      </c>
      <c r="F1833">
        <v>0.01</v>
      </c>
      <c r="G1833" t="s">
        <v>72</v>
      </c>
      <c r="H1833" t="s">
        <v>3457</v>
      </c>
      <c r="I1833">
        <v>35</v>
      </c>
      <c r="J1833">
        <v>1134</v>
      </c>
      <c r="K1833" s="5">
        <v>46161.606753981483</v>
      </c>
      <c r="M1833" s="2" t="s">
        <v>4153</v>
      </c>
      <c r="N1833" s="2" t="s">
        <v>1701</v>
      </c>
      <c r="O1833" s="5">
        <v>45063.197265173607</v>
      </c>
      <c r="P1833" t="str">
        <f>IF($Q1833="DELETE",IF($S1833="CONFIRMED: NO MODS &gt; 1YR","CONFIRMED: NO MODS &gt; 1YR","DO NOT DELETE — not defensibly confirmed"),IF($Q1833="HOLD","DO NOT DELETE — HOLD (Charlie review)",IF($Q1833="KEEP","DO NOT DELETE — KEEP",IF(ISNUMBER(SEARCH("REVIEW",$Q1833)),"DO NOT DELETE — REVIEW pending",$S1833))))</f>
        <v>DO NOT DELETE — REVIEW pending</v>
      </c>
      <c r="Q1833" t="str" cm="1">
        <f t="array" ref="Q1833">_xlfn.IFS(AND($A1833="thg-beauty",ISNUMBER(SEARCH("liveramp",$C1833))),"DELETE",$A1833="agile-bonbon-662",_xlfn.IFS(LEFT($G1833,9)="Tranche 1","DELETE",$C1833="Sessions_Level_1_All_Sites","KEEP",ISNUMBER(--$C1833),"REVIEW — UA raw logs",$C1833="Emag_Reporting","KEEP",$C1833="Nutrition_Data_Archived_Tables","KEEP",$C1833="EU_Data","KEEP",TRUE,"REVIEW"),OR($A1833="thg-influencer",$A1833="thg-ingenuity",$A1833="thg-central-marketing",$A1833="thg-seoclarity"),"HOLD",TRUE,"")</f>
        <v>REVIEW</v>
      </c>
      <c r="R1833" t="str" cm="1">
        <f t="array" ref="R1833">_xlfn.IFS(AND($A1833="thg-beauty",ISNUMBER(SEARCH("liveramp",$C1833))),"thg-beauty Liveramp dataset — confirmed safe to delete",$A1833="agile-bonbon-662",_xlfn.IFS(LEFT($G1833,9)="Tranche 1","Tranche 1: cleared",$C1833="Sessions_Level_1_All_Sites","Downstream aggregation of UA raw logs — keep if raw tables go",ISNUMBER(--$C1833),"UA raw site logs (account ID) — keep pending audit-retention check",$C1833="Emag_Reporting","Legacy but likely needed",$C1833="Nutrition_Data_Archived_Tables","Worth keeping",$C1833="EU_Data","Static lookup tables — scripts still reference (smoke-test risk)",TRUE,"Review"),OR($A1833="thg-influencer",$A1833="thg-ingenuity",$A1833="thg-central-marketing",$A1833="thg-seoclarity"),"HOLD — Charlie Stringer to review before deletion",TRUE,"")</f>
        <v>Review</v>
      </c>
      <c r="S1833" t="s">
        <v>1631</v>
      </c>
    </row>
    <row r="1834" spans="1:19" ht="45.75" hidden="1">
      <c r="A1834" t="s">
        <v>89</v>
      </c>
      <c r="B1834" t="s">
        <v>1619</v>
      </c>
      <c r="C1834" t="s">
        <v>4154</v>
      </c>
      <c r="D1834" s="2" t="s">
        <v>1621</v>
      </c>
      <c r="E1834">
        <v>0.26</v>
      </c>
      <c r="F1834">
        <v>0.01</v>
      </c>
      <c r="G1834" t="s">
        <v>72</v>
      </c>
      <c r="H1834" t="s">
        <v>3457</v>
      </c>
      <c r="I1834">
        <v>35</v>
      </c>
      <c r="J1834">
        <v>1784</v>
      </c>
      <c r="K1834" s="5">
        <v>46161.62333076389</v>
      </c>
      <c r="M1834" s="2" t="s">
        <v>1933</v>
      </c>
      <c r="N1834" s="2" t="s">
        <v>1701</v>
      </c>
      <c r="O1834" s="5">
        <v>44413.344783252323</v>
      </c>
      <c r="P1834" t="str">
        <f>IF($Q1834="DELETE",IF($S1834="CONFIRMED: NO MODS &gt; 1YR","CONFIRMED: NO MODS &gt; 1YR","DO NOT DELETE — not defensibly confirmed"),IF($Q1834="HOLD","DO NOT DELETE — HOLD (Charlie review)",IF($Q1834="KEEP","DO NOT DELETE — KEEP",IF(ISNUMBER(SEARCH("REVIEW",$Q1834)),"DO NOT DELETE — REVIEW pending",$S1834))))</f>
        <v>DO NOT DELETE — REVIEW pending</v>
      </c>
      <c r="Q1834" t="str" cm="1">
        <f t="array" ref="Q1834">_xlfn.IFS(AND($A1834="thg-beauty",ISNUMBER(SEARCH("liveramp",$C1834))),"DELETE",$A1834="agile-bonbon-662",_xlfn.IFS(LEFT($G1834,9)="Tranche 1","DELETE",$C1834="Sessions_Level_1_All_Sites","KEEP",ISNUMBER(--$C1834),"REVIEW — UA raw logs",$C1834="Emag_Reporting","KEEP",$C1834="Nutrition_Data_Archived_Tables","KEEP",$C1834="EU_Data","KEEP",TRUE,"REVIEW"),OR($A1834="thg-influencer",$A1834="thg-ingenuity",$A1834="thg-central-marketing",$A1834="thg-seoclarity"),"HOLD",TRUE,"")</f>
        <v>REVIEW</v>
      </c>
      <c r="R1834" t="str" cm="1">
        <f t="array" ref="R1834">_xlfn.IFS(AND($A1834="thg-beauty",ISNUMBER(SEARCH("liveramp",$C1834))),"thg-beauty Liveramp dataset — confirmed safe to delete",$A1834="agile-bonbon-662",_xlfn.IFS(LEFT($G1834,9)="Tranche 1","Tranche 1: cleared",$C1834="Sessions_Level_1_All_Sites","Downstream aggregation of UA raw logs — keep if raw tables go",ISNUMBER(--$C1834),"UA raw site logs (account ID) — keep pending audit-retention check",$C1834="Emag_Reporting","Legacy but likely needed",$C1834="Nutrition_Data_Archived_Tables","Worth keeping",$C1834="EU_Data","Static lookup tables — scripts still reference (smoke-test risk)",TRUE,"Review"),OR($A1834="thg-influencer",$A1834="thg-ingenuity",$A1834="thg-central-marketing",$A1834="thg-seoclarity"),"HOLD — Charlie Stringer to review before deletion",TRUE,"")</f>
        <v>Review</v>
      </c>
      <c r="S1834" t="s">
        <v>1631</v>
      </c>
    </row>
    <row r="1835" spans="1:19" ht="45.75" hidden="1">
      <c r="A1835" t="s">
        <v>89</v>
      </c>
      <c r="B1835" t="s">
        <v>1619</v>
      </c>
      <c r="C1835" t="s">
        <v>4155</v>
      </c>
      <c r="D1835" s="2" t="s">
        <v>1621</v>
      </c>
      <c r="E1835">
        <v>0.26</v>
      </c>
      <c r="F1835">
        <v>0.01</v>
      </c>
      <c r="G1835" t="s">
        <v>72</v>
      </c>
      <c r="H1835" t="s">
        <v>3457</v>
      </c>
      <c r="I1835">
        <v>35</v>
      </c>
      <c r="J1835">
        <v>1194</v>
      </c>
      <c r="K1835" s="5">
        <v>46161.619048217603</v>
      </c>
      <c r="M1835" s="2" t="s">
        <v>1981</v>
      </c>
      <c r="N1835" s="2" t="s">
        <v>1701</v>
      </c>
      <c r="O1835" s="5">
        <v>45003.351508483793</v>
      </c>
      <c r="P1835" t="str">
        <f>IF($Q1835="DELETE",IF($S1835="CONFIRMED: NO MODS &gt; 1YR","CONFIRMED: NO MODS &gt; 1YR","DO NOT DELETE — not defensibly confirmed"),IF($Q1835="HOLD","DO NOT DELETE — HOLD (Charlie review)",IF($Q1835="KEEP","DO NOT DELETE — KEEP",IF(ISNUMBER(SEARCH("REVIEW",$Q1835)),"DO NOT DELETE — REVIEW pending",$S1835))))</f>
        <v>DO NOT DELETE — REVIEW pending</v>
      </c>
      <c r="Q1835" t="str" cm="1">
        <f t="array" ref="Q1835">_xlfn.IFS(AND($A1835="thg-beauty",ISNUMBER(SEARCH("liveramp",$C1835))),"DELETE",$A1835="agile-bonbon-662",_xlfn.IFS(LEFT($G1835,9)="Tranche 1","DELETE",$C1835="Sessions_Level_1_All_Sites","KEEP",ISNUMBER(--$C1835),"REVIEW — UA raw logs",$C1835="Emag_Reporting","KEEP",$C1835="Nutrition_Data_Archived_Tables","KEEP",$C1835="EU_Data","KEEP",TRUE,"REVIEW"),OR($A1835="thg-influencer",$A1835="thg-ingenuity",$A1835="thg-central-marketing",$A1835="thg-seoclarity"),"HOLD",TRUE,"")</f>
        <v>REVIEW</v>
      </c>
      <c r="R1835" t="str" cm="1">
        <f t="array" ref="R1835">_xlfn.IFS(AND($A1835="thg-beauty",ISNUMBER(SEARCH("liveramp",$C1835))),"thg-beauty Liveramp dataset — confirmed safe to delete",$A1835="agile-bonbon-662",_xlfn.IFS(LEFT($G1835,9)="Tranche 1","Tranche 1: cleared",$C1835="Sessions_Level_1_All_Sites","Downstream aggregation of UA raw logs — keep if raw tables go",ISNUMBER(--$C1835),"UA raw site logs (account ID) — keep pending audit-retention check",$C1835="Emag_Reporting","Legacy but likely needed",$C1835="Nutrition_Data_Archived_Tables","Worth keeping",$C1835="EU_Data","Static lookup tables — scripts still reference (smoke-test risk)",TRUE,"Review"),OR($A1835="thg-influencer",$A1835="thg-ingenuity",$A1835="thg-central-marketing",$A1835="thg-seoclarity"),"HOLD — Charlie Stringer to review before deletion",TRUE,"")</f>
        <v>Review</v>
      </c>
      <c r="S1835" t="s">
        <v>1631</v>
      </c>
    </row>
    <row r="1836" spans="1:19" ht="45.75" hidden="1">
      <c r="A1836" t="s">
        <v>89</v>
      </c>
      <c r="B1836" t="s">
        <v>1619</v>
      </c>
      <c r="C1836" t="s">
        <v>4156</v>
      </c>
      <c r="D1836" s="2" t="s">
        <v>1621</v>
      </c>
      <c r="E1836">
        <v>0.26</v>
      </c>
      <c r="F1836">
        <v>0.01</v>
      </c>
      <c r="G1836" t="s">
        <v>72</v>
      </c>
      <c r="H1836" t="s">
        <v>3457</v>
      </c>
      <c r="I1836">
        <v>35</v>
      </c>
      <c r="J1836">
        <v>1784</v>
      </c>
      <c r="K1836" s="5">
        <v>46161.623305787027</v>
      </c>
      <c r="M1836" s="2" t="s">
        <v>1933</v>
      </c>
      <c r="N1836" s="2" t="s">
        <v>1701</v>
      </c>
      <c r="O1836" s="5">
        <v>44413.331846435183</v>
      </c>
      <c r="P1836" t="str">
        <f>IF($Q1836="DELETE",IF($S1836="CONFIRMED: NO MODS &gt; 1YR","CONFIRMED: NO MODS &gt; 1YR","DO NOT DELETE — not defensibly confirmed"),IF($Q1836="HOLD","DO NOT DELETE — HOLD (Charlie review)",IF($Q1836="KEEP","DO NOT DELETE — KEEP",IF(ISNUMBER(SEARCH("REVIEW",$Q1836)),"DO NOT DELETE — REVIEW pending",$S1836))))</f>
        <v>DO NOT DELETE — REVIEW pending</v>
      </c>
      <c r="Q1836" t="str" cm="1">
        <f t="array" ref="Q1836">_xlfn.IFS(AND($A1836="thg-beauty",ISNUMBER(SEARCH("liveramp",$C1836))),"DELETE",$A1836="agile-bonbon-662",_xlfn.IFS(LEFT($G1836,9)="Tranche 1","DELETE",$C1836="Sessions_Level_1_All_Sites","KEEP",ISNUMBER(--$C1836),"REVIEW — UA raw logs",$C1836="Emag_Reporting","KEEP",$C1836="Nutrition_Data_Archived_Tables","KEEP",$C1836="EU_Data","KEEP",TRUE,"REVIEW"),OR($A1836="thg-influencer",$A1836="thg-ingenuity",$A1836="thg-central-marketing",$A1836="thg-seoclarity"),"HOLD",TRUE,"")</f>
        <v>REVIEW</v>
      </c>
      <c r="R1836" t="str" cm="1">
        <f t="array" ref="R1836">_xlfn.IFS(AND($A1836="thg-beauty",ISNUMBER(SEARCH("liveramp",$C1836))),"thg-beauty Liveramp dataset — confirmed safe to delete",$A1836="agile-bonbon-662",_xlfn.IFS(LEFT($G1836,9)="Tranche 1","Tranche 1: cleared",$C1836="Sessions_Level_1_All_Sites","Downstream aggregation of UA raw logs — keep if raw tables go",ISNUMBER(--$C1836),"UA raw site logs (account ID) — keep pending audit-retention check",$C1836="Emag_Reporting","Legacy but likely needed",$C1836="Nutrition_Data_Archived_Tables","Worth keeping",$C1836="EU_Data","Static lookup tables — scripts still reference (smoke-test risk)",TRUE,"Review"),OR($A1836="thg-influencer",$A1836="thg-ingenuity",$A1836="thg-central-marketing",$A1836="thg-seoclarity"),"HOLD — Charlie Stringer to review before deletion",TRUE,"")</f>
        <v>Review</v>
      </c>
      <c r="S1836" t="s">
        <v>1631</v>
      </c>
    </row>
    <row r="1837" spans="1:19" ht="45.75" hidden="1">
      <c r="A1837" t="s">
        <v>89</v>
      </c>
      <c r="B1837" t="s">
        <v>1619</v>
      </c>
      <c r="C1837" t="s">
        <v>4157</v>
      </c>
      <c r="D1837" s="2" t="s">
        <v>1621</v>
      </c>
      <c r="E1837">
        <v>0.25</v>
      </c>
      <c r="F1837">
        <v>0.01</v>
      </c>
      <c r="G1837" t="s">
        <v>72</v>
      </c>
      <c r="H1837" t="s">
        <v>3457</v>
      </c>
      <c r="I1837">
        <v>35</v>
      </c>
      <c r="J1837">
        <v>1203</v>
      </c>
      <c r="K1837" s="5">
        <v>46161.620540752323</v>
      </c>
      <c r="M1837" s="2" t="s">
        <v>1943</v>
      </c>
      <c r="N1837" s="2" t="s">
        <v>1701</v>
      </c>
      <c r="O1837" s="5">
        <v>44993.859343391203</v>
      </c>
      <c r="P1837" t="str">
        <f>IF($Q1837="DELETE",IF($S1837="CONFIRMED: NO MODS &gt; 1YR","CONFIRMED: NO MODS &gt; 1YR","DO NOT DELETE — not defensibly confirmed"),IF($Q1837="HOLD","DO NOT DELETE — HOLD (Charlie review)",IF($Q1837="KEEP","DO NOT DELETE — KEEP",IF(ISNUMBER(SEARCH("REVIEW",$Q1837)),"DO NOT DELETE — REVIEW pending",$S1837))))</f>
        <v>DO NOT DELETE — REVIEW pending</v>
      </c>
      <c r="Q1837" t="str" cm="1">
        <f t="array" ref="Q1837">_xlfn.IFS(AND($A1837="thg-beauty",ISNUMBER(SEARCH("liveramp",$C1837))),"DELETE",$A1837="agile-bonbon-662",_xlfn.IFS(LEFT($G1837,9)="Tranche 1","DELETE",$C1837="Sessions_Level_1_All_Sites","KEEP",ISNUMBER(--$C1837),"REVIEW — UA raw logs",$C1837="Emag_Reporting","KEEP",$C1837="Nutrition_Data_Archived_Tables","KEEP",$C1837="EU_Data","KEEP",TRUE,"REVIEW"),OR($A1837="thg-influencer",$A1837="thg-ingenuity",$A1837="thg-central-marketing",$A1837="thg-seoclarity"),"HOLD",TRUE,"")</f>
        <v>REVIEW</v>
      </c>
      <c r="R1837" t="str" cm="1">
        <f t="array" ref="R1837">_xlfn.IFS(AND($A1837="thg-beauty",ISNUMBER(SEARCH("liveramp",$C1837))),"thg-beauty Liveramp dataset — confirmed safe to delete",$A1837="agile-bonbon-662",_xlfn.IFS(LEFT($G1837,9)="Tranche 1","Tranche 1: cleared",$C1837="Sessions_Level_1_All_Sites","Downstream aggregation of UA raw logs — keep if raw tables go",ISNUMBER(--$C1837),"UA raw site logs (account ID) — keep pending audit-retention check",$C1837="Emag_Reporting","Legacy but likely needed",$C1837="Nutrition_Data_Archived_Tables","Worth keeping",$C1837="EU_Data","Static lookup tables — scripts still reference (smoke-test risk)",TRUE,"Review"),OR($A1837="thg-influencer",$A1837="thg-ingenuity",$A1837="thg-central-marketing",$A1837="thg-seoclarity"),"HOLD — Charlie Stringer to review before deletion",TRUE,"")</f>
        <v>Review</v>
      </c>
      <c r="S1837" t="s">
        <v>1631</v>
      </c>
    </row>
    <row r="1838" spans="1:19" ht="45.75" hidden="1">
      <c r="A1838" t="s">
        <v>89</v>
      </c>
      <c r="B1838" t="s">
        <v>1619</v>
      </c>
      <c r="C1838" t="s">
        <v>4158</v>
      </c>
      <c r="D1838" s="2" t="s">
        <v>1621</v>
      </c>
      <c r="E1838">
        <v>0.24</v>
      </c>
      <c r="F1838">
        <v>0</v>
      </c>
      <c r="G1838" t="s">
        <v>72</v>
      </c>
      <c r="H1838" t="s">
        <v>3457</v>
      </c>
      <c r="I1838">
        <v>35</v>
      </c>
      <c r="J1838">
        <v>2305</v>
      </c>
      <c r="K1838" s="5">
        <v>46161.583268020833</v>
      </c>
      <c r="M1838" s="2" t="s">
        <v>3435</v>
      </c>
      <c r="N1838" s="2" t="s">
        <v>1701</v>
      </c>
      <c r="O1838" s="5">
        <v>43892.239573263891</v>
      </c>
      <c r="P1838" t="str">
        <f>IF($Q1838="DELETE",IF($S1838="CONFIRMED: NO MODS &gt; 1YR","CONFIRMED: NO MODS &gt; 1YR","DO NOT DELETE — not defensibly confirmed"),IF($Q1838="HOLD","DO NOT DELETE — HOLD (Charlie review)",IF($Q1838="KEEP","DO NOT DELETE — KEEP",IF(ISNUMBER(SEARCH("REVIEW",$Q1838)),"DO NOT DELETE — REVIEW pending",$S1838))))</f>
        <v>DO NOT DELETE — REVIEW pending</v>
      </c>
      <c r="Q1838" t="str" cm="1">
        <f t="array" ref="Q1838">_xlfn.IFS(AND($A1838="thg-beauty",ISNUMBER(SEARCH("liveramp",$C1838))),"DELETE",$A1838="agile-bonbon-662",_xlfn.IFS(LEFT($G1838,9)="Tranche 1","DELETE",$C1838="Sessions_Level_1_All_Sites","KEEP",ISNUMBER(--$C1838),"REVIEW — UA raw logs",$C1838="Emag_Reporting","KEEP",$C1838="Nutrition_Data_Archived_Tables","KEEP",$C1838="EU_Data","KEEP",TRUE,"REVIEW"),OR($A1838="thg-influencer",$A1838="thg-ingenuity",$A1838="thg-central-marketing",$A1838="thg-seoclarity"),"HOLD",TRUE,"")</f>
        <v>REVIEW — UA raw logs</v>
      </c>
      <c r="R1838" t="str" cm="1">
        <f t="array" ref="R1838">_xlfn.IFS(AND($A1838="thg-beauty",ISNUMBER(SEARCH("liveramp",$C1838))),"thg-beauty Liveramp dataset — confirmed safe to delete",$A1838="agile-bonbon-662",_xlfn.IFS(LEFT($G1838,9)="Tranche 1","Tranche 1: cleared",$C1838="Sessions_Level_1_All_Sites","Downstream aggregation of UA raw logs — keep if raw tables go",ISNUMBER(--$C1838),"UA raw site logs (account ID) — keep pending audit-retention check",$C1838="Emag_Reporting","Legacy but likely needed",$C1838="Nutrition_Data_Archived_Tables","Worth keeping",$C1838="EU_Data","Static lookup tables — scripts still reference (smoke-test risk)",TRUE,"Review"),OR($A1838="thg-influencer",$A1838="thg-ingenuity",$A1838="thg-central-marketing",$A1838="thg-seoclarity"),"HOLD — Charlie Stringer to review before deletion",TRUE,"")</f>
        <v>UA raw site logs (account ID) — keep pending audit-retention check</v>
      </c>
      <c r="S1838" t="s">
        <v>1631</v>
      </c>
    </row>
    <row r="1839" spans="1:19" ht="76.5" hidden="1">
      <c r="A1839" t="s">
        <v>89</v>
      </c>
      <c r="B1839" t="s">
        <v>1619</v>
      </c>
      <c r="C1839" t="s">
        <v>4159</v>
      </c>
      <c r="D1839" s="2" t="s">
        <v>1621</v>
      </c>
      <c r="E1839">
        <v>0.24</v>
      </c>
      <c r="F1839">
        <v>0</v>
      </c>
      <c r="G1839" t="s">
        <v>72</v>
      </c>
      <c r="H1839" t="s">
        <v>3457</v>
      </c>
      <c r="I1839">
        <v>35</v>
      </c>
      <c r="J1839">
        <v>1463</v>
      </c>
      <c r="K1839" s="5">
        <v>46161.580669560193</v>
      </c>
      <c r="M1839" s="2" t="s">
        <v>4160</v>
      </c>
      <c r="N1839" s="2" t="s">
        <v>1701</v>
      </c>
      <c r="O1839" s="5">
        <v>44734.418845555563</v>
      </c>
      <c r="P1839" t="str">
        <f>IF($Q1839="DELETE",IF($S1839="CONFIRMED: NO MODS &gt; 1YR","CONFIRMED: NO MODS &gt; 1YR","DO NOT DELETE — not defensibly confirmed"),IF($Q1839="HOLD","DO NOT DELETE — HOLD (Charlie review)",IF($Q1839="KEEP","DO NOT DELETE — KEEP",IF(ISNUMBER(SEARCH("REVIEW",$Q1839)),"DO NOT DELETE — REVIEW pending",$S1839))))</f>
        <v>DO NOT DELETE — REVIEW pending</v>
      </c>
      <c r="Q1839" t="str" cm="1">
        <f t="array" ref="Q1839">_xlfn.IFS(AND($A1839="thg-beauty",ISNUMBER(SEARCH("liveramp",$C1839))),"DELETE",$A1839="agile-bonbon-662",_xlfn.IFS(LEFT($G1839,9)="Tranche 1","DELETE",$C1839="Sessions_Level_1_All_Sites","KEEP",ISNUMBER(--$C1839),"REVIEW — UA raw logs",$C1839="Emag_Reporting","KEEP",$C1839="Nutrition_Data_Archived_Tables","KEEP",$C1839="EU_Data","KEEP",TRUE,"REVIEW"),OR($A1839="thg-influencer",$A1839="thg-ingenuity",$A1839="thg-central-marketing",$A1839="thg-seoclarity"),"HOLD",TRUE,"")</f>
        <v>REVIEW</v>
      </c>
      <c r="R1839" t="str" cm="1">
        <f t="array" ref="R1839">_xlfn.IFS(AND($A1839="thg-beauty",ISNUMBER(SEARCH("liveramp",$C1839))),"thg-beauty Liveramp dataset — confirmed safe to delete",$A1839="agile-bonbon-662",_xlfn.IFS(LEFT($G1839,9)="Tranche 1","Tranche 1: cleared",$C1839="Sessions_Level_1_All_Sites","Downstream aggregation of UA raw logs — keep if raw tables go",ISNUMBER(--$C1839),"UA raw site logs (account ID) — keep pending audit-retention check",$C1839="Emag_Reporting","Legacy but likely needed",$C1839="Nutrition_Data_Archived_Tables","Worth keeping",$C1839="EU_Data","Static lookup tables — scripts still reference (smoke-test risk)",TRUE,"Review"),OR($A1839="thg-influencer",$A1839="thg-ingenuity",$A1839="thg-central-marketing",$A1839="thg-seoclarity"),"HOLD — Charlie Stringer to review before deletion",TRUE,"")</f>
        <v>Review</v>
      </c>
      <c r="S1839" t="s">
        <v>1631</v>
      </c>
    </row>
    <row r="1840" spans="1:19" ht="45.75" hidden="1">
      <c r="A1840" t="s">
        <v>89</v>
      </c>
      <c r="B1840" t="s">
        <v>1619</v>
      </c>
      <c r="C1840" t="s">
        <v>4161</v>
      </c>
      <c r="D1840" s="2" t="s">
        <v>1621</v>
      </c>
      <c r="E1840">
        <v>0.24</v>
      </c>
      <c r="F1840">
        <v>0</v>
      </c>
      <c r="G1840" t="s">
        <v>72</v>
      </c>
      <c r="H1840" t="s">
        <v>3457</v>
      </c>
      <c r="I1840">
        <v>35</v>
      </c>
      <c r="J1840">
        <v>724</v>
      </c>
      <c r="K1840" s="5">
        <v>46161.600421064817</v>
      </c>
      <c r="M1840" s="2" t="s">
        <v>3428</v>
      </c>
      <c r="N1840" s="2" t="s">
        <v>1701</v>
      </c>
      <c r="O1840" s="5">
        <v>45473.238914884263</v>
      </c>
      <c r="P1840" t="str">
        <f>IF($Q1840="DELETE",IF($S1840="CONFIRMED: NO MODS &gt; 1YR","CONFIRMED: NO MODS &gt; 1YR","DO NOT DELETE — not defensibly confirmed"),IF($Q1840="HOLD","DO NOT DELETE — HOLD (Charlie review)",IF($Q1840="KEEP","DO NOT DELETE — KEEP",IF(ISNUMBER(SEARCH("REVIEW",$Q1840)),"DO NOT DELETE — REVIEW pending",$S1840))))</f>
        <v>DO NOT DELETE — REVIEW pending</v>
      </c>
      <c r="Q1840" t="str" cm="1">
        <f t="array" ref="Q1840">_xlfn.IFS(AND($A1840="thg-beauty",ISNUMBER(SEARCH("liveramp",$C1840))),"DELETE",$A1840="agile-bonbon-662",_xlfn.IFS(LEFT($G1840,9)="Tranche 1","DELETE",$C1840="Sessions_Level_1_All_Sites","KEEP",ISNUMBER(--$C1840),"REVIEW — UA raw logs",$C1840="Emag_Reporting","KEEP",$C1840="Nutrition_Data_Archived_Tables","KEEP",$C1840="EU_Data","KEEP",TRUE,"REVIEW"),OR($A1840="thg-influencer",$A1840="thg-ingenuity",$A1840="thg-central-marketing",$A1840="thg-seoclarity"),"HOLD",TRUE,"")</f>
        <v>REVIEW — UA raw logs</v>
      </c>
      <c r="R1840" t="str" cm="1">
        <f t="array" ref="R1840">_xlfn.IFS(AND($A1840="thg-beauty",ISNUMBER(SEARCH("liveramp",$C1840))),"thg-beauty Liveramp dataset — confirmed safe to delete",$A1840="agile-bonbon-662",_xlfn.IFS(LEFT($G1840,9)="Tranche 1","Tranche 1: cleared",$C1840="Sessions_Level_1_All_Sites","Downstream aggregation of UA raw logs — keep if raw tables go",ISNUMBER(--$C1840),"UA raw site logs (account ID) — keep pending audit-retention check",$C1840="Emag_Reporting","Legacy but likely needed",$C1840="Nutrition_Data_Archived_Tables","Worth keeping",$C1840="EU_Data","Static lookup tables — scripts still reference (smoke-test risk)",TRUE,"Review"),OR($A1840="thg-influencer",$A1840="thg-ingenuity",$A1840="thg-central-marketing",$A1840="thg-seoclarity"),"HOLD — Charlie Stringer to review before deletion",TRUE,"")</f>
        <v>UA raw site logs (account ID) — keep pending audit-retention check</v>
      </c>
      <c r="S1840" t="s">
        <v>1631</v>
      </c>
    </row>
    <row r="1841" spans="1:19" ht="45.75" hidden="1">
      <c r="A1841" t="s">
        <v>89</v>
      </c>
      <c r="B1841" t="s">
        <v>1619</v>
      </c>
      <c r="C1841" t="s">
        <v>4162</v>
      </c>
      <c r="D1841" s="2" t="s">
        <v>1621</v>
      </c>
      <c r="E1841">
        <v>0.24</v>
      </c>
      <c r="F1841">
        <v>0</v>
      </c>
      <c r="G1841" t="s">
        <v>72</v>
      </c>
      <c r="H1841" t="s">
        <v>3457</v>
      </c>
      <c r="I1841">
        <v>35</v>
      </c>
      <c r="J1841">
        <v>2433</v>
      </c>
      <c r="K1841" s="5">
        <v>46161.603552476852</v>
      </c>
      <c r="M1841" s="2" t="s">
        <v>3425</v>
      </c>
      <c r="N1841" s="2" t="s">
        <v>1701</v>
      </c>
      <c r="O1841" s="5">
        <v>43764.238881261583</v>
      </c>
      <c r="P1841" t="str">
        <f>IF($Q1841="DELETE",IF($S1841="CONFIRMED: NO MODS &gt; 1YR","CONFIRMED: NO MODS &gt; 1YR","DO NOT DELETE — not defensibly confirmed"),IF($Q1841="HOLD","DO NOT DELETE — HOLD (Charlie review)",IF($Q1841="KEEP","DO NOT DELETE — KEEP",IF(ISNUMBER(SEARCH("REVIEW",$Q1841)),"DO NOT DELETE — REVIEW pending",$S1841))))</f>
        <v>DO NOT DELETE — REVIEW pending</v>
      </c>
      <c r="Q1841" t="str" cm="1">
        <f t="array" ref="Q1841">_xlfn.IFS(AND($A1841="thg-beauty",ISNUMBER(SEARCH("liveramp",$C1841))),"DELETE",$A1841="agile-bonbon-662",_xlfn.IFS(LEFT($G1841,9)="Tranche 1","DELETE",$C1841="Sessions_Level_1_All_Sites","KEEP",ISNUMBER(--$C1841),"REVIEW — UA raw logs",$C1841="Emag_Reporting","KEEP",$C1841="Nutrition_Data_Archived_Tables","KEEP",$C1841="EU_Data","KEEP",TRUE,"REVIEW"),OR($A1841="thg-influencer",$A1841="thg-ingenuity",$A1841="thg-central-marketing",$A1841="thg-seoclarity"),"HOLD",TRUE,"")</f>
        <v>REVIEW — UA raw logs</v>
      </c>
      <c r="R1841" t="str" cm="1">
        <f t="array" ref="R1841">_xlfn.IFS(AND($A1841="thg-beauty",ISNUMBER(SEARCH("liveramp",$C1841))),"thg-beauty Liveramp dataset — confirmed safe to delete",$A1841="agile-bonbon-662",_xlfn.IFS(LEFT($G1841,9)="Tranche 1","Tranche 1: cleared",$C1841="Sessions_Level_1_All_Sites","Downstream aggregation of UA raw logs — keep if raw tables go",ISNUMBER(--$C1841),"UA raw site logs (account ID) — keep pending audit-retention check",$C1841="Emag_Reporting","Legacy but likely needed",$C1841="Nutrition_Data_Archived_Tables","Worth keeping",$C1841="EU_Data","Static lookup tables — scripts still reference (smoke-test risk)",TRUE,"Review"),OR($A1841="thg-influencer",$A1841="thg-ingenuity",$A1841="thg-central-marketing",$A1841="thg-seoclarity"),"HOLD — Charlie Stringer to review before deletion",TRUE,"")</f>
        <v>UA raw site logs (account ID) — keep pending audit-retention check</v>
      </c>
      <c r="S1841" t="s">
        <v>1631</v>
      </c>
    </row>
    <row r="1842" spans="1:19" ht="45.75" hidden="1">
      <c r="A1842" t="s">
        <v>89</v>
      </c>
      <c r="B1842" t="s">
        <v>1619</v>
      </c>
      <c r="C1842" t="s">
        <v>4163</v>
      </c>
      <c r="D1842" s="2" t="s">
        <v>1621</v>
      </c>
      <c r="E1842">
        <v>0.23</v>
      </c>
      <c r="F1842">
        <v>0</v>
      </c>
      <c r="G1842" t="s">
        <v>72</v>
      </c>
      <c r="H1842" t="s">
        <v>3457</v>
      </c>
      <c r="I1842">
        <v>35</v>
      </c>
      <c r="J1842">
        <v>1200</v>
      </c>
      <c r="K1842" s="5">
        <v>46161.61925113426</v>
      </c>
      <c r="M1842" s="2" t="s">
        <v>1981</v>
      </c>
      <c r="N1842" s="2" t="s">
        <v>1701</v>
      </c>
      <c r="O1842" s="5">
        <v>44996.987428101849</v>
      </c>
      <c r="P1842" t="str">
        <f>IF($Q1842="DELETE",IF($S1842="CONFIRMED: NO MODS &gt; 1YR","CONFIRMED: NO MODS &gt; 1YR","DO NOT DELETE — not defensibly confirmed"),IF($Q1842="HOLD","DO NOT DELETE — HOLD (Charlie review)",IF($Q1842="KEEP","DO NOT DELETE — KEEP",IF(ISNUMBER(SEARCH("REVIEW",$Q1842)),"DO NOT DELETE — REVIEW pending",$S1842))))</f>
        <v>DO NOT DELETE — REVIEW pending</v>
      </c>
      <c r="Q1842" t="str" cm="1">
        <f t="array" ref="Q1842">_xlfn.IFS(AND($A1842="thg-beauty",ISNUMBER(SEARCH("liveramp",$C1842))),"DELETE",$A1842="agile-bonbon-662",_xlfn.IFS(LEFT($G1842,9)="Tranche 1","DELETE",$C1842="Sessions_Level_1_All_Sites","KEEP",ISNUMBER(--$C1842),"REVIEW — UA raw logs",$C1842="Emag_Reporting","KEEP",$C1842="Nutrition_Data_Archived_Tables","KEEP",$C1842="EU_Data","KEEP",TRUE,"REVIEW"),OR($A1842="thg-influencer",$A1842="thg-ingenuity",$A1842="thg-central-marketing",$A1842="thg-seoclarity"),"HOLD",TRUE,"")</f>
        <v>REVIEW</v>
      </c>
      <c r="R1842" t="str" cm="1">
        <f t="array" ref="R1842">_xlfn.IFS(AND($A1842="thg-beauty",ISNUMBER(SEARCH("liveramp",$C1842))),"thg-beauty Liveramp dataset — confirmed safe to delete",$A1842="agile-bonbon-662",_xlfn.IFS(LEFT($G1842,9)="Tranche 1","Tranche 1: cleared",$C1842="Sessions_Level_1_All_Sites","Downstream aggregation of UA raw logs — keep if raw tables go",ISNUMBER(--$C1842),"UA raw site logs (account ID) — keep pending audit-retention check",$C1842="Emag_Reporting","Legacy but likely needed",$C1842="Nutrition_Data_Archived_Tables","Worth keeping",$C1842="EU_Data","Static lookup tables — scripts still reference (smoke-test risk)",TRUE,"Review"),OR($A1842="thg-influencer",$A1842="thg-ingenuity",$A1842="thg-central-marketing",$A1842="thg-seoclarity"),"HOLD — Charlie Stringer to review before deletion",TRUE,"")</f>
        <v>Review</v>
      </c>
      <c r="S1842" t="s">
        <v>1624</v>
      </c>
    </row>
    <row r="1843" spans="1:19" ht="45.75" hidden="1">
      <c r="A1843" t="s">
        <v>89</v>
      </c>
      <c r="B1843" t="s">
        <v>1619</v>
      </c>
      <c r="C1843" t="s">
        <v>4164</v>
      </c>
      <c r="D1843" s="2" t="s">
        <v>1621</v>
      </c>
      <c r="E1843">
        <v>0.23</v>
      </c>
      <c r="F1843">
        <v>0</v>
      </c>
      <c r="G1843" t="s">
        <v>72</v>
      </c>
      <c r="H1843" t="s">
        <v>3457</v>
      </c>
      <c r="I1843">
        <v>35</v>
      </c>
      <c r="J1843">
        <v>589</v>
      </c>
      <c r="K1843" s="5">
        <v>46161.607424444453</v>
      </c>
      <c r="M1843" s="2" t="s">
        <v>3909</v>
      </c>
      <c r="N1843" s="2" t="s">
        <v>1701</v>
      </c>
      <c r="O1843" s="5">
        <v>45608.427995682869</v>
      </c>
      <c r="P1843" t="str">
        <f>IF($Q1843="DELETE",IF($S1843="CONFIRMED: NO MODS &gt; 1YR","CONFIRMED: NO MODS &gt; 1YR","DO NOT DELETE — not defensibly confirmed"),IF($Q1843="HOLD","DO NOT DELETE — HOLD (Charlie review)",IF($Q1843="KEEP","DO NOT DELETE — KEEP",IF(ISNUMBER(SEARCH("REVIEW",$Q1843)),"DO NOT DELETE — REVIEW pending",$S1843))))</f>
        <v>DO NOT DELETE — REVIEW pending</v>
      </c>
      <c r="Q1843" t="str" cm="1">
        <f t="array" ref="Q1843">_xlfn.IFS(AND($A1843="thg-beauty",ISNUMBER(SEARCH("liveramp",$C1843))),"DELETE",$A1843="agile-bonbon-662",_xlfn.IFS(LEFT($G1843,9)="Tranche 1","DELETE",$C1843="Sessions_Level_1_All_Sites","KEEP",ISNUMBER(--$C1843),"REVIEW — UA raw logs",$C1843="Emag_Reporting","KEEP",$C1843="Nutrition_Data_Archived_Tables","KEEP",$C1843="EU_Data","KEEP",TRUE,"REVIEW"),OR($A1843="thg-influencer",$A1843="thg-ingenuity",$A1843="thg-central-marketing",$A1843="thg-seoclarity"),"HOLD",TRUE,"")</f>
        <v>REVIEW</v>
      </c>
      <c r="R1843" t="str" cm="1">
        <f t="array" ref="R1843">_xlfn.IFS(AND($A1843="thg-beauty",ISNUMBER(SEARCH("liveramp",$C1843))),"thg-beauty Liveramp dataset — confirmed safe to delete",$A1843="agile-bonbon-662",_xlfn.IFS(LEFT($G1843,9)="Tranche 1","Tranche 1: cleared",$C1843="Sessions_Level_1_All_Sites","Downstream aggregation of UA raw logs — keep if raw tables go",ISNUMBER(--$C1843),"UA raw site logs (account ID) — keep pending audit-retention check",$C1843="Emag_Reporting","Legacy but likely needed",$C1843="Nutrition_Data_Archived_Tables","Worth keeping",$C1843="EU_Data","Static lookup tables — scripts still reference (smoke-test risk)",TRUE,"Review"),OR($A1843="thg-influencer",$A1843="thg-ingenuity",$A1843="thg-central-marketing",$A1843="thg-seoclarity"),"HOLD — Charlie Stringer to review before deletion",TRUE,"")</f>
        <v>Review</v>
      </c>
      <c r="S1843" t="s">
        <v>1631</v>
      </c>
    </row>
    <row r="1844" spans="1:19" ht="45.75" hidden="1">
      <c r="A1844" t="s">
        <v>89</v>
      </c>
      <c r="B1844" t="s">
        <v>1619</v>
      </c>
      <c r="C1844" t="s">
        <v>4165</v>
      </c>
      <c r="D1844" s="2" t="s">
        <v>1621</v>
      </c>
      <c r="E1844">
        <v>0.23</v>
      </c>
      <c r="F1844">
        <v>0</v>
      </c>
      <c r="G1844" t="s">
        <v>72</v>
      </c>
      <c r="H1844" t="s">
        <v>3457</v>
      </c>
      <c r="I1844">
        <v>35</v>
      </c>
      <c r="J1844">
        <v>2695</v>
      </c>
      <c r="K1844" s="5">
        <v>46161.582747777778</v>
      </c>
      <c r="M1844" s="2" t="s">
        <v>3423</v>
      </c>
      <c r="N1844" s="2" t="s">
        <v>1701</v>
      </c>
      <c r="O1844" s="5">
        <v>43501.470749652777</v>
      </c>
      <c r="P1844" t="str">
        <f>IF($Q1844="DELETE",IF($S1844="CONFIRMED: NO MODS &gt; 1YR","CONFIRMED: NO MODS &gt; 1YR","DO NOT DELETE — not defensibly confirmed"),IF($Q1844="HOLD","DO NOT DELETE — HOLD (Charlie review)",IF($Q1844="KEEP","DO NOT DELETE — KEEP",IF(ISNUMBER(SEARCH("REVIEW",$Q1844)),"DO NOT DELETE — REVIEW pending",$S1844))))</f>
        <v>DO NOT DELETE — REVIEW pending</v>
      </c>
      <c r="Q1844" t="str" cm="1">
        <f t="array" ref="Q1844">_xlfn.IFS(AND($A1844="thg-beauty",ISNUMBER(SEARCH("liveramp",$C1844))),"DELETE",$A1844="agile-bonbon-662",_xlfn.IFS(LEFT($G1844,9)="Tranche 1","DELETE",$C1844="Sessions_Level_1_All_Sites","KEEP",ISNUMBER(--$C1844),"REVIEW — UA raw logs",$C1844="Emag_Reporting","KEEP",$C1844="Nutrition_Data_Archived_Tables","KEEP",$C1844="EU_Data","KEEP",TRUE,"REVIEW"),OR($A1844="thg-influencer",$A1844="thg-ingenuity",$A1844="thg-central-marketing",$A1844="thg-seoclarity"),"HOLD",TRUE,"")</f>
        <v>REVIEW — UA raw logs</v>
      </c>
      <c r="R1844" t="str" cm="1">
        <f t="array" ref="R1844">_xlfn.IFS(AND($A1844="thg-beauty",ISNUMBER(SEARCH("liveramp",$C1844))),"thg-beauty Liveramp dataset — confirmed safe to delete",$A1844="agile-bonbon-662",_xlfn.IFS(LEFT($G1844,9)="Tranche 1","Tranche 1: cleared",$C1844="Sessions_Level_1_All_Sites","Downstream aggregation of UA raw logs — keep if raw tables go",ISNUMBER(--$C1844),"UA raw site logs (account ID) — keep pending audit-retention check",$C1844="Emag_Reporting","Legacy but likely needed",$C1844="Nutrition_Data_Archived_Tables","Worth keeping",$C1844="EU_Data","Static lookup tables — scripts still reference (smoke-test risk)",TRUE,"Review"),OR($A1844="thg-influencer",$A1844="thg-ingenuity",$A1844="thg-central-marketing",$A1844="thg-seoclarity"),"HOLD — Charlie Stringer to review before deletion",TRUE,"")</f>
        <v>UA raw site logs (account ID) — keep pending audit-retention check</v>
      </c>
      <c r="S1844" t="s">
        <v>1631</v>
      </c>
    </row>
    <row r="1845" spans="1:19" ht="45.75" hidden="1">
      <c r="A1845" t="s">
        <v>89</v>
      </c>
      <c r="B1845" t="s">
        <v>1619</v>
      </c>
      <c r="C1845" t="s">
        <v>4166</v>
      </c>
      <c r="D1845" s="2" t="s">
        <v>1621</v>
      </c>
      <c r="E1845">
        <v>0.23</v>
      </c>
      <c r="F1845">
        <v>0</v>
      </c>
      <c r="G1845" t="s">
        <v>72</v>
      </c>
      <c r="H1845" t="s">
        <v>3457</v>
      </c>
      <c r="I1845">
        <v>35</v>
      </c>
      <c r="J1845">
        <v>719</v>
      </c>
      <c r="K1845" s="5">
        <v>46161.604477835652</v>
      </c>
      <c r="M1845" s="2" t="s">
        <v>3406</v>
      </c>
      <c r="N1845" s="2" t="s">
        <v>1701</v>
      </c>
      <c r="O1845" s="5">
        <v>45478.042685520842</v>
      </c>
      <c r="P1845" t="str">
        <f>IF($Q1845="DELETE",IF($S1845="CONFIRMED: NO MODS &gt; 1YR","CONFIRMED: NO MODS &gt; 1YR","DO NOT DELETE — not defensibly confirmed"),IF($Q1845="HOLD","DO NOT DELETE — HOLD (Charlie review)",IF($Q1845="KEEP","DO NOT DELETE — KEEP",IF(ISNUMBER(SEARCH("REVIEW",$Q1845)),"DO NOT DELETE — REVIEW pending",$S1845))))</f>
        <v>DO NOT DELETE — REVIEW pending</v>
      </c>
      <c r="Q1845" t="str" cm="1">
        <f t="array" ref="Q1845">_xlfn.IFS(AND($A1845="thg-beauty",ISNUMBER(SEARCH("liveramp",$C1845))),"DELETE",$A1845="agile-bonbon-662",_xlfn.IFS(LEFT($G1845,9)="Tranche 1","DELETE",$C1845="Sessions_Level_1_All_Sites","KEEP",ISNUMBER(--$C1845),"REVIEW — UA raw logs",$C1845="Emag_Reporting","KEEP",$C1845="Nutrition_Data_Archived_Tables","KEEP",$C1845="EU_Data","KEEP",TRUE,"REVIEW"),OR($A1845="thg-influencer",$A1845="thg-ingenuity",$A1845="thg-central-marketing",$A1845="thg-seoclarity"),"HOLD",TRUE,"")</f>
        <v>REVIEW</v>
      </c>
      <c r="R1845" t="str" cm="1">
        <f t="array" ref="R1845">_xlfn.IFS(AND($A1845="thg-beauty",ISNUMBER(SEARCH("liveramp",$C1845))),"thg-beauty Liveramp dataset — confirmed safe to delete",$A1845="agile-bonbon-662",_xlfn.IFS(LEFT($G1845,9)="Tranche 1","Tranche 1: cleared",$C1845="Sessions_Level_1_All_Sites","Downstream aggregation of UA raw logs — keep if raw tables go",ISNUMBER(--$C1845),"UA raw site logs (account ID) — keep pending audit-retention check",$C1845="Emag_Reporting","Legacy but likely needed",$C1845="Nutrition_Data_Archived_Tables","Worth keeping",$C1845="EU_Data","Static lookup tables — scripts still reference (smoke-test risk)",TRUE,"Review"),OR($A1845="thg-influencer",$A1845="thg-ingenuity",$A1845="thg-central-marketing",$A1845="thg-seoclarity"),"HOLD — Charlie Stringer to review before deletion",TRUE,"")</f>
        <v>Review</v>
      </c>
      <c r="S1845" t="s">
        <v>1631</v>
      </c>
    </row>
    <row r="1846" spans="1:19" ht="45.75" hidden="1">
      <c r="A1846" t="s">
        <v>89</v>
      </c>
      <c r="B1846" t="s">
        <v>1619</v>
      </c>
      <c r="C1846" t="s">
        <v>4167</v>
      </c>
      <c r="D1846" s="2" t="s">
        <v>1621</v>
      </c>
      <c r="E1846">
        <v>0.22</v>
      </c>
      <c r="F1846">
        <v>0</v>
      </c>
      <c r="G1846" t="s">
        <v>72</v>
      </c>
      <c r="H1846" t="s">
        <v>3457</v>
      </c>
      <c r="I1846">
        <v>35</v>
      </c>
      <c r="J1846">
        <v>723</v>
      </c>
      <c r="K1846" s="5">
        <v>46161.601793993053</v>
      </c>
      <c r="M1846" s="2" t="s">
        <v>3433</v>
      </c>
      <c r="N1846" s="2" t="s">
        <v>1701</v>
      </c>
      <c r="O1846" s="5">
        <v>45474.339851122677</v>
      </c>
      <c r="P1846" t="str">
        <f>IF($Q1846="DELETE",IF($S1846="CONFIRMED: NO MODS &gt; 1YR","CONFIRMED: NO MODS &gt; 1YR","DO NOT DELETE — not defensibly confirmed"),IF($Q1846="HOLD","DO NOT DELETE — HOLD (Charlie review)",IF($Q1846="KEEP","DO NOT DELETE — KEEP",IF(ISNUMBER(SEARCH("REVIEW",$Q1846)),"DO NOT DELETE — REVIEW pending",$S1846))))</f>
        <v>DO NOT DELETE — REVIEW pending</v>
      </c>
      <c r="Q1846" t="str" cm="1">
        <f t="array" ref="Q1846">_xlfn.IFS(AND($A1846="thg-beauty",ISNUMBER(SEARCH("liveramp",$C1846))),"DELETE",$A1846="agile-bonbon-662",_xlfn.IFS(LEFT($G1846,9)="Tranche 1","DELETE",$C1846="Sessions_Level_1_All_Sites","KEEP",ISNUMBER(--$C1846),"REVIEW — UA raw logs",$C1846="Emag_Reporting","KEEP",$C1846="Nutrition_Data_Archived_Tables","KEEP",$C1846="EU_Data","KEEP",TRUE,"REVIEW"),OR($A1846="thg-influencer",$A1846="thg-ingenuity",$A1846="thg-central-marketing",$A1846="thg-seoclarity"),"HOLD",TRUE,"")</f>
        <v>REVIEW — UA raw logs</v>
      </c>
      <c r="R1846" t="str" cm="1">
        <f t="array" ref="R1846">_xlfn.IFS(AND($A1846="thg-beauty",ISNUMBER(SEARCH("liveramp",$C1846))),"thg-beauty Liveramp dataset — confirmed safe to delete",$A1846="agile-bonbon-662",_xlfn.IFS(LEFT($G1846,9)="Tranche 1","Tranche 1: cleared",$C1846="Sessions_Level_1_All_Sites","Downstream aggregation of UA raw logs — keep if raw tables go",ISNUMBER(--$C1846),"UA raw site logs (account ID) — keep pending audit-retention check",$C1846="Emag_Reporting","Legacy but likely needed",$C1846="Nutrition_Data_Archived_Tables","Worth keeping",$C1846="EU_Data","Static lookup tables — scripts still reference (smoke-test risk)",TRUE,"Review"),OR($A1846="thg-influencer",$A1846="thg-ingenuity",$A1846="thg-central-marketing",$A1846="thg-seoclarity"),"HOLD — Charlie Stringer to review before deletion",TRUE,"")</f>
        <v>UA raw site logs (account ID) — keep pending audit-retention check</v>
      </c>
      <c r="S1846" t="s">
        <v>1631</v>
      </c>
    </row>
    <row r="1847" spans="1:19" ht="45.75" hidden="1">
      <c r="A1847" t="s">
        <v>89</v>
      </c>
      <c r="B1847" t="s">
        <v>1619</v>
      </c>
      <c r="C1847" t="s">
        <v>4168</v>
      </c>
      <c r="D1847" s="2" t="s">
        <v>1621</v>
      </c>
      <c r="E1847">
        <v>0.22</v>
      </c>
      <c r="F1847">
        <v>0</v>
      </c>
      <c r="G1847" t="s">
        <v>72</v>
      </c>
      <c r="H1847" t="s">
        <v>3457</v>
      </c>
      <c r="I1847">
        <v>35</v>
      </c>
      <c r="J1847">
        <v>1409</v>
      </c>
      <c r="K1847" s="5">
        <v>46161.603058287037</v>
      </c>
      <c r="M1847" s="2" t="s">
        <v>4137</v>
      </c>
      <c r="N1847" s="2" t="s">
        <v>1701</v>
      </c>
      <c r="O1847" s="5">
        <v>44788.292380243052</v>
      </c>
      <c r="P1847" t="str">
        <f>IF($Q1847="DELETE",IF($S1847="CONFIRMED: NO MODS &gt; 1YR","CONFIRMED: NO MODS &gt; 1YR","DO NOT DELETE — not defensibly confirmed"),IF($Q1847="HOLD","DO NOT DELETE — HOLD (Charlie review)",IF($Q1847="KEEP","DO NOT DELETE — KEEP",IF(ISNUMBER(SEARCH("REVIEW",$Q1847)),"DO NOT DELETE — REVIEW pending",$S1847))))</f>
        <v>DO NOT DELETE — REVIEW pending</v>
      </c>
      <c r="Q1847" t="str" cm="1">
        <f t="array" ref="Q1847">_xlfn.IFS(AND($A1847="thg-beauty",ISNUMBER(SEARCH("liveramp",$C1847))),"DELETE",$A1847="agile-bonbon-662",_xlfn.IFS(LEFT($G1847,9)="Tranche 1","DELETE",$C1847="Sessions_Level_1_All_Sites","KEEP",ISNUMBER(--$C1847),"REVIEW — UA raw logs",$C1847="Emag_Reporting","KEEP",$C1847="Nutrition_Data_Archived_Tables","KEEP",$C1847="EU_Data","KEEP",TRUE,"REVIEW"),OR($A1847="thg-influencer",$A1847="thg-ingenuity",$A1847="thg-central-marketing",$A1847="thg-seoclarity"),"HOLD",TRUE,"")</f>
        <v>REVIEW — UA raw logs</v>
      </c>
      <c r="R1847" t="str" cm="1">
        <f t="array" ref="R1847">_xlfn.IFS(AND($A1847="thg-beauty",ISNUMBER(SEARCH("liveramp",$C1847))),"thg-beauty Liveramp dataset — confirmed safe to delete",$A1847="agile-bonbon-662",_xlfn.IFS(LEFT($G1847,9)="Tranche 1","Tranche 1: cleared",$C1847="Sessions_Level_1_All_Sites","Downstream aggregation of UA raw logs — keep if raw tables go",ISNUMBER(--$C1847),"UA raw site logs (account ID) — keep pending audit-retention check",$C1847="Emag_Reporting","Legacy but likely needed",$C1847="Nutrition_Data_Archived_Tables","Worth keeping",$C1847="EU_Data","Static lookup tables — scripts still reference (smoke-test risk)",TRUE,"Review"),OR($A1847="thg-influencer",$A1847="thg-ingenuity",$A1847="thg-central-marketing",$A1847="thg-seoclarity"),"HOLD — Charlie Stringer to review before deletion",TRUE,"")</f>
        <v>UA raw site logs (account ID) — keep pending audit-retention check</v>
      </c>
      <c r="S1847" t="s">
        <v>1631</v>
      </c>
    </row>
    <row r="1848" spans="1:19" ht="76.5" hidden="1">
      <c r="A1848" t="s">
        <v>89</v>
      </c>
      <c r="B1848" t="s">
        <v>1619</v>
      </c>
      <c r="C1848" t="s">
        <v>4169</v>
      </c>
      <c r="D1848" s="2" t="s">
        <v>1621</v>
      </c>
      <c r="E1848">
        <v>0.22</v>
      </c>
      <c r="F1848">
        <v>0</v>
      </c>
      <c r="G1848" t="s">
        <v>72</v>
      </c>
      <c r="H1848" t="s">
        <v>3457</v>
      </c>
      <c r="I1848">
        <v>35</v>
      </c>
      <c r="J1848">
        <v>2686</v>
      </c>
      <c r="K1848" s="5">
        <v>46161.581412650463</v>
      </c>
      <c r="M1848" s="2" t="s">
        <v>4170</v>
      </c>
      <c r="N1848" s="2" t="s">
        <v>1701</v>
      </c>
      <c r="O1848" s="5">
        <v>43511.146163148151</v>
      </c>
      <c r="P1848" t="str">
        <f>IF($Q1848="DELETE",IF($S1848="CONFIRMED: NO MODS &gt; 1YR","CONFIRMED: NO MODS &gt; 1YR","DO NOT DELETE — not defensibly confirmed"),IF($Q1848="HOLD","DO NOT DELETE — HOLD (Charlie review)",IF($Q1848="KEEP","DO NOT DELETE — KEEP",IF(ISNUMBER(SEARCH("REVIEW",$Q1848)),"DO NOT DELETE — REVIEW pending",$S1848))))</f>
        <v>DO NOT DELETE — REVIEW pending</v>
      </c>
      <c r="Q1848" t="str" cm="1">
        <f t="array" ref="Q1848">_xlfn.IFS(AND($A1848="thg-beauty",ISNUMBER(SEARCH("liveramp",$C1848))),"DELETE",$A1848="agile-bonbon-662",_xlfn.IFS(LEFT($G1848,9)="Tranche 1","DELETE",$C1848="Sessions_Level_1_All_Sites","KEEP",ISNUMBER(--$C1848),"REVIEW — UA raw logs",$C1848="Emag_Reporting","KEEP",$C1848="Nutrition_Data_Archived_Tables","KEEP",$C1848="EU_Data","KEEP",TRUE,"REVIEW"),OR($A1848="thg-influencer",$A1848="thg-ingenuity",$A1848="thg-central-marketing",$A1848="thg-seoclarity"),"HOLD",TRUE,"")</f>
        <v>REVIEW</v>
      </c>
      <c r="R1848" t="str" cm="1">
        <f t="array" ref="R1848">_xlfn.IFS(AND($A1848="thg-beauty",ISNUMBER(SEARCH("liveramp",$C1848))),"thg-beauty Liveramp dataset — confirmed safe to delete",$A1848="agile-bonbon-662",_xlfn.IFS(LEFT($G1848,9)="Tranche 1","Tranche 1: cleared",$C1848="Sessions_Level_1_All_Sites","Downstream aggregation of UA raw logs — keep if raw tables go",ISNUMBER(--$C1848),"UA raw site logs (account ID) — keep pending audit-retention check",$C1848="Emag_Reporting","Legacy but likely needed",$C1848="Nutrition_Data_Archived_Tables","Worth keeping",$C1848="EU_Data","Static lookup tables — scripts still reference (smoke-test risk)",TRUE,"Review"),OR($A1848="thg-influencer",$A1848="thg-ingenuity",$A1848="thg-central-marketing",$A1848="thg-seoclarity"),"HOLD — Charlie Stringer to review before deletion",TRUE,"")</f>
        <v>Review</v>
      </c>
      <c r="S1848" t="s">
        <v>1631</v>
      </c>
    </row>
    <row r="1849" spans="1:19" ht="45.75" hidden="1">
      <c r="A1849" t="s">
        <v>89</v>
      </c>
      <c r="B1849" t="s">
        <v>1619</v>
      </c>
      <c r="C1849" t="s">
        <v>4171</v>
      </c>
      <c r="D1849" s="2" t="s">
        <v>1621</v>
      </c>
      <c r="E1849">
        <v>0.22</v>
      </c>
      <c r="F1849">
        <v>0</v>
      </c>
      <c r="G1849" t="s">
        <v>72</v>
      </c>
      <c r="H1849" t="s">
        <v>3457</v>
      </c>
      <c r="I1849">
        <v>35</v>
      </c>
      <c r="J1849">
        <v>1201</v>
      </c>
      <c r="K1849" s="5">
        <v>46161.619130925923</v>
      </c>
      <c r="M1849" s="2" t="s">
        <v>1981</v>
      </c>
      <c r="N1849" s="2" t="s">
        <v>1701</v>
      </c>
      <c r="O1849" s="5">
        <v>44996.072652175928</v>
      </c>
      <c r="P1849" t="str">
        <f>IF($Q1849="DELETE",IF($S1849="CONFIRMED: NO MODS &gt; 1YR","CONFIRMED: NO MODS &gt; 1YR","DO NOT DELETE — not defensibly confirmed"),IF($Q1849="HOLD","DO NOT DELETE — HOLD (Charlie review)",IF($Q1849="KEEP","DO NOT DELETE — KEEP",IF(ISNUMBER(SEARCH("REVIEW",$Q1849)),"DO NOT DELETE — REVIEW pending",$S1849))))</f>
        <v>DO NOT DELETE — REVIEW pending</v>
      </c>
      <c r="Q1849" t="str" cm="1">
        <f t="array" ref="Q1849">_xlfn.IFS(AND($A1849="thg-beauty",ISNUMBER(SEARCH("liveramp",$C1849))),"DELETE",$A1849="agile-bonbon-662",_xlfn.IFS(LEFT($G1849,9)="Tranche 1","DELETE",$C1849="Sessions_Level_1_All_Sites","KEEP",ISNUMBER(--$C1849),"REVIEW — UA raw logs",$C1849="Emag_Reporting","KEEP",$C1849="Nutrition_Data_Archived_Tables","KEEP",$C1849="EU_Data","KEEP",TRUE,"REVIEW"),OR($A1849="thg-influencer",$A1849="thg-ingenuity",$A1849="thg-central-marketing",$A1849="thg-seoclarity"),"HOLD",TRUE,"")</f>
        <v>REVIEW</v>
      </c>
      <c r="R1849" t="str" cm="1">
        <f t="array" ref="R1849">_xlfn.IFS(AND($A1849="thg-beauty",ISNUMBER(SEARCH("liveramp",$C1849))),"thg-beauty Liveramp dataset — confirmed safe to delete",$A1849="agile-bonbon-662",_xlfn.IFS(LEFT($G1849,9)="Tranche 1","Tranche 1: cleared",$C1849="Sessions_Level_1_All_Sites","Downstream aggregation of UA raw logs — keep if raw tables go",ISNUMBER(--$C1849),"UA raw site logs (account ID) — keep pending audit-retention check",$C1849="Emag_Reporting","Legacy but likely needed",$C1849="Nutrition_Data_Archived_Tables","Worth keeping",$C1849="EU_Data","Static lookup tables — scripts still reference (smoke-test risk)",TRUE,"Review"),OR($A1849="thg-influencer",$A1849="thg-ingenuity",$A1849="thg-central-marketing",$A1849="thg-seoclarity"),"HOLD — Charlie Stringer to review before deletion",TRUE,"")</f>
        <v>Review</v>
      </c>
      <c r="S1849" t="s">
        <v>1631</v>
      </c>
    </row>
    <row r="1850" spans="1:19" ht="45.75" hidden="1">
      <c r="A1850" t="s">
        <v>89</v>
      </c>
      <c r="B1850" t="s">
        <v>1619</v>
      </c>
      <c r="C1850" t="s">
        <v>4172</v>
      </c>
      <c r="D1850" s="2" t="s">
        <v>1621</v>
      </c>
      <c r="E1850">
        <v>0.22</v>
      </c>
      <c r="F1850">
        <v>0</v>
      </c>
      <c r="G1850" t="s">
        <v>72</v>
      </c>
      <c r="H1850" t="s">
        <v>3457</v>
      </c>
      <c r="I1850">
        <v>35</v>
      </c>
      <c r="J1850">
        <v>2699</v>
      </c>
      <c r="K1850" s="5">
        <v>46161.603313113417</v>
      </c>
      <c r="M1850" s="2" t="s">
        <v>4119</v>
      </c>
      <c r="N1850" s="2" t="s">
        <v>1701</v>
      </c>
      <c r="O1850" s="5">
        <v>43497.57437978009</v>
      </c>
      <c r="P1850" t="str">
        <f>IF($Q1850="DELETE",IF($S1850="CONFIRMED: NO MODS &gt; 1YR","CONFIRMED: NO MODS &gt; 1YR","DO NOT DELETE — not defensibly confirmed"),IF($Q1850="HOLD","DO NOT DELETE — HOLD (Charlie review)",IF($Q1850="KEEP","DO NOT DELETE — KEEP",IF(ISNUMBER(SEARCH("REVIEW",$Q1850)),"DO NOT DELETE — REVIEW pending",$S1850))))</f>
        <v>DO NOT DELETE — REVIEW pending</v>
      </c>
      <c r="Q1850" t="str" cm="1">
        <f t="array" ref="Q1850">_xlfn.IFS(AND($A1850="thg-beauty",ISNUMBER(SEARCH("liveramp",$C1850))),"DELETE",$A1850="agile-bonbon-662",_xlfn.IFS(LEFT($G1850,9)="Tranche 1","DELETE",$C1850="Sessions_Level_1_All_Sites","KEEP",ISNUMBER(--$C1850),"REVIEW — UA raw logs",$C1850="Emag_Reporting","KEEP",$C1850="Nutrition_Data_Archived_Tables","KEEP",$C1850="EU_Data","KEEP",TRUE,"REVIEW"),OR($A1850="thg-influencer",$A1850="thg-ingenuity",$A1850="thg-central-marketing",$A1850="thg-seoclarity"),"HOLD",TRUE,"")</f>
        <v>REVIEW — UA raw logs</v>
      </c>
      <c r="R1850" t="str" cm="1">
        <f t="array" ref="R1850">_xlfn.IFS(AND($A1850="thg-beauty",ISNUMBER(SEARCH("liveramp",$C1850))),"thg-beauty Liveramp dataset — confirmed safe to delete",$A1850="agile-bonbon-662",_xlfn.IFS(LEFT($G1850,9)="Tranche 1","Tranche 1: cleared",$C1850="Sessions_Level_1_All_Sites","Downstream aggregation of UA raw logs — keep if raw tables go",ISNUMBER(--$C1850),"UA raw site logs (account ID) — keep pending audit-retention check",$C1850="Emag_Reporting","Legacy but likely needed",$C1850="Nutrition_Data_Archived_Tables","Worth keeping",$C1850="EU_Data","Static lookup tables — scripts still reference (smoke-test risk)",TRUE,"Review"),OR($A1850="thg-influencer",$A1850="thg-ingenuity",$A1850="thg-central-marketing",$A1850="thg-seoclarity"),"HOLD — Charlie Stringer to review before deletion",TRUE,"")</f>
        <v>UA raw site logs (account ID) — keep pending audit-retention check</v>
      </c>
      <c r="S1850" t="s">
        <v>1631</v>
      </c>
    </row>
    <row r="1851" spans="1:19" ht="45.75" hidden="1">
      <c r="A1851" t="s">
        <v>89</v>
      </c>
      <c r="B1851" t="s">
        <v>1619</v>
      </c>
      <c r="C1851" t="s">
        <v>4173</v>
      </c>
      <c r="D1851" s="2" t="s">
        <v>1621</v>
      </c>
      <c r="E1851">
        <v>0.21</v>
      </c>
      <c r="F1851">
        <v>0</v>
      </c>
      <c r="G1851" t="s">
        <v>72</v>
      </c>
      <c r="H1851" t="s">
        <v>3457</v>
      </c>
      <c r="I1851">
        <v>35</v>
      </c>
      <c r="J1851">
        <v>1187</v>
      </c>
      <c r="K1851" s="5">
        <v>46161.618768958331</v>
      </c>
      <c r="M1851" s="2" t="s">
        <v>1981</v>
      </c>
      <c r="N1851" s="2" t="s">
        <v>1701</v>
      </c>
      <c r="O1851" s="5">
        <v>45010.070876898149</v>
      </c>
      <c r="P1851" t="str">
        <f>IF($Q1851="DELETE",IF($S1851="CONFIRMED: NO MODS &gt; 1YR","CONFIRMED: NO MODS &gt; 1YR","DO NOT DELETE — not defensibly confirmed"),IF($Q1851="HOLD","DO NOT DELETE — HOLD (Charlie review)",IF($Q1851="KEEP","DO NOT DELETE — KEEP",IF(ISNUMBER(SEARCH("REVIEW",$Q1851)),"DO NOT DELETE — REVIEW pending",$S1851))))</f>
        <v>DO NOT DELETE — REVIEW pending</v>
      </c>
      <c r="Q1851" t="str" cm="1">
        <f t="array" ref="Q1851">_xlfn.IFS(AND($A1851="thg-beauty",ISNUMBER(SEARCH("liveramp",$C1851))),"DELETE",$A1851="agile-bonbon-662",_xlfn.IFS(LEFT($G1851,9)="Tranche 1","DELETE",$C1851="Sessions_Level_1_All_Sites","KEEP",ISNUMBER(--$C1851),"REVIEW — UA raw logs",$C1851="Emag_Reporting","KEEP",$C1851="Nutrition_Data_Archived_Tables","KEEP",$C1851="EU_Data","KEEP",TRUE,"REVIEW"),OR($A1851="thg-influencer",$A1851="thg-ingenuity",$A1851="thg-central-marketing",$A1851="thg-seoclarity"),"HOLD",TRUE,"")</f>
        <v>REVIEW</v>
      </c>
      <c r="R1851" t="str" cm="1">
        <f t="array" ref="R1851">_xlfn.IFS(AND($A1851="thg-beauty",ISNUMBER(SEARCH("liveramp",$C1851))),"thg-beauty Liveramp dataset — confirmed safe to delete",$A1851="agile-bonbon-662",_xlfn.IFS(LEFT($G1851,9)="Tranche 1","Tranche 1: cleared",$C1851="Sessions_Level_1_All_Sites","Downstream aggregation of UA raw logs — keep if raw tables go",ISNUMBER(--$C1851),"UA raw site logs (account ID) — keep pending audit-retention check",$C1851="Emag_Reporting","Legacy but likely needed",$C1851="Nutrition_Data_Archived_Tables","Worth keeping",$C1851="EU_Data","Static lookup tables — scripts still reference (smoke-test risk)",TRUE,"Review"),OR($A1851="thg-influencer",$A1851="thg-ingenuity",$A1851="thg-central-marketing",$A1851="thg-seoclarity"),"HOLD — Charlie Stringer to review before deletion",TRUE,"")</f>
        <v>Review</v>
      </c>
      <c r="S1851" t="s">
        <v>1624</v>
      </c>
    </row>
    <row r="1852" spans="1:19" ht="45.75" hidden="1">
      <c r="A1852" t="s">
        <v>89</v>
      </c>
      <c r="B1852" t="s">
        <v>1619</v>
      </c>
      <c r="C1852" t="s">
        <v>4174</v>
      </c>
      <c r="D1852" s="2" t="s">
        <v>1621</v>
      </c>
      <c r="E1852">
        <v>0.21</v>
      </c>
      <c r="F1852">
        <v>0</v>
      </c>
      <c r="G1852" t="s">
        <v>72</v>
      </c>
      <c r="H1852" t="s">
        <v>3457</v>
      </c>
      <c r="I1852">
        <v>35</v>
      </c>
      <c r="J1852">
        <v>1194</v>
      </c>
      <c r="K1852" s="5">
        <v>46161.618400624997</v>
      </c>
      <c r="M1852" s="2" t="s">
        <v>1945</v>
      </c>
      <c r="N1852" s="2" t="s">
        <v>1701</v>
      </c>
      <c r="O1852" s="5">
        <v>45003.351430416667</v>
      </c>
      <c r="P1852" t="str">
        <f>IF($Q1852="DELETE",IF($S1852="CONFIRMED: NO MODS &gt; 1YR","CONFIRMED: NO MODS &gt; 1YR","DO NOT DELETE — not defensibly confirmed"),IF($Q1852="HOLD","DO NOT DELETE — HOLD (Charlie review)",IF($Q1852="KEEP","DO NOT DELETE — KEEP",IF(ISNUMBER(SEARCH("REVIEW",$Q1852)),"DO NOT DELETE — REVIEW pending",$S1852))))</f>
        <v>DO NOT DELETE — REVIEW pending</v>
      </c>
      <c r="Q1852" t="str" cm="1">
        <f t="array" ref="Q1852">_xlfn.IFS(AND($A1852="thg-beauty",ISNUMBER(SEARCH("liveramp",$C1852))),"DELETE",$A1852="agile-bonbon-662",_xlfn.IFS(LEFT($G1852,9)="Tranche 1","DELETE",$C1852="Sessions_Level_1_All_Sites","KEEP",ISNUMBER(--$C1852),"REVIEW — UA raw logs",$C1852="Emag_Reporting","KEEP",$C1852="Nutrition_Data_Archived_Tables","KEEP",$C1852="EU_Data","KEEP",TRUE,"REVIEW"),OR($A1852="thg-influencer",$A1852="thg-ingenuity",$A1852="thg-central-marketing",$A1852="thg-seoclarity"),"HOLD",TRUE,"")</f>
        <v>REVIEW</v>
      </c>
      <c r="R1852" t="str" cm="1">
        <f t="array" ref="R1852">_xlfn.IFS(AND($A1852="thg-beauty",ISNUMBER(SEARCH("liveramp",$C1852))),"thg-beauty Liveramp dataset — confirmed safe to delete",$A1852="agile-bonbon-662",_xlfn.IFS(LEFT($G1852,9)="Tranche 1","Tranche 1: cleared",$C1852="Sessions_Level_1_All_Sites","Downstream aggregation of UA raw logs — keep if raw tables go",ISNUMBER(--$C1852),"UA raw site logs (account ID) — keep pending audit-retention check",$C1852="Emag_Reporting","Legacy but likely needed",$C1852="Nutrition_Data_Archived_Tables","Worth keeping",$C1852="EU_Data","Static lookup tables — scripts still reference (smoke-test risk)",TRUE,"Review"),OR($A1852="thg-influencer",$A1852="thg-ingenuity",$A1852="thg-central-marketing",$A1852="thg-seoclarity"),"HOLD — Charlie Stringer to review before deletion",TRUE,"")</f>
        <v>Review</v>
      </c>
      <c r="S1852" t="s">
        <v>1631</v>
      </c>
    </row>
    <row r="1853" spans="1:19" ht="45.75" hidden="1">
      <c r="A1853" t="s">
        <v>89</v>
      </c>
      <c r="B1853" t="s">
        <v>1619</v>
      </c>
      <c r="C1853" t="s">
        <v>4175</v>
      </c>
      <c r="D1853" s="2" t="s">
        <v>1621</v>
      </c>
      <c r="E1853">
        <v>0.2</v>
      </c>
      <c r="F1853">
        <v>0</v>
      </c>
      <c r="G1853" t="s">
        <v>72</v>
      </c>
      <c r="H1853" t="s">
        <v>3457</v>
      </c>
      <c r="I1853">
        <v>35</v>
      </c>
      <c r="J1853">
        <v>723</v>
      </c>
      <c r="K1853" s="5">
        <v>46161.594306087973</v>
      </c>
      <c r="M1853" s="2" t="s">
        <v>2273</v>
      </c>
      <c r="N1853" s="2" t="s">
        <v>1701</v>
      </c>
      <c r="O1853" s="5">
        <v>45474.266969560187</v>
      </c>
      <c r="P1853" t="str">
        <f>IF($Q1853="DELETE",IF($S1853="CONFIRMED: NO MODS &gt; 1YR","CONFIRMED: NO MODS &gt; 1YR","DO NOT DELETE — not defensibly confirmed"),IF($Q1853="HOLD","DO NOT DELETE — HOLD (Charlie review)",IF($Q1853="KEEP","DO NOT DELETE — KEEP",IF(ISNUMBER(SEARCH("REVIEW",$Q1853)),"DO NOT DELETE — REVIEW pending",$S1853))))</f>
        <v>DO NOT DELETE — REVIEW pending</v>
      </c>
      <c r="Q1853" t="str" cm="1">
        <f t="array" ref="Q1853">_xlfn.IFS(AND($A1853="thg-beauty",ISNUMBER(SEARCH("liveramp",$C1853))),"DELETE",$A1853="agile-bonbon-662",_xlfn.IFS(LEFT($G1853,9)="Tranche 1","DELETE",$C1853="Sessions_Level_1_All_Sites","KEEP",ISNUMBER(--$C1853),"REVIEW — UA raw logs",$C1853="Emag_Reporting","KEEP",$C1853="Nutrition_Data_Archived_Tables","KEEP",$C1853="EU_Data","KEEP",TRUE,"REVIEW"),OR($A1853="thg-influencer",$A1853="thg-ingenuity",$A1853="thg-central-marketing",$A1853="thg-seoclarity"),"HOLD",TRUE,"")</f>
        <v>REVIEW — UA raw logs</v>
      </c>
      <c r="R1853" t="str" cm="1">
        <f t="array" ref="R1853">_xlfn.IFS(AND($A1853="thg-beauty",ISNUMBER(SEARCH("liveramp",$C1853))),"thg-beauty Liveramp dataset — confirmed safe to delete",$A1853="agile-bonbon-662",_xlfn.IFS(LEFT($G1853,9)="Tranche 1","Tranche 1: cleared",$C1853="Sessions_Level_1_All_Sites","Downstream aggregation of UA raw logs — keep if raw tables go",ISNUMBER(--$C1853),"UA raw site logs (account ID) — keep pending audit-retention check",$C1853="Emag_Reporting","Legacy but likely needed",$C1853="Nutrition_Data_Archived_Tables","Worth keeping",$C1853="EU_Data","Static lookup tables — scripts still reference (smoke-test risk)",TRUE,"Review"),OR($A1853="thg-influencer",$A1853="thg-ingenuity",$A1853="thg-central-marketing",$A1853="thg-seoclarity"),"HOLD — Charlie Stringer to review before deletion",TRUE,"")</f>
        <v>UA raw site logs (account ID) — keep pending audit-retention check</v>
      </c>
      <c r="S1853" t="s">
        <v>1631</v>
      </c>
    </row>
    <row r="1854" spans="1:19" ht="45.75" hidden="1">
      <c r="A1854" t="s">
        <v>89</v>
      </c>
      <c r="B1854" t="s">
        <v>1619</v>
      </c>
      <c r="C1854" t="s">
        <v>4176</v>
      </c>
      <c r="D1854" s="2" t="s">
        <v>1621</v>
      </c>
      <c r="E1854">
        <v>0.18</v>
      </c>
      <c r="F1854">
        <v>0</v>
      </c>
      <c r="G1854" t="s">
        <v>72</v>
      </c>
      <c r="H1854" t="s">
        <v>3457</v>
      </c>
      <c r="I1854">
        <v>35</v>
      </c>
      <c r="J1854">
        <v>1657</v>
      </c>
      <c r="K1854" s="5">
        <v>46161.606695324073</v>
      </c>
      <c r="M1854" s="2" t="s">
        <v>3906</v>
      </c>
      <c r="N1854" s="2" t="s">
        <v>1701</v>
      </c>
      <c r="O1854" s="5">
        <v>44539.580925127317</v>
      </c>
      <c r="P1854" t="str">
        <f>IF($Q1854="DELETE",IF($S1854="CONFIRMED: NO MODS &gt; 1YR","CONFIRMED: NO MODS &gt; 1YR","DO NOT DELETE — not defensibly confirmed"),IF($Q1854="HOLD","DO NOT DELETE — HOLD (Charlie review)",IF($Q1854="KEEP","DO NOT DELETE — KEEP",IF(ISNUMBER(SEARCH("REVIEW",$Q1854)),"DO NOT DELETE — REVIEW pending",$S1854))))</f>
        <v>DO NOT DELETE — REVIEW pending</v>
      </c>
      <c r="Q1854" t="str" cm="1">
        <f t="array" ref="Q1854">_xlfn.IFS(AND($A1854="thg-beauty",ISNUMBER(SEARCH("liveramp",$C1854))),"DELETE",$A1854="agile-bonbon-662",_xlfn.IFS(LEFT($G1854,9)="Tranche 1","DELETE",$C1854="Sessions_Level_1_All_Sites","KEEP",ISNUMBER(--$C1854),"REVIEW — UA raw logs",$C1854="Emag_Reporting","KEEP",$C1854="Nutrition_Data_Archived_Tables","KEEP",$C1854="EU_Data","KEEP",TRUE,"REVIEW"),OR($A1854="thg-influencer",$A1854="thg-ingenuity",$A1854="thg-central-marketing",$A1854="thg-seoclarity"),"HOLD",TRUE,"")</f>
        <v>REVIEW</v>
      </c>
      <c r="R1854" t="str" cm="1">
        <f t="array" ref="R1854">_xlfn.IFS(AND($A1854="thg-beauty",ISNUMBER(SEARCH("liveramp",$C1854))),"thg-beauty Liveramp dataset — confirmed safe to delete",$A1854="agile-bonbon-662",_xlfn.IFS(LEFT($G1854,9)="Tranche 1","Tranche 1: cleared",$C1854="Sessions_Level_1_All_Sites","Downstream aggregation of UA raw logs — keep if raw tables go",ISNUMBER(--$C1854),"UA raw site logs (account ID) — keep pending audit-retention check",$C1854="Emag_Reporting","Legacy but likely needed",$C1854="Nutrition_Data_Archived_Tables","Worth keeping",$C1854="EU_Data","Static lookup tables — scripts still reference (smoke-test risk)",TRUE,"Review"),OR($A1854="thg-influencer",$A1854="thg-ingenuity",$A1854="thg-central-marketing",$A1854="thg-seoclarity"),"HOLD — Charlie Stringer to review before deletion",TRUE,"")</f>
        <v>Review</v>
      </c>
      <c r="S1854" t="s">
        <v>1631</v>
      </c>
    </row>
    <row r="1855" spans="1:19" ht="45.75" hidden="1">
      <c r="A1855" t="s">
        <v>89</v>
      </c>
      <c r="B1855" t="s">
        <v>1619</v>
      </c>
      <c r="C1855" t="s">
        <v>4177</v>
      </c>
      <c r="D1855" s="2" t="s">
        <v>1621</v>
      </c>
      <c r="E1855">
        <v>0.18</v>
      </c>
      <c r="F1855">
        <v>0</v>
      </c>
      <c r="G1855" t="s">
        <v>72</v>
      </c>
      <c r="H1855" t="s">
        <v>3457</v>
      </c>
      <c r="I1855">
        <v>35</v>
      </c>
      <c r="J1855">
        <v>723</v>
      </c>
      <c r="K1855" s="5">
        <v>46161.595003101851</v>
      </c>
      <c r="M1855" s="2" t="s">
        <v>3902</v>
      </c>
      <c r="N1855" s="2" t="s">
        <v>1701</v>
      </c>
      <c r="O1855" s="5">
        <v>45474.282836979168</v>
      </c>
      <c r="P1855" t="str">
        <f>IF($Q1855="DELETE",IF($S1855="CONFIRMED: NO MODS &gt; 1YR","CONFIRMED: NO MODS &gt; 1YR","DO NOT DELETE — not defensibly confirmed"),IF($Q1855="HOLD","DO NOT DELETE — HOLD (Charlie review)",IF($Q1855="KEEP","DO NOT DELETE — KEEP",IF(ISNUMBER(SEARCH("REVIEW",$Q1855)),"DO NOT DELETE — REVIEW pending",$S1855))))</f>
        <v>DO NOT DELETE — REVIEW pending</v>
      </c>
      <c r="Q1855" t="str" cm="1">
        <f t="array" ref="Q1855">_xlfn.IFS(AND($A1855="thg-beauty",ISNUMBER(SEARCH("liveramp",$C1855))),"DELETE",$A1855="agile-bonbon-662",_xlfn.IFS(LEFT($G1855,9)="Tranche 1","DELETE",$C1855="Sessions_Level_1_All_Sites","KEEP",ISNUMBER(--$C1855),"REVIEW — UA raw logs",$C1855="Emag_Reporting","KEEP",$C1855="Nutrition_Data_Archived_Tables","KEEP",$C1855="EU_Data","KEEP",TRUE,"REVIEW"),OR($A1855="thg-influencer",$A1855="thg-ingenuity",$A1855="thg-central-marketing",$A1855="thg-seoclarity"),"HOLD",TRUE,"")</f>
        <v>REVIEW — UA raw logs</v>
      </c>
      <c r="R1855" t="str" cm="1">
        <f t="array" ref="R1855">_xlfn.IFS(AND($A1855="thg-beauty",ISNUMBER(SEARCH("liveramp",$C1855))),"thg-beauty Liveramp dataset — confirmed safe to delete",$A1855="agile-bonbon-662",_xlfn.IFS(LEFT($G1855,9)="Tranche 1","Tranche 1: cleared",$C1855="Sessions_Level_1_All_Sites","Downstream aggregation of UA raw logs — keep if raw tables go",ISNUMBER(--$C1855),"UA raw site logs (account ID) — keep pending audit-retention check",$C1855="Emag_Reporting","Legacy but likely needed",$C1855="Nutrition_Data_Archived_Tables","Worth keeping",$C1855="EU_Data","Static lookup tables — scripts still reference (smoke-test risk)",TRUE,"Review"),OR($A1855="thg-influencer",$A1855="thg-ingenuity",$A1855="thg-central-marketing",$A1855="thg-seoclarity"),"HOLD — Charlie Stringer to review before deletion",TRUE,"")</f>
        <v>UA raw site logs (account ID) — keep pending audit-retention check</v>
      </c>
      <c r="S1855" t="s">
        <v>1624</v>
      </c>
    </row>
    <row r="1856" spans="1:19" ht="45.75" hidden="1">
      <c r="A1856" t="s">
        <v>89</v>
      </c>
      <c r="B1856" t="s">
        <v>1619</v>
      </c>
      <c r="C1856" t="s">
        <v>4178</v>
      </c>
      <c r="D1856" s="2" t="s">
        <v>1621</v>
      </c>
      <c r="E1856">
        <v>0.17</v>
      </c>
      <c r="F1856">
        <v>0</v>
      </c>
      <c r="G1856" t="s">
        <v>72</v>
      </c>
      <c r="H1856" t="s">
        <v>3457</v>
      </c>
      <c r="I1856">
        <v>35</v>
      </c>
      <c r="J1856">
        <v>1960</v>
      </c>
      <c r="K1856" s="5">
        <v>46161.621415787027</v>
      </c>
      <c r="M1856" s="2" t="s">
        <v>3432</v>
      </c>
      <c r="N1856" s="2" t="s">
        <v>1701</v>
      </c>
      <c r="O1856" s="5">
        <v>44236.463588576393</v>
      </c>
      <c r="P1856" t="str">
        <f>IF($Q1856="DELETE",IF($S1856="CONFIRMED: NO MODS &gt; 1YR","CONFIRMED: NO MODS &gt; 1YR","DO NOT DELETE — not defensibly confirmed"),IF($Q1856="HOLD","DO NOT DELETE — HOLD (Charlie review)",IF($Q1856="KEEP","DO NOT DELETE — KEEP",IF(ISNUMBER(SEARCH("REVIEW",$Q1856)),"DO NOT DELETE — REVIEW pending",$S1856))))</f>
        <v>DO NOT DELETE — REVIEW pending</v>
      </c>
      <c r="Q1856" t="str" cm="1">
        <f t="array" ref="Q1856">_xlfn.IFS(AND($A1856="thg-beauty",ISNUMBER(SEARCH("liveramp",$C1856))),"DELETE",$A1856="agile-bonbon-662",_xlfn.IFS(LEFT($G1856,9)="Tranche 1","DELETE",$C1856="Sessions_Level_1_All_Sites","KEEP",ISNUMBER(--$C1856),"REVIEW — UA raw logs",$C1856="Emag_Reporting","KEEP",$C1856="Nutrition_Data_Archived_Tables","KEEP",$C1856="EU_Data","KEEP",TRUE,"REVIEW"),OR($A1856="thg-influencer",$A1856="thg-ingenuity",$A1856="thg-central-marketing",$A1856="thg-seoclarity"),"HOLD",TRUE,"")</f>
        <v>REVIEW</v>
      </c>
      <c r="R1856" t="str" cm="1">
        <f t="array" ref="R1856">_xlfn.IFS(AND($A1856="thg-beauty",ISNUMBER(SEARCH("liveramp",$C1856))),"thg-beauty Liveramp dataset — confirmed safe to delete",$A1856="agile-bonbon-662",_xlfn.IFS(LEFT($G1856,9)="Tranche 1","Tranche 1: cleared",$C1856="Sessions_Level_1_All_Sites","Downstream aggregation of UA raw logs — keep if raw tables go",ISNUMBER(--$C1856),"UA raw site logs (account ID) — keep pending audit-retention check",$C1856="Emag_Reporting","Legacy but likely needed",$C1856="Nutrition_Data_Archived_Tables","Worth keeping",$C1856="EU_Data","Static lookup tables — scripts still reference (smoke-test risk)",TRUE,"Review"),OR($A1856="thg-influencer",$A1856="thg-ingenuity",$A1856="thg-central-marketing",$A1856="thg-seoclarity"),"HOLD — Charlie Stringer to review before deletion",TRUE,"")</f>
        <v>Review</v>
      </c>
      <c r="S1856" t="s">
        <v>1631</v>
      </c>
    </row>
    <row r="1857" spans="1:19" ht="45.75" hidden="1">
      <c r="A1857" t="s">
        <v>89</v>
      </c>
      <c r="B1857" t="s">
        <v>1619</v>
      </c>
      <c r="C1857" t="s">
        <v>4179</v>
      </c>
      <c r="D1857" s="2" t="s">
        <v>1621</v>
      </c>
      <c r="E1857">
        <v>0.15</v>
      </c>
      <c r="F1857">
        <v>0</v>
      </c>
      <c r="G1857" t="s">
        <v>72</v>
      </c>
      <c r="H1857" t="s">
        <v>3457</v>
      </c>
      <c r="I1857">
        <v>35</v>
      </c>
      <c r="J1857">
        <v>723</v>
      </c>
      <c r="K1857" s="5">
        <v>46161.594965300923</v>
      </c>
      <c r="M1857" s="2" t="s">
        <v>3902</v>
      </c>
      <c r="N1857" s="2" t="s">
        <v>1701</v>
      </c>
      <c r="O1857" s="5">
        <v>45474.267247581018</v>
      </c>
      <c r="P1857" t="str">
        <f>IF($Q1857="DELETE",IF($S1857="CONFIRMED: NO MODS &gt; 1YR","CONFIRMED: NO MODS &gt; 1YR","DO NOT DELETE — not defensibly confirmed"),IF($Q1857="HOLD","DO NOT DELETE — HOLD (Charlie review)",IF($Q1857="KEEP","DO NOT DELETE — KEEP",IF(ISNUMBER(SEARCH("REVIEW",$Q1857)),"DO NOT DELETE — REVIEW pending",$S1857))))</f>
        <v>DO NOT DELETE — REVIEW pending</v>
      </c>
      <c r="Q1857" t="str" cm="1">
        <f t="array" ref="Q1857">_xlfn.IFS(AND($A1857="thg-beauty",ISNUMBER(SEARCH("liveramp",$C1857))),"DELETE",$A1857="agile-bonbon-662",_xlfn.IFS(LEFT($G1857,9)="Tranche 1","DELETE",$C1857="Sessions_Level_1_All_Sites","KEEP",ISNUMBER(--$C1857),"REVIEW — UA raw logs",$C1857="Emag_Reporting","KEEP",$C1857="Nutrition_Data_Archived_Tables","KEEP",$C1857="EU_Data","KEEP",TRUE,"REVIEW"),OR($A1857="thg-influencer",$A1857="thg-ingenuity",$A1857="thg-central-marketing",$A1857="thg-seoclarity"),"HOLD",TRUE,"")</f>
        <v>REVIEW — UA raw logs</v>
      </c>
      <c r="R1857" t="str" cm="1">
        <f t="array" ref="R1857">_xlfn.IFS(AND($A1857="thg-beauty",ISNUMBER(SEARCH("liveramp",$C1857))),"thg-beauty Liveramp dataset — confirmed safe to delete",$A1857="agile-bonbon-662",_xlfn.IFS(LEFT($G1857,9)="Tranche 1","Tranche 1: cleared",$C1857="Sessions_Level_1_All_Sites","Downstream aggregation of UA raw logs — keep if raw tables go",ISNUMBER(--$C1857),"UA raw site logs (account ID) — keep pending audit-retention check",$C1857="Emag_Reporting","Legacy but likely needed",$C1857="Nutrition_Data_Archived_Tables","Worth keeping",$C1857="EU_Data","Static lookup tables — scripts still reference (smoke-test risk)",TRUE,"Review"),OR($A1857="thg-influencer",$A1857="thg-ingenuity",$A1857="thg-central-marketing",$A1857="thg-seoclarity"),"HOLD — Charlie Stringer to review before deletion",TRUE,"")</f>
        <v>UA raw site logs (account ID) — keep pending audit-retention check</v>
      </c>
      <c r="S1857" t="s">
        <v>1624</v>
      </c>
    </row>
    <row r="1858" spans="1:19" ht="45.75" hidden="1">
      <c r="A1858" t="s">
        <v>89</v>
      </c>
      <c r="B1858" t="s">
        <v>1619</v>
      </c>
      <c r="C1858" t="s">
        <v>4180</v>
      </c>
      <c r="D1858" s="2" t="s">
        <v>1621</v>
      </c>
      <c r="E1858">
        <v>0.15</v>
      </c>
      <c r="F1858">
        <v>0</v>
      </c>
      <c r="G1858" t="s">
        <v>72</v>
      </c>
      <c r="H1858" t="s">
        <v>3457</v>
      </c>
      <c r="I1858">
        <v>35</v>
      </c>
      <c r="J1858">
        <v>1202</v>
      </c>
      <c r="K1858" s="5">
        <v>46161.6208762963</v>
      </c>
      <c r="M1858" s="2" t="s">
        <v>1960</v>
      </c>
      <c r="N1858" s="2" t="s">
        <v>1701</v>
      </c>
      <c r="O1858" s="5">
        <v>44994.571717685183</v>
      </c>
      <c r="P1858" t="str">
        <f>IF($Q1858="DELETE",IF($S1858="CONFIRMED: NO MODS &gt; 1YR","CONFIRMED: NO MODS &gt; 1YR","DO NOT DELETE — not defensibly confirmed"),IF($Q1858="HOLD","DO NOT DELETE — HOLD (Charlie review)",IF($Q1858="KEEP","DO NOT DELETE — KEEP",IF(ISNUMBER(SEARCH("REVIEW",$Q1858)),"DO NOT DELETE — REVIEW pending",$S1858))))</f>
        <v>DO NOT DELETE — REVIEW pending</v>
      </c>
      <c r="Q1858" t="str" cm="1">
        <f t="array" ref="Q1858">_xlfn.IFS(AND($A1858="thg-beauty",ISNUMBER(SEARCH("liveramp",$C1858))),"DELETE",$A1858="agile-bonbon-662",_xlfn.IFS(LEFT($G1858,9)="Tranche 1","DELETE",$C1858="Sessions_Level_1_All_Sites","KEEP",ISNUMBER(--$C1858),"REVIEW — UA raw logs",$C1858="Emag_Reporting","KEEP",$C1858="Nutrition_Data_Archived_Tables","KEEP",$C1858="EU_Data","KEEP",TRUE,"REVIEW"),OR($A1858="thg-influencer",$A1858="thg-ingenuity",$A1858="thg-central-marketing",$A1858="thg-seoclarity"),"HOLD",TRUE,"")</f>
        <v>REVIEW</v>
      </c>
      <c r="R1858" t="str" cm="1">
        <f t="array" ref="R1858">_xlfn.IFS(AND($A1858="thg-beauty",ISNUMBER(SEARCH("liveramp",$C1858))),"thg-beauty Liveramp dataset — confirmed safe to delete",$A1858="agile-bonbon-662",_xlfn.IFS(LEFT($G1858,9)="Tranche 1","Tranche 1: cleared",$C1858="Sessions_Level_1_All_Sites","Downstream aggregation of UA raw logs — keep if raw tables go",ISNUMBER(--$C1858),"UA raw site logs (account ID) — keep pending audit-retention check",$C1858="Emag_Reporting","Legacy but likely needed",$C1858="Nutrition_Data_Archived_Tables","Worth keeping",$C1858="EU_Data","Static lookup tables — scripts still reference (smoke-test risk)",TRUE,"Review"),OR($A1858="thg-influencer",$A1858="thg-ingenuity",$A1858="thg-central-marketing",$A1858="thg-seoclarity"),"HOLD — Charlie Stringer to review before deletion",TRUE,"")</f>
        <v>Review</v>
      </c>
      <c r="S1858" t="s">
        <v>1631</v>
      </c>
    </row>
    <row r="1859" spans="1:19" ht="45.75" hidden="1">
      <c r="A1859" t="s">
        <v>89</v>
      </c>
      <c r="B1859" t="s">
        <v>1619</v>
      </c>
      <c r="C1859" t="s">
        <v>4181</v>
      </c>
      <c r="D1859" s="2" t="s">
        <v>1621</v>
      </c>
      <c r="E1859">
        <v>0.14000000000000001</v>
      </c>
      <c r="F1859">
        <v>0</v>
      </c>
      <c r="G1859" t="s">
        <v>72</v>
      </c>
      <c r="H1859" t="s">
        <v>3457</v>
      </c>
      <c r="I1859">
        <v>35</v>
      </c>
      <c r="J1859">
        <v>1193</v>
      </c>
      <c r="K1859" s="5">
        <v>46161.618931562502</v>
      </c>
      <c r="M1859" s="2" t="s">
        <v>1981</v>
      </c>
      <c r="N1859" s="2" t="s">
        <v>1701</v>
      </c>
      <c r="O1859" s="5">
        <v>45004.423363101851</v>
      </c>
      <c r="P1859" t="str">
        <f>IF($Q1859="DELETE",IF($S1859="CONFIRMED: NO MODS &gt; 1YR","CONFIRMED: NO MODS &gt; 1YR","DO NOT DELETE — not defensibly confirmed"),IF($Q1859="HOLD","DO NOT DELETE — HOLD (Charlie review)",IF($Q1859="KEEP","DO NOT DELETE — KEEP",IF(ISNUMBER(SEARCH("REVIEW",$Q1859)),"DO NOT DELETE — REVIEW pending",$S1859))))</f>
        <v>DO NOT DELETE — REVIEW pending</v>
      </c>
      <c r="Q1859" t="str" cm="1">
        <f t="array" ref="Q1859">_xlfn.IFS(AND($A1859="thg-beauty",ISNUMBER(SEARCH("liveramp",$C1859))),"DELETE",$A1859="agile-bonbon-662",_xlfn.IFS(LEFT($G1859,9)="Tranche 1","DELETE",$C1859="Sessions_Level_1_All_Sites","KEEP",ISNUMBER(--$C1859),"REVIEW — UA raw logs",$C1859="Emag_Reporting","KEEP",$C1859="Nutrition_Data_Archived_Tables","KEEP",$C1859="EU_Data","KEEP",TRUE,"REVIEW"),OR($A1859="thg-influencer",$A1859="thg-ingenuity",$A1859="thg-central-marketing",$A1859="thg-seoclarity"),"HOLD",TRUE,"")</f>
        <v>REVIEW</v>
      </c>
      <c r="R1859" t="str" cm="1">
        <f t="array" ref="R1859">_xlfn.IFS(AND($A1859="thg-beauty",ISNUMBER(SEARCH("liveramp",$C1859))),"thg-beauty Liveramp dataset — confirmed safe to delete",$A1859="agile-bonbon-662",_xlfn.IFS(LEFT($G1859,9)="Tranche 1","Tranche 1: cleared",$C1859="Sessions_Level_1_All_Sites","Downstream aggregation of UA raw logs — keep if raw tables go",ISNUMBER(--$C1859),"UA raw site logs (account ID) — keep pending audit-retention check",$C1859="Emag_Reporting","Legacy but likely needed",$C1859="Nutrition_Data_Archived_Tables","Worth keeping",$C1859="EU_Data","Static lookup tables — scripts still reference (smoke-test risk)",TRUE,"Review"),OR($A1859="thg-influencer",$A1859="thg-ingenuity",$A1859="thg-central-marketing",$A1859="thg-seoclarity"),"HOLD — Charlie Stringer to review before deletion",TRUE,"")</f>
        <v>Review</v>
      </c>
      <c r="S1859" t="s">
        <v>1631</v>
      </c>
    </row>
    <row r="1860" spans="1:19" ht="45.75" hidden="1">
      <c r="A1860" t="s">
        <v>89</v>
      </c>
      <c r="B1860" t="s">
        <v>1619</v>
      </c>
      <c r="C1860" t="s">
        <v>4182</v>
      </c>
      <c r="D1860" s="2" t="s">
        <v>1621</v>
      </c>
      <c r="E1860">
        <v>0.14000000000000001</v>
      </c>
      <c r="F1860">
        <v>0</v>
      </c>
      <c r="G1860" t="s">
        <v>72</v>
      </c>
      <c r="H1860" t="s">
        <v>3457</v>
      </c>
      <c r="I1860">
        <v>35</v>
      </c>
      <c r="J1860">
        <v>2699</v>
      </c>
      <c r="K1860" s="5">
        <v>46161.602549884257</v>
      </c>
      <c r="M1860" s="2" t="s">
        <v>4113</v>
      </c>
      <c r="N1860" s="2" t="s">
        <v>1701</v>
      </c>
      <c r="O1860" s="5">
        <v>43497.547135694447</v>
      </c>
      <c r="P1860" t="str">
        <f>IF($Q1860="DELETE",IF($S1860="CONFIRMED: NO MODS &gt; 1YR","CONFIRMED: NO MODS &gt; 1YR","DO NOT DELETE — not defensibly confirmed"),IF($Q1860="HOLD","DO NOT DELETE — HOLD (Charlie review)",IF($Q1860="KEEP","DO NOT DELETE — KEEP",IF(ISNUMBER(SEARCH("REVIEW",$Q1860)),"DO NOT DELETE — REVIEW pending",$S1860))))</f>
        <v>DO NOT DELETE — REVIEW pending</v>
      </c>
      <c r="Q1860" t="str" cm="1">
        <f t="array" ref="Q1860">_xlfn.IFS(AND($A1860="thg-beauty",ISNUMBER(SEARCH("liveramp",$C1860))),"DELETE",$A1860="agile-bonbon-662",_xlfn.IFS(LEFT($G1860,9)="Tranche 1","DELETE",$C1860="Sessions_Level_1_All_Sites","KEEP",ISNUMBER(--$C1860),"REVIEW — UA raw logs",$C1860="Emag_Reporting","KEEP",$C1860="Nutrition_Data_Archived_Tables","KEEP",$C1860="EU_Data","KEEP",TRUE,"REVIEW"),OR($A1860="thg-influencer",$A1860="thg-ingenuity",$A1860="thg-central-marketing",$A1860="thg-seoclarity"),"HOLD",TRUE,"")</f>
        <v>REVIEW — UA raw logs</v>
      </c>
      <c r="R1860" t="str" cm="1">
        <f t="array" ref="R1860">_xlfn.IFS(AND($A1860="thg-beauty",ISNUMBER(SEARCH("liveramp",$C1860))),"thg-beauty Liveramp dataset — confirmed safe to delete",$A1860="agile-bonbon-662",_xlfn.IFS(LEFT($G1860,9)="Tranche 1","Tranche 1: cleared",$C1860="Sessions_Level_1_All_Sites","Downstream aggregation of UA raw logs — keep if raw tables go",ISNUMBER(--$C1860),"UA raw site logs (account ID) — keep pending audit-retention check",$C1860="Emag_Reporting","Legacy but likely needed",$C1860="Nutrition_Data_Archived_Tables","Worth keeping",$C1860="EU_Data","Static lookup tables — scripts still reference (smoke-test risk)",TRUE,"Review"),OR($A1860="thg-influencer",$A1860="thg-ingenuity",$A1860="thg-central-marketing",$A1860="thg-seoclarity"),"HOLD — Charlie Stringer to review before deletion",TRUE,"")</f>
        <v>UA raw site logs (account ID) — keep pending audit-retention check</v>
      </c>
      <c r="S1860" t="s">
        <v>1631</v>
      </c>
    </row>
    <row r="1861" spans="1:19" ht="45.75" hidden="1">
      <c r="A1861" t="s">
        <v>89</v>
      </c>
      <c r="B1861" t="s">
        <v>1619</v>
      </c>
      <c r="C1861" t="s">
        <v>4183</v>
      </c>
      <c r="D1861" s="2" t="s">
        <v>1621</v>
      </c>
      <c r="E1861">
        <v>0.14000000000000001</v>
      </c>
      <c r="F1861">
        <v>0</v>
      </c>
      <c r="G1861" t="s">
        <v>72</v>
      </c>
      <c r="H1861" t="s">
        <v>3457</v>
      </c>
      <c r="I1861">
        <v>35</v>
      </c>
      <c r="J1861">
        <v>1202</v>
      </c>
      <c r="K1861" s="5">
        <v>46161.62051523148</v>
      </c>
      <c r="M1861" s="2" t="s">
        <v>1943</v>
      </c>
      <c r="N1861" s="2" t="s">
        <v>1701</v>
      </c>
      <c r="O1861" s="5">
        <v>44995.08173322917</v>
      </c>
      <c r="P1861" t="str">
        <f>IF($Q1861="DELETE",IF($S1861="CONFIRMED: NO MODS &gt; 1YR","CONFIRMED: NO MODS &gt; 1YR","DO NOT DELETE — not defensibly confirmed"),IF($Q1861="HOLD","DO NOT DELETE — HOLD (Charlie review)",IF($Q1861="KEEP","DO NOT DELETE — KEEP",IF(ISNUMBER(SEARCH("REVIEW",$Q1861)),"DO NOT DELETE — REVIEW pending",$S1861))))</f>
        <v>DO NOT DELETE — REVIEW pending</v>
      </c>
      <c r="Q1861" t="str" cm="1">
        <f t="array" ref="Q1861">_xlfn.IFS(AND($A1861="thg-beauty",ISNUMBER(SEARCH("liveramp",$C1861))),"DELETE",$A1861="agile-bonbon-662",_xlfn.IFS(LEFT($G1861,9)="Tranche 1","DELETE",$C1861="Sessions_Level_1_All_Sites","KEEP",ISNUMBER(--$C1861),"REVIEW — UA raw logs",$C1861="Emag_Reporting","KEEP",$C1861="Nutrition_Data_Archived_Tables","KEEP",$C1861="EU_Data","KEEP",TRUE,"REVIEW"),OR($A1861="thg-influencer",$A1861="thg-ingenuity",$A1861="thg-central-marketing",$A1861="thg-seoclarity"),"HOLD",TRUE,"")</f>
        <v>REVIEW</v>
      </c>
      <c r="R1861" t="str" cm="1">
        <f t="array" ref="R1861">_xlfn.IFS(AND($A1861="thg-beauty",ISNUMBER(SEARCH("liveramp",$C1861))),"thg-beauty Liveramp dataset — confirmed safe to delete",$A1861="agile-bonbon-662",_xlfn.IFS(LEFT($G1861,9)="Tranche 1","Tranche 1: cleared",$C1861="Sessions_Level_1_All_Sites","Downstream aggregation of UA raw logs — keep if raw tables go",ISNUMBER(--$C1861),"UA raw site logs (account ID) — keep pending audit-retention check",$C1861="Emag_Reporting","Legacy but likely needed",$C1861="Nutrition_Data_Archived_Tables","Worth keeping",$C1861="EU_Data","Static lookup tables — scripts still reference (smoke-test risk)",TRUE,"Review"),OR($A1861="thg-influencer",$A1861="thg-ingenuity",$A1861="thg-central-marketing",$A1861="thg-seoclarity"),"HOLD — Charlie Stringer to review before deletion",TRUE,"")</f>
        <v>Review</v>
      </c>
      <c r="S1861" t="s">
        <v>1631</v>
      </c>
    </row>
    <row r="1862" spans="1:19" ht="45.75" hidden="1">
      <c r="A1862" t="s">
        <v>89</v>
      </c>
      <c r="B1862" t="s">
        <v>1619</v>
      </c>
      <c r="C1862" t="s">
        <v>3874</v>
      </c>
      <c r="D1862" s="2" t="s">
        <v>1621</v>
      </c>
      <c r="E1862">
        <v>0.13</v>
      </c>
      <c r="F1862">
        <v>0</v>
      </c>
      <c r="G1862" t="s">
        <v>72</v>
      </c>
      <c r="H1862" t="s">
        <v>3457</v>
      </c>
      <c r="I1862">
        <v>35</v>
      </c>
      <c r="J1862">
        <v>1676</v>
      </c>
      <c r="K1862" s="5">
        <v>46161.61128769676</v>
      </c>
      <c r="M1862" s="2" t="s">
        <v>3397</v>
      </c>
      <c r="N1862" s="2" t="s">
        <v>1701</v>
      </c>
      <c r="O1862" s="5">
        <v>44521.175067094897</v>
      </c>
      <c r="P1862" t="str">
        <f>IF($Q1862="DELETE",IF($S1862="CONFIRMED: NO MODS &gt; 1YR","CONFIRMED: NO MODS &gt; 1YR","DO NOT DELETE — not defensibly confirmed"),IF($Q1862="HOLD","DO NOT DELETE — HOLD (Charlie review)",IF($Q1862="KEEP","DO NOT DELETE — KEEP",IF(ISNUMBER(SEARCH("REVIEW",$Q1862)),"DO NOT DELETE — REVIEW pending",$S1862))))</f>
        <v>DO NOT DELETE — REVIEW pending</v>
      </c>
      <c r="Q1862" t="str" cm="1">
        <f t="array" ref="Q1862">_xlfn.IFS(AND($A1862="thg-beauty",ISNUMBER(SEARCH("liveramp",$C1862))),"DELETE",$A1862="agile-bonbon-662",_xlfn.IFS(LEFT($G1862,9)="Tranche 1","DELETE",$C1862="Sessions_Level_1_All_Sites","KEEP",ISNUMBER(--$C1862),"REVIEW — UA raw logs",$C1862="Emag_Reporting","KEEP",$C1862="Nutrition_Data_Archived_Tables","KEEP",$C1862="EU_Data","KEEP",TRUE,"REVIEW"),OR($A1862="thg-influencer",$A1862="thg-ingenuity",$A1862="thg-central-marketing",$A1862="thg-seoclarity"),"HOLD",TRUE,"")</f>
        <v>REVIEW</v>
      </c>
      <c r="R1862" t="str" cm="1">
        <f t="array" ref="R1862">_xlfn.IFS(AND($A1862="thg-beauty",ISNUMBER(SEARCH("liveramp",$C1862))),"thg-beauty Liveramp dataset — confirmed safe to delete",$A1862="agile-bonbon-662",_xlfn.IFS(LEFT($G1862,9)="Tranche 1","Tranche 1: cleared",$C1862="Sessions_Level_1_All_Sites","Downstream aggregation of UA raw logs — keep if raw tables go",ISNUMBER(--$C1862),"UA raw site logs (account ID) — keep pending audit-retention check",$C1862="Emag_Reporting","Legacy but likely needed",$C1862="Nutrition_Data_Archived_Tables","Worth keeping",$C1862="EU_Data","Static lookup tables — scripts still reference (smoke-test risk)",TRUE,"Review"),OR($A1862="thg-influencer",$A1862="thg-ingenuity",$A1862="thg-central-marketing",$A1862="thg-seoclarity"),"HOLD — Charlie Stringer to review before deletion",TRUE,"")</f>
        <v>Review</v>
      </c>
      <c r="S1862" t="s">
        <v>1624</v>
      </c>
    </row>
    <row r="1863" spans="1:19" ht="45.75" hidden="1">
      <c r="A1863" t="s">
        <v>89</v>
      </c>
      <c r="B1863" t="s">
        <v>1619</v>
      </c>
      <c r="C1863" t="s">
        <v>4184</v>
      </c>
      <c r="D1863" s="2" t="s">
        <v>1621</v>
      </c>
      <c r="E1863">
        <v>0.13</v>
      </c>
      <c r="F1863">
        <v>0</v>
      </c>
      <c r="G1863" t="s">
        <v>72</v>
      </c>
      <c r="H1863" t="s">
        <v>3457</v>
      </c>
      <c r="I1863">
        <v>35</v>
      </c>
      <c r="J1863">
        <v>415</v>
      </c>
      <c r="K1863" s="5">
        <v>46161.618482893522</v>
      </c>
      <c r="M1863" s="2" t="s">
        <v>1945</v>
      </c>
      <c r="N1863" s="2" t="s">
        <v>1701</v>
      </c>
      <c r="O1863" s="5">
        <v>45782.362762025463</v>
      </c>
      <c r="P1863" t="str">
        <f>IF($Q1863="DELETE",IF($S1863="CONFIRMED: NO MODS &gt; 1YR","CONFIRMED: NO MODS &gt; 1YR","DO NOT DELETE — not defensibly confirmed"),IF($Q1863="HOLD","DO NOT DELETE — HOLD (Charlie review)",IF($Q1863="KEEP","DO NOT DELETE — KEEP",IF(ISNUMBER(SEARCH("REVIEW",$Q1863)),"DO NOT DELETE — REVIEW pending",$S1863))))</f>
        <v>DO NOT DELETE — REVIEW pending</v>
      </c>
      <c r="Q1863" t="str" cm="1">
        <f t="array" ref="Q1863">_xlfn.IFS(AND($A1863="thg-beauty",ISNUMBER(SEARCH("liveramp",$C1863))),"DELETE",$A1863="agile-bonbon-662",_xlfn.IFS(LEFT($G1863,9)="Tranche 1","DELETE",$C1863="Sessions_Level_1_All_Sites","KEEP",ISNUMBER(--$C1863),"REVIEW — UA raw logs",$C1863="Emag_Reporting","KEEP",$C1863="Nutrition_Data_Archived_Tables","KEEP",$C1863="EU_Data","KEEP",TRUE,"REVIEW"),OR($A1863="thg-influencer",$A1863="thg-ingenuity",$A1863="thg-central-marketing",$A1863="thg-seoclarity"),"HOLD",TRUE,"")</f>
        <v>REVIEW</v>
      </c>
      <c r="R1863" t="str" cm="1">
        <f t="array" ref="R1863">_xlfn.IFS(AND($A1863="thg-beauty",ISNUMBER(SEARCH("liveramp",$C1863))),"thg-beauty Liveramp dataset — confirmed safe to delete",$A1863="agile-bonbon-662",_xlfn.IFS(LEFT($G1863,9)="Tranche 1","Tranche 1: cleared",$C1863="Sessions_Level_1_All_Sites","Downstream aggregation of UA raw logs — keep if raw tables go",ISNUMBER(--$C1863),"UA raw site logs (account ID) — keep pending audit-retention check",$C1863="Emag_Reporting","Legacy but likely needed",$C1863="Nutrition_Data_Archived_Tables","Worth keeping",$C1863="EU_Data","Static lookup tables — scripts still reference (smoke-test risk)",TRUE,"Review"),OR($A1863="thg-influencer",$A1863="thg-ingenuity",$A1863="thg-central-marketing",$A1863="thg-seoclarity"),"HOLD — Charlie Stringer to review before deletion",TRUE,"")</f>
        <v>Review</v>
      </c>
      <c r="S1863" t="s">
        <v>1631</v>
      </c>
    </row>
    <row r="1864" spans="1:19" ht="45.75" hidden="1">
      <c r="A1864" t="s">
        <v>89</v>
      </c>
      <c r="B1864" t="s">
        <v>1619</v>
      </c>
      <c r="C1864" t="s">
        <v>4185</v>
      </c>
      <c r="D1864" s="2" t="s">
        <v>1621</v>
      </c>
      <c r="E1864">
        <v>0.13</v>
      </c>
      <c r="F1864">
        <v>0</v>
      </c>
      <c r="G1864" t="s">
        <v>72</v>
      </c>
      <c r="H1864" t="s">
        <v>3457</v>
      </c>
      <c r="I1864">
        <v>35</v>
      </c>
      <c r="J1864">
        <v>880</v>
      </c>
      <c r="K1864" s="5">
        <v>46161.620670127311</v>
      </c>
      <c r="M1864" s="2" t="s">
        <v>1943</v>
      </c>
      <c r="N1864" s="2" t="s">
        <v>1701</v>
      </c>
      <c r="O1864" s="5">
        <v>45317.429407800933</v>
      </c>
      <c r="P1864" t="str">
        <f>IF($Q1864="DELETE",IF($S1864="CONFIRMED: NO MODS &gt; 1YR","CONFIRMED: NO MODS &gt; 1YR","DO NOT DELETE — not defensibly confirmed"),IF($Q1864="HOLD","DO NOT DELETE — HOLD (Charlie review)",IF($Q1864="KEEP","DO NOT DELETE — KEEP",IF(ISNUMBER(SEARCH("REVIEW",$Q1864)),"DO NOT DELETE — REVIEW pending",$S1864))))</f>
        <v>DO NOT DELETE — REVIEW pending</v>
      </c>
      <c r="Q1864" t="str" cm="1">
        <f t="array" ref="Q1864">_xlfn.IFS(AND($A1864="thg-beauty",ISNUMBER(SEARCH("liveramp",$C1864))),"DELETE",$A1864="agile-bonbon-662",_xlfn.IFS(LEFT($G1864,9)="Tranche 1","DELETE",$C1864="Sessions_Level_1_All_Sites","KEEP",ISNUMBER(--$C1864),"REVIEW — UA raw logs",$C1864="Emag_Reporting","KEEP",$C1864="Nutrition_Data_Archived_Tables","KEEP",$C1864="EU_Data","KEEP",TRUE,"REVIEW"),OR($A1864="thg-influencer",$A1864="thg-ingenuity",$A1864="thg-central-marketing",$A1864="thg-seoclarity"),"HOLD",TRUE,"")</f>
        <v>REVIEW</v>
      </c>
      <c r="R1864" t="str" cm="1">
        <f t="array" ref="R1864">_xlfn.IFS(AND($A1864="thg-beauty",ISNUMBER(SEARCH("liveramp",$C1864))),"thg-beauty Liveramp dataset — confirmed safe to delete",$A1864="agile-bonbon-662",_xlfn.IFS(LEFT($G1864,9)="Tranche 1","Tranche 1: cleared",$C1864="Sessions_Level_1_All_Sites","Downstream aggregation of UA raw logs — keep if raw tables go",ISNUMBER(--$C1864),"UA raw site logs (account ID) — keep pending audit-retention check",$C1864="Emag_Reporting","Legacy but likely needed",$C1864="Nutrition_Data_Archived_Tables","Worth keeping",$C1864="EU_Data","Static lookup tables — scripts still reference (smoke-test risk)",TRUE,"Review"),OR($A1864="thg-influencer",$A1864="thg-ingenuity",$A1864="thg-central-marketing",$A1864="thg-seoclarity"),"HOLD — Charlie Stringer to review before deletion",TRUE,"")</f>
        <v>Review</v>
      </c>
      <c r="S1864" t="s">
        <v>1631</v>
      </c>
    </row>
    <row r="1865" spans="1:19" ht="45.75" hidden="1">
      <c r="A1865" t="s">
        <v>89</v>
      </c>
      <c r="B1865" t="s">
        <v>1619</v>
      </c>
      <c r="C1865" t="s">
        <v>4186</v>
      </c>
      <c r="D1865" s="2" t="s">
        <v>1621</v>
      </c>
      <c r="E1865">
        <v>0.13</v>
      </c>
      <c r="F1865">
        <v>0</v>
      </c>
      <c r="G1865" t="s">
        <v>72</v>
      </c>
      <c r="H1865" t="s">
        <v>3457</v>
      </c>
      <c r="I1865">
        <v>35</v>
      </c>
      <c r="J1865">
        <v>723</v>
      </c>
      <c r="K1865" s="5">
        <v>46161.595038657397</v>
      </c>
      <c r="M1865" s="2" t="s">
        <v>3902</v>
      </c>
      <c r="N1865" s="2" t="s">
        <v>1701</v>
      </c>
      <c r="O1865" s="5">
        <v>45474.282829270836</v>
      </c>
      <c r="P1865" t="str">
        <f>IF($Q1865="DELETE",IF($S1865="CONFIRMED: NO MODS &gt; 1YR","CONFIRMED: NO MODS &gt; 1YR","DO NOT DELETE — not defensibly confirmed"),IF($Q1865="HOLD","DO NOT DELETE — HOLD (Charlie review)",IF($Q1865="KEEP","DO NOT DELETE — KEEP",IF(ISNUMBER(SEARCH("REVIEW",$Q1865)),"DO NOT DELETE — REVIEW pending",$S1865))))</f>
        <v>DO NOT DELETE — REVIEW pending</v>
      </c>
      <c r="Q1865" t="str" cm="1">
        <f t="array" ref="Q1865">_xlfn.IFS(AND($A1865="thg-beauty",ISNUMBER(SEARCH("liveramp",$C1865))),"DELETE",$A1865="agile-bonbon-662",_xlfn.IFS(LEFT($G1865,9)="Tranche 1","DELETE",$C1865="Sessions_Level_1_All_Sites","KEEP",ISNUMBER(--$C1865),"REVIEW — UA raw logs",$C1865="Emag_Reporting","KEEP",$C1865="Nutrition_Data_Archived_Tables","KEEP",$C1865="EU_Data","KEEP",TRUE,"REVIEW"),OR($A1865="thg-influencer",$A1865="thg-ingenuity",$A1865="thg-central-marketing",$A1865="thg-seoclarity"),"HOLD",TRUE,"")</f>
        <v>REVIEW — UA raw logs</v>
      </c>
      <c r="R1865" t="str" cm="1">
        <f t="array" ref="R1865">_xlfn.IFS(AND($A1865="thg-beauty",ISNUMBER(SEARCH("liveramp",$C1865))),"thg-beauty Liveramp dataset — confirmed safe to delete",$A1865="agile-bonbon-662",_xlfn.IFS(LEFT($G1865,9)="Tranche 1","Tranche 1: cleared",$C1865="Sessions_Level_1_All_Sites","Downstream aggregation of UA raw logs — keep if raw tables go",ISNUMBER(--$C1865),"UA raw site logs (account ID) — keep pending audit-retention check",$C1865="Emag_Reporting","Legacy but likely needed",$C1865="Nutrition_Data_Archived_Tables","Worth keeping",$C1865="EU_Data","Static lookup tables — scripts still reference (smoke-test risk)",TRUE,"Review"),OR($A1865="thg-influencer",$A1865="thg-ingenuity",$A1865="thg-central-marketing",$A1865="thg-seoclarity"),"HOLD — Charlie Stringer to review before deletion",TRUE,"")</f>
        <v>UA raw site logs (account ID) — keep pending audit-retention check</v>
      </c>
      <c r="S1865" t="s">
        <v>1631</v>
      </c>
    </row>
    <row r="1866" spans="1:19" ht="45.75" hidden="1">
      <c r="A1866" t="s">
        <v>89</v>
      </c>
      <c r="B1866" t="s">
        <v>1619</v>
      </c>
      <c r="C1866" t="s">
        <v>4187</v>
      </c>
      <c r="D1866" s="2" t="s">
        <v>1621</v>
      </c>
      <c r="E1866">
        <v>0.13</v>
      </c>
      <c r="F1866">
        <v>0</v>
      </c>
      <c r="G1866" t="s">
        <v>72</v>
      </c>
      <c r="H1866" t="s">
        <v>3457</v>
      </c>
      <c r="I1866">
        <v>35</v>
      </c>
      <c r="J1866">
        <v>1176</v>
      </c>
      <c r="K1866" s="5">
        <v>46161.617848831018</v>
      </c>
      <c r="M1866" s="2" t="s">
        <v>1957</v>
      </c>
      <c r="N1866" s="2" t="s">
        <v>1701</v>
      </c>
      <c r="O1866" s="5">
        <v>45021.33291675926</v>
      </c>
      <c r="P1866" t="str">
        <f>IF($Q1866="DELETE",IF($S1866="CONFIRMED: NO MODS &gt; 1YR","CONFIRMED: NO MODS &gt; 1YR","DO NOT DELETE — not defensibly confirmed"),IF($Q1866="HOLD","DO NOT DELETE — HOLD (Charlie review)",IF($Q1866="KEEP","DO NOT DELETE — KEEP",IF(ISNUMBER(SEARCH("REVIEW",$Q1866)),"DO NOT DELETE — REVIEW pending",$S1866))))</f>
        <v>DO NOT DELETE — REVIEW pending</v>
      </c>
      <c r="Q1866" t="str" cm="1">
        <f t="array" ref="Q1866">_xlfn.IFS(AND($A1866="thg-beauty",ISNUMBER(SEARCH("liveramp",$C1866))),"DELETE",$A1866="agile-bonbon-662",_xlfn.IFS(LEFT($G1866,9)="Tranche 1","DELETE",$C1866="Sessions_Level_1_All_Sites","KEEP",ISNUMBER(--$C1866),"REVIEW — UA raw logs",$C1866="Emag_Reporting","KEEP",$C1866="Nutrition_Data_Archived_Tables","KEEP",$C1866="EU_Data","KEEP",TRUE,"REVIEW"),OR($A1866="thg-influencer",$A1866="thg-ingenuity",$A1866="thg-central-marketing",$A1866="thg-seoclarity"),"HOLD",TRUE,"")</f>
        <v>REVIEW</v>
      </c>
      <c r="R1866" t="str" cm="1">
        <f t="array" ref="R1866">_xlfn.IFS(AND($A1866="thg-beauty",ISNUMBER(SEARCH("liveramp",$C1866))),"thg-beauty Liveramp dataset — confirmed safe to delete",$A1866="agile-bonbon-662",_xlfn.IFS(LEFT($G1866,9)="Tranche 1","Tranche 1: cleared",$C1866="Sessions_Level_1_All_Sites","Downstream aggregation of UA raw logs — keep if raw tables go",ISNUMBER(--$C1866),"UA raw site logs (account ID) — keep pending audit-retention check",$C1866="Emag_Reporting","Legacy but likely needed",$C1866="Nutrition_Data_Archived_Tables","Worth keeping",$C1866="EU_Data","Static lookup tables — scripts still reference (smoke-test risk)",TRUE,"Review"),OR($A1866="thg-influencer",$A1866="thg-ingenuity",$A1866="thg-central-marketing",$A1866="thg-seoclarity"),"HOLD — Charlie Stringer to review before deletion",TRUE,"")</f>
        <v>Review</v>
      </c>
      <c r="S1866" t="s">
        <v>1624</v>
      </c>
    </row>
    <row r="1867" spans="1:19" ht="45.75" hidden="1">
      <c r="A1867" t="s">
        <v>89</v>
      </c>
      <c r="B1867" t="s">
        <v>1619</v>
      </c>
      <c r="C1867" t="s">
        <v>4188</v>
      </c>
      <c r="D1867" s="2" t="s">
        <v>1621</v>
      </c>
      <c r="E1867">
        <v>0.13</v>
      </c>
      <c r="F1867">
        <v>0</v>
      </c>
      <c r="G1867" t="s">
        <v>72</v>
      </c>
      <c r="H1867" t="s">
        <v>3457</v>
      </c>
      <c r="I1867">
        <v>35</v>
      </c>
      <c r="J1867">
        <v>2674</v>
      </c>
      <c r="K1867" s="5">
        <v>46161.602945219907</v>
      </c>
      <c r="M1867" s="2" t="s">
        <v>4137</v>
      </c>
      <c r="N1867" s="2" t="s">
        <v>1701</v>
      </c>
      <c r="O1867" s="5">
        <v>43523.305220254631</v>
      </c>
      <c r="P1867" t="str">
        <f>IF($Q1867="DELETE",IF($S1867="CONFIRMED: NO MODS &gt; 1YR","CONFIRMED: NO MODS &gt; 1YR","DO NOT DELETE — not defensibly confirmed"),IF($Q1867="HOLD","DO NOT DELETE — HOLD (Charlie review)",IF($Q1867="KEEP","DO NOT DELETE — KEEP",IF(ISNUMBER(SEARCH("REVIEW",$Q1867)),"DO NOT DELETE — REVIEW pending",$S1867))))</f>
        <v>DO NOT DELETE — REVIEW pending</v>
      </c>
      <c r="Q1867" t="str" cm="1">
        <f t="array" ref="Q1867">_xlfn.IFS(AND($A1867="thg-beauty",ISNUMBER(SEARCH("liveramp",$C1867))),"DELETE",$A1867="agile-bonbon-662",_xlfn.IFS(LEFT($G1867,9)="Tranche 1","DELETE",$C1867="Sessions_Level_1_All_Sites","KEEP",ISNUMBER(--$C1867),"REVIEW — UA raw logs",$C1867="Emag_Reporting","KEEP",$C1867="Nutrition_Data_Archived_Tables","KEEP",$C1867="EU_Data","KEEP",TRUE,"REVIEW"),OR($A1867="thg-influencer",$A1867="thg-ingenuity",$A1867="thg-central-marketing",$A1867="thg-seoclarity"),"HOLD",TRUE,"")</f>
        <v>REVIEW — UA raw logs</v>
      </c>
      <c r="R1867" t="str" cm="1">
        <f t="array" ref="R1867">_xlfn.IFS(AND($A1867="thg-beauty",ISNUMBER(SEARCH("liveramp",$C1867))),"thg-beauty Liveramp dataset — confirmed safe to delete",$A1867="agile-bonbon-662",_xlfn.IFS(LEFT($G1867,9)="Tranche 1","Tranche 1: cleared",$C1867="Sessions_Level_1_All_Sites","Downstream aggregation of UA raw logs — keep if raw tables go",ISNUMBER(--$C1867),"UA raw site logs (account ID) — keep pending audit-retention check",$C1867="Emag_Reporting","Legacy but likely needed",$C1867="Nutrition_Data_Archived_Tables","Worth keeping",$C1867="EU_Data","Static lookup tables — scripts still reference (smoke-test risk)",TRUE,"Review"),OR($A1867="thg-influencer",$A1867="thg-ingenuity",$A1867="thg-central-marketing",$A1867="thg-seoclarity"),"HOLD — Charlie Stringer to review before deletion",TRUE,"")</f>
        <v>UA raw site logs (account ID) — keep pending audit-retention check</v>
      </c>
      <c r="S1867" t="s">
        <v>1631</v>
      </c>
    </row>
    <row r="1868" spans="1:19" ht="45.75" hidden="1">
      <c r="A1868" t="s">
        <v>89</v>
      </c>
      <c r="B1868" t="s">
        <v>1619</v>
      </c>
      <c r="C1868" t="s">
        <v>4189</v>
      </c>
      <c r="D1868" s="2" t="s">
        <v>1621</v>
      </c>
      <c r="E1868">
        <v>0.13</v>
      </c>
      <c r="F1868">
        <v>0</v>
      </c>
      <c r="G1868" t="s">
        <v>72</v>
      </c>
      <c r="H1868" t="s">
        <v>3457</v>
      </c>
      <c r="I1868">
        <v>35</v>
      </c>
      <c r="J1868">
        <v>1189</v>
      </c>
      <c r="K1868" s="5">
        <v>46161.619202395843</v>
      </c>
      <c r="M1868" s="2" t="s">
        <v>1981</v>
      </c>
      <c r="N1868" s="2" t="s">
        <v>1701</v>
      </c>
      <c r="O1868" s="5">
        <v>45007.735714328701</v>
      </c>
      <c r="P1868" t="str">
        <f>IF($Q1868="DELETE",IF($S1868="CONFIRMED: NO MODS &gt; 1YR","CONFIRMED: NO MODS &gt; 1YR","DO NOT DELETE — not defensibly confirmed"),IF($Q1868="HOLD","DO NOT DELETE — HOLD (Charlie review)",IF($Q1868="KEEP","DO NOT DELETE — KEEP",IF(ISNUMBER(SEARCH("REVIEW",$Q1868)),"DO NOT DELETE — REVIEW pending",$S1868))))</f>
        <v>DO NOT DELETE — REVIEW pending</v>
      </c>
      <c r="Q1868" t="str" cm="1">
        <f t="array" ref="Q1868">_xlfn.IFS(AND($A1868="thg-beauty",ISNUMBER(SEARCH("liveramp",$C1868))),"DELETE",$A1868="agile-bonbon-662",_xlfn.IFS(LEFT($G1868,9)="Tranche 1","DELETE",$C1868="Sessions_Level_1_All_Sites","KEEP",ISNUMBER(--$C1868),"REVIEW — UA raw logs",$C1868="Emag_Reporting","KEEP",$C1868="Nutrition_Data_Archived_Tables","KEEP",$C1868="EU_Data","KEEP",TRUE,"REVIEW"),OR($A1868="thg-influencer",$A1868="thg-ingenuity",$A1868="thg-central-marketing",$A1868="thg-seoclarity"),"HOLD",TRUE,"")</f>
        <v>REVIEW</v>
      </c>
      <c r="R1868" t="str" cm="1">
        <f t="array" ref="R1868">_xlfn.IFS(AND($A1868="thg-beauty",ISNUMBER(SEARCH("liveramp",$C1868))),"thg-beauty Liveramp dataset — confirmed safe to delete",$A1868="agile-bonbon-662",_xlfn.IFS(LEFT($G1868,9)="Tranche 1","Tranche 1: cleared",$C1868="Sessions_Level_1_All_Sites","Downstream aggregation of UA raw logs — keep if raw tables go",ISNUMBER(--$C1868),"UA raw site logs (account ID) — keep pending audit-retention check",$C1868="Emag_Reporting","Legacy but likely needed",$C1868="Nutrition_Data_Archived_Tables","Worth keeping",$C1868="EU_Data","Static lookup tables — scripts still reference (smoke-test risk)",TRUE,"Review"),OR($A1868="thg-influencer",$A1868="thg-ingenuity",$A1868="thg-central-marketing",$A1868="thg-seoclarity"),"HOLD — Charlie Stringer to review before deletion",TRUE,"")</f>
        <v>Review</v>
      </c>
      <c r="S1868" t="s">
        <v>1631</v>
      </c>
    </row>
    <row r="1869" spans="1:19" ht="45.75" hidden="1">
      <c r="A1869" t="s">
        <v>89</v>
      </c>
      <c r="B1869" t="s">
        <v>1619</v>
      </c>
      <c r="C1869" t="s">
        <v>4190</v>
      </c>
      <c r="D1869" s="2" t="s">
        <v>1621</v>
      </c>
      <c r="E1869">
        <v>0.13</v>
      </c>
      <c r="F1869">
        <v>0</v>
      </c>
      <c r="G1869" t="s">
        <v>72</v>
      </c>
      <c r="H1869" t="s">
        <v>3457</v>
      </c>
      <c r="I1869">
        <v>35</v>
      </c>
      <c r="J1869">
        <v>1659</v>
      </c>
      <c r="K1869" s="5">
        <v>46161.607372326391</v>
      </c>
      <c r="M1869" s="2" t="s">
        <v>3909</v>
      </c>
      <c r="N1869" s="2" t="s">
        <v>1701</v>
      </c>
      <c r="O1869" s="5">
        <v>44537.766236134259</v>
      </c>
      <c r="P1869" t="str">
        <f>IF($Q1869="DELETE",IF($S1869="CONFIRMED: NO MODS &gt; 1YR","CONFIRMED: NO MODS &gt; 1YR","DO NOT DELETE — not defensibly confirmed"),IF($Q1869="HOLD","DO NOT DELETE — HOLD (Charlie review)",IF($Q1869="KEEP","DO NOT DELETE — KEEP",IF(ISNUMBER(SEARCH("REVIEW",$Q1869)),"DO NOT DELETE — REVIEW pending",$S1869))))</f>
        <v>DO NOT DELETE — REVIEW pending</v>
      </c>
      <c r="Q1869" t="str" cm="1">
        <f t="array" ref="Q1869">_xlfn.IFS(AND($A1869="thg-beauty",ISNUMBER(SEARCH("liveramp",$C1869))),"DELETE",$A1869="agile-bonbon-662",_xlfn.IFS(LEFT($G1869,9)="Tranche 1","DELETE",$C1869="Sessions_Level_1_All_Sites","KEEP",ISNUMBER(--$C1869),"REVIEW — UA raw logs",$C1869="Emag_Reporting","KEEP",$C1869="Nutrition_Data_Archived_Tables","KEEP",$C1869="EU_Data","KEEP",TRUE,"REVIEW"),OR($A1869="thg-influencer",$A1869="thg-ingenuity",$A1869="thg-central-marketing",$A1869="thg-seoclarity"),"HOLD",TRUE,"")</f>
        <v>REVIEW</v>
      </c>
      <c r="R1869" t="str" cm="1">
        <f t="array" ref="R1869">_xlfn.IFS(AND($A1869="thg-beauty",ISNUMBER(SEARCH("liveramp",$C1869))),"thg-beauty Liveramp dataset — confirmed safe to delete",$A1869="agile-bonbon-662",_xlfn.IFS(LEFT($G1869,9)="Tranche 1","Tranche 1: cleared",$C1869="Sessions_Level_1_All_Sites","Downstream aggregation of UA raw logs — keep if raw tables go",ISNUMBER(--$C1869),"UA raw site logs (account ID) — keep pending audit-retention check",$C1869="Emag_Reporting","Legacy but likely needed",$C1869="Nutrition_Data_Archived_Tables","Worth keeping",$C1869="EU_Data","Static lookup tables — scripts still reference (smoke-test risk)",TRUE,"Review"),OR($A1869="thg-influencer",$A1869="thg-ingenuity",$A1869="thg-central-marketing",$A1869="thg-seoclarity"),"HOLD — Charlie Stringer to review before deletion",TRUE,"")</f>
        <v>Review</v>
      </c>
      <c r="S1869" t="s">
        <v>1631</v>
      </c>
    </row>
    <row r="1870" spans="1:19" ht="45.75" hidden="1">
      <c r="A1870" t="s">
        <v>89</v>
      </c>
      <c r="B1870" t="s">
        <v>1619</v>
      </c>
      <c r="C1870" t="s">
        <v>4191</v>
      </c>
      <c r="D1870" s="2" t="s">
        <v>1621</v>
      </c>
      <c r="E1870">
        <v>0.13</v>
      </c>
      <c r="F1870">
        <v>0</v>
      </c>
      <c r="G1870" t="s">
        <v>72</v>
      </c>
      <c r="H1870" t="s">
        <v>3457</v>
      </c>
      <c r="I1870">
        <v>35</v>
      </c>
      <c r="J1870">
        <v>1966</v>
      </c>
      <c r="K1870" s="5">
        <v>46161.621322928237</v>
      </c>
      <c r="M1870" s="2" t="s">
        <v>1960</v>
      </c>
      <c r="N1870" s="2" t="s">
        <v>1701</v>
      </c>
      <c r="O1870" s="5">
        <v>44230.530819050917</v>
      </c>
      <c r="P1870" t="str">
        <f>IF($Q1870="DELETE",IF($S1870="CONFIRMED: NO MODS &gt; 1YR","CONFIRMED: NO MODS &gt; 1YR","DO NOT DELETE — not defensibly confirmed"),IF($Q1870="HOLD","DO NOT DELETE — HOLD (Charlie review)",IF($Q1870="KEEP","DO NOT DELETE — KEEP",IF(ISNUMBER(SEARCH("REVIEW",$Q1870)),"DO NOT DELETE — REVIEW pending",$S1870))))</f>
        <v>DO NOT DELETE — REVIEW pending</v>
      </c>
      <c r="Q1870" t="str" cm="1">
        <f t="array" ref="Q1870">_xlfn.IFS(AND($A1870="thg-beauty",ISNUMBER(SEARCH("liveramp",$C1870))),"DELETE",$A1870="agile-bonbon-662",_xlfn.IFS(LEFT($G1870,9)="Tranche 1","DELETE",$C1870="Sessions_Level_1_All_Sites","KEEP",ISNUMBER(--$C1870),"REVIEW — UA raw logs",$C1870="Emag_Reporting","KEEP",$C1870="Nutrition_Data_Archived_Tables","KEEP",$C1870="EU_Data","KEEP",TRUE,"REVIEW"),OR($A1870="thg-influencer",$A1870="thg-ingenuity",$A1870="thg-central-marketing",$A1870="thg-seoclarity"),"HOLD",TRUE,"")</f>
        <v>REVIEW</v>
      </c>
      <c r="R1870" t="str" cm="1">
        <f t="array" ref="R1870">_xlfn.IFS(AND($A1870="thg-beauty",ISNUMBER(SEARCH("liveramp",$C1870))),"thg-beauty Liveramp dataset — confirmed safe to delete",$A1870="agile-bonbon-662",_xlfn.IFS(LEFT($G1870,9)="Tranche 1","Tranche 1: cleared",$C1870="Sessions_Level_1_All_Sites","Downstream aggregation of UA raw logs — keep if raw tables go",ISNUMBER(--$C1870),"UA raw site logs (account ID) — keep pending audit-retention check",$C1870="Emag_Reporting","Legacy but likely needed",$C1870="Nutrition_Data_Archived_Tables","Worth keeping",$C1870="EU_Data","Static lookup tables — scripts still reference (smoke-test risk)",TRUE,"Review"),OR($A1870="thg-influencer",$A1870="thg-ingenuity",$A1870="thg-central-marketing",$A1870="thg-seoclarity"),"HOLD — Charlie Stringer to review before deletion",TRUE,"")</f>
        <v>Review</v>
      </c>
      <c r="S1870" t="s">
        <v>1631</v>
      </c>
    </row>
    <row r="1871" spans="1:19" ht="45.75" hidden="1">
      <c r="A1871" t="s">
        <v>89</v>
      </c>
      <c r="B1871" t="s">
        <v>1619</v>
      </c>
      <c r="C1871" t="s">
        <v>4192</v>
      </c>
      <c r="D1871" s="2" t="s">
        <v>1621</v>
      </c>
      <c r="E1871">
        <v>0.12</v>
      </c>
      <c r="F1871">
        <v>0</v>
      </c>
      <c r="G1871" t="s">
        <v>72</v>
      </c>
      <c r="H1871" t="s">
        <v>3457</v>
      </c>
      <c r="I1871">
        <v>35</v>
      </c>
      <c r="J1871">
        <v>1750</v>
      </c>
      <c r="K1871" s="5">
        <v>46161.586253576388</v>
      </c>
      <c r="M1871" s="2" t="s">
        <v>3439</v>
      </c>
      <c r="N1871" s="2" t="s">
        <v>1701</v>
      </c>
      <c r="O1871" s="5">
        <v>44447.205529398147</v>
      </c>
      <c r="P1871" t="str">
        <f>IF($Q1871="DELETE",IF($S1871="CONFIRMED: NO MODS &gt; 1YR","CONFIRMED: NO MODS &gt; 1YR","DO NOT DELETE — not defensibly confirmed"),IF($Q1871="HOLD","DO NOT DELETE — HOLD (Charlie review)",IF($Q1871="KEEP","DO NOT DELETE — KEEP",IF(ISNUMBER(SEARCH("REVIEW",$Q1871)),"DO NOT DELETE — REVIEW pending",$S1871))))</f>
        <v>DO NOT DELETE — REVIEW pending</v>
      </c>
      <c r="Q1871" t="str" cm="1">
        <f t="array" ref="Q1871">_xlfn.IFS(AND($A1871="thg-beauty",ISNUMBER(SEARCH("liveramp",$C1871))),"DELETE",$A1871="agile-bonbon-662",_xlfn.IFS(LEFT($G1871,9)="Tranche 1","DELETE",$C1871="Sessions_Level_1_All_Sites","KEEP",ISNUMBER(--$C1871),"REVIEW — UA raw logs",$C1871="Emag_Reporting","KEEP",$C1871="Nutrition_Data_Archived_Tables","KEEP",$C1871="EU_Data","KEEP",TRUE,"REVIEW"),OR($A1871="thg-influencer",$A1871="thg-ingenuity",$A1871="thg-central-marketing",$A1871="thg-seoclarity"),"HOLD",TRUE,"")</f>
        <v>REVIEW — UA raw logs</v>
      </c>
      <c r="R1871" t="str" cm="1">
        <f t="array" ref="R1871">_xlfn.IFS(AND($A1871="thg-beauty",ISNUMBER(SEARCH("liveramp",$C1871))),"thg-beauty Liveramp dataset — confirmed safe to delete",$A1871="agile-bonbon-662",_xlfn.IFS(LEFT($G1871,9)="Tranche 1","Tranche 1: cleared",$C1871="Sessions_Level_1_All_Sites","Downstream aggregation of UA raw logs — keep if raw tables go",ISNUMBER(--$C1871),"UA raw site logs (account ID) — keep pending audit-retention check",$C1871="Emag_Reporting","Legacy but likely needed",$C1871="Nutrition_Data_Archived_Tables","Worth keeping",$C1871="EU_Data","Static lookup tables — scripts still reference (smoke-test risk)",TRUE,"Review"),OR($A1871="thg-influencer",$A1871="thg-ingenuity",$A1871="thg-central-marketing",$A1871="thg-seoclarity"),"HOLD — Charlie Stringer to review before deletion",TRUE,"")</f>
        <v>UA raw site logs (account ID) — keep pending audit-retention check</v>
      </c>
      <c r="S1871" t="s">
        <v>1631</v>
      </c>
    </row>
    <row r="1872" spans="1:19" ht="45.75" hidden="1">
      <c r="A1872" t="s">
        <v>89</v>
      </c>
      <c r="B1872" t="s">
        <v>1619</v>
      </c>
      <c r="C1872" t="s">
        <v>4193</v>
      </c>
      <c r="D1872" s="2" t="s">
        <v>1621</v>
      </c>
      <c r="E1872">
        <v>0.12</v>
      </c>
      <c r="F1872">
        <v>0</v>
      </c>
      <c r="G1872" t="s">
        <v>72</v>
      </c>
      <c r="H1872" t="s">
        <v>3457</v>
      </c>
      <c r="I1872">
        <v>35</v>
      </c>
      <c r="J1872">
        <v>1966</v>
      </c>
      <c r="K1872" s="5">
        <v>46161.621334178242</v>
      </c>
      <c r="M1872" s="2" t="s">
        <v>1960</v>
      </c>
      <c r="N1872" s="2" t="s">
        <v>1701</v>
      </c>
      <c r="O1872" s="5">
        <v>44230.530926851847</v>
      </c>
      <c r="P1872" t="str">
        <f>IF($Q1872="DELETE",IF($S1872="CONFIRMED: NO MODS &gt; 1YR","CONFIRMED: NO MODS &gt; 1YR","DO NOT DELETE — not defensibly confirmed"),IF($Q1872="HOLD","DO NOT DELETE — HOLD (Charlie review)",IF($Q1872="KEEP","DO NOT DELETE — KEEP",IF(ISNUMBER(SEARCH("REVIEW",$Q1872)),"DO NOT DELETE — REVIEW pending",$S1872))))</f>
        <v>DO NOT DELETE — REVIEW pending</v>
      </c>
      <c r="Q1872" t="str" cm="1">
        <f t="array" ref="Q1872">_xlfn.IFS(AND($A1872="thg-beauty",ISNUMBER(SEARCH("liveramp",$C1872))),"DELETE",$A1872="agile-bonbon-662",_xlfn.IFS(LEFT($G1872,9)="Tranche 1","DELETE",$C1872="Sessions_Level_1_All_Sites","KEEP",ISNUMBER(--$C1872),"REVIEW — UA raw logs",$C1872="Emag_Reporting","KEEP",$C1872="Nutrition_Data_Archived_Tables","KEEP",$C1872="EU_Data","KEEP",TRUE,"REVIEW"),OR($A1872="thg-influencer",$A1872="thg-ingenuity",$A1872="thg-central-marketing",$A1872="thg-seoclarity"),"HOLD",TRUE,"")</f>
        <v>REVIEW</v>
      </c>
      <c r="R1872" t="str" cm="1">
        <f t="array" ref="R1872">_xlfn.IFS(AND($A1872="thg-beauty",ISNUMBER(SEARCH("liveramp",$C1872))),"thg-beauty Liveramp dataset — confirmed safe to delete",$A1872="agile-bonbon-662",_xlfn.IFS(LEFT($G1872,9)="Tranche 1","Tranche 1: cleared",$C1872="Sessions_Level_1_All_Sites","Downstream aggregation of UA raw logs — keep if raw tables go",ISNUMBER(--$C1872),"UA raw site logs (account ID) — keep pending audit-retention check",$C1872="Emag_Reporting","Legacy but likely needed",$C1872="Nutrition_Data_Archived_Tables","Worth keeping",$C1872="EU_Data","Static lookup tables — scripts still reference (smoke-test risk)",TRUE,"Review"),OR($A1872="thg-influencer",$A1872="thg-ingenuity",$A1872="thg-central-marketing",$A1872="thg-seoclarity"),"HOLD — Charlie Stringer to review before deletion",TRUE,"")</f>
        <v>Review</v>
      </c>
      <c r="S1872" t="s">
        <v>1624</v>
      </c>
    </row>
    <row r="1873" spans="1:19" ht="45.75" hidden="1">
      <c r="A1873" t="s">
        <v>89</v>
      </c>
      <c r="B1873" t="s">
        <v>1619</v>
      </c>
      <c r="C1873" t="s">
        <v>4194</v>
      </c>
      <c r="D1873" s="2" t="s">
        <v>1621</v>
      </c>
      <c r="E1873">
        <v>0.11</v>
      </c>
      <c r="F1873">
        <v>0</v>
      </c>
      <c r="G1873" t="s">
        <v>72</v>
      </c>
      <c r="H1873" t="s">
        <v>3457</v>
      </c>
      <c r="I1873">
        <v>35</v>
      </c>
      <c r="J1873">
        <v>723</v>
      </c>
      <c r="K1873" s="5">
        <v>46161.594922083343</v>
      </c>
      <c r="M1873" s="2" t="s">
        <v>3902</v>
      </c>
      <c r="N1873" s="2" t="s">
        <v>1701</v>
      </c>
      <c r="O1873" s="5">
        <v>45474.267232824073</v>
      </c>
      <c r="P1873" t="str">
        <f>IF($Q1873="DELETE",IF($S1873="CONFIRMED: NO MODS &gt; 1YR","CONFIRMED: NO MODS &gt; 1YR","DO NOT DELETE — not defensibly confirmed"),IF($Q1873="HOLD","DO NOT DELETE — HOLD (Charlie review)",IF($Q1873="KEEP","DO NOT DELETE — KEEP",IF(ISNUMBER(SEARCH("REVIEW",$Q1873)),"DO NOT DELETE — REVIEW pending",$S1873))))</f>
        <v>DO NOT DELETE — REVIEW pending</v>
      </c>
      <c r="Q1873" t="str" cm="1">
        <f t="array" ref="Q1873">_xlfn.IFS(AND($A1873="thg-beauty",ISNUMBER(SEARCH("liveramp",$C1873))),"DELETE",$A1873="agile-bonbon-662",_xlfn.IFS(LEFT($G1873,9)="Tranche 1","DELETE",$C1873="Sessions_Level_1_All_Sites","KEEP",ISNUMBER(--$C1873),"REVIEW — UA raw logs",$C1873="Emag_Reporting","KEEP",$C1873="Nutrition_Data_Archived_Tables","KEEP",$C1873="EU_Data","KEEP",TRUE,"REVIEW"),OR($A1873="thg-influencer",$A1873="thg-ingenuity",$A1873="thg-central-marketing",$A1873="thg-seoclarity"),"HOLD",TRUE,"")</f>
        <v>REVIEW — UA raw logs</v>
      </c>
      <c r="R1873" t="str" cm="1">
        <f t="array" ref="R1873">_xlfn.IFS(AND($A1873="thg-beauty",ISNUMBER(SEARCH("liveramp",$C1873))),"thg-beauty Liveramp dataset — confirmed safe to delete",$A1873="agile-bonbon-662",_xlfn.IFS(LEFT($G1873,9)="Tranche 1","Tranche 1: cleared",$C1873="Sessions_Level_1_All_Sites","Downstream aggregation of UA raw logs — keep if raw tables go",ISNUMBER(--$C1873),"UA raw site logs (account ID) — keep pending audit-retention check",$C1873="Emag_Reporting","Legacy but likely needed",$C1873="Nutrition_Data_Archived_Tables","Worth keeping",$C1873="EU_Data","Static lookup tables — scripts still reference (smoke-test risk)",TRUE,"Review"),OR($A1873="thg-influencer",$A1873="thg-ingenuity",$A1873="thg-central-marketing",$A1873="thg-seoclarity"),"HOLD — Charlie Stringer to review before deletion",TRUE,"")</f>
        <v>UA raw site logs (account ID) — keep pending audit-retention check</v>
      </c>
      <c r="S1873" t="s">
        <v>1631</v>
      </c>
    </row>
    <row r="1874" spans="1:19" ht="45.75" hidden="1">
      <c r="A1874" t="s">
        <v>89</v>
      </c>
      <c r="B1874" t="s">
        <v>1619</v>
      </c>
      <c r="C1874" t="s">
        <v>4195</v>
      </c>
      <c r="D1874" s="2" t="s">
        <v>1621</v>
      </c>
      <c r="E1874">
        <v>0.1</v>
      </c>
      <c r="F1874">
        <v>0</v>
      </c>
      <c r="G1874" t="s">
        <v>72</v>
      </c>
      <c r="H1874" t="s">
        <v>3457</v>
      </c>
      <c r="I1874">
        <v>35</v>
      </c>
      <c r="J1874">
        <v>882</v>
      </c>
      <c r="K1874" s="5">
        <v>46161.62007247685</v>
      </c>
      <c r="M1874" s="2" t="s">
        <v>2019</v>
      </c>
      <c r="N1874" s="2" t="s">
        <v>1701</v>
      </c>
      <c r="O1874" s="5">
        <v>45315.241973877317</v>
      </c>
      <c r="P1874" t="str">
        <f>IF($Q1874="DELETE",IF($S1874="CONFIRMED: NO MODS &gt; 1YR","CONFIRMED: NO MODS &gt; 1YR","DO NOT DELETE — not defensibly confirmed"),IF($Q1874="HOLD","DO NOT DELETE — HOLD (Charlie review)",IF($Q1874="KEEP","DO NOT DELETE — KEEP",IF(ISNUMBER(SEARCH("REVIEW",$Q1874)),"DO NOT DELETE — REVIEW pending",$S1874))))</f>
        <v>DO NOT DELETE — REVIEW pending</v>
      </c>
      <c r="Q1874" t="str" cm="1">
        <f t="array" ref="Q1874">_xlfn.IFS(AND($A1874="thg-beauty",ISNUMBER(SEARCH("liveramp",$C1874))),"DELETE",$A1874="agile-bonbon-662",_xlfn.IFS(LEFT($G1874,9)="Tranche 1","DELETE",$C1874="Sessions_Level_1_All_Sites","KEEP",ISNUMBER(--$C1874),"REVIEW — UA raw logs",$C1874="Emag_Reporting","KEEP",$C1874="Nutrition_Data_Archived_Tables","KEEP",$C1874="EU_Data","KEEP",TRUE,"REVIEW"),OR($A1874="thg-influencer",$A1874="thg-ingenuity",$A1874="thg-central-marketing",$A1874="thg-seoclarity"),"HOLD",TRUE,"")</f>
        <v>REVIEW</v>
      </c>
      <c r="R1874" t="str" cm="1">
        <f t="array" ref="R1874">_xlfn.IFS(AND($A1874="thg-beauty",ISNUMBER(SEARCH("liveramp",$C1874))),"thg-beauty Liveramp dataset — confirmed safe to delete",$A1874="agile-bonbon-662",_xlfn.IFS(LEFT($G1874,9)="Tranche 1","Tranche 1: cleared",$C1874="Sessions_Level_1_All_Sites","Downstream aggregation of UA raw logs — keep if raw tables go",ISNUMBER(--$C1874),"UA raw site logs (account ID) — keep pending audit-retention check",$C1874="Emag_Reporting","Legacy but likely needed",$C1874="Nutrition_Data_Archived_Tables","Worth keeping",$C1874="EU_Data","Static lookup tables — scripts still reference (smoke-test risk)",TRUE,"Review"),OR($A1874="thg-influencer",$A1874="thg-ingenuity",$A1874="thg-central-marketing",$A1874="thg-seoclarity"),"HOLD — Charlie Stringer to review before deletion",TRUE,"")</f>
        <v>Review</v>
      </c>
      <c r="S1874" t="s">
        <v>1631</v>
      </c>
    </row>
    <row r="1875" spans="1:19" ht="45.75" hidden="1">
      <c r="A1875" t="s">
        <v>89</v>
      </c>
      <c r="B1875" t="s">
        <v>1619</v>
      </c>
      <c r="C1875" t="s">
        <v>4196</v>
      </c>
      <c r="D1875" s="2" t="s">
        <v>1621</v>
      </c>
      <c r="E1875">
        <v>0.1</v>
      </c>
      <c r="F1875">
        <v>0</v>
      </c>
      <c r="G1875" t="s">
        <v>72</v>
      </c>
      <c r="H1875" t="s">
        <v>3457</v>
      </c>
      <c r="I1875">
        <v>35</v>
      </c>
      <c r="J1875">
        <v>2692</v>
      </c>
      <c r="K1875" s="5">
        <v>46161.603728738417</v>
      </c>
      <c r="M1875" s="2" t="s">
        <v>3425</v>
      </c>
      <c r="N1875" s="2" t="s">
        <v>1701</v>
      </c>
      <c r="O1875" s="5">
        <v>43505.332824907397</v>
      </c>
      <c r="P1875" t="str">
        <f>IF($Q1875="DELETE",IF($S1875="CONFIRMED: NO MODS &gt; 1YR","CONFIRMED: NO MODS &gt; 1YR","DO NOT DELETE — not defensibly confirmed"),IF($Q1875="HOLD","DO NOT DELETE — HOLD (Charlie review)",IF($Q1875="KEEP","DO NOT DELETE — KEEP",IF(ISNUMBER(SEARCH("REVIEW",$Q1875)),"DO NOT DELETE — REVIEW pending",$S1875))))</f>
        <v>DO NOT DELETE — REVIEW pending</v>
      </c>
      <c r="Q1875" t="str" cm="1">
        <f t="array" ref="Q1875">_xlfn.IFS(AND($A1875="thg-beauty",ISNUMBER(SEARCH("liveramp",$C1875))),"DELETE",$A1875="agile-bonbon-662",_xlfn.IFS(LEFT($G1875,9)="Tranche 1","DELETE",$C1875="Sessions_Level_1_All_Sites","KEEP",ISNUMBER(--$C1875),"REVIEW — UA raw logs",$C1875="Emag_Reporting","KEEP",$C1875="Nutrition_Data_Archived_Tables","KEEP",$C1875="EU_Data","KEEP",TRUE,"REVIEW"),OR($A1875="thg-influencer",$A1875="thg-ingenuity",$A1875="thg-central-marketing",$A1875="thg-seoclarity"),"HOLD",TRUE,"")</f>
        <v>REVIEW — UA raw logs</v>
      </c>
      <c r="R1875" t="str" cm="1">
        <f t="array" ref="R1875">_xlfn.IFS(AND($A1875="thg-beauty",ISNUMBER(SEARCH("liveramp",$C1875))),"thg-beauty Liveramp dataset — confirmed safe to delete",$A1875="agile-bonbon-662",_xlfn.IFS(LEFT($G1875,9)="Tranche 1","Tranche 1: cleared",$C1875="Sessions_Level_1_All_Sites","Downstream aggregation of UA raw logs — keep if raw tables go",ISNUMBER(--$C1875),"UA raw site logs (account ID) — keep pending audit-retention check",$C1875="Emag_Reporting","Legacy but likely needed",$C1875="Nutrition_Data_Archived_Tables","Worth keeping",$C1875="EU_Data","Static lookup tables — scripts still reference (smoke-test risk)",TRUE,"Review"),OR($A1875="thg-influencer",$A1875="thg-ingenuity",$A1875="thg-central-marketing",$A1875="thg-seoclarity"),"HOLD — Charlie Stringer to review before deletion",TRUE,"")</f>
        <v>UA raw site logs (account ID) — keep pending audit-retention check</v>
      </c>
      <c r="S1875" t="s">
        <v>1631</v>
      </c>
    </row>
    <row r="1876" spans="1:19" ht="45.75" hidden="1">
      <c r="A1876" t="s">
        <v>89</v>
      </c>
      <c r="B1876" t="s">
        <v>1619</v>
      </c>
      <c r="C1876" t="s">
        <v>4197</v>
      </c>
      <c r="D1876" s="2" t="s">
        <v>1621</v>
      </c>
      <c r="E1876">
        <v>0.1</v>
      </c>
      <c r="F1876">
        <v>0</v>
      </c>
      <c r="G1876" t="s">
        <v>72</v>
      </c>
      <c r="H1876" t="s">
        <v>3457</v>
      </c>
      <c r="I1876">
        <v>35</v>
      </c>
      <c r="J1876">
        <v>2693</v>
      </c>
      <c r="K1876" s="5">
        <v>46161.602795636572</v>
      </c>
      <c r="M1876" s="2" t="s">
        <v>4137</v>
      </c>
      <c r="N1876" s="2" t="s">
        <v>1701</v>
      </c>
      <c r="O1876" s="5">
        <v>43504.349760567129</v>
      </c>
      <c r="P1876" t="str">
        <f>IF($Q1876="DELETE",IF($S1876="CONFIRMED: NO MODS &gt; 1YR","CONFIRMED: NO MODS &gt; 1YR","DO NOT DELETE — not defensibly confirmed"),IF($Q1876="HOLD","DO NOT DELETE — HOLD (Charlie review)",IF($Q1876="KEEP","DO NOT DELETE — KEEP",IF(ISNUMBER(SEARCH("REVIEW",$Q1876)),"DO NOT DELETE — REVIEW pending",$S1876))))</f>
        <v>DO NOT DELETE — REVIEW pending</v>
      </c>
      <c r="Q1876" t="str" cm="1">
        <f t="array" ref="Q1876">_xlfn.IFS(AND($A1876="thg-beauty",ISNUMBER(SEARCH("liveramp",$C1876))),"DELETE",$A1876="agile-bonbon-662",_xlfn.IFS(LEFT($G1876,9)="Tranche 1","DELETE",$C1876="Sessions_Level_1_All_Sites","KEEP",ISNUMBER(--$C1876),"REVIEW — UA raw logs",$C1876="Emag_Reporting","KEEP",$C1876="Nutrition_Data_Archived_Tables","KEEP",$C1876="EU_Data","KEEP",TRUE,"REVIEW"),OR($A1876="thg-influencer",$A1876="thg-ingenuity",$A1876="thg-central-marketing",$A1876="thg-seoclarity"),"HOLD",TRUE,"")</f>
        <v>REVIEW — UA raw logs</v>
      </c>
      <c r="R1876" t="str" cm="1">
        <f t="array" ref="R1876">_xlfn.IFS(AND($A1876="thg-beauty",ISNUMBER(SEARCH("liveramp",$C1876))),"thg-beauty Liveramp dataset — confirmed safe to delete",$A1876="agile-bonbon-662",_xlfn.IFS(LEFT($G1876,9)="Tranche 1","Tranche 1: cleared",$C1876="Sessions_Level_1_All_Sites","Downstream aggregation of UA raw logs — keep if raw tables go",ISNUMBER(--$C1876),"UA raw site logs (account ID) — keep pending audit-retention check",$C1876="Emag_Reporting","Legacy but likely needed",$C1876="Nutrition_Data_Archived_Tables","Worth keeping",$C1876="EU_Data","Static lookup tables — scripts still reference (smoke-test risk)",TRUE,"Review"),OR($A1876="thg-influencer",$A1876="thg-ingenuity",$A1876="thg-central-marketing",$A1876="thg-seoclarity"),"HOLD — Charlie Stringer to review before deletion",TRUE,"")</f>
        <v>UA raw site logs (account ID) — keep pending audit-retention check</v>
      </c>
      <c r="S1876" t="s">
        <v>1631</v>
      </c>
    </row>
    <row r="1877" spans="1:19" ht="76.5" hidden="1">
      <c r="A1877" t="s">
        <v>89</v>
      </c>
      <c r="B1877" t="s">
        <v>1619</v>
      </c>
      <c r="C1877" t="s">
        <v>4198</v>
      </c>
      <c r="D1877" s="2" t="s">
        <v>1621</v>
      </c>
      <c r="E1877">
        <v>0.1</v>
      </c>
      <c r="F1877">
        <v>0</v>
      </c>
      <c r="G1877" t="s">
        <v>72</v>
      </c>
      <c r="H1877" t="s">
        <v>3457</v>
      </c>
      <c r="I1877">
        <v>35</v>
      </c>
      <c r="J1877">
        <v>1884</v>
      </c>
      <c r="K1877" s="5">
        <v>46161.612123009261</v>
      </c>
      <c r="M1877" s="2" t="s">
        <v>4199</v>
      </c>
      <c r="N1877" s="2" t="s">
        <v>1701</v>
      </c>
      <c r="O1877" s="5">
        <v>44313.229531863428</v>
      </c>
      <c r="P1877" t="str">
        <f>IF($Q1877="DELETE",IF($S1877="CONFIRMED: NO MODS &gt; 1YR","CONFIRMED: NO MODS &gt; 1YR","DO NOT DELETE — not defensibly confirmed"),IF($Q1877="HOLD","DO NOT DELETE — HOLD (Charlie review)",IF($Q1877="KEEP","DO NOT DELETE — KEEP",IF(ISNUMBER(SEARCH("REVIEW",$Q1877)),"DO NOT DELETE — REVIEW pending",$S1877))))</f>
        <v>DO NOT DELETE — REVIEW pending</v>
      </c>
      <c r="Q1877" t="str" cm="1">
        <f t="array" ref="Q1877">_xlfn.IFS(AND($A1877="thg-beauty",ISNUMBER(SEARCH("liveramp",$C1877))),"DELETE",$A1877="agile-bonbon-662",_xlfn.IFS(LEFT($G1877,9)="Tranche 1","DELETE",$C1877="Sessions_Level_1_All_Sites","KEEP",ISNUMBER(--$C1877),"REVIEW — UA raw logs",$C1877="Emag_Reporting","KEEP",$C1877="Nutrition_Data_Archived_Tables","KEEP",$C1877="EU_Data","KEEP",TRUE,"REVIEW"),OR($A1877="thg-influencer",$A1877="thg-ingenuity",$A1877="thg-central-marketing",$A1877="thg-seoclarity"),"HOLD",TRUE,"")</f>
        <v>REVIEW</v>
      </c>
      <c r="R1877" t="str" cm="1">
        <f t="array" ref="R1877">_xlfn.IFS(AND($A1877="thg-beauty",ISNUMBER(SEARCH("liveramp",$C1877))),"thg-beauty Liveramp dataset — confirmed safe to delete",$A1877="agile-bonbon-662",_xlfn.IFS(LEFT($G1877,9)="Tranche 1","Tranche 1: cleared",$C1877="Sessions_Level_1_All_Sites","Downstream aggregation of UA raw logs — keep if raw tables go",ISNUMBER(--$C1877),"UA raw site logs (account ID) — keep pending audit-retention check",$C1877="Emag_Reporting","Legacy but likely needed",$C1877="Nutrition_Data_Archived_Tables","Worth keeping",$C1877="EU_Data","Static lookup tables — scripts still reference (smoke-test risk)",TRUE,"Review"),OR($A1877="thg-influencer",$A1877="thg-ingenuity",$A1877="thg-central-marketing",$A1877="thg-seoclarity"),"HOLD — Charlie Stringer to review before deletion",TRUE,"")</f>
        <v>Review</v>
      </c>
      <c r="S1877" t="s">
        <v>1631</v>
      </c>
    </row>
    <row r="1878" spans="1:19" ht="45.75" hidden="1">
      <c r="A1878" t="s">
        <v>89</v>
      </c>
      <c r="B1878" t="s">
        <v>1619</v>
      </c>
      <c r="C1878" t="s">
        <v>4200</v>
      </c>
      <c r="D1878" s="2" t="s">
        <v>1621</v>
      </c>
      <c r="E1878">
        <v>0.09</v>
      </c>
      <c r="F1878">
        <v>0</v>
      </c>
      <c r="G1878" t="s">
        <v>72</v>
      </c>
      <c r="H1878" t="s">
        <v>3457</v>
      </c>
      <c r="I1878">
        <v>35</v>
      </c>
      <c r="J1878">
        <v>1176</v>
      </c>
      <c r="K1878" s="5">
        <v>46161.619507233787</v>
      </c>
      <c r="M1878" s="2" t="s">
        <v>1972</v>
      </c>
      <c r="N1878" s="2" t="s">
        <v>1701</v>
      </c>
      <c r="O1878" s="5">
        <v>45021.333139629627</v>
      </c>
      <c r="P1878" t="str">
        <f>IF($Q1878="DELETE",IF($S1878="CONFIRMED: NO MODS &gt; 1YR","CONFIRMED: NO MODS &gt; 1YR","DO NOT DELETE — not defensibly confirmed"),IF($Q1878="HOLD","DO NOT DELETE — HOLD (Charlie review)",IF($Q1878="KEEP","DO NOT DELETE — KEEP",IF(ISNUMBER(SEARCH("REVIEW",$Q1878)),"DO NOT DELETE — REVIEW pending",$S1878))))</f>
        <v>DO NOT DELETE — REVIEW pending</v>
      </c>
      <c r="Q1878" t="str" cm="1">
        <f t="array" ref="Q1878">_xlfn.IFS(AND($A1878="thg-beauty",ISNUMBER(SEARCH("liveramp",$C1878))),"DELETE",$A1878="agile-bonbon-662",_xlfn.IFS(LEFT($G1878,9)="Tranche 1","DELETE",$C1878="Sessions_Level_1_All_Sites","KEEP",ISNUMBER(--$C1878),"REVIEW — UA raw logs",$C1878="Emag_Reporting","KEEP",$C1878="Nutrition_Data_Archived_Tables","KEEP",$C1878="EU_Data","KEEP",TRUE,"REVIEW"),OR($A1878="thg-influencer",$A1878="thg-ingenuity",$A1878="thg-central-marketing",$A1878="thg-seoclarity"),"HOLD",TRUE,"")</f>
        <v>REVIEW</v>
      </c>
      <c r="R1878" t="str" cm="1">
        <f t="array" ref="R1878">_xlfn.IFS(AND($A1878="thg-beauty",ISNUMBER(SEARCH("liveramp",$C1878))),"thg-beauty Liveramp dataset — confirmed safe to delete",$A1878="agile-bonbon-662",_xlfn.IFS(LEFT($G1878,9)="Tranche 1","Tranche 1: cleared",$C1878="Sessions_Level_1_All_Sites","Downstream aggregation of UA raw logs — keep if raw tables go",ISNUMBER(--$C1878),"UA raw site logs (account ID) — keep pending audit-retention check",$C1878="Emag_Reporting","Legacy but likely needed",$C1878="Nutrition_Data_Archived_Tables","Worth keeping",$C1878="EU_Data","Static lookup tables — scripts still reference (smoke-test risk)",TRUE,"Review"),OR($A1878="thg-influencer",$A1878="thg-ingenuity",$A1878="thg-central-marketing",$A1878="thg-seoclarity"),"HOLD — Charlie Stringer to review before deletion",TRUE,"")</f>
        <v>Review</v>
      </c>
      <c r="S1878" t="s">
        <v>1624</v>
      </c>
    </row>
    <row r="1879" spans="1:19" ht="60.75" hidden="1">
      <c r="A1879" t="s">
        <v>89</v>
      </c>
      <c r="B1879" t="s">
        <v>1619</v>
      </c>
      <c r="C1879" t="s">
        <v>4201</v>
      </c>
      <c r="D1879" s="2" t="s">
        <v>1621</v>
      </c>
      <c r="E1879">
        <v>0.09</v>
      </c>
      <c r="F1879">
        <v>0</v>
      </c>
      <c r="G1879" t="s">
        <v>72</v>
      </c>
      <c r="H1879" t="s">
        <v>3457</v>
      </c>
      <c r="I1879">
        <v>35</v>
      </c>
      <c r="J1879">
        <v>1480</v>
      </c>
      <c r="K1879" s="5">
        <v>46161.581453159721</v>
      </c>
      <c r="M1879" s="2" t="s">
        <v>2032</v>
      </c>
      <c r="N1879" s="2" t="s">
        <v>1701</v>
      </c>
      <c r="O1879" s="5">
        <v>44716.511749618046</v>
      </c>
      <c r="P1879" t="str">
        <f>IF($Q1879="DELETE",IF($S1879="CONFIRMED: NO MODS &gt; 1YR","CONFIRMED: NO MODS &gt; 1YR","DO NOT DELETE — not defensibly confirmed"),IF($Q1879="HOLD","DO NOT DELETE — HOLD (Charlie review)",IF($Q1879="KEEP","DO NOT DELETE — KEEP",IF(ISNUMBER(SEARCH("REVIEW",$Q1879)),"DO NOT DELETE — REVIEW pending",$S1879))))</f>
        <v>DO NOT DELETE — REVIEW pending</v>
      </c>
      <c r="Q1879" t="str" cm="1">
        <f t="array" ref="Q1879">_xlfn.IFS(AND($A1879="thg-beauty",ISNUMBER(SEARCH("liveramp",$C1879))),"DELETE",$A1879="agile-bonbon-662",_xlfn.IFS(LEFT($G1879,9)="Tranche 1","DELETE",$C1879="Sessions_Level_1_All_Sites","KEEP",ISNUMBER(--$C1879),"REVIEW — UA raw logs",$C1879="Emag_Reporting","KEEP",$C1879="Nutrition_Data_Archived_Tables","KEEP",$C1879="EU_Data","KEEP",TRUE,"REVIEW"),OR($A1879="thg-influencer",$A1879="thg-ingenuity",$A1879="thg-central-marketing",$A1879="thg-seoclarity"),"HOLD",TRUE,"")</f>
        <v>REVIEW</v>
      </c>
      <c r="R1879" t="str" cm="1">
        <f t="array" ref="R1879">_xlfn.IFS(AND($A1879="thg-beauty",ISNUMBER(SEARCH("liveramp",$C1879))),"thg-beauty Liveramp dataset — confirmed safe to delete",$A1879="agile-bonbon-662",_xlfn.IFS(LEFT($G1879,9)="Tranche 1","Tranche 1: cleared",$C1879="Sessions_Level_1_All_Sites","Downstream aggregation of UA raw logs — keep if raw tables go",ISNUMBER(--$C1879),"UA raw site logs (account ID) — keep pending audit-retention check",$C1879="Emag_Reporting","Legacy but likely needed",$C1879="Nutrition_Data_Archived_Tables","Worth keeping",$C1879="EU_Data","Static lookup tables — scripts still reference (smoke-test risk)",TRUE,"Review"),OR($A1879="thg-influencer",$A1879="thg-ingenuity",$A1879="thg-central-marketing",$A1879="thg-seoclarity"),"HOLD — Charlie Stringer to review before deletion",TRUE,"")</f>
        <v>Review</v>
      </c>
      <c r="S1879" t="s">
        <v>1631</v>
      </c>
    </row>
    <row r="1880" spans="1:19" ht="45.75" hidden="1">
      <c r="A1880" t="s">
        <v>89</v>
      </c>
      <c r="B1880" t="s">
        <v>1619</v>
      </c>
      <c r="C1880" t="s">
        <v>4202</v>
      </c>
      <c r="D1880" s="2" t="s">
        <v>1621</v>
      </c>
      <c r="E1880">
        <v>0.08</v>
      </c>
      <c r="F1880">
        <v>0</v>
      </c>
      <c r="G1880" t="s">
        <v>72</v>
      </c>
      <c r="H1880" t="s">
        <v>3457</v>
      </c>
      <c r="I1880">
        <v>35</v>
      </c>
      <c r="J1880">
        <v>1162</v>
      </c>
      <c r="K1880" s="5">
        <v>46161.619389560183</v>
      </c>
      <c r="M1880" s="2" t="s">
        <v>1981</v>
      </c>
      <c r="N1880" s="2" t="s">
        <v>1701</v>
      </c>
      <c r="O1880" s="5">
        <v>45035.230235555558</v>
      </c>
      <c r="P1880" t="str">
        <f>IF($Q1880="DELETE",IF($S1880="CONFIRMED: NO MODS &gt; 1YR","CONFIRMED: NO MODS &gt; 1YR","DO NOT DELETE — not defensibly confirmed"),IF($Q1880="HOLD","DO NOT DELETE — HOLD (Charlie review)",IF($Q1880="KEEP","DO NOT DELETE — KEEP",IF(ISNUMBER(SEARCH("REVIEW",$Q1880)),"DO NOT DELETE — REVIEW pending",$S1880))))</f>
        <v>DO NOT DELETE — REVIEW pending</v>
      </c>
      <c r="Q1880" t="str" cm="1">
        <f t="array" ref="Q1880">_xlfn.IFS(AND($A1880="thg-beauty",ISNUMBER(SEARCH("liveramp",$C1880))),"DELETE",$A1880="agile-bonbon-662",_xlfn.IFS(LEFT($G1880,9)="Tranche 1","DELETE",$C1880="Sessions_Level_1_All_Sites","KEEP",ISNUMBER(--$C1880),"REVIEW — UA raw logs",$C1880="Emag_Reporting","KEEP",$C1880="Nutrition_Data_Archived_Tables","KEEP",$C1880="EU_Data","KEEP",TRUE,"REVIEW"),OR($A1880="thg-influencer",$A1880="thg-ingenuity",$A1880="thg-central-marketing",$A1880="thg-seoclarity"),"HOLD",TRUE,"")</f>
        <v>REVIEW</v>
      </c>
      <c r="R1880" t="str" cm="1">
        <f t="array" ref="R1880">_xlfn.IFS(AND($A1880="thg-beauty",ISNUMBER(SEARCH("liveramp",$C1880))),"thg-beauty Liveramp dataset — confirmed safe to delete",$A1880="agile-bonbon-662",_xlfn.IFS(LEFT($G1880,9)="Tranche 1","Tranche 1: cleared",$C1880="Sessions_Level_1_All_Sites","Downstream aggregation of UA raw logs — keep if raw tables go",ISNUMBER(--$C1880),"UA raw site logs (account ID) — keep pending audit-retention check",$C1880="Emag_Reporting","Legacy but likely needed",$C1880="Nutrition_Data_Archived_Tables","Worth keeping",$C1880="EU_Data","Static lookup tables — scripts still reference (smoke-test risk)",TRUE,"Review"),OR($A1880="thg-influencer",$A1880="thg-ingenuity",$A1880="thg-central-marketing",$A1880="thg-seoclarity"),"HOLD — Charlie Stringer to review before deletion",TRUE,"")</f>
        <v>Review</v>
      </c>
      <c r="S1880" t="s">
        <v>1631</v>
      </c>
    </row>
    <row r="1881" spans="1:19" ht="45.75" hidden="1">
      <c r="A1881" t="s">
        <v>89</v>
      </c>
      <c r="B1881" t="s">
        <v>1619</v>
      </c>
      <c r="C1881" t="s">
        <v>4203</v>
      </c>
      <c r="D1881" s="2" t="s">
        <v>1621</v>
      </c>
      <c r="E1881">
        <v>0.08</v>
      </c>
      <c r="F1881">
        <v>0</v>
      </c>
      <c r="G1881" t="s">
        <v>72</v>
      </c>
      <c r="H1881" t="s">
        <v>3457</v>
      </c>
      <c r="I1881">
        <v>35</v>
      </c>
      <c r="J1881">
        <v>1203</v>
      </c>
      <c r="K1881" s="5">
        <v>46161.61936099537</v>
      </c>
      <c r="M1881" s="2" t="s">
        <v>1981</v>
      </c>
      <c r="N1881" s="2" t="s">
        <v>1701</v>
      </c>
      <c r="O1881" s="5">
        <v>44993.859192465279</v>
      </c>
      <c r="P1881" t="str">
        <f>IF($Q1881="DELETE",IF($S1881="CONFIRMED: NO MODS &gt; 1YR","CONFIRMED: NO MODS &gt; 1YR","DO NOT DELETE — not defensibly confirmed"),IF($Q1881="HOLD","DO NOT DELETE — HOLD (Charlie review)",IF($Q1881="KEEP","DO NOT DELETE — KEEP",IF(ISNUMBER(SEARCH("REVIEW",$Q1881)),"DO NOT DELETE — REVIEW pending",$S1881))))</f>
        <v>DO NOT DELETE — REVIEW pending</v>
      </c>
      <c r="Q1881" t="str" cm="1">
        <f t="array" ref="Q1881">_xlfn.IFS(AND($A1881="thg-beauty",ISNUMBER(SEARCH("liveramp",$C1881))),"DELETE",$A1881="agile-bonbon-662",_xlfn.IFS(LEFT($G1881,9)="Tranche 1","DELETE",$C1881="Sessions_Level_1_All_Sites","KEEP",ISNUMBER(--$C1881),"REVIEW — UA raw logs",$C1881="Emag_Reporting","KEEP",$C1881="Nutrition_Data_Archived_Tables","KEEP",$C1881="EU_Data","KEEP",TRUE,"REVIEW"),OR($A1881="thg-influencer",$A1881="thg-ingenuity",$A1881="thg-central-marketing",$A1881="thg-seoclarity"),"HOLD",TRUE,"")</f>
        <v>REVIEW</v>
      </c>
      <c r="R1881" t="str" cm="1">
        <f t="array" ref="R1881">_xlfn.IFS(AND($A1881="thg-beauty",ISNUMBER(SEARCH("liveramp",$C1881))),"thg-beauty Liveramp dataset — confirmed safe to delete",$A1881="agile-bonbon-662",_xlfn.IFS(LEFT($G1881,9)="Tranche 1","Tranche 1: cleared",$C1881="Sessions_Level_1_All_Sites","Downstream aggregation of UA raw logs — keep if raw tables go",ISNUMBER(--$C1881),"UA raw site logs (account ID) — keep pending audit-retention check",$C1881="Emag_Reporting","Legacy but likely needed",$C1881="Nutrition_Data_Archived_Tables","Worth keeping",$C1881="EU_Data","Static lookup tables — scripts still reference (smoke-test risk)",TRUE,"Review"),OR($A1881="thg-influencer",$A1881="thg-ingenuity",$A1881="thg-central-marketing",$A1881="thg-seoclarity"),"HOLD — Charlie Stringer to review before deletion",TRUE,"")</f>
        <v>Review</v>
      </c>
      <c r="S1881" t="s">
        <v>1631</v>
      </c>
    </row>
    <row r="1882" spans="1:19" ht="45.75" hidden="1">
      <c r="A1882" t="s">
        <v>89</v>
      </c>
      <c r="B1882" t="s">
        <v>1619</v>
      </c>
      <c r="C1882" t="s">
        <v>4204</v>
      </c>
      <c r="D1882" s="2" t="s">
        <v>1621</v>
      </c>
      <c r="E1882">
        <v>0.08</v>
      </c>
      <c r="F1882">
        <v>0</v>
      </c>
      <c r="G1882" t="s">
        <v>72</v>
      </c>
      <c r="H1882" t="s">
        <v>3457</v>
      </c>
      <c r="I1882">
        <v>35</v>
      </c>
      <c r="J1882">
        <v>1191</v>
      </c>
      <c r="K1882" s="5">
        <v>46161.617987685182</v>
      </c>
      <c r="M1882" s="2" t="s">
        <v>1957</v>
      </c>
      <c r="N1882" s="2" t="s">
        <v>1701</v>
      </c>
      <c r="O1882" s="5">
        <v>45006.412235162039</v>
      </c>
      <c r="P1882" t="str">
        <f>IF($Q1882="DELETE",IF($S1882="CONFIRMED: NO MODS &gt; 1YR","CONFIRMED: NO MODS &gt; 1YR","DO NOT DELETE — not defensibly confirmed"),IF($Q1882="HOLD","DO NOT DELETE — HOLD (Charlie review)",IF($Q1882="KEEP","DO NOT DELETE — KEEP",IF(ISNUMBER(SEARCH("REVIEW",$Q1882)),"DO NOT DELETE — REVIEW pending",$S1882))))</f>
        <v>DO NOT DELETE — REVIEW pending</v>
      </c>
      <c r="Q1882" t="str" cm="1">
        <f t="array" ref="Q1882">_xlfn.IFS(AND($A1882="thg-beauty",ISNUMBER(SEARCH("liveramp",$C1882))),"DELETE",$A1882="agile-bonbon-662",_xlfn.IFS(LEFT($G1882,9)="Tranche 1","DELETE",$C1882="Sessions_Level_1_All_Sites","KEEP",ISNUMBER(--$C1882),"REVIEW — UA raw logs",$C1882="Emag_Reporting","KEEP",$C1882="Nutrition_Data_Archived_Tables","KEEP",$C1882="EU_Data","KEEP",TRUE,"REVIEW"),OR($A1882="thg-influencer",$A1882="thg-ingenuity",$A1882="thg-central-marketing",$A1882="thg-seoclarity"),"HOLD",TRUE,"")</f>
        <v>REVIEW</v>
      </c>
      <c r="R1882" t="str" cm="1">
        <f t="array" ref="R1882">_xlfn.IFS(AND($A1882="thg-beauty",ISNUMBER(SEARCH("liveramp",$C1882))),"thg-beauty Liveramp dataset — confirmed safe to delete",$A1882="agile-bonbon-662",_xlfn.IFS(LEFT($G1882,9)="Tranche 1","Tranche 1: cleared",$C1882="Sessions_Level_1_All_Sites","Downstream aggregation of UA raw logs — keep if raw tables go",ISNUMBER(--$C1882),"UA raw site logs (account ID) — keep pending audit-retention check",$C1882="Emag_Reporting","Legacy but likely needed",$C1882="Nutrition_Data_Archived_Tables","Worth keeping",$C1882="EU_Data","Static lookup tables — scripts still reference (smoke-test risk)",TRUE,"Review"),OR($A1882="thg-influencer",$A1882="thg-ingenuity",$A1882="thg-central-marketing",$A1882="thg-seoclarity"),"HOLD — Charlie Stringer to review before deletion",TRUE,"")</f>
        <v>Review</v>
      </c>
      <c r="S1882" t="s">
        <v>1631</v>
      </c>
    </row>
    <row r="1883" spans="1:19" ht="45.75" hidden="1">
      <c r="A1883" t="s">
        <v>89</v>
      </c>
      <c r="B1883" t="s">
        <v>1619</v>
      </c>
      <c r="C1883" t="s">
        <v>4205</v>
      </c>
      <c r="D1883" s="2" t="s">
        <v>1621</v>
      </c>
      <c r="E1883">
        <v>0.08</v>
      </c>
      <c r="F1883">
        <v>0</v>
      </c>
      <c r="G1883" t="s">
        <v>72</v>
      </c>
      <c r="H1883" t="s">
        <v>3457</v>
      </c>
      <c r="I1883">
        <v>35</v>
      </c>
      <c r="J1883">
        <v>2689</v>
      </c>
      <c r="K1883" s="5">
        <v>46161.602355208342</v>
      </c>
      <c r="M1883" s="2" t="s">
        <v>3427</v>
      </c>
      <c r="N1883" s="2" t="s">
        <v>1701</v>
      </c>
      <c r="O1883" s="5">
        <v>43507.776378761577</v>
      </c>
      <c r="P1883" t="str">
        <f>IF($Q1883="DELETE",IF($S1883="CONFIRMED: NO MODS &gt; 1YR","CONFIRMED: NO MODS &gt; 1YR","DO NOT DELETE — not defensibly confirmed"),IF($Q1883="HOLD","DO NOT DELETE — HOLD (Charlie review)",IF($Q1883="KEEP","DO NOT DELETE — KEEP",IF(ISNUMBER(SEARCH("REVIEW",$Q1883)),"DO NOT DELETE — REVIEW pending",$S1883))))</f>
        <v>DO NOT DELETE — REVIEW pending</v>
      </c>
      <c r="Q1883" t="str" cm="1">
        <f t="array" ref="Q1883">_xlfn.IFS(AND($A1883="thg-beauty",ISNUMBER(SEARCH("liveramp",$C1883))),"DELETE",$A1883="agile-bonbon-662",_xlfn.IFS(LEFT($G1883,9)="Tranche 1","DELETE",$C1883="Sessions_Level_1_All_Sites","KEEP",ISNUMBER(--$C1883),"REVIEW — UA raw logs",$C1883="Emag_Reporting","KEEP",$C1883="Nutrition_Data_Archived_Tables","KEEP",$C1883="EU_Data","KEEP",TRUE,"REVIEW"),OR($A1883="thg-influencer",$A1883="thg-ingenuity",$A1883="thg-central-marketing",$A1883="thg-seoclarity"),"HOLD",TRUE,"")</f>
        <v>REVIEW — UA raw logs</v>
      </c>
      <c r="R1883" t="str" cm="1">
        <f t="array" ref="R1883">_xlfn.IFS(AND($A1883="thg-beauty",ISNUMBER(SEARCH("liveramp",$C1883))),"thg-beauty Liveramp dataset — confirmed safe to delete",$A1883="agile-bonbon-662",_xlfn.IFS(LEFT($G1883,9)="Tranche 1","Tranche 1: cleared",$C1883="Sessions_Level_1_All_Sites","Downstream aggregation of UA raw logs — keep if raw tables go",ISNUMBER(--$C1883),"UA raw site logs (account ID) — keep pending audit-retention check",$C1883="Emag_Reporting","Legacy but likely needed",$C1883="Nutrition_Data_Archived_Tables","Worth keeping",$C1883="EU_Data","Static lookup tables — scripts still reference (smoke-test risk)",TRUE,"Review"),OR($A1883="thg-influencer",$A1883="thg-ingenuity",$A1883="thg-central-marketing",$A1883="thg-seoclarity"),"HOLD — Charlie Stringer to review before deletion",TRUE,"")</f>
        <v>UA raw site logs (account ID) — keep pending audit-retention check</v>
      </c>
      <c r="S1883" t="s">
        <v>1631</v>
      </c>
    </row>
    <row r="1884" spans="1:19" ht="45.75" hidden="1">
      <c r="A1884" t="s">
        <v>89</v>
      </c>
      <c r="B1884" t="s">
        <v>1619</v>
      </c>
      <c r="C1884" t="s">
        <v>4206</v>
      </c>
      <c r="D1884" s="2" t="s">
        <v>1621</v>
      </c>
      <c r="E1884">
        <v>0.08</v>
      </c>
      <c r="F1884">
        <v>0</v>
      </c>
      <c r="G1884" t="s">
        <v>72</v>
      </c>
      <c r="H1884" t="s">
        <v>3457</v>
      </c>
      <c r="I1884">
        <v>35</v>
      </c>
      <c r="J1884">
        <v>2695</v>
      </c>
      <c r="K1884" s="5">
        <v>46161.583234999998</v>
      </c>
      <c r="M1884" s="2" t="s">
        <v>3435</v>
      </c>
      <c r="N1884" s="2" t="s">
        <v>1701</v>
      </c>
      <c r="O1884" s="5">
        <v>43501.580594537038</v>
      </c>
      <c r="P1884" t="str">
        <f>IF($Q1884="DELETE",IF($S1884="CONFIRMED: NO MODS &gt; 1YR","CONFIRMED: NO MODS &gt; 1YR","DO NOT DELETE — not defensibly confirmed"),IF($Q1884="HOLD","DO NOT DELETE — HOLD (Charlie review)",IF($Q1884="KEEP","DO NOT DELETE — KEEP",IF(ISNUMBER(SEARCH("REVIEW",$Q1884)),"DO NOT DELETE — REVIEW pending",$S1884))))</f>
        <v>DO NOT DELETE — REVIEW pending</v>
      </c>
      <c r="Q1884" t="str" cm="1">
        <f t="array" ref="Q1884">_xlfn.IFS(AND($A1884="thg-beauty",ISNUMBER(SEARCH("liveramp",$C1884))),"DELETE",$A1884="agile-bonbon-662",_xlfn.IFS(LEFT($G1884,9)="Tranche 1","DELETE",$C1884="Sessions_Level_1_All_Sites","KEEP",ISNUMBER(--$C1884),"REVIEW — UA raw logs",$C1884="Emag_Reporting","KEEP",$C1884="Nutrition_Data_Archived_Tables","KEEP",$C1884="EU_Data","KEEP",TRUE,"REVIEW"),OR($A1884="thg-influencer",$A1884="thg-ingenuity",$A1884="thg-central-marketing",$A1884="thg-seoclarity"),"HOLD",TRUE,"")</f>
        <v>REVIEW — UA raw logs</v>
      </c>
      <c r="R1884" t="str" cm="1">
        <f t="array" ref="R1884">_xlfn.IFS(AND($A1884="thg-beauty",ISNUMBER(SEARCH("liveramp",$C1884))),"thg-beauty Liveramp dataset — confirmed safe to delete",$A1884="agile-bonbon-662",_xlfn.IFS(LEFT($G1884,9)="Tranche 1","Tranche 1: cleared",$C1884="Sessions_Level_1_All_Sites","Downstream aggregation of UA raw logs — keep if raw tables go",ISNUMBER(--$C1884),"UA raw site logs (account ID) — keep pending audit-retention check",$C1884="Emag_Reporting","Legacy but likely needed",$C1884="Nutrition_Data_Archived_Tables","Worth keeping",$C1884="EU_Data","Static lookup tables — scripts still reference (smoke-test risk)",TRUE,"Review"),OR($A1884="thg-influencer",$A1884="thg-ingenuity",$A1884="thg-central-marketing",$A1884="thg-seoclarity"),"HOLD — Charlie Stringer to review before deletion",TRUE,"")</f>
        <v>UA raw site logs (account ID) — keep pending audit-retention check</v>
      </c>
      <c r="S1884" t="s">
        <v>1631</v>
      </c>
    </row>
    <row r="1885" spans="1:19" ht="45.75" hidden="1">
      <c r="A1885" t="s">
        <v>89</v>
      </c>
      <c r="B1885" t="s">
        <v>1619</v>
      </c>
      <c r="C1885" t="s">
        <v>4207</v>
      </c>
      <c r="D1885" s="2" t="s">
        <v>1621</v>
      </c>
      <c r="E1885">
        <v>7.0000000000000007E-2</v>
      </c>
      <c r="F1885">
        <v>0</v>
      </c>
      <c r="G1885" t="s">
        <v>72</v>
      </c>
      <c r="H1885" t="s">
        <v>3457</v>
      </c>
      <c r="I1885">
        <v>35</v>
      </c>
      <c r="J1885">
        <v>2695</v>
      </c>
      <c r="K1885" s="5">
        <v>46161.584220474528</v>
      </c>
      <c r="M1885" s="2" t="s">
        <v>3417</v>
      </c>
      <c r="N1885" s="2" t="s">
        <v>1701</v>
      </c>
      <c r="O1885" s="5">
        <v>43501.593953495372</v>
      </c>
      <c r="P1885" t="str">
        <f>IF($Q1885="DELETE",IF($S1885="CONFIRMED: NO MODS &gt; 1YR","CONFIRMED: NO MODS &gt; 1YR","DO NOT DELETE — not defensibly confirmed"),IF($Q1885="HOLD","DO NOT DELETE — HOLD (Charlie review)",IF($Q1885="KEEP","DO NOT DELETE — KEEP",IF(ISNUMBER(SEARCH("REVIEW",$Q1885)),"DO NOT DELETE — REVIEW pending",$S1885))))</f>
        <v>DO NOT DELETE — REVIEW pending</v>
      </c>
      <c r="Q1885" t="str" cm="1">
        <f t="array" ref="Q1885">_xlfn.IFS(AND($A1885="thg-beauty",ISNUMBER(SEARCH("liveramp",$C1885))),"DELETE",$A1885="agile-bonbon-662",_xlfn.IFS(LEFT($G1885,9)="Tranche 1","DELETE",$C1885="Sessions_Level_1_All_Sites","KEEP",ISNUMBER(--$C1885),"REVIEW — UA raw logs",$C1885="Emag_Reporting","KEEP",$C1885="Nutrition_Data_Archived_Tables","KEEP",$C1885="EU_Data","KEEP",TRUE,"REVIEW"),OR($A1885="thg-influencer",$A1885="thg-ingenuity",$A1885="thg-central-marketing",$A1885="thg-seoclarity"),"HOLD",TRUE,"")</f>
        <v>REVIEW — UA raw logs</v>
      </c>
      <c r="R1885" t="str" cm="1">
        <f t="array" ref="R1885">_xlfn.IFS(AND($A1885="thg-beauty",ISNUMBER(SEARCH("liveramp",$C1885))),"thg-beauty Liveramp dataset — confirmed safe to delete",$A1885="agile-bonbon-662",_xlfn.IFS(LEFT($G1885,9)="Tranche 1","Tranche 1: cleared",$C1885="Sessions_Level_1_All_Sites","Downstream aggregation of UA raw logs — keep if raw tables go",ISNUMBER(--$C1885),"UA raw site logs (account ID) — keep pending audit-retention check",$C1885="Emag_Reporting","Legacy but likely needed",$C1885="Nutrition_Data_Archived_Tables","Worth keeping",$C1885="EU_Data","Static lookup tables — scripts still reference (smoke-test risk)",TRUE,"Review"),OR($A1885="thg-influencer",$A1885="thg-ingenuity",$A1885="thg-central-marketing",$A1885="thg-seoclarity"),"HOLD — Charlie Stringer to review before deletion",TRUE,"")</f>
        <v>UA raw site logs (account ID) — keep pending audit-retention check</v>
      </c>
      <c r="S1885" t="s">
        <v>1631</v>
      </c>
    </row>
    <row r="1886" spans="1:19" ht="45.75" hidden="1">
      <c r="A1886" t="s">
        <v>89</v>
      </c>
      <c r="B1886" t="s">
        <v>1619</v>
      </c>
      <c r="C1886" t="s">
        <v>4208</v>
      </c>
      <c r="D1886" s="2" t="s">
        <v>1621</v>
      </c>
      <c r="E1886">
        <v>7.0000000000000007E-2</v>
      </c>
      <c r="F1886">
        <v>0</v>
      </c>
      <c r="G1886" t="s">
        <v>72</v>
      </c>
      <c r="H1886" t="s">
        <v>3457</v>
      </c>
      <c r="I1886">
        <v>35</v>
      </c>
      <c r="J1886">
        <v>2663</v>
      </c>
      <c r="K1886" s="5">
        <v>46161.603777604163</v>
      </c>
      <c r="M1886" s="2" t="s">
        <v>3425</v>
      </c>
      <c r="N1886" s="2" t="s">
        <v>1701</v>
      </c>
      <c r="O1886" s="5">
        <v>43534.262463194442</v>
      </c>
      <c r="P1886" t="str">
        <f>IF($Q1886="DELETE",IF($S1886="CONFIRMED: NO MODS &gt; 1YR","CONFIRMED: NO MODS &gt; 1YR","DO NOT DELETE — not defensibly confirmed"),IF($Q1886="HOLD","DO NOT DELETE — HOLD (Charlie review)",IF($Q1886="KEEP","DO NOT DELETE — KEEP",IF(ISNUMBER(SEARCH("REVIEW",$Q1886)),"DO NOT DELETE — REVIEW pending",$S1886))))</f>
        <v>DO NOT DELETE — REVIEW pending</v>
      </c>
      <c r="Q1886" t="str" cm="1">
        <f t="array" ref="Q1886">_xlfn.IFS(AND($A1886="thg-beauty",ISNUMBER(SEARCH("liveramp",$C1886))),"DELETE",$A1886="agile-bonbon-662",_xlfn.IFS(LEFT($G1886,9)="Tranche 1","DELETE",$C1886="Sessions_Level_1_All_Sites","KEEP",ISNUMBER(--$C1886),"REVIEW — UA raw logs",$C1886="Emag_Reporting","KEEP",$C1886="Nutrition_Data_Archived_Tables","KEEP",$C1886="EU_Data","KEEP",TRUE,"REVIEW"),OR($A1886="thg-influencer",$A1886="thg-ingenuity",$A1886="thg-central-marketing",$A1886="thg-seoclarity"),"HOLD",TRUE,"")</f>
        <v>REVIEW — UA raw logs</v>
      </c>
      <c r="R1886" t="str" cm="1">
        <f t="array" ref="R1886">_xlfn.IFS(AND($A1886="thg-beauty",ISNUMBER(SEARCH("liveramp",$C1886))),"thg-beauty Liveramp dataset — confirmed safe to delete",$A1886="agile-bonbon-662",_xlfn.IFS(LEFT($G1886,9)="Tranche 1","Tranche 1: cleared",$C1886="Sessions_Level_1_All_Sites","Downstream aggregation of UA raw logs — keep if raw tables go",ISNUMBER(--$C1886),"UA raw site logs (account ID) — keep pending audit-retention check",$C1886="Emag_Reporting","Legacy but likely needed",$C1886="Nutrition_Data_Archived_Tables","Worth keeping",$C1886="EU_Data","Static lookup tables — scripts still reference (smoke-test risk)",TRUE,"Review"),OR($A1886="thg-influencer",$A1886="thg-ingenuity",$A1886="thg-central-marketing",$A1886="thg-seoclarity"),"HOLD — Charlie Stringer to review before deletion",TRUE,"")</f>
        <v>UA raw site logs (account ID) — keep pending audit-retention check</v>
      </c>
      <c r="S1886" t="s">
        <v>1631</v>
      </c>
    </row>
    <row r="1887" spans="1:19" ht="76.5" hidden="1">
      <c r="A1887" t="s">
        <v>89</v>
      </c>
      <c r="B1887" t="s">
        <v>1619</v>
      </c>
      <c r="C1887" t="s">
        <v>4209</v>
      </c>
      <c r="D1887" s="2" t="s">
        <v>1621</v>
      </c>
      <c r="E1887">
        <v>7.0000000000000007E-2</v>
      </c>
      <c r="F1887">
        <v>0</v>
      </c>
      <c r="G1887" t="s">
        <v>72</v>
      </c>
      <c r="H1887" t="s">
        <v>3457</v>
      </c>
      <c r="I1887">
        <v>35</v>
      </c>
      <c r="J1887">
        <v>2065</v>
      </c>
      <c r="K1887" s="5">
        <v>46161.580342754627</v>
      </c>
      <c r="M1887" s="2" t="s">
        <v>1989</v>
      </c>
      <c r="N1887" s="2" t="s">
        <v>1701</v>
      </c>
      <c r="O1887" s="5">
        <v>44132.356512314807</v>
      </c>
      <c r="P1887" t="str">
        <f>IF($Q1887="DELETE",IF($S1887="CONFIRMED: NO MODS &gt; 1YR","CONFIRMED: NO MODS &gt; 1YR","DO NOT DELETE — not defensibly confirmed"),IF($Q1887="HOLD","DO NOT DELETE — HOLD (Charlie review)",IF($Q1887="KEEP","DO NOT DELETE — KEEP",IF(ISNUMBER(SEARCH("REVIEW",$Q1887)),"DO NOT DELETE — REVIEW pending",$S1887))))</f>
        <v>DO NOT DELETE — REVIEW pending</v>
      </c>
      <c r="Q1887" t="str" cm="1">
        <f t="array" ref="Q1887">_xlfn.IFS(AND($A1887="thg-beauty",ISNUMBER(SEARCH("liveramp",$C1887))),"DELETE",$A1887="agile-bonbon-662",_xlfn.IFS(LEFT($G1887,9)="Tranche 1","DELETE",$C1887="Sessions_Level_1_All_Sites","KEEP",ISNUMBER(--$C1887),"REVIEW — UA raw logs",$C1887="Emag_Reporting","KEEP",$C1887="Nutrition_Data_Archived_Tables","KEEP",$C1887="EU_Data","KEEP",TRUE,"REVIEW"),OR($A1887="thg-influencer",$A1887="thg-ingenuity",$A1887="thg-central-marketing",$A1887="thg-seoclarity"),"HOLD",TRUE,"")</f>
        <v>REVIEW</v>
      </c>
      <c r="R1887" t="str" cm="1">
        <f t="array" ref="R1887">_xlfn.IFS(AND($A1887="thg-beauty",ISNUMBER(SEARCH("liveramp",$C1887))),"thg-beauty Liveramp dataset — confirmed safe to delete",$A1887="agile-bonbon-662",_xlfn.IFS(LEFT($G1887,9)="Tranche 1","Tranche 1: cleared",$C1887="Sessions_Level_1_All_Sites","Downstream aggregation of UA raw logs — keep if raw tables go",ISNUMBER(--$C1887),"UA raw site logs (account ID) — keep pending audit-retention check",$C1887="Emag_Reporting","Legacy but likely needed",$C1887="Nutrition_Data_Archived_Tables","Worth keeping",$C1887="EU_Data","Static lookup tables — scripts still reference (smoke-test risk)",TRUE,"Review"),OR($A1887="thg-influencer",$A1887="thg-ingenuity",$A1887="thg-central-marketing",$A1887="thg-seoclarity"),"HOLD — Charlie Stringer to review before deletion",TRUE,"")</f>
        <v>Review</v>
      </c>
      <c r="S1887" t="s">
        <v>1631</v>
      </c>
    </row>
    <row r="1888" spans="1:19" ht="45.75" hidden="1">
      <c r="A1888" t="s">
        <v>89</v>
      </c>
      <c r="B1888" t="s">
        <v>1619</v>
      </c>
      <c r="C1888" t="s">
        <v>4210</v>
      </c>
      <c r="D1888" s="2" t="s">
        <v>1621</v>
      </c>
      <c r="E1888">
        <v>7.0000000000000007E-2</v>
      </c>
      <c r="F1888">
        <v>0</v>
      </c>
      <c r="G1888" t="s">
        <v>72</v>
      </c>
      <c r="H1888" t="s">
        <v>3457</v>
      </c>
      <c r="I1888">
        <v>35</v>
      </c>
      <c r="J1888">
        <v>1202</v>
      </c>
      <c r="K1888" s="5">
        <v>46161.618065046299</v>
      </c>
      <c r="M1888" s="2" t="s">
        <v>1987</v>
      </c>
      <c r="N1888" s="2" t="s">
        <v>1701</v>
      </c>
      <c r="O1888" s="5">
        <v>44995.081094837973</v>
      </c>
      <c r="P1888" t="str">
        <f>IF($Q1888="DELETE",IF($S1888="CONFIRMED: NO MODS &gt; 1YR","CONFIRMED: NO MODS &gt; 1YR","DO NOT DELETE — not defensibly confirmed"),IF($Q1888="HOLD","DO NOT DELETE — HOLD (Charlie review)",IF($Q1888="KEEP","DO NOT DELETE — KEEP",IF(ISNUMBER(SEARCH("REVIEW",$Q1888)),"DO NOT DELETE — REVIEW pending",$S1888))))</f>
        <v>DO NOT DELETE — REVIEW pending</v>
      </c>
      <c r="Q1888" t="str" cm="1">
        <f t="array" ref="Q1888">_xlfn.IFS(AND($A1888="thg-beauty",ISNUMBER(SEARCH("liveramp",$C1888))),"DELETE",$A1888="agile-bonbon-662",_xlfn.IFS(LEFT($G1888,9)="Tranche 1","DELETE",$C1888="Sessions_Level_1_All_Sites","KEEP",ISNUMBER(--$C1888),"REVIEW — UA raw logs",$C1888="Emag_Reporting","KEEP",$C1888="Nutrition_Data_Archived_Tables","KEEP",$C1888="EU_Data","KEEP",TRUE,"REVIEW"),OR($A1888="thg-influencer",$A1888="thg-ingenuity",$A1888="thg-central-marketing",$A1888="thg-seoclarity"),"HOLD",TRUE,"")</f>
        <v>REVIEW</v>
      </c>
      <c r="R1888" t="str" cm="1">
        <f t="array" ref="R1888">_xlfn.IFS(AND($A1888="thg-beauty",ISNUMBER(SEARCH("liveramp",$C1888))),"thg-beauty Liveramp dataset — confirmed safe to delete",$A1888="agile-bonbon-662",_xlfn.IFS(LEFT($G1888,9)="Tranche 1","Tranche 1: cleared",$C1888="Sessions_Level_1_All_Sites","Downstream aggregation of UA raw logs — keep if raw tables go",ISNUMBER(--$C1888),"UA raw site logs (account ID) — keep pending audit-retention check",$C1888="Emag_Reporting","Legacy but likely needed",$C1888="Nutrition_Data_Archived_Tables","Worth keeping",$C1888="EU_Data","Static lookup tables — scripts still reference (smoke-test risk)",TRUE,"Review"),OR($A1888="thg-influencer",$A1888="thg-ingenuity",$A1888="thg-central-marketing",$A1888="thg-seoclarity"),"HOLD — Charlie Stringer to review before deletion",TRUE,"")</f>
        <v>Review</v>
      </c>
      <c r="S1888" t="s">
        <v>1631</v>
      </c>
    </row>
    <row r="1889" spans="1:19" ht="45.75" hidden="1">
      <c r="A1889" t="s">
        <v>89</v>
      </c>
      <c r="B1889" t="s">
        <v>1619</v>
      </c>
      <c r="C1889" t="s">
        <v>4211</v>
      </c>
      <c r="D1889" s="2" t="s">
        <v>1621</v>
      </c>
      <c r="E1889">
        <v>7.0000000000000007E-2</v>
      </c>
      <c r="F1889">
        <v>0</v>
      </c>
      <c r="G1889" t="s">
        <v>72</v>
      </c>
      <c r="H1889" t="s">
        <v>3457</v>
      </c>
      <c r="I1889">
        <v>35</v>
      </c>
      <c r="J1889">
        <v>2699</v>
      </c>
      <c r="K1889" s="5">
        <v>46161.603669918979</v>
      </c>
      <c r="M1889" s="2" t="s">
        <v>3425</v>
      </c>
      <c r="N1889" s="2" t="s">
        <v>1701</v>
      </c>
      <c r="O1889" s="5">
        <v>43497.570474456021</v>
      </c>
      <c r="P1889" t="str">
        <f>IF($Q1889="DELETE",IF($S1889="CONFIRMED: NO MODS &gt; 1YR","CONFIRMED: NO MODS &gt; 1YR","DO NOT DELETE — not defensibly confirmed"),IF($Q1889="HOLD","DO NOT DELETE — HOLD (Charlie review)",IF($Q1889="KEEP","DO NOT DELETE — KEEP",IF(ISNUMBER(SEARCH("REVIEW",$Q1889)),"DO NOT DELETE — REVIEW pending",$S1889))))</f>
        <v>DO NOT DELETE — REVIEW pending</v>
      </c>
      <c r="Q1889" t="str" cm="1">
        <f t="array" ref="Q1889">_xlfn.IFS(AND($A1889="thg-beauty",ISNUMBER(SEARCH("liveramp",$C1889))),"DELETE",$A1889="agile-bonbon-662",_xlfn.IFS(LEFT($G1889,9)="Tranche 1","DELETE",$C1889="Sessions_Level_1_All_Sites","KEEP",ISNUMBER(--$C1889),"REVIEW — UA raw logs",$C1889="Emag_Reporting","KEEP",$C1889="Nutrition_Data_Archived_Tables","KEEP",$C1889="EU_Data","KEEP",TRUE,"REVIEW"),OR($A1889="thg-influencer",$A1889="thg-ingenuity",$A1889="thg-central-marketing",$A1889="thg-seoclarity"),"HOLD",TRUE,"")</f>
        <v>REVIEW — UA raw logs</v>
      </c>
      <c r="R1889" t="str" cm="1">
        <f t="array" ref="R1889">_xlfn.IFS(AND($A1889="thg-beauty",ISNUMBER(SEARCH("liveramp",$C1889))),"thg-beauty Liveramp dataset — confirmed safe to delete",$A1889="agile-bonbon-662",_xlfn.IFS(LEFT($G1889,9)="Tranche 1","Tranche 1: cleared",$C1889="Sessions_Level_1_All_Sites","Downstream aggregation of UA raw logs — keep if raw tables go",ISNUMBER(--$C1889),"UA raw site logs (account ID) — keep pending audit-retention check",$C1889="Emag_Reporting","Legacy but likely needed",$C1889="Nutrition_Data_Archived_Tables","Worth keeping",$C1889="EU_Data","Static lookup tables — scripts still reference (smoke-test risk)",TRUE,"Review"),OR($A1889="thg-influencer",$A1889="thg-ingenuity",$A1889="thg-central-marketing",$A1889="thg-seoclarity"),"HOLD — Charlie Stringer to review before deletion",TRUE,"")</f>
        <v>UA raw site logs (account ID) — keep pending audit-retention check</v>
      </c>
      <c r="S1889" t="s">
        <v>1631</v>
      </c>
    </row>
    <row r="1890" spans="1:19" ht="45.75" hidden="1">
      <c r="A1890" t="s">
        <v>89</v>
      </c>
      <c r="B1890" t="s">
        <v>1619</v>
      </c>
      <c r="C1890" t="s">
        <v>4212</v>
      </c>
      <c r="D1890" s="2" t="s">
        <v>4213</v>
      </c>
      <c r="E1890">
        <v>7.0000000000000007E-2</v>
      </c>
      <c r="F1890">
        <v>0</v>
      </c>
      <c r="G1890" t="s">
        <v>72</v>
      </c>
      <c r="H1890" t="s">
        <v>3457</v>
      </c>
      <c r="I1890">
        <v>35</v>
      </c>
      <c r="J1890">
        <v>2202</v>
      </c>
      <c r="K1890" s="5">
        <v>46161.613135312502</v>
      </c>
      <c r="M1890" s="2" t="s">
        <v>2078</v>
      </c>
      <c r="N1890" s="2" t="s">
        <v>1701</v>
      </c>
      <c r="O1890" s="5">
        <v>43994.473721377311</v>
      </c>
      <c r="P1890" t="str">
        <f>IF($Q1890="DELETE",IF($S1890="CONFIRMED: NO MODS &gt; 1YR","CONFIRMED: NO MODS &gt; 1YR","DO NOT DELETE — not defensibly confirmed"),IF($Q1890="HOLD","DO NOT DELETE — HOLD (Charlie review)",IF($Q1890="KEEP","DO NOT DELETE — KEEP",IF(ISNUMBER(SEARCH("REVIEW",$Q1890)),"DO NOT DELETE — REVIEW pending",$S1890))))</f>
        <v>DO NOT DELETE — REVIEW pending</v>
      </c>
      <c r="Q1890" t="str" cm="1">
        <f t="array" ref="Q1890">_xlfn.IFS(AND($A1890="thg-beauty",ISNUMBER(SEARCH("liveramp",$C1890))),"DELETE",$A1890="agile-bonbon-662",_xlfn.IFS(LEFT($G1890,9)="Tranche 1","DELETE",$C1890="Sessions_Level_1_All_Sites","KEEP",ISNUMBER(--$C1890),"REVIEW — UA raw logs",$C1890="Emag_Reporting","KEEP",$C1890="Nutrition_Data_Archived_Tables","KEEP",$C1890="EU_Data","KEEP",TRUE,"REVIEW"),OR($A1890="thg-influencer",$A1890="thg-ingenuity",$A1890="thg-central-marketing",$A1890="thg-seoclarity"),"HOLD",TRUE,"")</f>
        <v>REVIEW</v>
      </c>
      <c r="R1890" t="str" cm="1">
        <f t="array" ref="R1890">_xlfn.IFS(AND($A1890="thg-beauty",ISNUMBER(SEARCH("liveramp",$C1890))),"thg-beauty Liveramp dataset — confirmed safe to delete",$A1890="agile-bonbon-662",_xlfn.IFS(LEFT($G1890,9)="Tranche 1","Tranche 1: cleared",$C1890="Sessions_Level_1_All_Sites","Downstream aggregation of UA raw logs — keep if raw tables go",ISNUMBER(--$C1890),"UA raw site logs (account ID) — keep pending audit-retention check",$C1890="Emag_Reporting","Legacy but likely needed",$C1890="Nutrition_Data_Archived_Tables","Worth keeping",$C1890="EU_Data","Static lookup tables — scripts still reference (smoke-test risk)",TRUE,"Review"),OR($A1890="thg-influencer",$A1890="thg-ingenuity",$A1890="thg-central-marketing",$A1890="thg-seoclarity"),"HOLD — Charlie Stringer to review before deletion",TRUE,"")</f>
        <v>Review</v>
      </c>
      <c r="S1890" t="s">
        <v>1631</v>
      </c>
    </row>
    <row r="1891" spans="1:19" ht="45.75" hidden="1">
      <c r="A1891" t="s">
        <v>89</v>
      </c>
      <c r="B1891" t="s">
        <v>1619</v>
      </c>
      <c r="C1891" t="s">
        <v>4214</v>
      </c>
      <c r="D1891" s="2" t="s">
        <v>1621</v>
      </c>
      <c r="E1891">
        <v>7.0000000000000007E-2</v>
      </c>
      <c r="F1891">
        <v>0</v>
      </c>
      <c r="G1891" t="s">
        <v>72</v>
      </c>
      <c r="H1891" t="s">
        <v>3457</v>
      </c>
      <c r="I1891">
        <v>35</v>
      </c>
      <c r="J1891">
        <v>1966</v>
      </c>
      <c r="K1891" s="5">
        <v>46161.621249965283</v>
      </c>
      <c r="M1891" s="2" t="s">
        <v>1960</v>
      </c>
      <c r="N1891" s="2" t="s">
        <v>1701</v>
      </c>
      <c r="O1891" s="5">
        <v>44230.52805494213</v>
      </c>
      <c r="P1891" t="str">
        <f>IF($Q1891="DELETE",IF($S1891="CONFIRMED: NO MODS &gt; 1YR","CONFIRMED: NO MODS &gt; 1YR","DO NOT DELETE — not defensibly confirmed"),IF($Q1891="HOLD","DO NOT DELETE — HOLD (Charlie review)",IF($Q1891="KEEP","DO NOT DELETE — KEEP",IF(ISNUMBER(SEARCH("REVIEW",$Q1891)),"DO NOT DELETE — REVIEW pending",$S1891))))</f>
        <v>DO NOT DELETE — REVIEW pending</v>
      </c>
      <c r="Q1891" t="str" cm="1">
        <f t="array" ref="Q1891">_xlfn.IFS(AND($A1891="thg-beauty",ISNUMBER(SEARCH("liveramp",$C1891))),"DELETE",$A1891="agile-bonbon-662",_xlfn.IFS(LEFT($G1891,9)="Tranche 1","DELETE",$C1891="Sessions_Level_1_All_Sites","KEEP",ISNUMBER(--$C1891),"REVIEW — UA raw logs",$C1891="Emag_Reporting","KEEP",$C1891="Nutrition_Data_Archived_Tables","KEEP",$C1891="EU_Data","KEEP",TRUE,"REVIEW"),OR($A1891="thg-influencer",$A1891="thg-ingenuity",$A1891="thg-central-marketing",$A1891="thg-seoclarity"),"HOLD",TRUE,"")</f>
        <v>REVIEW</v>
      </c>
      <c r="R1891" t="str" cm="1">
        <f t="array" ref="R1891">_xlfn.IFS(AND($A1891="thg-beauty",ISNUMBER(SEARCH("liveramp",$C1891))),"thg-beauty Liveramp dataset — confirmed safe to delete",$A1891="agile-bonbon-662",_xlfn.IFS(LEFT($G1891,9)="Tranche 1","Tranche 1: cleared",$C1891="Sessions_Level_1_All_Sites","Downstream aggregation of UA raw logs — keep if raw tables go",ISNUMBER(--$C1891),"UA raw site logs (account ID) — keep pending audit-retention check",$C1891="Emag_Reporting","Legacy but likely needed",$C1891="Nutrition_Data_Archived_Tables","Worth keeping",$C1891="EU_Data","Static lookup tables — scripts still reference (smoke-test risk)",TRUE,"Review"),OR($A1891="thg-influencer",$A1891="thg-ingenuity",$A1891="thg-central-marketing",$A1891="thg-seoclarity"),"HOLD — Charlie Stringer to review before deletion",TRUE,"")</f>
        <v>Review</v>
      </c>
      <c r="S1891" t="s">
        <v>1631</v>
      </c>
    </row>
    <row r="1892" spans="1:19" ht="45.75" hidden="1">
      <c r="A1892" t="s">
        <v>89</v>
      </c>
      <c r="B1892" t="s">
        <v>1619</v>
      </c>
      <c r="C1892" t="s">
        <v>4215</v>
      </c>
      <c r="D1892" s="2" t="s">
        <v>1621</v>
      </c>
      <c r="E1892">
        <v>0.06</v>
      </c>
      <c r="F1892">
        <v>0</v>
      </c>
      <c r="G1892" t="s">
        <v>72</v>
      </c>
      <c r="H1892" t="s">
        <v>3457</v>
      </c>
      <c r="I1892">
        <v>35</v>
      </c>
      <c r="J1892">
        <v>1189</v>
      </c>
      <c r="K1892" s="5">
        <v>46161.618039097222</v>
      </c>
      <c r="M1892" s="2" t="s">
        <v>1957</v>
      </c>
      <c r="N1892" s="2" t="s">
        <v>1701</v>
      </c>
      <c r="O1892" s="5">
        <v>45007.735614826393</v>
      </c>
      <c r="P1892" t="str">
        <f>IF($Q1892="DELETE",IF($S1892="CONFIRMED: NO MODS &gt; 1YR","CONFIRMED: NO MODS &gt; 1YR","DO NOT DELETE — not defensibly confirmed"),IF($Q1892="HOLD","DO NOT DELETE — HOLD (Charlie review)",IF($Q1892="KEEP","DO NOT DELETE — KEEP",IF(ISNUMBER(SEARCH("REVIEW",$Q1892)),"DO NOT DELETE — REVIEW pending",$S1892))))</f>
        <v>DO NOT DELETE — REVIEW pending</v>
      </c>
      <c r="Q1892" t="str" cm="1">
        <f t="array" ref="Q1892">_xlfn.IFS(AND($A1892="thg-beauty",ISNUMBER(SEARCH("liveramp",$C1892))),"DELETE",$A1892="agile-bonbon-662",_xlfn.IFS(LEFT($G1892,9)="Tranche 1","DELETE",$C1892="Sessions_Level_1_All_Sites","KEEP",ISNUMBER(--$C1892),"REVIEW — UA raw logs",$C1892="Emag_Reporting","KEEP",$C1892="Nutrition_Data_Archived_Tables","KEEP",$C1892="EU_Data","KEEP",TRUE,"REVIEW"),OR($A1892="thg-influencer",$A1892="thg-ingenuity",$A1892="thg-central-marketing",$A1892="thg-seoclarity"),"HOLD",TRUE,"")</f>
        <v>REVIEW</v>
      </c>
      <c r="R1892" t="str" cm="1">
        <f t="array" ref="R1892">_xlfn.IFS(AND($A1892="thg-beauty",ISNUMBER(SEARCH("liveramp",$C1892))),"thg-beauty Liveramp dataset — confirmed safe to delete",$A1892="agile-bonbon-662",_xlfn.IFS(LEFT($G1892,9)="Tranche 1","Tranche 1: cleared",$C1892="Sessions_Level_1_All_Sites","Downstream aggregation of UA raw logs — keep if raw tables go",ISNUMBER(--$C1892),"UA raw site logs (account ID) — keep pending audit-retention check",$C1892="Emag_Reporting","Legacy but likely needed",$C1892="Nutrition_Data_Archived_Tables","Worth keeping",$C1892="EU_Data","Static lookup tables — scripts still reference (smoke-test risk)",TRUE,"Review"),OR($A1892="thg-influencer",$A1892="thg-ingenuity",$A1892="thg-central-marketing",$A1892="thg-seoclarity"),"HOLD — Charlie Stringer to review before deletion",TRUE,"")</f>
        <v>Review</v>
      </c>
      <c r="S1892" t="s">
        <v>1631</v>
      </c>
    </row>
    <row r="1893" spans="1:19" ht="45.75" hidden="1">
      <c r="A1893" t="s">
        <v>89</v>
      </c>
      <c r="B1893" t="s">
        <v>1619</v>
      </c>
      <c r="C1893" t="s">
        <v>4216</v>
      </c>
      <c r="D1893" s="2" t="s">
        <v>1621</v>
      </c>
      <c r="E1893">
        <v>0.06</v>
      </c>
      <c r="F1893">
        <v>0</v>
      </c>
      <c r="G1893" t="s">
        <v>72</v>
      </c>
      <c r="H1893" t="s">
        <v>3457</v>
      </c>
      <c r="I1893">
        <v>35</v>
      </c>
      <c r="J1893">
        <v>1966</v>
      </c>
      <c r="K1893" s="5">
        <v>46161.62138271991</v>
      </c>
      <c r="M1893" s="2" t="s">
        <v>1960</v>
      </c>
      <c r="N1893" s="2" t="s">
        <v>1701</v>
      </c>
      <c r="O1893" s="5">
        <v>44230.53118366898</v>
      </c>
      <c r="P1893" t="str">
        <f>IF($Q1893="DELETE",IF($S1893="CONFIRMED: NO MODS &gt; 1YR","CONFIRMED: NO MODS &gt; 1YR","DO NOT DELETE — not defensibly confirmed"),IF($Q1893="HOLD","DO NOT DELETE — HOLD (Charlie review)",IF($Q1893="KEEP","DO NOT DELETE — KEEP",IF(ISNUMBER(SEARCH("REVIEW",$Q1893)),"DO NOT DELETE — REVIEW pending",$S1893))))</f>
        <v>DO NOT DELETE — REVIEW pending</v>
      </c>
      <c r="Q1893" t="str" cm="1">
        <f t="array" ref="Q1893">_xlfn.IFS(AND($A1893="thg-beauty",ISNUMBER(SEARCH("liveramp",$C1893))),"DELETE",$A1893="agile-bonbon-662",_xlfn.IFS(LEFT($G1893,9)="Tranche 1","DELETE",$C1893="Sessions_Level_1_All_Sites","KEEP",ISNUMBER(--$C1893),"REVIEW — UA raw logs",$C1893="Emag_Reporting","KEEP",$C1893="Nutrition_Data_Archived_Tables","KEEP",$C1893="EU_Data","KEEP",TRUE,"REVIEW"),OR($A1893="thg-influencer",$A1893="thg-ingenuity",$A1893="thg-central-marketing",$A1893="thg-seoclarity"),"HOLD",TRUE,"")</f>
        <v>REVIEW</v>
      </c>
      <c r="R1893" t="str" cm="1">
        <f t="array" ref="R1893">_xlfn.IFS(AND($A1893="thg-beauty",ISNUMBER(SEARCH("liveramp",$C1893))),"thg-beauty Liveramp dataset — confirmed safe to delete",$A1893="agile-bonbon-662",_xlfn.IFS(LEFT($G1893,9)="Tranche 1","Tranche 1: cleared",$C1893="Sessions_Level_1_All_Sites","Downstream aggregation of UA raw logs — keep if raw tables go",ISNUMBER(--$C1893),"UA raw site logs (account ID) — keep pending audit-retention check",$C1893="Emag_Reporting","Legacy but likely needed",$C1893="Nutrition_Data_Archived_Tables","Worth keeping",$C1893="EU_Data","Static lookup tables — scripts still reference (smoke-test risk)",TRUE,"Review"),OR($A1893="thg-influencer",$A1893="thg-ingenuity",$A1893="thg-central-marketing",$A1893="thg-seoclarity"),"HOLD — Charlie Stringer to review before deletion",TRUE,"")</f>
        <v>Review</v>
      </c>
      <c r="S1893" t="s">
        <v>1624</v>
      </c>
    </row>
    <row r="1894" spans="1:19" ht="45.75" hidden="1">
      <c r="A1894" t="s">
        <v>89</v>
      </c>
      <c r="B1894" t="s">
        <v>1619</v>
      </c>
      <c r="C1894" t="s">
        <v>4217</v>
      </c>
      <c r="D1894" s="2" t="s">
        <v>1621</v>
      </c>
      <c r="E1894">
        <v>0.06</v>
      </c>
      <c r="F1894">
        <v>0</v>
      </c>
      <c r="G1894" t="s">
        <v>72</v>
      </c>
      <c r="H1894" t="s">
        <v>3457</v>
      </c>
      <c r="I1894">
        <v>35</v>
      </c>
      <c r="J1894">
        <v>1230</v>
      </c>
      <c r="K1894" s="5">
        <v>46161.617145763892</v>
      </c>
      <c r="M1894" s="2" t="s">
        <v>1947</v>
      </c>
      <c r="N1894" s="2" t="s">
        <v>1701</v>
      </c>
      <c r="O1894" s="5">
        <v>44966.729884131943</v>
      </c>
      <c r="P1894" t="str">
        <f>IF($Q1894="DELETE",IF($S1894="CONFIRMED: NO MODS &gt; 1YR","CONFIRMED: NO MODS &gt; 1YR","DO NOT DELETE — not defensibly confirmed"),IF($Q1894="HOLD","DO NOT DELETE — HOLD (Charlie review)",IF($Q1894="KEEP","DO NOT DELETE — KEEP",IF(ISNUMBER(SEARCH("REVIEW",$Q1894)),"DO NOT DELETE — REVIEW pending",$S1894))))</f>
        <v>DO NOT DELETE — REVIEW pending</v>
      </c>
      <c r="Q1894" t="str" cm="1">
        <f t="array" ref="Q1894">_xlfn.IFS(AND($A1894="thg-beauty",ISNUMBER(SEARCH("liveramp",$C1894))),"DELETE",$A1894="agile-bonbon-662",_xlfn.IFS(LEFT($G1894,9)="Tranche 1","DELETE",$C1894="Sessions_Level_1_All_Sites","KEEP",ISNUMBER(--$C1894),"REVIEW — UA raw logs",$C1894="Emag_Reporting","KEEP",$C1894="Nutrition_Data_Archived_Tables","KEEP",$C1894="EU_Data","KEEP",TRUE,"REVIEW"),OR($A1894="thg-influencer",$A1894="thg-ingenuity",$A1894="thg-central-marketing",$A1894="thg-seoclarity"),"HOLD",TRUE,"")</f>
        <v>REVIEW</v>
      </c>
      <c r="R1894" t="str" cm="1">
        <f t="array" ref="R1894">_xlfn.IFS(AND($A1894="thg-beauty",ISNUMBER(SEARCH("liveramp",$C1894))),"thg-beauty Liveramp dataset — confirmed safe to delete",$A1894="agile-bonbon-662",_xlfn.IFS(LEFT($G1894,9)="Tranche 1","Tranche 1: cleared",$C1894="Sessions_Level_1_All_Sites","Downstream aggregation of UA raw logs — keep if raw tables go",ISNUMBER(--$C1894),"UA raw site logs (account ID) — keep pending audit-retention check",$C1894="Emag_Reporting","Legacy but likely needed",$C1894="Nutrition_Data_Archived_Tables","Worth keeping",$C1894="EU_Data","Static lookup tables — scripts still reference (smoke-test risk)",TRUE,"Review"),OR($A1894="thg-influencer",$A1894="thg-ingenuity",$A1894="thg-central-marketing",$A1894="thg-seoclarity"),"HOLD — Charlie Stringer to review before deletion",TRUE,"")</f>
        <v>Review</v>
      </c>
      <c r="S1894" t="s">
        <v>1631</v>
      </c>
    </row>
    <row r="1895" spans="1:19" ht="45.75" hidden="1">
      <c r="A1895" t="s">
        <v>89</v>
      </c>
      <c r="B1895" t="s">
        <v>1619</v>
      </c>
      <c r="C1895" t="s">
        <v>4218</v>
      </c>
      <c r="D1895" s="2" t="s">
        <v>1621</v>
      </c>
      <c r="E1895">
        <v>0.06</v>
      </c>
      <c r="F1895">
        <v>0</v>
      </c>
      <c r="G1895" t="s">
        <v>72</v>
      </c>
      <c r="H1895" t="s">
        <v>3457</v>
      </c>
      <c r="I1895">
        <v>35</v>
      </c>
      <c r="J1895">
        <v>2699</v>
      </c>
      <c r="K1895" s="5">
        <v>46161.602694791669</v>
      </c>
      <c r="M1895" s="2" t="s">
        <v>4113</v>
      </c>
      <c r="N1895" s="2" t="s">
        <v>1701</v>
      </c>
      <c r="O1895" s="5">
        <v>43497.551841898137</v>
      </c>
      <c r="P1895" t="str">
        <f>IF($Q1895="DELETE",IF($S1895="CONFIRMED: NO MODS &gt; 1YR","CONFIRMED: NO MODS &gt; 1YR","DO NOT DELETE — not defensibly confirmed"),IF($Q1895="HOLD","DO NOT DELETE — HOLD (Charlie review)",IF($Q1895="KEEP","DO NOT DELETE — KEEP",IF(ISNUMBER(SEARCH("REVIEW",$Q1895)),"DO NOT DELETE — REVIEW pending",$S1895))))</f>
        <v>DO NOT DELETE — REVIEW pending</v>
      </c>
      <c r="Q1895" t="str" cm="1">
        <f t="array" ref="Q1895">_xlfn.IFS(AND($A1895="thg-beauty",ISNUMBER(SEARCH("liveramp",$C1895))),"DELETE",$A1895="agile-bonbon-662",_xlfn.IFS(LEFT($G1895,9)="Tranche 1","DELETE",$C1895="Sessions_Level_1_All_Sites","KEEP",ISNUMBER(--$C1895),"REVIEW — UA raw logs",$C1895="Emag_Reporting","KEEP",$C1895="Nutrition_Data_Archived_Tables","KEEP",$C1895="EU_Data","KEEP",TRUE,"REVIEW"),OR($A1895="thg-influencer",$A1895="thg-ingenuity",$A1895="thg-central-marketing",$A1895="thg-seoclarity"),"HOLD",TRUE,"")</f>
        <v>REVIEW — UA raw logs</v>
      </c>
      <c r="R1895" t="str" cm="1">
        <f t="array" ref="R1895">_xlfn.IFS(AND($A1895="thg-beauty",ISNUMBER(SEARCH("liveramp",$C1895))),"thg-beauty Liveramp dataset — confirmed safe to delete",$A1895="agile-bonbon-662",_xlfn.IFS(LEFT($G1895,9)="Tranche 1","Tranche 1: cleared",$C1895="Sessions_Level_1_All_Sites","Downstream aggregation of UA raw logs — keep if raw tables go",ISNUMBER(--$C1895),"UA raw site logs (account ID) — keep pending audit-retention check",$C1895="Emag_Reporting","Legacy but likely needed",$C1895="Nutrition_Data_Archived_Tables","Worth keeping",$C1895="EU_Data","Static lookup tables — scripts still reference (smoke-test risk)",TRUE,"Review"),OR($A1895="thg-influencer",$A1895="thg-ingenuity",$A1895="thg-central-marketing",$A1895="thg-seoclarity"),"HOLD — Charlie Stringer to review before deletion",TRUE,"")</f>
        <v>UA raw site logs (account ID) — keep pending audit-retention check</v>
      </c>
      <c r="S1895" t="s">
        <v>1631</v>
      </c>
    </row>
    <row r="1896" spans="1:19" ht="45.75" hidden="1">
      <c r="A1896" t="s">
        <v>89</v>
      </c>
      <c r="B1896" t="s">
        <v>1619</v>
      </c>
      <c r="C1896" t="s">
        <v>4219</v>
      </c>
      <c r="D1896" s="2" t="s">
        <v>1621</v>
      </c>
      <c r="E1896">
        <v>0.06</v>
      </c>
      <c r="F1896">
        <v>0</v>
      </c>
      <c r="G1896" t="s">
        <v>72</v>
      </c>
      <c r="H1896" t="s">
        <v>3457</v>
      </c>
      <c r="I1896">
        <v>35</v>
      </c>
      <c r="J1896">
        <v>1203</v>
      </c>
      <c r="K1896" s="5">
        <v>46161.617942916673</v>
      </c>
      <c r="M1896" s="2" t="s">
        <v>1957</v>
      </c>
      <c r="N1896" s="2" t="s">
        <v>1701</v>
      </c>
      <c r="O1896" s="5">
        <v>44993.859062777781</v>
      </c>
      <c r="P1896" t="str">
        <f>IF($Q1896="DELETE",IF($S1896="CONFIRMED: NO MODS &gt; 1YR","CONFIRMED: NO MODS &gt; 1YR","DO NOT DELETE — not defensibly confirmed"),IF($Q1896="HOLD","DO NOT DELETE — HOLD (Charlie review)",IF($Q1896="KEEP","DO NOT DELETE — KEEP",IF(ISNUMBER(SEARCH("REVIEW",$Q1896)),"DO NOT DELETE — REVIEW pending",$S1896))))</f>
        <v>DO NOT DELETE — REVIEW pending</v>
      </c>
      <c r="Q1896" t="str" cm="1">
        <f t="array" ref="Q1896">_xlfn.IFS(AND($A1896="thg-beauty",ISNUMBER(SEARCH("liveramp",$C1896))),"DELETE",$A1896="agile-bonbon-662",_xlfn.IFS(LEFT($G1896,9)="Tranche 1","DELETE",$C1896="Sessions_Level_1_All_Sites","KEEP",ISNUMBER(--$C1896),"REVIEW — UA raw logs",$C1896="Emag_Reporting","KEEP",$C1896="Nutrition_Data_Archived_Tables","KEEP",$C1896="EU_Data","KEEP",TRUE,"REVIEW"),OR($A1896="thg-influencer",$A1896="thg-ingenuity",$A1896="thg-central-marketing",$A1896="thg-seoclarity"),"HOLD",TRUE,"")</f>
        <v>REVIEW</v>
      </c>
      <c r="R1896" t="str" cm="1">
        <f t="array" ref="R1896">_xlfn.IFS(AND($A1896="thg-beauty",ISNUMBER(SEARCH("liveramp",$C1896))),"thg-beauty Liveramp dataset — confirmed safe to delete",$A1896="agile-bonbon-662",_xlfn.IFS(LEFT($G1896,9)="Tranche 1","Tranche 1: cleared",$C1896="Sessions_Level_1_All_Sites","Downstream aggregation of UA raw logs — keep if raw tables go",ISNUMBER(--$C1896),"UA raw site logs (account ID) — keep pending audit-retention check",$C1896="Emag_Reporting","Legacy but likely needed",$C1896="Nutrition_Data_Archived_Tables","Worth keeping",$C1896="EU_Data","Static lookup tables — scripts still reference (smoke-test risk)",TRUE,"Review"),OR($A1896="thg-influencer",$A1896="thg-ingenuity",$A1896="thg-central-marketing",$A1896="thg-seoclarity"),"HOLD — Charlie Stringer to review before deletion",TRUE,"")</f>
        <v>Review</v>
      </c>
      <c r="S1896" t="s">
        <v>1631</v>
      </c>
    </row>
    <row r="1897" spans="1:19" ht="45.75" hidden="1">
      <c r="A1897" t="s">
        <v>89</v>
      </c>
      <c r="B1897" t="s">
        <v>1619</v>
      </c>
      <c r="C1897" t="s">
        <v>4220</v>
      </c>
      <c r="D1897" s="2" t="s">
        <v>1621</v>
      </c>
      <c r="E1897">
        <v>0.06</v>
      </c>
      <c r="F1897">
        <v>0</v>
      </c>
      <c r="G1897" t="s">
        <v>72</v>
      </c>
      <c r="H1897" t="s">
        <v>3457</v>
      </c>
      <c r="I1897">
        <v>35</v>
      </c>
      <c r="J1897">
        <v>1175</v>
      </c>
      <c r="K1897" s="5">
        <v>46161.615097488429</v>
      </c>
      <c r="M1897" s="2" t="s">
        <v>2025</v>
      </c>
      <c r="N1897" s="2" t="s">
        <v>1701</v>
      </c>
      <c r="O1897" s="5">
        <v>45021.858778784721</v>
      </c>
      <c r="P1897" t="str">
        <f>IF($Q1897="DELETE",IF($S1897="CONFIRMED: NO MODS &gt; 1YR","CONFIRMED: NO MODS &gt; 1YR","DO NOT DELETE — not defensibly confirmed"),IF($Q1897="HOLD","DO NOT DELETE — HOLD (Charlie review)",IF($Q1897="KEEP","DO NOT DELETE — KEEP",IF(ISNUMBER(SEARCH("REVIEW",$Q1897)),"DO NOT DELETE — REVIEW pending",$S1897))))</f>
        <v>DO NOT DELETE — REVIEW pending</v>
      </c>
      <c r="Q1897" t="str" cm="1">
        <f t="array" ref="Q1897">_xlfn.IFS(AND($A1897="thg-beauty",ISNUMBER(SEARCH("liveramp",$C1897))),"DELETE",$A1897="agile-bonbon-662",_xlfn.IFS(LEFT($G1897,9)="Tranche 1","DELETE",$C1897="Sessions_Level_1_All_Sites","KEEP",ISNUMBER(--$C1897),"REVIEW — UA raw logs",$C1897="Emag_Reporting","KEEP",$C1897="Nutrition_Data_Archived_Tables","KEEP",$C1897="EU_Data","KEEP",TRUE,"REVIEW"),OR($A1897="thg-influencer",$A1897="thg-ingenuity",$A1897="thg-central-marketing",$A1897="thg-seoclarity"),"HOLD",TRUE,"")</f>
        <v>REVIEW</v>
      </c>
      <c r="R1897" t="str" cm="1">
        <f t="array" ref="R1897">_xlfn.IFS(AND($A1897="thg-beauty",ISNUMBER(SEARCH("liveramp",$C1897))),"thg-beauty Liveramp dataset — confirmed safe to delete",$A1897="agile-bonbon-662",_xlfn.IFS(LEFT($G1897,9)="Tranche 1","Tranche 1: cleared",$C1897="Sessions_Level_1_All_Sites","Downstream aggregation of UA raw logs — keep if raw tables go",ISNUMBER(--$C1897),"UA raw site logs (account ID) — keep pending audit-retention check",$C1897="Emag_Reporting","Legacy but likely needed",$C1897="Nutrition_Data_Archived_Tables","Worth keeping",$C1897="EU_Data","Static lookup tables — scripts still reference (smoke-test risk)",TRUE,"Review"),OR($A1897="thg-influencer",$A1897="thg-ingenuity",$A1897="thg-central-marketing",$A1897="thg-seoclarity"),"HOLD — Charlie Stringer to review before deletion",TRUE,"")</f>
        <v>Review</v>
      </c>
      <c r="S1897" t="s">
        <v>1631</v>
      </c>
    </row>
    <row r="1898" spans="1:19" ht="45.75" hidden="1">
      <c r="A1898" t="s">
        <v>89</v>
      </c>
      <c r="B1898" t="s">
        <v>1619</v>
      </c>
      <c r="C1898" t="s">
        <v>4221</v>
      </c>
      <c r="D1898" s="2" t="s">
        <v>1621</v>
      </c>
      <c r="E1898">
        <v>0.06</v>
      </c>
      <c r="F1898">
        <v>0</v>
      </c>
      <c r="G1898" t="s">
        <v>72</v>
      </c>
      <c r="H1898" t="s">
        <v>3457</v>
      </c>
      <c r="I1898">
        <v>35</v>
      </c>
      <c r="J1898">
        <v>2633</v>
      </c>
      <c r="K1898" s="5">
        <v>46161.603219826393</v>
      </c>
      <c r="M1898" s="2" t="s">
        <v>4119</v>
      </c>
      <c r="N1898" s="2" t="s">
        <v>1701</v>
      </c>
      <c r="O1898" s="5">
        <v>43564.248853530087</v>
      </c>
      <c r="P1898" t="str">
        <f>IF($Q1898="DELETE",IF($S1898="CONFIRMED: NO MODS &gt; 1YR","CONFIRMED: NO MODS &gt; 1YR","DO NOT DELETE — not defensibly confirmed"),IF($Q1898="HOLD","DO NOT DELETE — HOLD (Charlie review)",IF($Q1898="KEEP","DO NOT DELETE — KEEP",IF(ISNUMBER(SEARCH("REVIEW",$Q1898)),"DO NOT DELETE — REVIEW pending",$S1898))))</f>
        <v>DO NOT DELETE — REVIEW pending</v>
      </c>
      <c r="Q1898" t="str" cm="1">
        <f t="array" ref="Q1898">_xlfn.IFS(AND($A1898="thg-beauty",ISNUMBER(SEARCH("liveramp",$C1898))),"DELETE",$A1898="agile-bonbon-662",_xlfn.IFS(LEFT($G1898,9)="Tranche 1","DELETE",$C1898="Sessions_Level_1_All_Sites","KEEP",ISNUMBER(--$C1898),"REVIEW — UA raw logs",$C1898="Emag_Reporting","KEEP",$C1898="Nutrition_Data_Archived_Tables","KEEP",$C1898="EU_Data","KEEP",TRUE,"REVIEW"),OR($A1898="thg-influencer",$A1898="thg-ingenuity",$A1898="thg-central-marketing",$A1898="thg-seoclarity"),"HOLD",TRUE,"")</f>
        <v>REVIEW — UA raw logs</v>
      </c>
      <c r="R1898" t="str" cm="1">
        <f t="array" ref="R1898">_xlfn.IFS(AND($A1898="thg-beauty",ISNUMBER(SEARCH("liveramp",$C1898))),"thg-beauty Liveramp dataset — confirmed safe to delete",$A1898="agile-bonbon-662",_xlfn.IFS(LEFT($G1898,9)="Tranche 1","Tranche 1: cleared",$C1898="Sessions_Level_1_All_Sites","Downstream aggregation of UA raw logs — keep if raw tables go",ISNUMBER(--$C1898),"UA raw site logs (account ID) — keep pending audit-retention check",$C1898="Emag_Reporting","Legacy but likely needed",$C1898="Nutrition_Data_Archived_Tables","Worth keeping",$C1898="EU_Data","Static lookup tables — scripts still reference (smoke-test risk)",TRUE,"Review"),OR($A1898="thg-influencer",$A1898="thg-ingenuity",$A1898="thg-central-marketing",$A1898="thg-seoclarity"),"HOLD — Charlie Stringer to review before deletion",TRUE,"")</f>
        <v>UA raw site logs (account ID) — keep pending audit-retention check</v>
      </c>
      <c r="S1898" t="s">
        <v>1631</v>
      </c>
    </row>
    <row r="1899" spans="1:19" ht="45.75" hidden="1">
      <c r="A1899" t="s">
        <v>89</v>
      </c>
      <c r="B1899" t="s">
        <v>1619</v>
      </c>
      <c r="C1899" t="s">
        <v>4222</v>
      </c>
      <c r="D1899" s="2" t="s">
        <v>1621</v>
      </c>
      <c r="E1899">
        <v>0.06</v>
      </c>
      <c r="F1899">
        <v>0</v>
      </c>
      <c r="G1899" t="s">
        <v>72</v>
      </c>
      <c r="H1899" t="s">
        <v>3457</v>
      </c>
      <c r="I1899">
        <v>35</v>
      </c>
      <c r="J1899">
        <v>1798</v>
      </c>
      <c r="K1899" s="5">
        <v>46161.598073981477</v>
      </c>
      <c r="M1899" s="2" t="s">
        <v>3407</v>
      </c>
      <c r="N1899" s="2" t="s">
        <v>1701</v>
      </c>
      <c r="O1899" s="5">
        <v>44398.561514675923</v>
      </c>
      <c r="P1899" t="str">
        <f>IF($Q1899="DELETE",IF($S1899="CONFIRMED: NO MODS &gt; 1YR","CONFIRMED: NO MODS &gt; 1YR","DO NOT DELETE — not defensibly confirmed"),IF($Q1899="HOLD","DO NOT DELETE — HOLD (Charlie review)",IF($Q1899="KEEP","DO NOT DELETE — KEEP",IF(ISNUMBER(SEARCH("REVIEW",$Q1899)),"DO NOT DELETE — REVIEW pending",$S1899))))</f>
        <v>DO NOT DELETE — REVIEW pending</v>
      </c>
      <c r="Q1899" t="str" cm="1">
        <f t="array" ref="Q1899">_xlfn.IFS(AND($A1899="thg-beauty",ISNUMBER(SEARCH("liveramp",$C1899))),"DELETE",$A1899="agile-bonbon-662",_xlfn.IFS(LEFT($G1899,9)="Tranche 1","DELETE",$C1899="Sessions_Level_1_All_Sites","KEEP",ISNUMBER(--$C1899),"REVIEW — UA raw logs",$C1899="Emag_Reporting","KEEP",$C1899="Nutrition_Data_Archived_Tables","KEEP",$C1899="EU_Data","KEEP",TRUE,"REVIEW"),OR($A1899="thg-influencer",$A1899="thg-ingenuity",$A1899="thg-central-marketing",$A1899="thg-seoclarity"),"HOLD",TRUE,"")</f>
        <v>REVIEW — UA raw logs</v>
      </c>
      <c r="R1899" t="str" cm="1">
        <f t="array" ref="R1899">_xlfn.IFS(AND($A1899="thg-beauty",ISNUMBER(SEARCH("liveramp",$C1899))),"thg-beauty Liveramp dataset — confirmed safe to delete",$A1899="agile-bonbon-662",_xlfn.IFS(LEFT($G1899,9)="Tranche 1","Tranche 1: cleared",$C1899="Sessions_Level_1_All_Sites","Downstream aggregation of UA raw logs — keep if raw tables go",ISNUMBER(--$C1899),"UA raw site logs (account ID) — keep pending audit-retention check",$C1899="Emag_Reporting","Legacy but likely needed",$C1899="Nutrition_Data_Archived_Tables","Worth keeping",$C1899="EU_Data","Static lookup tables — scripts still reference (smoke-test risk)",TRUE,"Review"),OR($A1899="thg-influencer",$A1899="thg-ingenuity",$A1899="thg-central-marketing",$A1899="thg-seoclarity"),"HOLD — Charlie Stringer to review before deletion",TRUE,"")</f>
        <v>UA raw site logs (account ID) — keep pending audit-retention check</v>
      </c>
      <c r="S1899" t="s">
        <v>1631</v>
      </c>
    </row>
    <row r="1900" spans="1:19" ht="45.75" hidden="1">
      <c r="A1900" t="s">
        <v>89</v>
      </c>
      <c r="B1900" t="s">
        <v>1619</v>
      </c>
      <c r="C1900" t="s">
        <v>4223</v>
      </c>
      <c r="D1900" s="2" t="s">
        <v>1621</v>
      </c>
      <c r="E1900">
        <v>0.05</v>
      </c>
      <c r="F1900">
        <v>0</v>
      </c>
      <c r="G1900" t="s">
        <v>72</v>
      </c>
      <c r="H1900" t="s">
        <v>3457</v>
      </c>
      <c r="I1900">
        <v>35</v>
      </c>
      <c r="J1900">
        <v>1839</v>
      </c>
      <c r="K1900" s="5">
        <v>46161.594741712957</v>
      </c>
      <c r="M1900" s="2" t="s">
        <v>3902</v>
      </c>
      <c r="N1900" s="2" t="s">
        <v>1701</v>
      </c>
      <c r="O1900" s="5">
        <v>44358.327061724543</v>
      </c>
      <c r="P1900" t="str">
        <f>IF($Q1900="DELETE",IF($S1900="CONFIRMED: NO MODS &gt; 1YR","CONFIRMED: NO MODS &gt; 1YR","DO NOT DELETE — not defensibly confirmed"),IF($Q1900="HOLD","DO NOT DELETE — HOLD (Charlie review)",IF($Q1900="KEEP","DO NOT DELETE — KEEP",IF(ISNUMBER(SEARCH("REVIEW",$Q1900)),"DO NOT DELETE — REVIEW pending",$S1900))))</f>
        <v>DO NOT DELETE — REVIEW pending</v>
      </c>
      <c r="Q1900" t="str" cm="1">
        <f t="array" ref="Q1900">_xlfn.IFS(AND($A1900="thg-beauty",ISNUMBER(SEARCH("liveramp",$C1900))),"DELETE",$A1900="agile-bonbon-662",_xlfn.IFS(LEFT($G1900,9)="Tranche 1","DELETE",$C1900="Sessions_Level_1_All_Sites","KEEP",ISNUMBER(--$C1900),"REVIEW — UA raw logs",$C1900="Emag_Reporting","KEEP",$C1900="Nutrition_Data_Archived_Tables","KEEP",$C1900="EU_Data","KEEP",TRUE,"REVIEW"),OR($A1900="thg-influencer",$A1900="thg-ingenuity",$A1900="thg-central-marketing",$A1900="thg-seoclarity"),"HOLD",TRUE,"")</f>
        <v>REVIEW — UA raw logs</v>
      </c>
      <c r="R1900" t="str" cm="1">
        <f t="array" ref="R1900">_xlfn.IFS(AND($A1900="thg-beauty",ISNUMBER(SEARCH("liveramp",$C1900))),"thg-beauty Liveramp dataset — confirmed safe to delete",$A1900="agile-bonbon-662",_xlfn.IFS(LEFT($G1900,9)="Tranche 1","Tranche 1: cleared",$C1900="Sessions_Level_1_All_Sites","Downstream aggregation of UA raw logs — keep if raw tables go",ISNUMBER(--$C1900),"UA raw site logs (account ID) — keep pending audit-retention check",$C1900="Emag_Reporting","Legacy but likely needed",$C1900="Nutrition_Data_Archived_Tables","Worth keeping",$C1900="EU_Data","Static lookup tables — scripts still reference (smoke-test risk)",TRUE,"Review"),OR($A1900="thg-influencer",$A1900="thg-ingenuity",$A1900="thg-central-marketing",$A1900="thg-seoclarity"),"HOLD — Charlie Stringer to review before deletion",TRUE,"")</f>
        <v>UA raw site logs (account ID) — keep pending audit-retention check</v>
      </c>
      <c r="S1900" t="s">
        <v>1631</v>
      </c>
    </row>
    <row r="1901" spans="1:19" ht="45.75" hidden="1">
      <c r="A1901" t="s">
        <v>89</v>
      </c>
      <c r="B1901" t="s">
        <v>1619</v>
      </c>
      <c r="C1901" t="s">
        <v>4224</v>
      </c>
      <c r="D1901" s="2" t="s">
        <v>1621</v>
      </c>
      <c r="E1901">
        <v>0.05</v>
      </c>
      <c r="F1901">
        <v>0</v>
      </c>
      <c r="G1901" t="s">
        <v>72</v>
      </c>
      <c r="H1901" t="s">
        <v>3457</v>
      </c>
      <c r="I1901">
        <v>35</v>
      </c>
      <c r="J1901">
        <v>2147</v>
      </c>
      <c r="K1901" s="5">
        <v>46161.607043564807</v>
      </c>
      <c r="M1901" s="2" t="s">
        <v>2062</v>
      </c>
      <c r="N1901" s="2" t="s">
        <v>1701</v>
      </c>
      <c r="O1901" s="5">
        <v>44050.238390798608</v>
      </c>
      <c r="P1901" t="str">
        <f>IF($Q1901="DELETE",IF($S1901="CONFIRMED: NO MODS &gt; 1YR","CONFIRMED: NO MODS &gt; 1YR","DO NOT DELETE — not defensibly confirmed"),IF($Q1901="HOLD","DO NOT DELETE — HOLD (Charlie review)",IF($Q1901="KEEP","DO NOT DELETE — KEEP",IF(ISNUMBER(SEARCH("REVIEW",$Q1901)),"DO NOT DELETE — REVIEW pending",$S1901))))</f>
        <v>DO NOT DELETE — REVIEW pending</v>
      </c>
      <c r="Q1901" t="str" cm="1">
        <f t="array" ref="Q1901">_xlfn.IFS(AND($A1901="thg-beauty",ISNUMBER(SEARCH("liveramp",$C1901))),"DELETE",$A1901="agile-bonbon-662",_xlfn.IFS(LEFT($G1901,9)="Tranche 1","DELETE",$C1901="Sessions_Level_1_All_Sites","KEEP",ISNUMBER(--$C1901),"REVIEW — UA raw logs",$C1901="Emag_Reporting","KEEP",$C1901="Nutrition_Data_Archived_Tables","KEEP",$C1901="EU_Data","KEEP",TRUE,"REVIEW"),OR($A1901="thg-influencer",$A1901="thg-ingenuity",$A1901="thg-central-marketing",$A1901="thg-seoclarity"),"HOLD",TRUE,"")</f>
        <v>REVIEW</v>
      </c>
      <c r="R1901" t="str" cm="1">
        <f t="array" ref="R1901">_xlfn.IFS(AND($A1901="thg-beauty",ISNUMBER(SEARCH("liveramp",$C1901))),"thg-beauty Liveramp dataset — confirmed safe to delete",$A1901="agile-bonbon-662",_xlfn.IFS(LEFT($G1901,9)="Tranche 1","Tranche 1: cleared",$C1901="Sessions_Level_1_All_Sites","Downstream aggregation of UA raw logs — keep if raw tables go",ISNUMBER(--$C1901),"UA raw site logs (account ID) — keep pending audit-retention check",$C1901="Emag_Reporting","Legacy but likely needed",$C1901="Nutrition_Data_Archived_Tables","Worth keeping",$C1901="EU_Data","Static lookup tables — scripts still reference (smoke-test risk)",TRUE,"Review"),OR($A1901="thg-influencer",$A1901="thg-ingenuity",$A1901="thg-central-marketing",$A1901="thg-seoclarity"),"HOLD — Charlie Stringer to review before deletion",TRUE,"")</f>
        <v>Review</v>
      </c>
      <c r="S1901" t="s">
        <v>1631</v>
      </c>
    </row>
    <row r="1902" spans="1:19" ht="45.75" hidden="1">
      <c r="A1902" t="s">
        <v>89</v>
      </c>
      <c r="B1902" t="s">
        <v>1619</v>
      </c>
      <c r="C1902" t="s">
        <v>4225</v>
      </c>
      <c r="D1902" s="2" t="s">
        <v>1621</v>
      </c>
      <c r="E1902">
        <v>0.05</v>
      </c>
      <c r="F1902">
        <v>0</v>
      </c>
      <c r="G1902" t="s">
        <v>72</v>
      </c>
      <c r="H1902" t="s">
        <v>3457</v>
      </c>
      <c r="I1902">
        <v>35</v>
      </c>
      <c r="J1902">
        <v>1203</v>
      </c>
      <c r="K1902" s="5">
        <v>46161.61941496528</v>
      </c>
      <c r="M1902" s="2" t="s">
        <v>3927</v>
      </c>
      <c r="N1902" s="2" t="s">
        <v>1701</v>
      </c>
      <c r="O1902" s="5">
        <v>44993.859199085651</v>
      </c>
      <c r="P1902" t="str">
        <f>IF($Q1902="DELETE",IF($S1902="CONFIRMED: NO MODS &gt; 1YR","CONFIRMED: NO MODS &gt; 1YR","DO NOT DELETE — not defensibly confirmed"),IF($Q1902="HOLD","DO NOT DELETE — HOLD (Charlie review)",IF($Q1902="KEEP","DO NOT DELETE — KEEP",IF(ISNUMBER(SEARCH("REVIEW",$Q1902)),"DO NOT DELETE — REVIEW pending",$S1902))))</f>
        <v>DO NOT DELETE — REVIEW pending</v>
      </c>
      <c r="Q1902" t="str" cm="1">
        <f t="array" ref="Q1902">_xlfn.IFS(AND($A1902="thg-beauty",ISNUMBER(SEARCH("liveramp",$C1902))),"DELETE",$A1902="agile-bonbon-662",_xlfn.IFS(LEFT($G1902,9)="Tranche 1","DELETE",$C1902="Sessions_Level_1_All_Sites","KEEP",ISNUMBER(--$C1902),"REVIEW — UA raw logs",$C1902="Emag_Reporting","KEEP",$C1902="Nutrition_Data_Archived_Tables","KEEP",$C1902="EU_Data","KEEP",TRUE,"REVIEW"),OR($A1902="thg-influencer",$A1902="thg-ingenuity",$A1902="thg-central-marketing",$A1902="thg-seoclarity"),"HOLD",TRUE,"")</f>
        <v>REVIEW</v>
      </c>
      <c r="R1902" t="str" cm="1">
        <f t="array" ref="R1902">_xlfn.IFS(AND($A1902="thg-beauty",ISNUMBER(SEARCH("liveramp",$C1902))),"thg-beauty Liveramp dataset — confirmed safe to delete",$A1902="agile-bonbon-662",_xlfn.IFS(LEFT($G1902,9)="Tranche 1","Tranche 1: cleared",$C1902="Sessions_Level_1_All_Sites","Downstream aggregation of UA raw logs — keep if raw tables go",ISNUMBER(--$C1902),"UA raw site logs (account ID) — keep pending audit-retention check",$C1902="Emag_Reporting","Legacy but likely needed",$C1902="Nutrition_Data_Archived_Tables","Worth keeping",$C1902="EU_Data","Static lookup tables — scripts still reference (smoke-test risk)",TRUE,"Review"),OR($A1902="thg-influencer",$A1902="thg-ingenuity",$A1902="thg-central-marketing",$A1902="thg-seoclarity"),"HOLD — Charlie Stringer to review before deletion",TRUE,"")</f>
        <v>Review</v>
      </c>
      <c r="S1902" t="s">
        <v>1631</v>
      </c>
    </row>
    <row r="1903" spans="1:19" ht="45.75" hidden="1">
      <c r="A1903" t="s">
        <v>89</v>
      </c>
      <c r="B1903" t="s">
        <v>1619</v>
      </c>
      <c r="C1903" t="s">
        <v>4226</v>
      </c>
      <c r="D1903" s="2" t="s">
        <v>1621</v>
      </c>
      <c r="E1903">
        <v>0.05</v>
      </c>
      <c r="F1903">
        <v>0</v>
      </c>
      <c r="G1903" t="s">
        <v>72</v>
      </c>
      <c r="H1903" t="s">
        <v>3457</v>
      </c>
      <c r="I1903">
        <v>35</v>
      </c>
      <c r="J1903">
        <v>723</v>
      </c>
      <c r="K1903" s="5">
        <v>46161.595272349543</v>
      </c>
      <c r="M1903" s="2" t="s">
        <v>3426</v>
      </c>
      <c r="N1903" s="2" t="s">
        <v>1701</v>
      </c>
      <c r="O1903" s="5">
        <v>45474.297417268521</v>
      </c>
      <c r="P1903" t="str">
        <f>IF($Q1903="DELETE",IF($S1903="CONFIRMED: NO MODS &gt; 1YR","CONFIRMED: NO MODS &gt; 1YR","DO NOT DELETE — not defensibly confirmed"),IF($Q1903="HOLD","DO NOT DELETE — HOLD (Charlie review)",IF($Q1903="KEEP","DO NOT DELETE — KEEP",IF(ISNUMBER(SEARCH("REVIEW",$Q1903)),"DO NOT DELETE — REVIEW pending",$S1903))))</f>
        <v>DO NOT DELETE — REVIEW pending</v>
      </c>
      <c r="Q1903" t="str" cm="1">
        <f t="array" ref="Q1903">_xlfn.IFS(AND($A1903="thg-beauty",ISNUMBER(SEARCH("liveramp",$C1903))),"DELETE",$A1903="agile-bonbon-662",_xlfn.IFS(LEFT($G1903,9)="Tranche 1","DELETE",$C1903="Sessions_Level_1_All_Sites","KEEP",ISNUMBER(--$C1903),"REVIEW — UA raw logs",$C1903="Emag_Reporting","KEEP",$C1903="Nutrition_Data_Archived_Tables","KEEP",$C1903="EU_Data","KEEP",TRUE,"REVIEW"),OR($A1903="thg-influencer",$A1903="thg-ingenuity",$A1903="thg-central-marketing",$A1903="thg-seoclarity"),"HOLD",TRUE,"")</f>
        <v>REVIEW — UA raw logs</v>
      </c>
      <c r="R1903" t="str" cm="1">
        <f t="array" ref="R1903">_xlfn.IFS(AND($A1903="thg-beauty",ISNUMBER(SEARCH("liveramp",$C1903))),"thg-beauty Liveramp dataset — confirmed safe to delete",$A1903="agile-bonbon-662",_xlfn.IFS(LEFT($G1903,9)="Tranche 1","Tranche 1: cleared",$C1903="Sessions_Level_1_All_Sites","Downstream aggregation of UA raw logs — keep if raw tables go",ISNUMBER(--$C1903),"UA raw site logs (account ID) — keep pending audit-retention check",$C1903="Emag_Reporting","Legacy but likely needed",$C1903="Nutrition_Data_Archived_Tables","Worth keeping",$C1903="EU_Data","Static lookup tables — scripts still reference (smoke-test risk)",TRUE,"Review"),OR($A1903="thg-influencer",$A1903="thg-ingenuity",$A1903="thg-central-marketing",$A1903="thg-seoclarity"),"HOLD — Charlie Stringer to review before deletion",TRUE,"")</f>
        <v>UA raw site logs (account ID) — keep pending audit-retention check</v>
      </c>
      <c r="S1903" t="s">
        <v>1631</v>
      </c>
    </row>
    <row r="1904" spans="1:19" ht="45.75" hidden="1">
      <c r="A1904" t="s">
        <v>89</v>
      </c>
      <c r="B1904" t="s">
        <v>1619</v>
      </c>
      <c r="C1904" t="s">
        <v>4227</v>
      </c>
      <c r="D1904" s="2" t="s">
        <v>1621</v>
      </c>
      <c r="E1904">
        <v>0.05</v>
      </c>
      <c r="F1904">
        <v>0</v>
      </c>
      <c r="G1904" t="s">
        <v>72</v>
      </c>
      <c r="H1904" t="s">
        <v>3457</v>
      </c>
      <c r="I1904">
        <v>35</v>
      </c>
      <c r="J1904">
        <v>723</v>
      </c>
      <c r="K1904" s="5">
        <v>46161.59520570602</v>
      </c>
      <c r="M1904" s="2" t="s">
        <v>3426</v>
      </c>
      <c r="N1904" s="2" t="s">
        <v>1701</v>
      </c>
      <c r="O1904" s="5">
        <v>45474.297405914353</v>
      </c>
      <c r="P1904" t="str">
        <f>IF($Q1904="DELETE",IF($S1904="CONFIRMED: NO MODS &gt; 1YR","CONFIRMED: NO MODS &gt; 1YR","DO NOT DELETE — not defensibly confirmed"),IF($Q1904="HOLD","DO NOT DELETE — HOLD (Charlie review)",IF($Q1904="KEEP","DO NOT DELETE — KEEP",IF(ISNUMBER(SEARCH("REVIEW",$Q1904)),"DO NOT DELETE — REVIEW pending",$S1904))))</f>
        <v>DO NOT DELETE — REVIEW pending</v>
      </c>
      <c r="Q1904" t="str" cm="1">
        <f t="array" ref="Q1904">_xlfn.IFS(AND($A1904="thg-beauty",ISNUMBER(SEARCH("liveramp",$C1904))),"DELETE",$A1904="agile-bonbon-662",_xlfn.IFS(LEFT($G1904,9)="Tranche 1","DELETE",$C1904="Sessions_Level_1_All_Sites","KEEP",ISNUMBER(--$C1904),"REVIEW — UA raw logs",$C1904="Emag_Reporting","KEEP",$C1904="Nutrition_Data_Archived_Tables","KEEP",$C1904="EU_Data","KEEP",TRUE,"REVIEW"),OR($A1904="thg-influencer",$A1904="thg-ingenuity",$A1904="thg-central-marketing",$A1904="thg-seoclarity"),"HOLD",TRUE,"")</f>
        <v>REVIEW — UA raw logs</v>
      </c>
      <c r="R1904" t="str" cm="1">
        <f t="array" ref="R1904">_xlfn.IFS(AND($A1904="thg-beauty",ISNUMBER(SEARCH("liveramp",$C1904))),"thg-beauty Liveramp dataset — confirmed safe to delete",$A1904="agile-bonbon-662",_xlfn.IFS(LEFT($G1904,9)="Tranche 1","Tranche 1: cleared",$C1904="Sessions_Level_1_All_Sites","Downstream aggregation of UA raw logs — keep if raw tables go",ISNUMBER(--$C1904),"UA raw site logs (account ID) — keep pending audit-retention check",$C1904="Emag_Reporting","Legacy but likely needed",$C1904="Nutrition_Data_Archived_Tables","Worth keeping",$C1904="EU_Data","Static lookup tables — scripts still reference (smoke-test risk)",TRUE,"Review"),OR($A1904="thg-influencer",$A1904="thg-ingenuity",$A1904="thg-central-marketing",$A1904="thg-seoclarity"),"HOLD — Charlie Stringer to review before deletion",TRUE,"")</f>
        <v>UA raw site logs (account ID) — keep pending audit-retention check</v>
      </c>
      <c r="S1904" t="s">
        <v>1631</v>
      </c>
    </row>
    <row r="1905" spans="1:19" ht="45.75" hidden="1">
      <c r="A1905" t="s">
        <v>89</v>
      </c>
      <c r="B1905" t="s">
        <v>1619</v>
      </c>
      <c r="C1905" t="s">
        <v>4228</v>
      </c>
      <c r="D1905" s="2" t="s">
        <v>1621</v>
      </c>
      <c r="E1905">
        <v>0.05</v>
      </c>
      <c r="F1905">
        <v>0</v>
      </c>
      <c r="G1905" t="s">
        <v>72</v>
      </c>
      <c r="H1905" t="s">
        <v>3457</v>
      </c>
      <c r="I1905">
        <v>35</v>
      </c>
      <c r="J1905">
        <v>2699</v>
      </c>
      <c r="K1905" s="5">
        <v>46161.602896261567</v>
      </c>
      <c r="M1905" s="2" t="s">
        <v>4137</v>
      </c>
      <c r="N1905" s="2" t="s">
        <v>1701</v>
      </c>
      <c r="O1905" s="5">
        <v>43497.557453738416</v>
      </c>
      <c r="P1905" t="str">
        <f>IF($Q1905="DELETE",IF($S1905="CONFIRMED: NO MODS &gt; 1YR","CONFIRMED: NO MODS &gt; 1YR","DO NOT DELETE — not defensibly confirmed"),IF($Q1905="HOLD","DO NOT DELETE — HOLD (Charlie review)",IF($Q1905="KEEP","DO NOT DELETE — KEEP",IF(ISNUMBER(SEARCH("REVIEW",$Q1905)),"DO NOT DELETE — REVIEW pending",$S1905))))</f>
        <v>DO NOT DELETE — REVIEW pending</v>
      </c>
      <c r="Q1905" t="str" cm="1">
        <f t="array" ref="Q1905">_xlfn.IFS(AND($A1905="thg-beauty",ISNUMBER(SEARCH("liveramp",$C1905))),"DELETE",$A1905="agile-bonbon-662",_xlfn.IFS(LEFT($G1905,9)="Tranche 1","DELETE",$C1905="Sessions_Level_1_All_Sites","KEEP",ISNUMBER(--$C1905),"REVIEW — UA raw logs",$C1905="Emag_Reporting","KEEP",$C1905="Nutrition_Data_Archived_Tables","KEEP",$C1905="EU_Data","KEEP",TRUE,"REVIEW"),OR($A1905="thg-influencer",$A1905="thg-ingenuity",$A1905="thg-central-marketing",$A1905="thg-seoclarity"),"HOLD",TRUE,"")</f>
        <v>REVIEW — UA raw logs</v>
      </c>
      <c r="R1905" t="str" cm="1">
        <f t="array" ref="R1905">_xlfn.IFS(AND($A1905="thg-beauty",ISNUMBER(SEARCH("liveramp",$C1905))),"thg-beauty Liveramp dataset — confirmed safe to delete",$A1905="agile-bonbon-662",_xlfn.IFS(LEFT($G1905,9)="Tranche 1","Tranche 1: cleared",$C1905="Sessions_Level_1_All_Sites","Downstream aggregation of UA raw logs — keep if raw tables go",ISNUMBER(--$C1905),"UA raw site logs (account ID) — keep pending audit-retention check",$C1905="Emag_Reporting","Legacy but likely needed",$C1905="Nutrition_Data_Archived_Tables","Worth keeping",$C1905="EU_Data","Static lookup tables — scripts still reference (smoke-test risk)",TRUE,"Review"),OR($A1905="thg-influencer",$A1905="thg-ingenuity",$A1905="thg-central-marketing",$A1905="thg-seoclarity"),"HOLD — Charlie Stringer to review before deletion",TRUE,"")</f>
        <v>UA raw site logs (account ID) — keep pending audit-retention check</v>
      </c>
      <c r="S1905" t="s">
        <v>1631</v>
      </c>
    </row>
    <row r="1906" spans="1:19" ht="45.75" hidden="1">
      <c r="A1906" t="s">
        <v>89</v>
      </c>
      <c r="B1906" t="s">
        <v>1619</v>
      </c>
      <c r="C1906" t="s">
        <v>4229</v>
      </c>
      <c r="D1906" s="2" t="s">
        <v>1621</v>
      </c>
      <c r="E1906">
        <v>0.05</v>
      </c>
      <c r="F1906">
        <v>0</v>
      </c>
      <c r="G1906" t="s">
        <v>72</v>
      </c>
      <c r="H1906" t="s">
        <v>3457</v>
      </c>
      <c r="I1906">
        <v>35</v>
      </c>
      <c r="J1906">
        <v>1436</v>
      </c>
      <c r="K1906" s="5">
        <v>46161.609102499999</v>
      </c>
      <c r="M1906" s="2" t="s">
        <v>4230</v>
      </c>
      <c r="N1906" s="2" t="s">
        <v>1701</v>
      </c>
      <c r="O1906" s="5">
        <v>44760.580744571758</v>
      </c>
      <c r="P1906" t="str">
        <f>IF($Q1906="DELETE",IF($S1906="CONFIRMED: NO MODS &gt; 1YR","CONFIRMED: NO MODS &gt; 1YR","DO NOT DELETE — not defensibly confirmed"),IF($Q1906="HOLD","DO NOT DELETE — HOLD (Charlie review)",IF($Q1906="KEEP","DO NOT DELETE — KEEP",IF(ISNUMBER(SEARCH("REVIEW",$Q1906)),"DO NOT DELETE — REVIEW pending",$S1906))))</f>
        <v>DO NOT DELETE — REVIEW pending</v>
      </c>
      <c r="Q1906" t="str" cm="1">
        <f t="array" ref="Q1906">_xlfn.IFS(AND($A1906="thg-beauty",ISNUMBER(SEARCH("liveramp",$C1906))),"DELETE",$A1906="agile-bonbon-662",_xlfn.IFS(LEFT($G1906,9)="Tranche 1","DELETE",$C1906="Sessions_Level_1_All_Sites","KEEP",ISNUMBER(--$C1906),"REVIEW — UA raw logs",$C1906="Emag_Reporting","KEEP",$C1906="Nutrition_Data_Archived_Tables","KEEP",$C1906="EU_Data","KEEP",TRUE,"REVIEW"),OR($A1906="thg-influencer",$A1906="thg-ingenuity",$A1906="thg-central-marketing",$A1906="thg-seoclarity"),"HOLD",TRUE,"")</f>
        <v>REVIEW</v>
      </c>
      <c r="R1906" t="str" cm="1">
        <f t="array" ref="R1906">_xlfn.IFS(AND($A1906="thg-beauty",ISNUMBER(SEARCH("liveramp",$C1906))),"thg-beauty Liveramp dataset — confirmed safe to delete",$A1906="agile-bonbon-662",_xlfn.IFS(LEFT($G1906,9)="Tranche 1","Tranche 1: cleared",$C1906="Sessions_Level_1_All_Sites","Downstream aggregation of UA raw logs — keep if raw tables go",ISNUMBER(--$C1906),"UA raw site logs (account ID) — keep pending audit-retention check",$C1906="Emag_Reporting","Legacy but likely needed",$C1906="Nutrition_Data_Archived_Tables","Worth keeping",$C1906="EU_Data","Static lookup tables — scripts still reference (smoke-test risk)",TRUE,"Review"),OR($A1906="thg-influencer",$A1906="thg-ingenuity",$A1906="thg-central-marketing",$A1906="thg-seoclarity"),"HOLD — Charlie Stringer to review before deletion",TRUE,"")</f>
        <v>Review</v>
      </c>
      <c r="S1906" t="s">
        <v>1631</v>
      </c>
    </row>
    <row r="1907" spans="1:19" ht="45.75" hidden="1">
      <c r="A1907" t="s">
        <v>89</v>
      </c>
      <c r="B1907" t="s">
        <v>1619</v>
      </c>
      <c r="C1907" t="s">
        <v>4231</v>
      </c>
      <c r="D1907" s="2" t="s">
        <v>1621</v>
      </c>
      <c r="E1907">
        <v>0.04</v>
      </c>
      <c r="F1907">
        <v>0</v>
      </c>
      <c r="G1907" t="s">
        <v>72</v>
      </c>
      <c r="H1907" t="s">
        <v>3457</v>
      </c>
      <c r="I1907">
        <v>35</v>
      </c>
      <c r="J1907">
        <v>1202</v>
      </c>
      <c r="K1907" s="5">
        <v>46161.619023252308</v>
      </c>
      <c r="M1907" s="2" t="s">
        <v>1981</v>
      </c>
      <c r="N1907" s="2" t="s">
        <v>1701</v>
      </c>
      <c r="O1907" s="5">
        <v>44995.081397245369</v>
      </c>
      <c r="P1907" t="str">
        <f>IF($Q1907="DELETE",IF($S1907="CONFIRMED: NO MODS &gt; 1YR","CONFIRMED: NO MODS &gt; 1YR","DO NOT DELETE — not defensibly confirmed"),IF($Q1907="HOLD","DO NOT DELETE — HOLD (Charlie review)",IF($Q1907="KEEP","DO NOT DELETE — KEEP",IF(ISNUMBER(SEARCH("REVIEW",$Q1907)),"DO NOT DELETE — REVIEW pending",$S1907))))</f>
        <v>DO NOT DELETE — REVIEW pending</v>
      </c>
      <c r="Q1907" t="str" cm="1">
        <f t="array" ref="Q1907">_xlfn.IFS(AND($A1907="thg-beauty",ISNUMBER(SEARCH("liveramp",$C1907))),"DELETE",$A1907="agile-bonbon-662",_xlfn.IFS(LEFT($G1907,9)="Tranche 1","DELETE",$C1907="Sessions_Level_1_All_Sites","KEEP",ISNUMBER(--$C1907),"REVIEW — UA raw logs",$C1907="Emag_Reporting","KEEP",$C1907="Nutrition_Data_Archived_Tables","KEEP",$C1907="EU_Data","KEEP",TRUE,"REVIEW"),OR($A1907="thg-influencer",$A1907="thg-ingenuity",$A1907="thg-central-marketing",$A1907="thg-seoclarity"),"HOLD",TRUE,"")</f>
        <v>REVIEW</v>
      </c>
      <c r="R1907" t="str" cm="1">
        <f t="array" ref="R1907">_xlfn.IFS(AND($A1907="thg-beauty",ISNUMBER(SEARCH("liveramp",$C1907))),"thg-beauty Liveramp dataset — confirmed safe to delete",$A1907="agile-bonbon-662",_xlfn.IFS(LEFT($G1907,9)="Tranche 1","Tranche 1: cleared",$C1907="Sessions_Level_1_All_Sites","Downstream aggregation of UA raw logs — keep if raw tables go",ISNUMBER(--$C1907),"UA raw site logs (account ID) — keep pending audit-retention check",$C1907="Emag_Reporting","Legacy but likely needed",$C1907="Nutrition_Data_Archived_Tables","Worth keeping",$C1907="EU_Data","Static lookup tables — scripts still reference (smoke-test risk)",TRUE,"Review"),OR($A1907="thg-influencer",$A1907="thg-ingenuity",$A1907="thg-central-marketing",$A1907="thg-seoclarity"),"HOLD — Charlie Stringer to review before deletion",TRUE,"")</f>
        <v>Review</v>
      </c>
      <c r="S1907" t="s">
        <v>1631</v>
      </c>
    </row>
    <row r="1908" spans="1:19" ht="45.75" hidden="1">
      <c r="A1908" t="s">
        <v>89</v>
      </c>
      <c r="B1908" t="s">
        <v>1619</v>
      </c>
      <c r="C1908" t="s">
        <v>4232</v>
      </c>
      <c r="D1908" s="2" t="s">
        <v>1621</v>
      </c>
      <c r="E1908">
        <v>0.04</v>
      </c>
      <c r="F1908">
        <v>0</v>
      </c>
      <c r="G1908" t="s">
        <v>72</v>
      </c>
      <c r="H1908" t="s">
        <v>3457</v>
      </c>
      <c r="I1908">
        <v>35</v>
      </c>
      <c r="J1908">
        <v>2699</v>
      </c>
      <c r="K1908" s="5">
        <v>46161.602439942129</v>
      </c>
      <c r="M1908" s="2" t="s">
        <v>4122</v>
      </c>
      <c r="N1908" s="2" t="s">
        <v>1701</v>
      </c>
      <c r="O1908" s="5">
        <v>43497.549066851847</v>
      </c>
      <c r="P1908" t="str">
        <f>IF($Q1908="DELETE",IF($S1908="CONFIRMED: NO MODS &gt; 1YR","CONFIRMED: NO MODS &gt; 1YR","DO NOT DELETE — not defensibly confirmed"),IF($Q1908="HOLD","DO NOT DELETE — HOLD (Charlie review)",IF($Q1908="KEEP","DO NOT DELETE — KEEP",IF(ISNUMBER(SEARCH("REVIEW",$Q1908)),"DO NOT DELETE — REVIEW pending",$S1908))))</f>
        <v>DO NOT DELETE — REVIEW pending</v>
      </c>
      <c r="Q1908" t="str" cm="1">
        <f t="array" ref="Q1908">_xlfn.IFS(AND($A1908="thg-beauty",ISNUMBER(SEARCH("liveramp",$C1908))),"DELETE",$A1908="agile-bonbon-662",_xlfn.IFS(LEFT($G1908,9)="Tranche 1","DELETE",$C1908="Sessions_Level_1_All_Sites","KEEP",ISNUMBER(--$C1908),"REVIEW — UA raw logs",$C1908="Emag_Reporting","KEEP",$C1908="Nutrition_Data_Archived_Tables","KEEP",$C1908="EU_Data","KEEP",TRUE,"REVIEW"),OR($A1908="thg-influencer",$A1908="thg-ingenuity",$A1908="thg-central-marketing",$A1908="thg-seoclarity"),"HOLD",TRUE,"")</f>
        <v>REVIEW — UA raw logs</v>
      </c>
      <c r="R1908" t="str" cm="1">
        <f t="array" ref="R1908">_xlfn.IFS(AND($A1908="thg-beauty",ISNUMBER(SEARCH("liveramp",$C1908))),"thg-beauty Liveramp dataset — confirmed safe to delete",$A1908="agile-bonbon-662",_xlfn.IFS(LEFT($G1908,9)="Tranche 1","Tranche 1: cleared",$C1908="Sessions_Level_1_All_Sites","Downstream aggregation of UA raw logs — keep if raw tables go",ISNUMBER(--$C1908),"UA raw site logs (account ID) — keep pending audit-retention check",$C1908="Emag_Reporting","Legacy but likely needed",$C1908="Nutrition_Data_Archived_Tables","Worth keeping",$C1908="EU_Data","Static lookup tables — scripts still reference (smoke-test risk)",TRUE,"Review"),OR($A1908="thg-influencer",$A1908="thg-ingenuity",$A1908="thg-central-marketing",$A1908="thg-seoclarity"),"HOLD — Charlie Stringer to review before deletion",TRUE,"")</f>
        <v>UA raw site logs (account ID) — keep pending audit-retention check</v>
      </c>
      <c r="S1908" t="s">
        <v>1631</v>
      </c>
    </row>
    <row r="1909" spans="1:19" ht="45.75" hidden="1">
      <c r="A1909" t="s">
        <v>89</v>
      </c>
      <c r="B1909" t="s">
        <v>1619</v>
      </c>
      <c r="C1909" t="s">
        <v>4233</v>
      </c>
      <c r="D1909" s="2" t="s">
        <v>1621</v>
      </c>
      <c r="E1909">
        <v>0.04</v>
      </c>
      <c r="F1909">
        <v>0</v>
      </c>
      <c r="G1909" t="s">
        <v>72</v>
      </c>
      <c r="H1909" t="s">
        <v>3457</v>
      </c>
      <c r="I1909">
        <v>35</v>
      </c>
      <c r="J1909">
        <v>655</v>
      </c>
      <c r="K1909" s="5">
        <v>46161.615504629634</v>
      </c>
      <c r="M1909" s="2" t="s">
        <v>1928</v>
      </c>
      <c r="N1909" s="2" t="s">
        <v>1701</v>
      </c>
      <c r="O1909" s="5">
        <v>45542.338490844908</v>
      </c>
      <c r="P1909" t="str">
        <f>IF($Q1909="DELETE",IF($S1909="CONFIRMED: NO MODS &gt; 1YR","CONFIRMED: NO MODS &gt; 1YR","DO NOT DELETE — not defensibly confirmed"),IF($Q1909="HOLD","DO NOT DELETE — HOLD (Charlie review)",IF($Q1909="KEEP","DO NOT DELETE — KEEP",IF(ISNUMBER(SEARCH("REVIEW",$Q1909)),"DO NOT DELETE — REVIEW pending",$S1909))))</f>
        <v>DO NOT DELETE — REVIEW pending</v>
      </c>
      <c r="Q1909" t="str" cm="1">
        <f t="array" ref="Q1909">_xlfn.IFS(AND($A1909="thg-beauty",ISNUMBER(SEARCH("liveramp",$C1909))),"DELETE",$A1909="agile-bonbon-662",_xlfn.IFS(LEFT($G1909,9)="Tranche 1","DELETE",$C1909="Sessions_Level_1_All_Sites","KEEP",ISNUMBER(--$C1909),"REVIEW — UA raw logs",$C1909="Emag_Reporting","KEEP",$C1909="Nutrition_Data_Archived_Tables","KEEP",$C1909="EU_Data","KEEP",TRUE,"REVIEW"),OR($A1909="thg-influencer",$A1909="thg-ingenuity",$A1909="thg-central-marketing",$A1909="thg-seoclarity"),"HOLD",TRUE,"")</f>
        <v>REVIEW</v>
      </c>
      <c r="R1909" t="str" cm="1">
        <f t="array" ref="R1909">_xlfn.IFS(AND($A1909="thg-beauty",ISNUMBER(SEARCH("liveramp",$C1909))),"thg-beauty Liveramp dataset — confirmed safe to delete",$A1909="agile-bonbon-662",_xlfn.IFS(LEFT($G1909,9)="Tranche 1","Tranche 1: cleared",$C1909="Sessions_Level_1_All_Sites","Downstream aggregation of UA raw logs — keep if raw tables go",ISNUMBER(--$C1909),"UA raw site logs (account ID) — keep pending audit-retention check",$C1909="Emag_Reporting","Legacy but likely needed",$C1909="Nutrition_Data_Archived_Tables","Worth keeping",$C1909="EU_Data","Static lookup tables — scripts still reference (smoke-test risk)",TRUE,"Review"),OR($A1909="thg-influencer",$A1909="thg-ingenuity",$A1909="thg-central-marketing",$A1909="thg-seoclarity"),"HOLD — Charlie Stringer to review before deletion",TRUE,"")</f>
        <v>Review</v>
      </c>
      <c r="S1909" t="s">
        <v>1631</v>
      </c>
    </row>
    <row r="1910" spans="1:19" ht="45.75" hidden="1">
      <c r="A1910" t="s">
        <v>89</v>
      </c>
      <c r="B1910" t="s">
        <v>1619</v>
      </c>
      <c r="C1910" t="s">
        <v>4234</v>
      </c>
      <c r="D1910" s="2" t="s">
        <v>1621</v>
      </c>
      <c r="E1910">
        <v>0.04</v>
      </c>
      <c r="F1910">
        <v>0</v>
      </c>
      <c r="G1910" t="s">
        <v>72</v>
      </c>
      <c r="H1910" t="s">
        <v>3457</v>
      </c>
      <c r="I1910">
        <v>35</v>
      </c>
      <c r="J1910">
        <v>1966</v>
      </c>
      <c r="K1910" s="5">
        <v>46161.621810960649</v>
      </c>
      <c r="M1910" s="2" t="s">
        <v>3359</v>
      </c>
      <c r="N1910" s="2" t="s">
        <v>1701</v>
      </c>
      <c r="O1910" s="5">
        <v>44230.924274166668</v>
      </c>
      <c r="P1910" t="str">
        <f>IF($Q1910="DELETE",IF($S1910="CONFIRMED: NO MODS &gt; 1YR","CONFIRMED: NO MODS &gt; 1YR","DO NOT DELETE — not defensibly confirmed"),IF($Q1910="HOLD","DO NOT DELETE — HOLD (Charlie review)",IF($Q1910="KEEP","DO NOT DELETE — KEEP",IF(ISNUMBER(SEARCH("REVIEW",$Q1910)),"DO NOT DELETE — REVIEW pending",$S1910))))</f>
        <v>DO NOT DELETE — REVIEW pending</v>
      </c>
      <c r="Q1910" t="str" cm="1">
        <f t="array" ref="Q1910">_xlfn.IFS(AND($A1910="thg-beauty",ISNUMBER(SEARCH("liveramp",$C1910))),"DELETE",$A1910="agile-bonbon-662",_xlfn.IFS(LEFT($G1910,9)="Tranche 1","DELETE",$C1910="Sessions_Level_1_All_Sites","KEEP",ISNUMBER(--$C1910),"REVIEW — UA raw logs",$C1910="Emag_Reporting","KEEP",$C1910="Nutrition_Data_Archived_Tables","KEEP",$C1910="EU_Data","KEEP",TRUE,"REVIEW"),OR($A1910="thg-influencer",$A1910="thg-ingenuity",$A1910="thg-central-marketing",$A1910="thg-seoclarity"),"HOLD",TRUE,"")</f>
        <v>REVIEW</v>
      </c>
      <c r="R1910" t="str" cm="1">
        <f t="array" ref="R1910">_xlfn.IFS(AND($A1910="thg-beauty",ISNUMBER(SEARCH("liveramp",$C1910))),"thg-beauty Liveramp dataset — confirmed safe to delete",$A1910="agile-bonbon-662",_xlfn.IFS(LEFT($G1910,9)="Tranche 1","Tranche 1: cleared",$C1910="Sessions_Level_1_All_Sites","Downstream aggregation of UA raw logs — keep if raw tables go",ISNUMBER(--$C1910),"UA raw site logs (account ID) — keep pending audit-retention check",$C1910="Emag_Reporting","Legacy but likely needed",$C1910="Nutrition_Data_Archived_Tables","Worth keeping",$C1910="EU_Data","Static lookup tables — scripts still reference (smoke-test risk)",TRUE,"Review"),OR($A1910="thg-influencer",$A1910="thg-ingenuity",$A1910="thg-central-marketing",$A1910="thg-seoclarity"),"HOLD — Charlie Stringer to review before deletion",TRUE,"")</f>
        <v>Review</v>
      </c>
      <c r="S1910" t="s">
        <v>1631</v>
      </c>
    </row>
    <row r="1911" spans="1:19" ht="45.75" hidden="1">
      <c r="A1911" t="s">
        <v>89</v>
      </c>
      <c r="B1911" t="s">
        <v>1619</v>
      </c>
      <c r="C1911" t="s">
        <v>3652</v>
      </c>
      <c r="D1911" s="2" t="s">
        <v>1621</v>
      </c>
      <c r="E1911">
        <v>0.04</v>
      </c>
      <c r="F1911">
        <v>0</v>
      </c>
      <c r="G1911" t="s">
        <v>72</v>
      </c>
      <c r="H1911" t="s">
        <v>3457</v>
      </c>
      <c r="I1911">
        <v>35</v>
      </c>
      <c r="J1911">
        <v>1520</v>
      </c>
      <c r="K1911" s="5">
        <v>46161.592407789351</v>
      </c>
      <c r="M1911" s="2" t="s">
        <v>3405</v>
      </c>
      <c r="N1911" s="2" t="s">
        <v>1701</v>
      </c>
      <c r="O1911" s="5">
        <v>44676.598601296297</v>
      </c>
      <c r="P1911" t="str">
        <f>IF($Q1911="DELETE",IF($S1911="CONFIRMED: NO MODS &gt; 1YR","CONFIRMED: NO MODS &gt; 1YR","DO NOT DELETE — not defensibly confirmed"),IF($Q1911="HOLD","DO NOT DELETE — HOLD (Charlie review)",IF($Q1911="KEEP","DO NOT DELETE — KEEP",IF(ISNUMBER(SEARCH("REVIEW",$Q1911)),"DO NOT DELETE — REVIEW pending",$S1911))))</f>
        <v>DO NOT DELETE — REVIEW pending</v>
      </c>
      <c r="Q1911" t="str" cm="1">
        <f t="array" ref="Q1911">_xlfn.IFS(AND($A1911="thg-beauty",ISNUMBER(SEARCH("liveramp",$C1911))),"DELETE",$A1911="agile-bonbon-662",_xlfn.IFS(LEFT($G1911,9)="Tranche 1","DELETE",$C1911="Sessions_Level_1_All_Sites","KEEP",ISNUMBER(--$C1911),"REVIEW — UA raw logs",$C1911="Emag_Reporting","KEEP",$C1911="Nutrition_Data_Archived_Tables","KEEP",$C1911="EU_Data","KEEP",TRUE,"REVIEW"),OR($A1911="thg-influencer",$A1911="thg-ingenuity",$A1911="thg-central-marketing",$A1911="thg-seoclarity"),"HOLD",TRUE,"")</f>
        <v>REVIEW — UA raw logs</v>
      </c>
      <c r="R1911" t="str" cm="1">
        <f t="array" ref="R1911">_xlfn.IFS(AND($A1911="thg-beauty",ISNUMBER(SEARCH("liveramp",$C1911))),"thg-beauty Liveramp dataset — confirmed safe to delete",$A1911="agile-bonbon-662",_xlfn.IFS(LEFT($G1911,9)="Tranche 1","Tranche 1: cleared",$C1911="Sessions_Level_1_All_Sites","Downstream aggregation of UA raw logs — keep if raw tables go",ISNUMBER(--$C1911),"UA raw site logs (account ID) — keep pending audit-retention check",$C1911="Emag_Reporting","Legacy but likely needed",$C1911="Nutrition_Data_Archived_Tables","Worth keeping",$C1911="EU_Data","Static lookup tables — scripts still reference (smoke-test risk)",TRUE,"Review"),OR($A1911="thg-influencer",$A1911="thg-ingenuity",$A1911="thg-central-marketing",$A1911="thg-seoclarity"),"HOLD — Charlie Stringer to review before deletion",TRUE,"")</f>
        <v>UA raw site logs (account ID) — keep pending audit-retention check</v>
      </c>
      <c r="S1911" t="s">
        <v>1631</v>
      </c>
    </row>
    <row r="1912" spans="1:19" ht="45.75" hidden="1">
      <c r="A1912" t="s">
        <v>89</v>
      </c>
      <c r="B1912" t="s">
        <v>1619</v>
      </c>
      <c r="C1912" t="s">
        <v>4235</v>
      </c>
      <c r="D1912" s="2" t="s">
        <v>1621</v>
      </c>
      <c r="E1912">
        <v>0.04</v>
      </c>
      <c r="F1912">
        <v>0</v>
      </c>
      <c r="G1912" t="s">
        <v>72</v>
      </c>
      <c r="H1912" t="s">
        <v>3457</v>
      </c>
      <c r="I1912">
        <v>35</v>
      </c>
      <c r="J1912">
        <v>433</v>
      </c>
      <c r="K1912" s="5">
        <v>46161.618332592603</v>
      </c>
      <c r="M1912" s="2" t="s">
        <v>1945</v>
      </c>
      <c r="N1912" s="2" t="s">
        <v>1701</v>
      </c>
      <c r="O1912" s="5">
        <v>45763.468788495367</v>
      </c>
      <c r="P1912" t="str">
        <f>IF($Q1912="DELETE",IF($S1912="CONFIRMED: NO MODS &gt; 1YR","CONFIRMED: NO MODS &gt; 1YR","DO NOT DELETE — not defensibly confirmed"),IF($Q1912="HOLD","DO NOT DELETE — HOLD (Charlie review)",IF($Q1912="KEEP","DO NOT DELETE — KEEP",IF(ISNUMBER(SEARCH("REVIEW",$Q1912)),"DO NOT DELETE — REVIEW pending",$S1912))))</f>
        <v>DO NOT DELETE — REVIEW pending</v>
      </c>
      <c r="Q1912" t="str" cm="1">
        <f t="array" ref="Q1912">_xlfn.IFS(AND($A1912="thg-beauty",ISNUMBER(SEARCH("liveramp",$C1912))),"DELETE",$A1912="agile-bonbon-662",_xlfn.IFS(LEFT($G1912,9)="Tranche 1","DELETE",$C1912="Sessions_Level_1_All_Sites","KEEP",ISNUMBER(--$C1912),"REVIEW — UA raw logs",$C1912="Emag_Reporting","KEEP",$C1912="Nutrition_Data_Archived_Tables","KEEP",$C1912="EU_Data","KEEP",TRUE,"REVIEW"),OR($A1912="thg-influencer",$A1912="thg-ingenuity",$A1912="thg-central-marketing",$A1912="thg-seoclarity"),"HOLD",TRUE,"")</f>
        <v>REVIEW</v>
      </c>
      <c r="R1912" t="str" cm="1">
        <f t="array" ref="R1912">_xlfn.IFS(AND($A1912="thg-beauty",ISNUMBER(SEARCH("liveramp",$C1912))),"thg-beauty Liveramp dataset — confirmed safe to delete",$A1912="agile-bonbon-662",_xlfn.IFS(LEFT($G1912,9)="Tranche 1","Tranche 1: cleared",$C1912="Sessions_Level_1_All_Sites","Downstream aggregation of UA raw logs — keep if raw tables go",ISNUMBER(--$C1912),"UA raw site logs (account ID) — keep pending audit-retention check",$C1912="Emag_Reporting","Legacy but likely needed",$C1912="Nutrition_Data_Archived_Tables","Worth keeping",$C1912="EU_Data","Static lookup tables — scripts still reference (smoke-test risk)",TRUE,"Review"),OR($A1912="thg-influencer",$A1912="thg-ingenuity",$A1912="thg-central-marketing",$A1912="thg-seoclarity"),"HOLD — Charlie Stringer to review before deletion",TRUE,"")</f>
        <v>Review</v>
      </c>
      <c r="S1912" t="s">
        <v>1631</v>
      </c>
    </row>
    <row r="1913" spans="1:19" ht="45.75" hidden="1">
      <c r="A1913" t="s">
        <v>89</v>
      </c>
      <c r="B1913" t="s">
        <v>1619</v>
      </c>
      <c r="C1913" t="s">
        <v>4236</v>
      </c>
      <c r="D1913" s="2" t="s">
        <v>1621</v>
      </c>
      <c r="E1913">
        <v>0.04</v>
      </c>
      <c r="F1913">
        <v>0</v>
      </c>
      <c r="G1913" t="s">
        <v>72</v>
      </c>
      <c r="H1913" t="s">
        <v>3457</v>
      </c>
      <c r="I1913">
        <v>35</v>
      </c>
      <c r="J1913">
        <v>2699</v>
      </c>
      <c r="K1913" s="5">
        <v>46161.603127847222</v>
      </c>
      <c r="M1913" s="2" t="s">
        <v>4137</v>
      </c>
      <c r="N1913" s="2" t="s">
        <v>1701</v>
      </c>
      <c r="O1913" s="5">
        <v>43497.555287974537</v>
      </c>
      <c r="P1913" t="str">
        <f>IF($Q1913="DELETE",IF($S1913="CONFIRMED: NO MODS &gt; 1YR","CONFIRMED: NO MODS &gt; 1YR","DO NOT DELETE — not defensibly confirmed"),IF($Q1913="HOLD","DO NOT DELETE — HOLD (Charlie review)",IF($Q1913="KEEP","DO NOT DELETE — KEEP",IF(ISNUMBER(SEARCH("REVIEW",$Q1913)),"DO NOT DELETE — REVIEW pending",$S1913))))</f>
        <v>DO NOT DELETE — REVIEW pending</v>
      </c>
      <c r="Q1913" t="str" cm="1">
        <f t="array" ref="Q1913">_xlfn.IFS(AND($A1913="thg-beauty",ISNUMBER(SEARCH("liveramp",$C1913))),"DELETE",$A1913="agile-bonbon-662",_xlfn.IFS(LEFT($G1913,9)="Tranche 1","DELETE",$C1913="Sessions_Level_1_All_Sites","KEEP",ISNUMBER(--$C1913),"REVIEW — UA raw logs",$C1913="Emag_Reporting","KEEP",$C1913="Nutrition_Data_Archived_Tables","KEEP",$C1913="EU_Data","KEEP",TRUE,"REVIEW"),OR($A1913="thg-influencer",$A1913="thg-ingenuity",$A1913="thg-central-marketing",$A1913="thg-seoclarity"),"HOLD",TRUE,"")</f>
        <v>REVIEW — UA raw logs</v>
      </c>
      <c r="R1913" t="str" cm="1">
        <f t="array" ref="R1913">_xlfn.IFS(AND($A1913="thg-beauty",ISNUMBER(SEARCH("liveramp",$C1913))),"thg-beauty Liveramp dataset — confirmed safe to delete",$A1913="agile-bonbon-662",_xlfn.IFS(LEFT($G1913,9)="Tranche 1","Tranche 1: cleared",$C1913="Sessions_Level_1_All_Sites","Downstream aggregation of UA raw logs — keep if raw tables go",ISNUMBER(--$C1913),"UA raw site logs (account ID) — keep pending audit-retention check",$C1913="Emag_Reporting","Legacy but likely needed",$C1913="Nutrition_Data_Archived_Tables","Worth keeping",$C1913="EU_Data","Static lookup tables — scripts still reference (smoke-test risk)",TRUE,"Review"),OR($A1913="thg-influencer",$A1913="thg-ingenuity",$A1913="thg-central-marketing",$A1913="thg-seoclarity"),"HOLD — Charlie Stringer to review before deletion",TRUE,"")</f>
        <v>UA raw site logs (account ID) — keep pending audit-retention check</v>
      </c>
      <c r="S1913" t="s">
        <v>1631</v>
      </c>
    </row>
    <row r="1914" spans="1:19" ht="45.75" hidden="1">
      <c r="A1914" t="s">
        <v>89</v>
      </c>
      <c r="B1914" t="s">
        <v>1619</v>
      </c>
      <c r="C1914" t="s">
        <v>4237</v>
      </c>
      <c r="D1914" s="2" t="s">
        <v>1621</v>
      </c>
      <c r="E1914">
        <v>0.04</v>
      </c>
      <c r="F1914">
        <v>0</v>
      </c>
      <c r="G1914" t="s">
        <v>72</v>
      </c>
      <c r="H1914" t="s">
        <v>3457</v>
      </c>
      <c r="I1914">
        <v>35</v>
      </c>
      <c r="J1914">
        <v>1907</v>
      </c>
      <c r="K1914" s="5">
        <v>46161.590616516201</v>
      </c>
      <c r="M1914" s="2" t="s">
        <v>3447</v>
      </c>
      <c r="N1914" s="2" t="s">
        <v>1701</v>
      </c>
      <c r="O1914" s="5">
        <v>44289.482521064812</v>
      </c>
      <c r="P1914" t="str">
        <f>IF($Q1914="DELETE",IF($S1914="CONFIRMED: NO MODS &gt; 1YR","CONFIRMED: NO MODS &gt; 1YR","DO NOT DELETE — not defensibly confirmed"),IF($Q1914="HOLD","DO NOT DELETE — HOLD (Charlie review)",IF($Q1914="KEEP","DO NOT DELETE — KEEP",IF(ISNUMBER(SEARCH("REVIEW",$Q1914)),"DO NOT DELETE — REVIEW pending",$S1914))))</f>
        <v>DO NOT DELETE — REVIEW pending</v>
      </c>
      <c r="Q1914" t="str" cm="1">
        <f t="array" ref="Q1914">_xlfn.IFS(AND($A1914="thg-beauty",ISNUMBER(SEARCH("liveramp",$C1914))),"DELETE",$A1914="agile-bonbon-662",_xlfn.IFS(LEFT($G1914,9)="Tranche 1","DELETE",$C1914="Sessions_Level_1_All_Sites","KEEP",ISNUMBER(--$C1914),"REVIEW — UA raw logs",$C1914="Emag_Reporting","KEEP",$C1914="Nutrition_Data_Archived_Tables","KEEP",$C1914="EU_Data","KEEP",TRUE,"REVIEW"),OR($A1914="thg-influencer",$A1914="thg-ingenuity",$A1914="thg-central-marketing",$A1914="thg-seoclarity"),"HOLD",TRUE,"")</f>
        <v>REVIEW — UA raw logs</v>
      </c>
      <c r="R1914" t="str" cm="1">
        <f t="array" ref="R1914">_xlfn.IFS(AND($A1914="thg-beauty",ISNUMBER(SEARCH("liveramp",$C1914))),"thg-beauty Liveramp dataset — confirmed safe to delete",$A1914="agile-bonbon-662",_xlfn.IFS(LEFT($G1914,9)="Tranche 1","Tranche 1: cleared",$C1914="Sessions_Level_1_All_Sites","Downstream aggregation of UA raw logs — keep if raw tables go",ISNUMBER(--$C1914),"UA raw site logs (account ID) — keep pending audit-retention check",$C1914="Emag_Reporting","Legacy but likely needed",$C1914="Nutrition_Data_Archived_Tables","Worth keeping",$C1914="EU_Data","Static lookup tables — scripts still reference (smoke-test risk)",TRUE,"Review"),OR($A1914="thg-influencer",$A1914="thg-ingenuity",$A1914="thg-central-marketing",$A1914="thg-seoclarity"),"HOLD — Charlie Stringer to review before deletion",TRUE,"")</f>
        <v>UA raw site logs (account ID) — keep pending audit-retention check</v>
      </c>
      <c r="S1914" t="s">
        <v>1631</v>
      </c>
    </row>
    <row r="1915" spans="1:19" ht="45.75" hidden="1">
      <c r="A1915" t="s">
        <v>89</v>
      </c>
      <c r="B1915" t="s">
        <v>1619</v>
      </c>
      <c r="C1915" t="s">
        <v>4238</v>
      </c>
      <c r="D1915" s="2" t="s">
        <v>1621</v>
      </c>
      <c r="E1915">
        <v>0.03</v>
      </c>
      <c r="F1915">
        <v>0</v>
      </c>
      <c r="G1915" t="s">
        <v>72</v>
      </c>
      <c r="H1915" t="s">
        <v>3457</v>
      </c>
      <c r="I1915">
        <v>35</v>
      </c>
      <c r="J1915">
        <v>2699</v>
      </c>
      <c r="K1915" s="5">
        <v>46161.603268541658</v>
      </c>
      <c r="M1915" s="2" t="s">
        <v>4119</v>
      </c>
      <c r="N1915" s="2" t="s">
        <v>1701</v>
      </c>
      <c r="O1915" s="5">
        <v>43497.560107314806</v>
      </c>
      <c r="P1915" t="str">
        <f>IF($Q1915="DELETE",IF($S1915="CONFIRMED: NO MODS &gt; 1YR","CONFIRMED: NO MODS &gt; 1YR","DO NOT DELETE — not defensibly confirmed"),IF($Q1915="HOLD","DO NOT DELETE — HOLD (Charlie review)",IF($Q1915="KEEP","DO NOT DELETE — KEEP",IF(ISNUMBER(SEARCH("REVIEW",$Q1915)),"DO NOT DELETE — REVIEW pending",$S1915))))</f>
        <v>DO NOT DELETE — REVIEW pending</v>
      </c>
      <c r="Q1915" t="str" cm="1">
        <f t="array" ref="Q1915">_xlfn.IFS(AND($A1915="thg-beauty",ISNUMBER(SEARCH("liveramp",$C1915))),"DELETE",$A1915="agile-bonbon-662",_xlfn.IFS(LEFT($G1915,9)="Tranche 1","DELETE",$C1915="Sessions_Level_1_All_Sites","KEEP",ISNUMBER(--$C1915),"REVIEW — UA raw logs",$C1915="Emag_Reporting","KEEP",$C1915="Nutrition_Data_Archived_Tables","KEEP",$C1915="EU_Data","KEEP",TRUE,"REVIEW"),OR($A1915="thg-influencer",$A1915="thg-ingenuity",$A1915="thg-central-marketing",$A1915="thg-seoclarity"),"HOLD",TRUE,"")</f>
        <v>REVIEW — UA raw logs</v>
      </c>
      <c r="R1915" t="str" cm="1">
        <f t="array" ref="R1915">_xlfn.IFS(AND($A1915="thg-beauty",ISNUMBER(SEARCH("liveramp",$C1915))),"thg-beauty Liveramp dataset — confirmed safe to delete",$A1915="agile-bonbon-662",_xlfn.IFS(LEFT($G1915,9)="Tranche 1","Tranche 1: cleared",$C1915="Sessions_Level_1_All_Sites","Downstream aggregation of UA raw logs — keep if raw tables go",ISNUMBER(--$C1915),"UA raw site logs (account ID) — keep pending audit-retention check",$C1915="Emag_Reporting","Legacy but likely needed",$C1915="Nutrition_Data_Archived_Tables","Worth keeping",$C1915="EU_Data","Static lookup tables — scripts still reference (smoke-test risk)",TRUE,"Review"),OR($A1915="thg-influencer",$A1915="thg-ingenuity",$A1915="thg-central-marketing",$A1915="thg-seoclarity"),"HOLD — Charlie Stringer to review before deletion",TRUE,"")</f>
        <v>UA raw site logs (account ID) — keep pending audit-retention check</v>
      </c>
      <c r="S1915" t="s">
        <v>1631</v>
      </c>
    </row>
    <row r="1916" spans="1:19" ht="45.75" hidden="1">
      <c r="A1916" t="s">
        <v>89</v>
      </c>
      <c r="B1916" t="s">
        <v>1619</v>
      </c>
      <c r="C1916" t="s">
        <v>4239</v>
      </c>
      <c r="D1916" s="2" t="s">
        <v>1621</v>
      </c>
      <c r="E1916">
        <v>0.03</v>
      </c>
      <c r="F1916">
        <v>0</v>
      </c>
      <c r="G1916" t="s">
        <v>72</v>
      </c>
      <c r="H1916" t="s">
        <v>3457</v>
      </c>
      <c r="I1916">
        <v>35</v>
      </c>
      <c r="J1916">
        <v>1897</v>
      </c>
      <c r="K1916" s="5">
        <v>46161.612379444443</v>
      </c>
      <c r="M1916" s="2" t="s">
        <v>4240</v>
      </c>
      <c r="N1916" s="2" t="s">
        <v>1701</v>
      </c>
      <c r="O1916" s="5">
        <v>44299.663816342603</v>
      </c>
      <c r="P1916" t="str">
        <f>IF($Q1916="DELETE",IF($S1916="CONFIRMED: NO MODS &gt; 1YR","CONFIRMED: NO MODS &gt; 1YR","DO NOT DELETE — not defensibly confirmed"),IF($Q1916="HOLD","DO NOT DELETE — HOLD (Charlie review)",IF($Q1916="KEEP","DO NOT DELETE — KEEP",IF(ISNUMBER(SEARCH("REVIEW",$Q1916)),"DO NOT DELETE — REVIEW pending",$S1916))))</f>
        <v>DO NOT DELETE — REVIEW pending</v>
      </c>
      <c r="Q1916" t="str" cm="1">
        <f t="array" ref="Q1916">_xlfn.IFS(AND($A1916="thg-beauty",ISNUMBER(SEARCH("liveramp",$C1916))),"DELETE",$A1916="agile-bonbon-662",_xlfn.IFS(LEFT($G1916,9)="Tranche 1","DELETE",$C1916="Sessions_Level_1_All_Sites","KEEP",ISNUMBER(--$C1916),"REVIEW — UA raw logs",$C1916="Emag_Reporting","KEEP",$C1916="Nutrition_Data_Archived_Tables","KEEP",$C1916="EU_Data","KEEP",TRUE,"REVIEW"),OR($A1916="thg-influencer",$A1916="thg-ingenuity",$A1916="thg-central-marketing",$A1916="thg-seoclarity"),"HOLD",TRUE,"")</f>
        <v>REVIEW</v>
      </c>
      <c r="R1916" t="str" cm="1">
        <f t="array" ref="R1916">_xlfn.IFS(AND($A1916="thg-beauty",ISNUMBER(SEARCH("liveramp",$C1916))),"thg-beauty Liveramp dataset — confirmed safe to delete",$A1916="agile-bonbon-662",_xlfn.IFS(LEFT($G1916,9)="Tranche 1","Tranche 1: cleared",$C1916="Sessions_Level_1_All_Sites","Downstream aggregation of UA raw logs — keep if raw tables go",ISNUMBER(--$C1916),"UA raw site logs (account ID) — keep pending audit-retention check",$C1916="Emag_Reporting","Legacy but likely needed",$C1916="Nutrition_Data_Archived_Tables","Worth keeping",$C1916="EU_Data","Static lookup tables — scripts still reference (smoke-test risk)",TRUE,"Review"),OR($A1916="thg-influencer",$A1916="thg-ingenuity",$A1916="thg-central-marketing",$A1916="thg-seoclarity"),"HOLD — Charlie Stringer to review before deletion",TRUE,"")</f>
        <v>Review</v>
      </c>
      <c r="S1916" t="s">
        <v>1631</v>
      </c>
    </row>
    <row r="1917" spans="1:19" ht="45.75" hidden="1">
      <c r="A1917" t="s">
        <v>89</v>
      </c>
      <c r="B1917" t="s">
        <v>1619</v>
      </c>
      <c r="C1917" t="s">
        <v>4241</v>
      </c>
      <c r="D1917" s="2" t="s">
        <v>1621</v>
      </c>
      <c r="E1917">
        <v>0.03</v>
      </c>
      <c r="F1917">
        <v>0</v>
      </c>
      <c r="G1917" t="s">
        <v>72</v>
      </c>
      <c r="H1917" t="s">
        <v>3457</v>
      </c>
      <c r="I1917">
        <v>35</v>
      </c>
      <c r="J1917">
        <v>2689</v>
      </c>
      <c r="K1917" s="5">
        <v>46161.600588680558</v>
      </c>
      <c r="M1917" s="2" t="s">
        <v>3428</v>
      </c>
      <c r="N1917" s="2" t="s">
        <v>1701</v>
      </c>
      <c r="O1917" s="5">
        <v>43507.759891354173</v>
      </c>
      <c r="P1917" t="str">
        <f>IF($Q1917="DELETE",IF($S1917="CONFIRMED: NO MODS &gt; 1YR","CONFIRMED: NO MODS &gt; 1YR","DO NOT DELETE — not defensibly confirmed"),IF($Q1917="HOLD","DO NOT DELETE — HOLD (Charlie review)",IF($Q1917="KEEP","DO NOT DELETE — KEEP",IF(ISNUMBER(SEARCH("REVIEW",$Q1917)),"DO NOT DELETE — REVIEW pending",$S1917))))</f>
        <v>DO NOT DELETE — REVIEW pending</v>
      </c>
      <c r="Q1917" t="str" cm="1">
        <f t="array" ref="Q1917">_xlfn.IFS(AND($A1917="thg-beauty",ISNUMBER(SEARCH("liveramp",$C1917))),"DELETE",$A1917="agile-bonbon-662",_xlfn.IFS(LEFT($G1917,9)="Tranche 1","DELETE",$C1917="Sessions_Level_1_All_Sites","KEEP",ISNUMBER(--$C1917),"REVIEW — UA raw logs",$C1917="Emag_Reporting","KEEP",$C1917="Nutrition_Data_Archived_Tables","KEEP",$C1917="EU_Data","KEEP",TRUE,"REVIEW"),OR($A1917="thg-influencer",$A1917="thg-ingenuity",$A1917="thg-central-marketing",$A1917="thg-seoclarity"),"HOLD",TRUE,"")</f>
        <v>REVIEW — UA raw logs</v>
      </c>
      <c r="R1917" t="str" cm="1">
        <f t="array" ref="R1917">_xlfn.IFS(AND($A1917="thg-beauty",ISNUMBER(SEARCH("liveramp",$C1917))),"thg-beauty Liveramp dataset — confirmed safe to delete",$A1917="agile-bonbon-662",_xlfn.IFS(LEFT($G1917,9)="Tranche 1","Tranche 1: cleared",$C1917="Sessions_Level_1_All_Sites","Downstream aggregation of UA raw logs — keep if raw tables go",ISNUMBER(--$C1917),"UA raw site logs (account ID) — keep pending audit-retention check",$C1917="Emag_Reporting","Legacy but likely needed",$C1917="Nutrition_Data_Archived_Tables","Worth keeping",$C1917="EU_Data","Static lookup tables — scripts still reference (smoke-test risk)",TRUE,"Review"),OR($A1917="thg-influencer",$A1917="thg-ingenuity",$A1917="thg-central-marketing",$A1917="thg-seoclarity"),"HOLD — Charlie Stringer to review before deletion",TRUE,"")</f>
        <v>UA raw site logs (account ID) — keep pending audit-retention check</v>
      </c>
      <c r="S1917" t="s">
        <v>1631</v>
      </c>
    </row>
    <row r="1918" spans="1:19" ht="45.75" hidden="1">
      <c r="A1918" t="s">
        <v>89</v>
      </c>
      <c r="B1918" t="s">
        <v>1619</v>
      </c>
      <c r="C1918" t="s">
        <v>4242</v>
      </c>
      <c r="D1918" s="2" t="s">
        <v>1621</v>
      </c>
      <c r="E1918">
        <v>0.03</v>
      </c>
      <c r="F1918">
        <v>0</v>
      </c>
      <c r="G1918" t="s">
        <v>72</v>
      </c>
      <c r="H1918" t="s">
        <v>3457</v>
      </c>
      <c r="I1918">
        <v>35</v>
      </c>
      <c r="J1918">
        <v>1966</v>
      </c>
      <c r="K1918" s="5">
        <v>46161.621835821759</v>
      </c>
      <c r="M1918" s="2" t="s">
        <v>3359</v>
      </c>
      <c r="N1918" s="2" t="s">
        <v>1701</v>
      </c>
      <c r="O1918" s="5">
        <v>44231.054956689812</v>
      </c>
      <c r="P1918" t="str">
        <f>IF($Q1918="DELETE",IF($S1918="CONFIRMED: NO MODS &gt; 1YR","CONFIRMED: NO MODS &gt; 1YR","DO NOT DELETE — not defensibly confirmed"),IF($Q1918="HOLD","DO NOT DELETE — HOLD (Charlie review)",IF($Q1918="KEEP","DO NOT DELETE — KEEP",IF(ISNUMBER(SEARCH("REVIEW",$Q1918)),"DO NOT DELETE — REVIEW pending",$S1918))))</f>
        <v>DO NOT DELETE — REVIEW pending</v>
      </c>
      <c r="Q1918" t="str" cm="1">
        <f t="array" ref="Q1918">_xlfn.IFS(AND($A1918="thg-beauty",ISNUMBER(SEARCH("liveramp",$C1918))),"DELETE",$A1918="agile-bonbon-662",_xlfn.IFS(LEFT($G1918,9)="Tranche 1","DELETE",$C1918="Sessions_Level_1_All_Sites","KEEP",ISNUMBER(--$C1918),"REVIEW — UA raw logs",$C1918="Emag_Reporting","KEEP",$C1918="Nutrition_Data_Archived_Tables","KEEP",$C1918="EU_Data","KEEP",TRUE,"REVIEW"),OR($A1918="thg-influencer",$A1918="thg-ingenuity",$A1918="thg-central-marketing",$A1918="thg-seoclarity"),"HOLD",TRUE,"")</f>
        <v>REVIEW</v>
      </c>
      <c r="R1918" t="str" cm="1">
        <f t="array" ref="R1918">_xlfn.IFS(AND($A1918="thg-beauty",ISNUMBER(SEARCH("liveramp",$C1918))),"thg-beauty Liveramp dataset — confirmed safe to delete",$A1918="agile-bonbon-662",_xlfn.IFS(LEFT($G1918,9)="Tranche 1","Tranche 1: cleared",$C1918="Sessions_Level_1_All_Sites","Downstream aggregation of UA raw logs — keep if raw tables go",ISNUMBER(--$C1918),"UA raw site logs (account ID) — keep pending audit-retention check",$C1918="Emag_Reporting","Legacy but likely needed",$C1918="Nutrition_Data_Archived_Tables","Worth keeping",$C1918="EU_Data","Static lookup tables — scripts still reference (smoke-test risk)",TRUE,"Review"),OR($A1918="thg-influencer",$A1918="thg-ingenuity",$A1918="thg-central-marketing",$A1918="thg-seoclarity"),"HOLD — Charlie Stringer to review before deletion",TRUE,"")</f>
        <v>Review</v>
      </c>
      <c r="S1918" t="s">
        <v>1631</v>
      </c>
    </row>
    <row r="1919" spans="1:19" ht="76.5" hidden="1">
      <c r="A1919" t="s">
        <v>89</v>
      </c>
      <c r="B1919" t="s">
        <v>1619</v>
      </c>
      <c r="C1919" t="s">
        <v>4243</v>
      </c>
      <c r="D1919" s="2" t="s">
        <v>1621</v>
      </c>
      <c r="E1919">
        <v>0.03</v>
      </c>
      <c r="F1919">
        <v>0</v>
      </c>
      <c r="G1919" t="s">
        <v>72</v>
      </c>
      <c r="H1919" t="s">
        <v>3457</v>
      </c>
      <c r="I1919">
        <v>35</v>
      </c>
      <c r="J1919">
        <v>1954</v>
      </c>
      <c r="K1919" s="5">
        <v>46161.58031986111</v>
      </c>
      <c r="M1919" s="2" t="s">
        <v>4036</v>
      </c>
      <c r="N1919" s="2" t="s">
        <v>1701</v>
      </c>
      <c r="O1919" s="5">
        <v>44242.61371795139</v>
      </c>
      <c r="P1919" t="str">
        <f>IF($Q1919="DELETE",IF($S1919="CONFIRMED: NO MODS &gt; 1YR","CONFIRMED: NO MODS &gt; 1YR","DO NOT DELETE — not defensibly confirmed"),IF($Q1919="HOLD","DO NOT DELETE — HOLD (Charlie review)",IF($Q1919="KEEP","DO NOT DELETE — KEEP",IF(ISNUMBER(SEARCH("REVIEW",$Q1919)),"DO NOT DELETE — REVIEW pending",$S1919))))</f>
        <v>DO NOT DELETE — REVIEW pending</v>
      </c>
      <c r="Q1919" t="str" cm="1">
        <f t="array" ref="Q1919">_xlfn.IFS(AND($A1919="thg-beauty",ISNUMBER(SEARCH("liveramp",$C1919))),"DELETE",$A1919="agile-bonbon-662",_xlfn.IFS(LEFT($G1919,9)="Tranche 1","DELETE",$C1919="Sessions_Level_1_All_Sites","KEEP",ISNUMBER(--$C1919),"REVIEW — UA raw logs",$C1919="Emag_Reporting","KEEP",$C1919="Nutrition_Data_Archived_Tables","KEEP",$C1919="EU_Data","KEEP",TRUE,"REVIEW"),OR($A1919="thg-influencer",$A1919="thg-ingenuity",$A1919="thg-central-marketing",$A1919="thg-seoclarity"),"HOLD",TRUE,"")</f>
        <v>REVIEW</v>
      </c>
      <c r="R1919" t="str" cm="1">
        <f t="array" ref="R1919">_xlfn.IFS(AND($A1919="thg-beauty",ISNUMBER(SEARCH("liveramp",$C1919))),"thg-beauty Liveramp dataset — confirmed safe to delete",$A1919="agile-bonbon-662",_xlfn.IFS(LEFT($G1919,9)="Tranche 1","Tranche 1: cleared",$C1919="Sessions_Level_1_All_Sites","Downstream aggregation of UA raw logs — keep if raw tables go",ISNUMBER(--$C1919),"UA raw site logs (account ID) — keep pending audit-retention check",$C1919="Emag_Reporting","Legacy but likely needed",$C1919="Nutrition_Data_Archived_Tables","Worth keeping",$C1919="EU_Data","Static lookup tables — scripts still reference (smoke-test risk)",TRUE,"Review"),OR($A1919="thg-influencer",$A1919="thg-ingenuity",$A1919="thg-central-marketing",$A1919="thg-seoclarity"),"HOLD — Charlie Stringer to review before deletion",TRUE,"")</f>
        <v>Review</v>
      </c>
      <c r="S1919" t="s">
        <v>1631</v>
      </c>
    </row>
    <row r="1920" spans="1:19" ht="45.75" hidden="1">
      <c r="A1920" t="s">
        <v>89</v>
      </c>
      <c r="B1920" t="s">
        <v>1619</v>
      </c>
      <c r="C1920" t="s">
        <v>4244</v>
      </c>
      <c r="D1920" s="2" t="s">
        <v>1621</v>
      </c>
      <c r="E1920">
        <v>0.02</v>
      </c>
      <c r="F1920">
        <v>0</v>
      </c>
      <c r="G1920" t="s">
        <v>72</v>
      </c>
      <c r="H1920" t="s">
        <v>3457</v>
      </c>
      <c r="I1920">
        <v>35</v>
      </c>
      <c r="J1920">
        <v>1952</v>
      </c>
      <c r="K1920" s="5">
        <v>46161.608212905092</v>
      </c>
      <c r="M1920" s="2" t="s">
        <v>2047</v>
      </c>
      <c r="N1920" s="2" t="s">
        <v>1701</v>
      </c>
      <c r="O1920" s="5">
        <v>44244.523079409722</v>
      </c>
      <c r="P1920" t="str">
        <f>IF($Q1920="DELETE",IF($S1920="CONFIRMED: NO MODS &gt; 1YR","CONFIRMED: NO MODS &gt; 1YR","DO NOT DELETE — not defensibly confirmed"),IF($Q1920="HOLD","DO NOT DELETE — HOLD (Charlie review)",IF($Q1920="KEEP","DO NOT DELETE — KEEP",IF(ISNUMBER(SEARCH("REVIEW",$Q1920)),"DO NOT DELETE — REVIEW pending",$S1920))))</f>
        <v>DO NOT DELETE — REVIEW pending</v>
      </c>
      <c r="Q1920" t="str" cm="1">
        <f t="array" ref="Q1920">_xlfn.IFS(AND($A1920="thg-beauty",ISNUMBER(SEARCH("liveramp",$C1920))),"DELETE",$A1920="agile-bonbon-662",_xlfn.IFS(LEFT($G1920,9)="Tranche 1","DELETE",$C1920="Sessions_Level_1_All_Sites","KEEP",ISNUMBER(--$C1920),"REVIEW — UA raw logs",$C1920="Emag_Reporting","KEEP",$C1920="Nutrition_Data_Archived_Tables","KEEP",$C1920="EU_Data","KEEP",TRUE,"REVIEW"),OR($A1920="thg-influencer",$A1920="thg-ingenuity",$A1920="thg-central-marketing",$A1920="thg-seoclarity"),"HOLD",TRUE,"")</f>
        <v>REVIEW</v>
      </c>
      <c r="R1920" t="str" cm="1">
        <f t="array" ref="R1920">_xlfn.IFS(AND($A1920="thg-beauty",ISNUMBER(SEARCH("liveramp",$C1920))),"thg-beauty Liveramp dataset — confirmed safe to delete",$A1920="agile-bonbon-662",_xlfn.IFS(LEFT($G1920,9)="Tranche 1","Tranche 1: cleared",$C1920="Sessions_Level_1_All_Sites","Downstream aggregation of UA raw logs — keep if raw tables go",ISNUMBER(--$C1920),"UA raw site logs (account ID) — keep pending audit-retention check",$C1920="Emag_Reporting","Legacy but likely needed",$C1920="Nutrition_Data_Archived_Tables","Worth keeping",$C1920="EU_Data","Static lookup tables — scripts still reference (smoke-test risk)",TRUE,"Review"),OR($A1920="thg-influencer",$A1920="thg-ingenuity",$A1920="thg-central-marketing",$A1920="thg-seoclarity"),"HOLD — Charlie Stringer to review before deletion",TRUE,"")</f>
        <v>Review</v>
      </c>
      <c r="S1920" t="s">
        <v>1631</v>
      </c>
    </row>
    <row r="1921" spans="1:19" ht="45.75" hidden="1">
      <c r="A1921" t="s">
        <v>89</v>
      </c>
      <c r="B1921" t="s">
        <v>1619</v>
      </c>
      <c r="C1921" t="s">
        <v>4245</v>
      </c>
      <c r="D1921" s="2" t="s">
        <v>1621</v>
      </c>
      <c r="E1921">
        <v>0.02</v>
      </c>
      <c r="F1921">
        <v>0</v>
      </c>
      <c r="G1921" t="s">
        <v>72</v>
      </c>
      <c r="H1921" t="s">
        <v>3457</v>
      </c>
      <c r="I1921">
        <v>35</v>
      </c>
      <c r="J1921">
        <v>1494</v>
      </c>
      <c r="K1921" s="5">
        <v>46161.615527534719</v>
      </c>
      <c r="M1921" s="2" t="s">
        <v>1928</v>
      </c>
      <c r="N1921" s="2" t="s">
        <v>1701</v>
      </c>
      <c r="O1921" s="5">
        <v>44703.01396866898</v>
      </c>
      <c r="P1921" t="str">
        <f>IF($Q1921="DELETE",IF($S1921="CONFIRMED: NO MODS &gt; 1YR","CONFIRMED: NO MODS &gt; 1YR","DO NOT DELETE — not defensibly confirmed"),IF($Q1921="HOLD","DO NOT DELETE — HOLD (Charlie review)",IF($Q1921="KEEP","DO NOT DELETE — KEEP",IF(ISNUMBER(SEARCH("REVIEW",$Q1921)),"DO NOT DELETE — REVIEW pending",$S1921))))</f>
        <v>DO NOT DELETE — REVIEW pending</v>
      </c>
      <c r="Q1921" t="str" cm="1">
        <f t="array" ref="Q1921">_xlfn.IFS(AND($A1921="thg-beauty",ISNUMBER(SEARCH("liveramp",$C1921))),"DELETE",$A1921="agile-bonbon-662",_xlfn.IFS(LEFT($G1921,9)="Tranche 1","DELETE",$C1921="Sessions_Level_1_All_Sites","KEEP",ISNUMBER(--$C1921),"REVIEW — UA raw logs",$C1921="Emag_Reporting","KEEP",$C1921="Nutrition_Data_Archived_Tables","KEEP",$C1921="EU_Data","KEEP",TRUE,"REVIEW"),OR($A1921="thg-influencer",$A1921="thg-ingenuity",$A1921="thg-central-marketing",$A1921="thg-seoclarity"),"HOLD",TRUE,"")</f>
        <v>REVIEW</v>
      </c>
      <c r="R1921" t="str" cm="1">
        <f t="array" ref="R1921">_xlfn.IFS(AND($A1921="thg-beauty",ISNUMBER(SEARCH("liveramp",$C1921))),"thg-beauty Liveramp dataset — confirmed safe to delete",$A1921="agile-bonbon-662",_xlfn.IFS(LEFT($G1921,9)="Tranche 1","Tranche 1: cleared",$C1921="Sessions_Level_1_All_Sites","Downstream aggregation of UA raw logs — keep if raw tables go",ISNUMBER(--$C1921),"UA raw site logs (account ID) — keep pending audit-retention check",$C1921="Emag_Reporting","Legacy but likely needed",$C1921="Nutrition_Data_Archived_Tables","Worth keeping",$C1921="EU_Data","Static lookup tables — scripts still reference (smoke-test risk)",TRUE,"Review"),OR($A1921="thg-influencer",$A1921="thg-ingenuity",$A1921="thg-central-marketing",$A1921="thg-seoclarity"),"HOLD — Charlie Stringer to review before deletion",TRUE,"")</f>
        <v>Review</v>
      </c>
      <c r="S1921" t="s">
        <v>1631</v>
      </c>
    </row>
    <row r="1922" spans="1:19" ht="45.75" hidden="1">
      <c r="A1922" t="s">
        <v>89</v>
      </c>
      <c r="B1922" t="s">
        <v>1619</v>
      </c>
      <c r="C1922" t="s">
        <v>4246</v>
      </c>
      <c r="D1922" s="2" t="s">
        <v>1621</v>
      </c>
      <c r="E1922">
        <v>0.02</v>
      </c>
      <c r="F1922">
        <v>0</v>
      </c>
      <c r="G1922" t="s">
        <v>72</v>
      </c>
      <c r="H1922" t="s">
        <v>3457</v>
      </c>
      <c r="I1922">
        <v>35</v>
      </c>
      <c r="J1922">
        <v>731</v>
      </c>
      <c r="K1922" s="5">
        <v>46161.594696215281</v>
      </c>
      <c r="M1922" s="2" t="s">
        <v>3902</v>
      </c>
      <c r="N1922" s="2" t="s">
        <v>1701</v>
      </c>
      <c r="O1922" s="5">
        <v>45466.285981388894</v>
      </c>
      <c r="P1922" t="str">
        <f>IF($Q1922="DELETE",IF($S1922="CONFIRMED: NO MODS &gt; 1YR","CONFIRMED: NO MODS &gt; 1YR","DO NOT DELETE — not defensibly confirmed"),IF($Q1922="HOLD","DO NOT DELETE — HOLD (Charlie review)",IF($Q1922="KEEP","DO NOT DELETE — KEEP",IF(ISNUMBER(SEARCH("REVIEW",$Q1922)),"DO NOT DELETE — REVIEW pending",$S1922))))</f>
        <v>DO NOT DELETE — REVIEW pending</v>
      </c>
      <c r="Q1922" t="str" cm="1">
        <f t="array" ref="Q1922">_xlfn.IFS(AND($A1922="thg-beauty",ISNUMBER(SEARCH("liveramp",$C1922))),"DELETE",$A1922="agile-bonbon-662",_xlfn.IFS(LEFT($G1922,9)="Tranche 1","DELETE",$C1922="Sessions_Level_1_All_Sites","KEEP",ISNUMBER(--$C1922),"REVIEW — UA raw logs",$C1922="Emag_Reporting","KEEP",$C1922="Nutrition_Data_Archived_Tables","KEEP",$C1922="EU_Data","KEEP",TRUE,"REVIEW"),OR($A1922="thg-influencer",$A1922="thg-ingenuity",$A1922="thg-central-marketing",$A1922="thg-seoclarity"),"HOLD",TRUE,"")</f>
        <v>REVIEW — UA raw logs</v>
      </c>
      <c r="R1922" t="str" cm="1">
        <f t="array" ref="R1922">_xlfn.IFS(AND($A1922="thg-beauty",ISNUMBER(SEARCH("liveramp",$C1922))),"thg-beauty Liveramp dataset — confirmed safe to delete",$A1922="agile-bonbon-662",_xlfn.IFS(LEFT($G1922,9)="Tranche 1","Tranche 1: cleared",$C1922="Sessions_Level_1_All_Sites","Downstream aggregation of UA raw logs — keep if raw tables go",ISNUMBER(--$C1922),"UA raw site logs (account ID) — keep pending audit-retention check",$C1922="Emag_Reporting","Legacy but likely needed",$C1922="Nutrition_Data_Archived_Tables","Worth keeping",$C1922="EU_Data","Static lookup tables — scripts still reference (smoke-test risk)",TRUE,"Review"),OR($A1922="thg-influencer",$A1922="thg-ingenuity",$A1922="thg-central-marketing",$A1922="thg-seoclarity"),"HOLD — Charlie Stringer to review before deletion",TRUE,"")</f>
        <v>UA raw site logs (account ID) — keep pending audit-retention check</v>
      </c>
      <c r="S1922" t="s">
        <v>1631</v>
      </c>
    </row>
    <row r="1923" spans="1:19" ht="45.75" hidden="1">
      <c r="A1923" t="s">
        <v>89</v>
      </c>
      <c r="B1923" t="s">
        <v>1619</v>
      </c>
      <c r="C1923" t="s">
        <v>4247</v>
      </c>
      <c r="D1923" s="2" t="s">
        <v>1621</v>
      </c>
      <c r="E1923">
        <v>0.02</v>
      </c>
      <c r="F1923">
        <v>0</v>
      </c>
      <c r="G1923" t="s">
        <v>72</v>
      </c>
      <c r="H1923" t="s">
        <v>3457</v>
      </c>
      <c r="I1923">
        <v>35</v>
      </c>
      <c r="J1923">
        <v>2699</v>
      </c>
      <c r="K1923" s="5">
        <v>46161.602998333343</v>
      </c>
      <c r="M1923" s="2" t="s">
        <v>4137</v>
      </c>
      <c r="N1923" s="2" t="s">
        <v>1701</v>
      </c>
      <c r="O1923" s="5">
        <v>43497.548055277781</v>
      </c>
      <c r="P1923" t="str">
        <f>IF($Q1923="DELETE",IF($S1923="CONFIRMED: NO MODS &gt; 1YR","CONFIRMED: NO MODS &gt; 1YR","DO NOT DELETE — not defensibly confirmed"),IF($Q1923="HOLD","DO NOT DELETE — HOLD (Charlie review)",IF($Q1923="KEEP","DO NOT DELETE — KEEP",IF(ISNUMBER(SEARCH("REVIEW",$Q1923)),"DO NOT DELETE — REVIEW pending",$S1923))))</f>
        <v>DO NOT DELETE — REVIEW pending</v>
      </c>
      <c r="Q1923" t="str" cm="1">
        <f t="array" ref="Q1923">_xlfn.IFS(AND($A1923="thg-beauty",ISNUMBER(SEARCH("liveramp",$C1923))),"DELETE",$A1923="agile-bonbon-662",_xlfn.IFS(LEFT($G1923,9)="Tranche 1","DELETE",$C1923="Sessions_Level_1_All_Sites","KEEP",ISNUMBER(--$C1923),"REVIEW — UA raw logs",$C1923="Emag_Reporting","KEEP",$C1923="Nutrition_Data_Archived_Tables","KEEP",$C1923="EU_Data","KEEP",TRUE,"REVIEW"),OR($A1923="thg-influencer",$A1923="thg-ingenuity",$A1923="thg-central-marketing",$A1923="thg-seoclarity"),"HOLD",TRUE,"")</f>
        <v>REVIEW — UA raw logs</v>
      </c>
      <c r="R1923" t="str" cm="1">
        <f t="array" ref="R1923">_xlfn.IFS(AND($A1923="thg-beauty",ISNUMBER(SEARCH("liveramp",$C1923))),"thg-beauty Liveramp dataset — confirmed safe to delete",$A1923="agile-bonbon-662",_xlfn.IFS(LEFT($G1923,9)="Tranche 1","Tranche 1: cleared",$C1923="Sessions_Level_1_All_Sites","Downstream aggregation of UA raw logs — keep if raw tables go",ISNUMBER(--$C1923),"UA raw site logs (account ID) — keep pending audit-retention check",$C1923="Emag_Reporting","Legacy but likely needed",$C1923="Nutrition_Data_Archived_Tables","Worth keeping",$C1923="EU_Data","Static lookup tables — scripts still reference (smoke-test risk)",TRUE,"Review"),OR($A1923="thg-influencer",$A1923="thg-ingenuity",$A1923="thg-central-marketing",$A1923="thg-seoclarity"),"HOLD — Charlie Stringer to review before deletion",TRUE,"")</f>
        <v>UA raw site logs (account ID) — keep pending audit-retention check</v>
      </c>
      <c r="S1923" t="s">
        <v>1631</v>
      </c>
    </row>
    <row r="1924" spans="1:19" ht="45.75" hidden="1">
      <c r="A1924" t="s">
        <v>89</v>
      </c>
      <c r="B1924" t="s">
        <v>1619</v>
      </c>
      <c r="C1924" t="s">
        <v>4248</v>
      </c>
      <c r="D1924" s="2" t="s">
        <v>1621</v>
      </c>
      <c r="E1924">
        <v>0.02</v>
      </c>
      <c r="F1924">
        <v>0</v>
      </c>
      <c r="G1924" t="s">
        <v>72</v>
      </c>
      <c r="H1924" t="s">
        <v>3457</v>
      </c>
      <c r="I1924">
        <v>35</v>
      </c>
      <c r="J1924">
        <v>434</v>
      </c>
      <c r="K1924" s="5">
        <v>46161.618090891207</v>
      </c>
      <c r="M1924" s="2" t="s">
        <v>1987</v>
      </c>
      <c r="N1924" s="2" t="s">
        <v>1701</v>
      </c>
      <c r="O1924" s="5">
        <v>45763.362214699067</v>
      </c>
      <c r="P1924" t="str">
        <f>IF($Q1924="DELETE",IF($S1924="CONFIRMED: NO MODS &gt; 1YR","CONFIRMED: NO MODS &gt; 1YR","DO NOT DELETE — not defensibly confirmed"),IF($Q1924="HOLD","DO NOT DELETE — HOLD (Charlie review)",IF($Q1924="KEEP","DO NOT DELETE — KEEP",IF(ISNUMBER(SEARCH("REVIEW",$Q1924)),"DO NOT DELETE — REVIEW pending",$S1924))))</f>
        <v>DO NOT DELETE — REVIEW pending</v>
      </c>
      <c r="Q1924" t="str" cm="1">
        <f t="array" ref="Q1924">_xlfn.IFS(AND($A1924="thg-beauty",ISNUMBER(SEARCH("liveramp",$C1924))),"DELETE",$A1924="agile-bonbon-662",_xlfn.IFS(LEFT($G1924,9)="Tranche 1","DELETE",$C1924="Sessions_Level_1_All_Sites","KEEP",ISNUMBER(--$C1924),"REVIEW — UA raw logs",$C1924="Emag_Reporting","KEEP",$C1924="Nutrition_Data_Archived_Tables","KEEP",$C1924="EU_Data","KEEP",TRUE,"REVIEW"),OR($A1924="thg-influencer",$A1924="thg-ingenuity",$A1924="thg-central-marketing",$A1924="thg-seoclarity"),"HOLD",TRUE,"")</f>
        <v>REVIEW</v>
      </c>
      <c r="R1924" t="str" cm="1">
        <f t="array" ref="R1924">_xlfn.IFS(AND($A1924="thg-beauty",ISNUMBER(SEARCH("liveramp",$C1924))),"thg-beauty Liveramp dataset — confirmed safe to delete",$A1924="agile-bonbon-662",_xlfn.IFS(LEFT($G1924,9)="Tranche 1","Tranche 1: cleared",$C1924="Sessions_Level_1_All_Sites","Downstream aggregation of UA raw logs — keep if raw tables go",ISNUMBER(--$C1924),"UA raw site logs (account ID) — keep pending audit-retention check",$C1924="Emag_Reporting","Legacy but likely needed",$C1924="Nutrition_Data_Archived_Tables","Worth keeping",$C1924="EU_Data","Static lookup tables — scripts still reference (smoke-test risk)",TRUE,"Review"),OR($A1924="thg-influencer",$A1924="thg-ingenuity",$A1924="thg-central-marketing",$A1924="thg-seoclarity"),"HOLD — Charlie Stringer to review before deletion",TRUE,"")</f>
        <v>Review</v>
      </c>
      <c r="S1924" t="s">
        <v>1631</v>
      </c>
    </row>
    <row r="1925" spans="1:19" ht="45.75" hidden="1">
      <c r="A1925" t="s">
        <v>89</v>
      </c>
      <c r="B1925" t="s">
        <v>1619</v>
      </c>
      <c r="C1925" t="s">
        <v>4249</v>
      </c>
      <c r="D1925" s="2" t="s">
        <v>1621</v>
      </c>
      <c r="E1925">
        <v>0.02</v>
      </c>
      <c r="F1925">
        <v>0</v>
      </c>
      <c r="G1925" t="s">
        <v>72</v>
      </c>
      <c r="H1925" t="s">
        <v>3457</v>
      </c>
      <c r="I1925">
        <v>35</v>
      </c>
      <c r="J1925">
        <v>1190</v>
      </c>
      <c r="K1925" s="5">
        <v>46161.606313368058</v>
      </c>
      <c r="M1925" s="2" t="s">
        <v>3906</v>
      </c>
      <c r="N1925" s="2" t="s">
        <v>1701</v>
      </c>
      <c r="O1925" s="5">
        <v>45007.281657708343</v>
      </c>
      <c r="P1925" t="str">
        <f>IF($Q1925="DELETE",IF($S1925="CONFIRMED: NO MODS &gt; 1YR","CONFIRMED: NO MODS &gt; 1YR","DO NOT DELETE — not defensibly confirmed"),IF($Q1925="HOLD","DO NOT DELETE — HOLD (Charlie review)",IF($Q1925="KEEP","DO NOT DELETE — KEEP",IF(ISNUMBER(SEARCH("REVIEW",$Q1925)),"DO NOT DELETE — REVIEW pending",$S1925))))</f>
        <v>DO NOT DELETE — REVIEW pending</v>
      </c>
      <c r="Q1925" t="str" cm="1">
        <f t="array" ref="Q1925">_xlfn.IFS(AND($A1925="thg-beauty",ISNUMBER(SEARCH("liveramp",$C1925))),"DELETE",$A1925="agile-bonbon-662",_xlfn.IFS(LEFT($G1925,9)="Tranche 1","DELETE",$C1925="Sessions_Level_1_All_Sites","KEEP",ISNUMBER(--$C1925),"REVIEW — UA raw logs",$C1925="Emag_Reporting","KEEP",$C1925="Nutrition_Data_Archived_Tables","KEEP",$C1925="EU_Data","KEEP",TRUE,"REVIEW"),OR($A1925="thg-influencer",$A1925="thg-ingenuity",$A1925="thg-central-marketing",$A1925="thg-seoclarity"),"HOLD",TRUE,"")</f>
        <v>REVIEW</v>
      </c>
      <c r="R1925" t="str" cm="1">
        <f t="array" ref="R1925">_xlfn.IFS(AND($A1925="thg-beauty",ISNUMBER(SEARCH("liveramp",$C1925))),"thg-beauty Liveramp dataset — confirmed safe to delete",$A1925="agile-bonbon-662",_xlfn.IFS(LEFT($G1925,9)="Tranche 1","Tranche 1: cleared",$C1925="Sessions_Level_1_All_Sites","Downstream aggregation of UA raw logs — keep if raw tables go",ISNUMBER(--$C1925),"UA raw site logs (account ID) — keep pending audit-retention check",$C1925="Emag_Reporting","Legacy but likely needed",$C1925="Nutrition_Data_Archived_Tables","Worth keeping",$C1925="EU_Data","Static lookup tables — scripts still reference (smoke-test risk)",TRUE,"Review"),OR($A1925="thg-influencer",$A1925="thg-ingenuity",$A1925="thg-central-marketing",$A1925="thg-seoclarity"),"HOLD — Charlie Stringer to review before deletion",TRUE,"")</f>
        <v>Review</v>
      </c>
      <c r="S1925" t="s">
        <v>1631</v>
      </c>
    </row>
    <row r="1926" spans="1:19" ht="45.75" hidden="1">
      <c r="A1926" t="s">
        <v>89</v>
      </c>
      <c r="B1926" t="s">
        <v>1619</v>
      </c>
      <c r="C1926" t="s">
        <v>4250</v>
      </c>
      <c r="D1926" s="2" t="s">
        <v>1621</v>
      </c>
      <c r="E1926">
        <v>0.02</v>
      </c>
      <c r="F1926">
        <v>0</v>
      </c>
      <c r="G1926" t="s">
        <v>72</v>
      </c>
      <c r="H1926" t="s">
        <v>3457</v>
      </c>
      <c r="I1926">
        <v>35</v>
      </c>
      <c r="J1926">
        <v>1204</v>
      </c>
      <c r="K1926" s="5">
        <v>46161.619179305562</v>
      </c>
      <c r="M1926" s="2" t="s">
        <v>1981</v>
      </c>
      <c r="N1926" s="2" t="s">
        <v>1701</v>
      </c>
      <c r="O1926" s="5">
        <v>44993.024855347219</v>
      </c>
      <c r="P1926" t="str">
        <f>IF($Q1926="DELETE",IF($S1926="CONFIRMED: NO MODS &gt; 1YR","CONFIRMED: NO MODS &gt; 1YR","DO NOT DELETE — not defensibly confirmed"),IF($Q1926="HOLD","DO NOT DELETE — HOLD (Charlie review)",IF($Q1926="KEEP","DO NOT DELETE — KEEP",IF(ISNUMBER(SEARCH("REVIEW",$Q1926)),"DO NOT DELETE — REVIEW pending",$S1926))))</f>
        <v>DO NOT DELETE — REVIEW pending</v>
      </c>
      <c r="Q1926" t="str" cm="1">
        <f t="array" ref="Q1926">_xlfn.IFS(AND($A1926="thg-beauty",ISNUMBER(SEARCH("liveramp",$C1926))),"DELETE",$A1926="agile-bonbon-662",_xlfn.IFS(LEFT($G1926,9)="Tranche 1","DELETE",$C1926="Sessions_Level_1_All_Sites","KEEP",ISNUMBER(--$C1926),"REVIEW — UA raw logs",$C1926="Emag_Reporting","KEEP",$C1926="Nutrition_Data_Archived_Tables","KEEP",$C1926="EU_Data","KEEP",TRUE,"REVIEW"),OR($A1926="thg-influencer",$A1926="thg-ingenuity",$A1926="thg-central-marketing",$A1926="thg-seoclarity"),"HOLD",TRUE,"")</f>
        <v>REVIEW</v>
      </c>
      <c r="R1926" t="str" cm="1">
        <f t="array" ref="R1926">_xlfn.IFS(AND($A1926="thg-beauty",ISNUMBER(SEARCH("liveramp",$C1926))),"thg-beauty Liveramp dataset — confirmed safe to delete",$A1926="agile-bonbon-662",_xlfn.IFS(LEFT($G1926,9)="Tranche 1","Tranche 1: cleared",$C1926="Sessions_Level_1_All_Sites","Downstream aggregation of UA raw logs — keep if raw tables go",ISNUMBER(--$C1926),"UA raw site logs (account ID) — keep pending audit-retention check",$C1926="Emag_Reporting","Legacy but likely needed",$C1926="Nutrition_Data_Archived_Tables","Worth keeping",$C1926="EU_Data","Static lookup tables — scripts still reference (smoke-test risk)",TRUE,"Review"),OR($A1926="thg-influencer",$A1926="thg-ingenuity",$A1926="thg-central-marketing",$A1926="thg-seoclarity"),"HOLD — Charlie Stringer to review before deletion",TRUE,"")</f>
        <v>Review</v>
      </c>
      <c r="S1926" t="s">
        <v>1631</v>
      </c>
    </row>
    <row r="1927" spans="1:19" ht="76.5" hidden="1">
      <c r="A1927" t="s">
        <v>89</v>
      </c>
      <c r="B1927" t="s">
        <v>1619</v>
      </c>
      <c r="C1927" t="s">
        <v>4251</v>
      </c>
      <c r="D1927" s="2" t="s">
        <v>1621</v>
      </c>
      <c r="E1927">
        <v>0.02</v>
      </c>
      <c r="F1927">
        <v>0</v>
      </c>
      <c r="G1927" t="s">
        <v>72</v>
      </c>
      <c r="H1927" t="s">
        <v>3457</v>
      </c>
      <c r="I1927">
        <v>35</v>
      </c>
      <c r="J1927">
        <v>939</v>
      </c>
      <c r="K1927" s="5">
        <v>46161.579693622683</v>
      </c>
      <c r="M1927" s="2" t="s">
        <v>4019</v>
      </c>
      <c r="N1927" s="2" t="s">
        <v>1701</v>
      </c>
      <c r="O1927" s="5">
        <v>45257.549505752308</v>
      </c>
      <c r="P1927" t="str">
        <f>IF($Q1927="DELETE",IF($S1927="CONFIRMED: NO MODS &gt; 1YR","CONFIRMED: NO MODS &gt; 1YR","DO NOT DELETE — not defensibly confirmed"),IF($Q1927="HOLD","DO NOT DELETE — HOLD (Charlie review)",IF($Q1927="KEEP","DO NOT DELETE — KEEP",IF(ISNUMBER(SEARCH("REVIEW",$Q1927)),"DO NOT DELETE — REVIEW pending",$S1927))))</f>
        <v>DO NOT DELETE — REVIEW pending</v>
      </c>
      <c r="Q1927" t="str" cm="1">
        <f t="array" ref="Q1927">_xlfn.IFS(AND($A1927="thg-beauty",ISNUMBER(SEARCH("liveramp",$C1927))),"DELETE",$A1927="agile-bonbon-662",_xlfn.IFS(LEFT($G1927,9)="Tranche 1","DELETE",$C1927="Sessions_Level_1_All_Sites","KEEP",ISNUMBER(--$C1927),"REVIEW — UA raw logs",$C1927="Emag_Reporting","KEEP",$C1927="Nutrition_Data_Archived_Tables","KEEP",$C1927="EU_Data","KEEP",TRUE,"REVIEW"),OR($A1927="thg-influencer",$A1927="thg-ingenuity",$A1927="thg-central-marketing",$A1927="thg-seoclarity"),"HOLD",TRUE,"")</f>
        <v>REVIEW</v>
      </c>
      <c r="R1927" t="str" cm="1">
        <f t="array" ref="R1927">_xlfn.IFS(AND($A1927="thg-beauty",ISNUMBER(SEARCH("liveramp",$C1927))),"thg-beauty Liveramp dataset — confirmed safe to delete",$A1927="agile-bonbon-662",_xlfn.IFS(LEFT($G1927,9)="Tranche 1","Tranche 1: cleared",$C1927="Sessions_Level_1_All_Sites","Downstream aggregation of UA raw logs — keep if raw tables go",ISNUMBER(--$C1927),"UA raw site logs (account ID) — keep pending audit-retention check",$C1927="Emag_Reporting","Legacy but likely needed",$C1927="Nutrition_Data_Archived_Tables","Worth keeping",$C1927="EU_Data","Static lookup tables — scripts still reference (smoke-test risk)",TRUE,"Review"),OR($A1927="thg-influencer",$A1927="thg-ingenuity",$A1927="thg-central-marketing",$A1927="thg-seoclarity"),"HOLD — Charlie Stringer to review before deletion",TRUE,"")</f>
        <v>Review</v>
      </c>
      <c r="S1927" t="s">
        <v>1631</v>
      </c>
    </row>
    <row r="1928" spans="1:19" ht="45.75" hidden="1">
      <c r="A1928" t="s">
        <v>89</v>
      </c>
      <c r="B1928" t="s">
        <v>1619</v>
      </c>
      <c r="C1928" t="s">
        <v>4252</v>
      </c>
      <c r="D1928" s="2" t="s">
        <v>1621</v>
      </c>
      <c r="E1928">
        <v>0.01</v>
      </c>
      <c r="F1928">
        <v>0</v>
      </c>
      <c r="G1928" t="s">
        <v>72</v>
      </c>
      <c r="H1928" t="s">
        <v>3457</v>
      </c>
      <c r="I1928">
        <v>35</v>
      </c>
      <c r="J1928">
        <v>1968</v>
      </c>
      <c r="K1928" s="5">
        <v>46161.607159189807</v>
      </c>
      <c r="M1928" s="2" t="s">
        <v>2062</v>
      </c>
      <c r="N1928" s="2" t="s">
        <v>1701</v>
      </c>
      <c r="O1928" s="5">
        <v>44229.291999803238</v>
      </c>
      <c r="P1928" t="str">
        <f>IF($Q1928="DELETE",IF($S1928="CONFIRMED: NO MODS &gt; 1YR","CONFIRMED: NO MODS &gt; 1YR","DO NOT DELETE — not defensibly confirmed"),IF($Q1928="HOLD","DO NOT DELETE — HOLD (Charlie review)",IF($Q1928="KEEP","DO NOT DELETE — KEEP",IF(ISNUMBER(SEARCH("REVIEW",$Q1928)),"DO NOT DELETE — REVIEW pending",$S1928))))</f>
        <v>DO NOT DELETE — REVIEW pending</v>
      </c>
      <c r="Q1928" t="str" cm="1">
        <f t="array" ref="Q1928">_xlfn.IFS(AND($A1928="thg-beauty",ISNUMBER(SEARCH("liveramp",$C1928))),"DELETE",$A1928="agile-bonbon-662",_xlfn.IFS(LEFT($G1928,9)="Tranche 1","DELETE",$C1928="Sessions_Level_1_All_Sites","KEEP",ISNUMBER(--$C1928),"REVIEW — UA raw logs",$C1928="Emag_Reporting","KEEP",$C1928="Nutrition_Data_Archived_Tables","KEEP",$C1928="EU_Data","KEEP",TRUE,"REVIEW"),OR($A1928="thg-influencer",$A1928="thg-ingenuity",$A1928="thg-central-marketing",$A1928="thg-seoclarity"),"HOLD",TRUE,"")</f>
        <v>REVIEW</v>
      </c>
      <c r="R1928" t="str" cm="1">
        <f t="array" ref="R1928">_xlfn.IFS(AND($A1928="thg-beauty",ISNUMBER(SEARCH("liveramp",$C1928))),"thg-beauty Liveramp dataset — confirmed safe to delete",$A1928="agile-bonbon-662",_xlfn.IFS(LEFT($G1928,9)="Tranche 1","Tranche 1: cleared",$C1928="Sessions_Level_1_All_Sites","Downstream aggregation of UA raw logs — keep if raw tables go",ISNUMBER(--$C1928),"UA raw site logs (account ID) — keep pending audit-retention check",$C1928="Emag_Reporting","Legacy but likely needed",$C1928="Nutrition_Data_Archived_Tables","Worth keeping",$C1928="EU_Data","Static lookup tables — scripts still reference (smoke-test risk)",TRUE,"Review"),OR($A1928="thg-influencer",$A1928="thg-ingenuity",$A1928="thg-central-marketing",$A1928="thg-seoclarity"),"HOLD — Charlie Stringer to review before deletion",TRUE,"")</f>
        <v>Review</v>
      </c>
      <c r="S1928" t="s">
        <v>1631</v>
      </c>
    </row>
    <row r="1929" spans="1:19" ht="45.75" hidden="1">
      <c r="A1929" t="s">
        <v>89</v>
      </c>
      <c r="B1929" t="s">
        <v>1619</v>
      </c>
      <c r="C1929" t="s">
        <v>4253</v>
      </c>
      <c r="D1929" s="2" t="s">
        <v>1621</v>
      </c>
      <c r="E1929">
        <v>0.01</v>
      </c>
      <c r="F1929">
        <v>0</v>
      </c>
      <c r="G1929" t="s">
        <v>72</v>
      </c>
      <c r="H1929" t="s">
        <v>3457</v>
      </c>
      <c r="I1929">
        <v>35</v>
      </c>
      <c r="J1929">
        <v>1966</v>
      </c>
      <c r="K1929" s="5">
        <v>46161.622225983803</v>
      </c>
      <c r="M1929" s="2" t="s">
        <v>3356</v>
      </c>
      <c r="N1929" s="2" t="s">
        <v>1701</v>
      </c>
      <c r="O1929" s="5">
        <v>44231.185867395827</v>
      </c>
      <c r="P1929" t="str">
        <f>IF($Q1929="DELETE",IF($S1929="CONFIRMED: NO MODS &gt; 1YR","CONFIRMED: NO MODS &gt; 1YR","DO NOT DELETE — not defensibly confirmed"),IF($Q1929="HOLD","DO NOT DELETE — HOLD (Charlie review)",IF($Q1929="KEEP","DO NOT DELETE — KEEP",IF(ISNUMBER(SEARCH("REVIEW",$Q1929)),"DO NOT DELETE — REVIEW pending",$S1929))))</f>
        <v>DO NOT DELETE — REVIEW pending</v>
      </c>
      <c r="Q1929" t="str" cm="1">
        <f t="array" ref="Q1929">_xlfn.IFS(AND($A1929="thg-beauty",ISNUMBER(SEARCH("liveramp",$C1929))),"DELETE",$A1929="agile-bonbon-662",_xlfn.IFS(LEFT($G1929,9)="Tranche 1","DELETE",$C1929="Sessions_Level_1_All_Sites","KEEP",ISNUMBER(--$C1929),"REVIEW — UA raw logs",$C1929="Emag_Reporting","KEEP",$C1929="Nutrition_Data_Archived_Tables","KEEP",$C1929="EU_Data","KEEP",TRUE,"REVIEW"),OR($A1929="thg-influencer",$A1929="thg-ingenuity",$A1929="thg-central-marketing",$A1929="thg-seoclarity"),"HOLD",TRUE,"")</f>
        <v>REVIEW</v>
      </c>
      <c r="R1929" t="str" cm="1">
        <f t="array" ref="R1929">_xlfn.IFS(AND($A1929="thg-beauty",ISNUMBER(SEARCH("liveramp",$C1929))),"thg-beauty Liveramp dataset — confirmed safe to delete",$A1929="agile-bonbon-662",_xlfn.IFS(LEFT($G1929,9)="Tranche 1","Tranche 1: cleared",$C1929="Sessions_Level_1_All_Sites","Downstream aggregation of UA raw logs — keep if raw tables go",ISNUMBER(--$C1929),"UA raw site logs (account ID) — keep pending audit-retention check",$C1929="Emag_Reporting","Legacy but likely needed",$C1929="Nutrition_Data_Archived_Tables","Worth keeping",$C1929="EU_Data","Static lookup tables — scripts still reference (smoke-test risk)",TRUE,"Review"),OR($A1929="thg-influencer",$A1929="thg-ingenuity",$A1929="thg-central-marketing",$A1929="thg-seoclarity"),"HOLD — Charlie Stringer to review before deletion",TRUE,"")</f>
        <v>Review</v>
      </c>
      <c r="S1929" t="s">
        <v>1631</v>
      </c>
    </row>
    <row r="1930" spans="1:19" ht="45.75" hidden="1">
      <c r="A1930" t="s">
        <v>89</v>
      </c>
      <c r="B1930" t="s">
        <v>1619</v>
      </c>
      <c r="C1930" t="s">
        <v>4254</v>
      </c>
      <c r="D1930" s="2" t="s">
        <v>1621</v>
      </c>
      <c r="E1930">
        <v>0.01</v>
      </c>
      <c r="F1930">
        <v>0</v>
      </c>
      <c r="G1930" t="s">
        <v>72</v>
      </c>
      <c r="H1930" t="s">
        <v>3457</v>
      </c>
      <c r="I1930">
        <v>35</v>
      </c>
      <c r="J1930">
        <v>2699</v>
      </c>
      <c r="K1930" s="5">
        <v>46161.602649884262</v>
      </c>
      <c r="M1930" s="2" t="s">
        <v>4113</v>
      </c>
      <c r="N1930" s="2" t="s">
        <v>1701</v>
      </c>
      <c r="O1930" s="5">
        <v>43497.559174050934</v>
      </c>
      <c r="P1930" t="str">
        <f>IF($Q1930="DELETE",IF($S1930="CONFIRMED: NO MODS &gt; 1YR","CONFIRMED: NO MODS &gt; 1YR","DO NOT DELETE — not defensibly confirmed"),IF($Q1930="HOLD","DO NOT DELETE — HOLD (Charlie review)",IF($Q1930="KEEP","DO NOT DELETE — KEEP",IF(ISNUMBER(SEARCH("REVIEW",$Q1930)),"DO NOT DELETE — REVIEW pending",$S1930))))</f>
        <v>DO NOT DELETE — REVIEW pending</v>
      </c>
      <c r="Q1930" t="str" cm="1">
        <f t="array" ref="Q1930">_xlfn.IFS(AND($A1930="thg-beauty",ISNUMBER(SEARCH("liveramp",$C1930))),"DELETE",$A1930="agile-bonbon-662",_xlfn.IFS(LEFT($G1930,9)="Tranche 1","DELETE",$C1930="Sessions_Level_1_All_Sites","KEEP",ISNUMBER(--$C1930),"REVIEW — UA raw logs",$C1930="Emag_Reporting","KEEP",$C1930="Nutrition_Data_Archived_Tables","KEEP",$C1930="EU_Data","KEEP",TRUE,"REVIEW"),OR($A1930="thg-influencer",$A1930="thg-ingenuity",$A1930="thg-central-marketing",$A1930="thg-seoclarity"),"HOLD",TRUE,"")</f>
        <v>REVIEW — UA raw logs</v>
      </c>
      <c r="R1930" t="str" cm="1">
        <f t="array" ref="R1930">_xlfn.IFS(AND($A1930="thg-beauty",ISNUMBER(SEARCH("liveramp",$C1930))),"thg-beauty Liveramp dataset — confirmed safe to delete",$A1930="agile-bonbon-662",_xlfn.IFS(LEFT($G1930,9)="Tranche 1","Tranche 1: cleared",$C1930="Sessions_Level_1_All_Sites","Downstream aggregation of UA raw logs — keep if raw tables go",ISNUMBER(--$C1930),"UA raw site logs (account ID) — keep pending audit-retention check",$C1930="Emag_Reporting","Legacy but likely needed",$C1930="Nutrition_Data_Archived_Tables","Worth keeping",$C1930="EU_Data","Static lookup tables — scripts still reference (smoke-test risk)",TRUE,"Review"),OR($A1930="thg-influencer",$A1930="thg-ingenuity",$A1930="thg-central-marketing",$A1930="thg-seoclarity"),"HOLD — Charlie Stringer to review before deletion",TRUE,"")</f>
        <v>UA raw site logs (account ID) — keep pending audit-retention check</v>
      </c>
      <c r="S1930" t="s">
        <v>1631</v>
      </c>
    </row>
    <row r="1931" spans="1:19" ht="45.75" hidden="1">
      <c r="A1931" t="s">
        <v>89</v>
      </c>
      <c r="B1931" t="s">
        <v>1619</v>
      </c>
      <c r="C1931" t="s">
        <v>4255</v>
      </c>
      <c r="D1931" s="2" t="s">
        <v>1621</v>
      </c>
      <c r="E1931">
        <v>0.01</v>
      </c>
      <c r="F1931">
        <v>0</v>
      </c>
      <c r="G1931" t="s">
        <v>72</v>
      </c>
      <c r="H1931" t="s">
        <v>3457</v>
      </c>
      <c r="I1931">
        <v>35</v>
      </c>
      <c r="J1931">
        <v>1509</v>
      </c>
      <c r="K1931" s="5">
        <v>46161.595390752307</v>
      </c>
      <c r="M1931" s="2" t="s">
        <v>3426</v>
      </c>
      <c r="N1931" s="2" t="s">
        <v>1701</v>
      </c>
      <c r="O1931" s="5">
        <v>44688.307093796298</v>
      </c>
      <c r="P1931" t="str">
        <f>IF($Q1931="DELETE",IF($S1931="CONFIRMED: NO MODS &gt; 1YR","CONFIRMED: NO MODS &gt; 1YR","DO NOT DELETE — not defensibly confirmed"),IF($Q1931="HOLD","DO NOT DELETE — HOLD (Charlie review)",IF($Q1931="KEEP","DO NOT DELETE — KEEP",IF(ISNUMBER(SEARCH("REVIEW",$Q1931)),"DO NOT DELETE — REVIEW pending",$S1931))))</f>
        <v>DO NOT DELETE — REVIEW pending</v>
      </c>
      <c r="Q1931" t="str" cm="1">
        <f t="array" ref="Q1931">_xlfn.IFS(AND($A1931="thg-beauty",ISNUMBER(SEARCH("liveramp",$C1931))),"DELETE",$A1931="agile-bonbon-662",_xlfn.IFS(LEFT($G1931,9)="Tranche 1","DELETE",$C1931="Sessions_Level_1_All_Sites","KEEP",ISNUMBER(--$C1931),"REVIEW — UA raw logs",$C1931="Emag_Reporting","KEEP",$C1931="Nutrition_Data_Archived_Tables","KEEP",$C1931="EU_Data","KEEP",TRUE,"REVIEW"),OR($A1931="thg-influencer",$A1931="thg-ingenuity",$A1931="thg-central-marketing",$A1931="thg-seoclarity"),"HOLD",TRUE,"")</f>
        <v>REVIEW — UA raw logs</v>
      </c>
      <c r="R1931" t="str" cm="1">
        <f t="array" ref="R1931">_xlfn.IFS(AND($A1931="thg-beauty",ISNUMBER(SEARCH("liveramp",$C1931))),"thg-beauty Liveramp dataset — confirmed safe to delete",$A1931="agile-bonbon-662",_xlfn.IFS(LEFT($G1931,9)="Tranche 1","Tranche 1: cleared",$C1931="Sessions_Level_1_All_Sites","Downstream aggregation of UA raw logs — keep if raw tables go",ISNUMBER(--$C1931),"UA raw site logs (account ID) — keep pending audit-retention check",$C1931="Emag_Reporting","Legacy but likely needed",$C1931="Nutrition_Data_Archived_Tables","Worth keeping",$C1931="EU_Data","Static lookup tables — scripts still reference (smoke-test risk)",TRUE,"Review"),OR($A1931="thg-influencer",$A1931="thg-ingenuity",$A1931="thg-central-marketing",$A1931="thg-seoclarity"),"HOLD — Charlie Stringer to review before deletion",TRUE,"")</f>
        <v>UA raw site logs (account ID) — keep pending audit-retention check</v>
      </c>
      <c r="S1931" t="s">
        <v>1631</v>
      </c>
    </row>
    <row r="1932" spans="1:19" ht="76.5" hidden="1">
      <c r="A1932" t="s">
        <v>89</v>
      </c>
      <c r="B1932" t="s">
        <v>1619</v>
      </c>
      <c r="C1932" t="s">
        <v>4256</v>
      </c>
      <c r="D1932" s="2" t="s">
        <v>1621</v>
      </c>
      <c r="E1932">
        <v>0.01</v>
      </c>
      <c r="F1932">
        <v>0</v>
      </c>
      <c r="G1932" t="s">
        <v>72</v>
      </c>
      <c r="H1932" t="s">
        <v>3457</v>
      </c>
      <c r="I1932">
        <v>35</v>
      </c>
      <c r="J1932">
        <v>1615</v>
      </c>
      <c r="K1932" s="5">
        <v>46161.579611412039</v>
      </c>
      <c r="M1932" s="2" t="s">
        <v>1953</v>
      </c>
      <c r="N1932" s="2" t="s">
        <v>1701</v>
      </c>
      <c r="O1932" s="5">
        <v>44581.553190324077</v>
      </c>
      <c r="P1932" t="str">
        <f>IF($Q1932="DELETE",IF($S1932="CONFIRMED: NO MODS &gt; 1YR","CONFIRMED: NO MODS &gt; 1YR","DO NOT DELETE — not defensibly confirmed"),IF($Q1932="HOLD","DO NOT DELETE — HOLD (Charlie review)",IF($Q1932="KEEP","DO NOT DELETE — KEEP",IF(ISNUMBER(SEARCH("REVIEW",$Q1932)),"DO NOT DELETE — REVIEW pending",$S1932))))</f>
        <v>DO NOT DELETE — REVIEW pending</v>
      </c>
      <c r="Q1932" t="str" cm="1">
        <f t="array" ref="Q1932">_xlfn.IFS(AND($A1932="thg-beauty",ISNUMBER(SEARCH("liveramp",$C1932))),"DELETE",$A1932="agile-bonbon-662",_xlfn.IFS(LEFT($G1932,9)="Tranche 1","DELETE",$C1932="Sessions_Level_1_All_Sites","KEEP",ISNUMBER(--$C1932),"REVIEW — UA raw logs",$C1932="Emag_Reporting","KEEP",$C1932="Nutrition_Data_Archived_Tables","KEEP",$C1932="EU_Data","KEEP",TRUE,"REVIEW"),OR($A1932="thg-influencer",$A1932="thg-ingenuity",$A1932="thg-central-marketing",$A1932="thg-seoclarity"),"HOLD",TRUE,"")</f>
        <v>REVIEW</v>
      </c>
      <c r="R1932" t="str" cm="1">
        <f t="array" ref="R1932">_xlfn.IFS(AND($A1932="thg-beauty",ISNUMBER(SEARCH("liveramp",$C1932))),"thg-beauty Liveramp dataset — confirmed safe to delete",$A1932="agile-bonbon-662",_xlfn.IFS(LEFT($G1932,9)="Tranche 1","Tranche 1: cleared",$C1932="Sessions_Level_1_All_Sites","Downstream aggregation of UA raw logs — keep if raw tables go",ISNUMBER(--$C1932),"UA raw site logs (account ID) — keep pending audit-retention check",$C1932="Emag_Reporting","Legacy but likely needed",$C1932="Nutrition_Data_Archived_Tables","Worth keeping",$C1932="EU_Data","Static lookup tables — scripts still reference (smoke-test risk)",TRUE,"Review"),OR($A1932="thg-influencer",$A1932="thg-ingenuity",$A1932="thg-central-marketing",$A1932="thg-seoclarity"),"HOLD — Charlie Stringer to review before deletion",TRUE,"")</f>
        <v>Review</v>
      </c>
      <c r="S1932" t="s">
        <v>1631</v>
      </c>
    </row>
    <row r="1933" spans="1:19" ht="45.75" hidden="1">
      <c r="A1933" t="s">
        <v>89</v>
      </c>
      <c r="B1933" t="s">
        <v>1619</v>
      </c>
      <c r="C1933" t="s">
        <v>4257</v>
      </c>
      <c r="D1933" s="2" t="s">
        <v>1621</v>
      </c>
      <c r="E1933">
        <v>0.01</v>
      </c>
      <c r="F1933">
        <v>0</v>
      </c>
      <c r="G1933" t="s">
        <v>72</v>
      </c>
      <c r="H1933" t="s">
        <v>3457</v>
      </c>
      <c r="I1933">
        <v>35</v>
      </c>
      <c r="J1933">
        <v>1207</v>
      </c>
      <c r="K1933" s="5">
        <v>46161.619642731479</v>
      </c>
      <c r="M1933" s="2" t="s">
        <v>1972</v>
      </c>
      <c r="N1933" s="2" t="s">
        <v>1701</v>
      </c>
      <c r="O1933" s="5">
        <v>44990.009957372677</v>
      </c>
      <c r="P1933" t="str">
        <f>IF($Q1933="DELETE",IF($S1933="CONFIRMED: NO MODS &gt; 1YR","CONFIRMED: NO MODS &gt; 1YR","DO NOT DELETE — not defensibly confirmed"),IF($Q1933="HOLD","DO NOT DELETE — HOLD (Charlie review)",IF($Q1933="KEEP","DO NOT DELETE — KEEP",IF(ISNUMBER(SEARCH("REVIEW",$Q1933)),"DO NOT DELETE — REVIEW pending",$S1933))))</f>
        <v>DO NOT DELETE — REVIEW pending</v>
      </c>
      <c r="Q1933" t="str" cm="1">
        <f t="array" ref="Q1933">_xlfn.IFS(AND($A1933="thg-beauty",ISNUMBER(SEARCH("liveramp",$C1933))),"DELETE",$A1933="agile-bonbon-662",_xlfn.IFS(LEFT($G1933,9)="Tranche 1","DELETE",$C1933="Sessions_Level_1_All_Sites","KEEP",ISNUMBER(--$C1933),"REVIEW — UA raw logs",$C1933="Emag_Reporting","KEEP",$C1933="Nutrition_Data_Archived_Tables","KEEP",$C1933="EU_Data","KEEP",TRUE,"REVIEW"),OR($A1933="thg-influencer",$A1933="thg-ingenuity",$A1933="thg-central-marketing",$A1933="thg-seoclarity"),"HOLD",TRUE,"")</f>
        <v>REVIEW</v>
      </c>
      <c r="R1933" t="str" cm="1">
        <f t="array" ref="R1933">_xlfn.IFS(AND($A1933="thg-beauty",ISNUMBER(SEARCH("liveramp",$C1933))),"thg-beauty Liveramp dataset — confirmed safe to delete",$A1933="agile-bonbon-662",_xlfn.IFS(LEFT($G1933,9)="Tranche 1","Tranche 1: cleared",$C1933="Sessions_Level_1_All_Sites","Downstream aggregation of UA raw logs — keep if raw tables go",ISNUMBER(--$C1933),"UA raw site logs (account ID) — keep pending audit-retention check",$C1933="Emag_Reporting","Legacy but likely needed",$C1933="Nutrition_Data_Archived_Tables","Worth keeping",$C1933="EU_Data","Static lookup tables — scripts still reference (smoke-test risk)",TRUE,"Review"),OR($A1933="thg-influencer",$A1933="thg-ingenuity",$A1933="thg-central-marketing",$A1933="thg-seoclarity"),"HOLD — Charlie Stringer to review before deletion",TRUE,"")</f>
        <v>Review</v>
      </c>
      <c r="S1933" t="s">
        <v>1631</v>
      </c>
    </row>
    <row r="1934" spans="1:19" ht="45.75" hidden="1">
      <c r="A1934" t="s">
        <v>89</v>
      </c>
      <c r="B1934" t="s">
        <v>1619</v>
      </c>
      <c r="C1934" t="s">
        <v>1652</v>
      </c>
      <c r="D1934" s="2" t="s">
        <v>1621</v>
      </c>
      <c r="E1934">
        <v>0.01</v>
      </c>
      <c r="F1934">
        <v>0</v>
      </c>
      <c r="G1934" t="s">
        <v>72</v>
      </c>
      <c r="H1934" t="s">
        <v>3457</v>
      </c>
      <c r="I1934">
        <v>35</v>
      </c>
      <c r="J1934">
        <v>1035</v>
      </c>
      <c r="K1934" s="5">
        <v>46161.607123483787</v>
      </c>
      <c r="M1934" s="2" t="s">
        <v>2062</v>
      </c>
      <c r="N1934" s="2" t="s">
        <v>1701</v>
      </c>
      <c r="O1934" s="5">
        <v>45161.454407696758</v>
      </c>
      <c r="P1934" t="str">
        <f>IF($Q1934="DELETE",IF($S1934="CONFIRMED: NO MODS &gt; 1YR","CONFIRMED: NO MODS &gt; 1YR","DO NOT DELETE — not defensibly confirmed"),IF($Q1934="HOLD","DO NOT DELETE — HOLD (Charlie review)",IF($Q1934="KEEP","DO NOT DELETE — KEEP",IF(ISNUMBER(SEARCH("REVIEW",$Q1934)),"DO NOT DELETE — REVIEW pending",$S1934))))</f>
        <v>DO NOT DELETE — REVIEW pending</v>
      </c>
      <c r="Q1934" t="str" cm="1">
        <f t="array" ref="Q1934">_xlfn.IFS(AND($A1934="thg-beauty",ISNUMBER(SEARCH("liveramp",$C1934))),"DELETE",$A1934="agile-bonbon-662",_xlfn.IFS(LEFT($G1934,9)="Tranche 1","DELETE",$C1934="Sessions_Level_1_All_Sites","KEEP",ISNUMBER(--$C1934),"REVIEW — UA raw logs",$C1934="Emag_Reporting","KEEP",$C1934="Nutrition_Data_Archived_Tables","KEEP",$C1934="EU_Data","KEEP",TRUE,"REVIEW"),OR($A1934="thg-influencer",$A1934="thg-ingenuity",$A1934="thg-central-marketing",$A1934="thg-seoclarity"),"HOLD",TRUE,"")</f>
        <v>REVIEW</v>
      </c>
      <c r="R1934" t="str" cm="1">
        <f t="array" ref="R1934">_xlfn.IFS(AND($A1934="thg-beauty",ISNUMBER(SEARCH("liveramp",$C1934))),"thg-beauty Liveramp dataset — confirmed safe to delete",$A1934="agile-bonbon-662",_xlfn.IFS(LEFT($G1934,9)="Tranche 1","Tranche 1: cleared",$C1934="Sessions_Level_1_All_Sites","Downstream aggregation of UA raw logs — keep if raw tables go",ISNUMBER(--$C1934),"UA raw site logs (account ID) — keep pending audit-retention check",$C1934="Emag_Reporting","Legacy but likely needed",$C1934="Nutrition_Data_Archived_Tables","Worth keeping",$C1934="EU_Data","Static lookup tables — scripts still reference (smoke-test risk)",TRUE,"Review"),OR($A1934="thg-influencer",$A1934="thg-ingenuity",$A1934="thg-central-marketing",$A1934="thg-seoclarity"),"HOLD — Charlie Stringer to review before deletion",TRUE,"")</f>
        <v>Review</v>
      </c>
      <c r="S1934" t="s">
        <v>1631</v>
      </c>
    </row>
    <row r="1935" spans="1:19" ht="45.75" hidden="1">
      <c r="A1935" t="s">
        <v>89</v>
      </c>
      <c r="B1935" t="s">
        <v>1619</v>
      </c>
      <c r="C1935" t="s">
        <v>4258</v>
      </c>
      <c r="D1935" s="2" t="s">
        <v>1621</v>
      </c>
      <c r="E1935">
        <v>0.01</v>
      </c>
      <c r="F1935">
        <v>0</v>
      </c>
      <c r="G1935" t="s">
        <v>72</v>
      </c>
      <c r="H1935" t="s">
        <v>3457</v>
      </c>
      <c r="I1935">
        <v>35</v>
      </c>
      <c r="J1935">
        <v>1966</v>
      </c>
      <c r="K1935" s="5">
        <v>46161.621928969907</v>
      </c>
      <c r="M1935" s="2" t="s">
        <v>3359</v>
      </c>
      <c r="N1935" s="2" t="s">
        <v>1701</v>
      </c>
      <c r="O1935" s="5">
        <v>44231.067602766198</v>
      </c>
      <c r="P1935" t="str">
        <f>IF($Q1935="DELETE",IF($S1935="CONFIRMED: NO MODS &gt; 1YR","CONFIRMED: NO MODS &gt; 1YR","DO NOT DELETE — not defensibly confirmed"),IF($Q1935="HOLD","DO NOT DELETE — HOLD (Charlie review)",IF($Q1935="KEEP","DO NOT DELETE — KEEP",IF(ISNUMBER(SEARCH("REVIEW",$Q1935)),"DO NOT DELETE — REVIEW pending",$S1935))))</f>
        <v>DO NOT DELETE — REVIEW pending</v>
      </c>
      <c r="Q1935" t="str" cm="1">
        <f t="array" ref="Q1935">_xlfn.IFS(AND($A1935="thg-beauty",ISNUMBER(SEARCH("liveramp",$C1935))),"DELETE",$A1935="agile-bonbon-662",_xlfn.IFS(LEFT($G1935,9)="Tranche 1","DELETE",$C1935="Sessions_Level_1_All_Sites","KEEP",ISNUMBER(--$C1935),"REVIEW — UA raw logs",$C1935="Emag_Reporting","KEEP",$C1935="Nutrition_Data_Archived_Tables","KEEP",$C1935="EU_Data","KEEP",TRUE,"REVIEW"),OR($A1935="thg-influencer",$A1935="thg-ingenuity",$A1935="thg-central-marketing",$A1935="thg-seoclarity"),"HOLD",TRUE,"")</f>
        <v>REVIEW</v>
      </c>
      <c r="R1935" t="str" cm="1">
        <f t="array" ref="R1935">_xlfn.IFS(AND($A1935="thg-beauty",ISNUMBER(SEARCH("liveramp",$C1935))),"thg-beauty Liveramp dataset — confirmed safe to delete",$A1935="agile-bonbon-662",_xlfn.IFS(LEFT($G1935,9)="Tranche 1","Tranche 1: cleared",$C1935="Sessions_Level_1_All_Sites","Downstream aggregation of UA raw logs — keep if raw tables go",ISNUMBER(--$C1935),"UA raw site logs (account ID) — keep pending audit-retention check",$C1935="Emag_Reporting","Legacy but likely needed",$C1935="Nutrition_Data_Archived_Tables","Worth keeping",$C1935="EU_Data","Static lookup tables — scripts still reference (smoke-test risk)",TRUE,"Review"),OR($A1935="thg-influencer",$A1935="thg-ingenuity",$A1935="thg-central-marketing",$A1935="thg-seoclarity"),"HOLD — Charlie Stringer to review before deletion",TRUE,"")</f>
        <v>Review</v>
      </c>
      <c r="S1935" t="s">
        <v>1631</v>
      </c>
    </row>
    <row r="1936" spans="1:19" ht="45.75" hidden="1">
      <c r="A1936" t="s">
        <v>89</v>
      </c>
      <c r="B1936" t="s">
        <v>1619</v>
      </c>
      <c r="C1936" t="s">
        <v>4259</v>
      </c>
      <c r="D1936" s="2" t="s">
        <v>1621</v>
      </c>
      <c r="E1936">
        <v>0.01</v>
      </c>
      <c r="F1936">
        <v>0</v>
      </c>
      <c r="G1936" t="s">
        <v>72</v>
      </c>
      <c r="H1936" t="s">
        <v>3457</v>
      </c>
      <c r="I1936">
        <v>35</v>
      </c>
      <c r="J1936">
        <v>2699</v>
      </c>
      <c r="K1936" s="5">
        <v>46161.603179895843</v>
      </c>
      <c r="M1936" s="2" t="s">
        <v>4137</v>
      </c>
      <c r="N1936" s="2" t="s">
        <v>1701</v>
      </c>
      <c r="O1936" s="5">
        <v>43497.601104907408</v>
      </c>
      <c r="P1936" t="str">
        <f>IF($Q1936="DELETE",IF($S1936="CONFIRMED: NO MODS &gt; 1YR","CONFIRMED: NO MODS &gt; 1YR","DO NOT DELETE — not defensibly confirmed"),IF($Q1936="HOLD","DO NOT DELETE — HOLD (Charlie review)",IF($Q1936="KEEP","DO NOT DELETE — KEEP",IF(ISNUMBER(SEARCH("REVIEW",$Q1936)),"DO NOT DELETE — REVIEW pending",$S1936))))</f>
        <v>DO NOT DELETE — REVIEW pending</v>
      </c>
      <c r="Q1936" t="str" cm="1">
        <f t="array" ref="Q1936">_xlfn.IFS(AND($A1936="thg-beauty",ISNUMBER(SEARCH("liveramp",$C1936))),"DELETE",$A1936="agile-bonbon-662",_xlfn.IFS(LEFT($G1936,9)="Tranche 1","DELETE",$C1936="Sessions_Level_1_All_Sites","KEEP",ISNUMBER(--$C1936),"REVIEW — UA raw logs",$C1936="Emag_Reporting","KEEP",$C1936="Nutrition_Data_Archived_Tables","KEEP",$C1936="EU_Data","KEEP",TRUE,"REVIEW"),OR($A1936="thg-influencer",$A1936="thg-ingenuity",$A1936="thg-central-marketing",$A1936="thg-seoclarity"),"HOLD",TRUE,"")</f>
        <v>REVIEW — UA raw logs</v>
      </c>
      <c r="R1936" t="str" cm="1">
        <f t="array" ref="R1936">_xlfn.IFS(AND($A1936="thg-beauty",ISNUMBER(SEARCH("liveramp",$C1936))),"thg-beauty Liveramp dataset — confirmed safe to delete",$A1936="agile-bonbon-662",_xlfn.IFS(LEFT($G1936,9)="Tranche 1","Tranche 1: cleared",$C1936="Sessions_Level_1_All_Sites","Downstream aggregation of UA raw logs — keep if raw tables go",ISNUMBER(--$C1936),"UA raw site logs (account ID) — keep pending audit-retention check",$C1936="Emag_Reporting","Legacy but likely needed",$C1936="Nutrition_Data_Archived_Tables","Worth keeping",$C1936="EU_Data","Static lookup tables — scripts still reference (smoke-test risk)",TRUE,"Review"),OR($A1936="thg-influencer",$A1936="thg-ingenuity",$A1936="thg-central-marketing",$A1936="thg-seoclarity"),"HOLD — Charlie Stringer to review before deletion",TRUE,"")</f>
        <v>UA raw site logs (account ID) — keep pending audit-retention check</v>
      </c>
      <c r="S1936" t="s">
        <v>1631</v>
      </c>
    </row>
    <row r="1937" spans="1:19" ht="45.75" hidden="1">
      <c r="A1937" t="s">
        <v>89</v>
      </c>
      <c r="B1937" t="s">
        <v>1619</v>
      </c>
      <c r="C1937" t="s">
        <v>4260</v>
      </c>
      <c r="D1937" s="2" t="s">
        <v>1621</v>
      </c>
      <c r="E1937">
        <v>0.01</v>
      </c>
      <c r="F1937">
        <v>0</v>
      </c>
      <c r="G1937" t="s">
        <v>72</v>
      </c>
      <c r="H1937" t="s">
        <v>3457</v>
      </c>
      <c r="I1937">
        <v>35</v>
      </c>
      <c r="J1937">
        <v>2699</v>
      </c>
      <c r="K1937" s="5">
        <v>46161.603459618047</v>
      </c>
      <c r="M1937" s="2" t="s">
        <v>4119</v>
      </c>
      <c r="N1937" s="2" t="s">
        <v>1701</v>
      </c>
      <c r="O1937" s="5">
        <v>43497.561306423609</v>
      </c>
      <c r="P1937" t="str">
        <f>IF($Q1937="DELETE",IF($S1937="CONFIRMED: NO MODS &gt; 1YR","CONFIRMED: NO MODS &gt; 1YR","DO NOT DELETE — not defensibly confirmed"),IF($Q1937="HOLD","DO NOT DELETE — HOLD (Charlie review)",IF($Q1937="KEEP","DO NOT DELETE — KEEP",IF(ISNUMBER(SEARCH("REVIEW",$Q1937)),"DO NOT DELETE — REVIEW pending",$S1937))))</f>
        <v>DO NOT DELETE — REVIEW pending</v>
      </c>
      <c r="Q1937" t="str" cm="1">
        <f t="array" ref="Q1937">_xlfn.IFS(AND($A1937="thg-beauty",ISNUMBER(SEARCH("liveramp",$C1937))),"DELETE",$A1937="agile-bonbon-662",_xlfn.IFS(LEFT($G1937,9)="Tranche 1","DELETE",$C1937="Sessions_Level_1_All_Sites","KEEP",ISNUMBER(--$C1937),"REVIEW — UA raw logs",$C1937="Emag_Reporting","KEEP",$C1937="Nutrition_Data_Archived_Tables","KEEP",$C1937="EU_Data","KEEP",TRUE,"REVIEW"),OR($A1937="thg-influencer",$A1937="thg-ingenuity",$A1937="thg-central-marketing",$A1937="thg-seoclarity"),"HOLD",TRUE,"")</f>
        <v>REVIEW — UA raw logs</v>
      </c>
      <c r="R1937" t="str" cm="1">
        <f t="array" ref="R1937">_xlfn.IFS(AND($A1937="thg-beauty",ISNUMBER(SEARCH("liveramp",$C1937))),"thg-beauty Liveramp dataset — confirmed safe to delete",$A1937="agile-bonbon-662",_xlfn.IFS(LEFT($G1937,9)="Tranche 1","Tranche 1: cleared",$C1937="Sessions_Level_1_All_Sites","Downstream aggregation of UA raw logs — keep if raw tables go",ISNUMBER(--$C1937),"UA raw site logs (account ID) — keep pending audit-retention check",$C1937="Emag_Reporting","Legacy but likely needed",$C1937="Nutrition_Data_Archived_Tables","Worth keeping",$C1937="EU_Data","Static lookup tables — scripts still reference (smoke-test risk)",TRUE,"Review"),OR($A1937="thg-influencer",$A1937="thg-ingenuity",$A1937="thg-central-marketing",$A1937="thg-seoclarity"),"HOLD — Charlie Stringer to review before deletion",TRUE,"")</f>
        <v>UA raw site logs (account ID) — keep pending audit-retention check</v>
      </c>
      <c r="S1937" t="s">
        <v>1631</v>
      </c>
    </row>
    <row r="1938" spans="1:19" ht="45.75" hidden="1">
      <c r="A1938" t="s">
        <v>89</v>
      </c>
      <c r="B1938" t="s">
        <v>1619</v>
      </c>
      <c r="C1938" t="s">
        <v>4261</v>
      </c>
      <c r="D1938" s="2" t="s">
        <v>1621</v>
      </c>
      <c r="E1938">
        <v>0.01</v>
      </c>
      <c r="F1938">
        <v>0</v>
      </c>
      <c r="G1938" t="s">
        <v>72</v>
      </c>
      <c r="H1938" t="s">
        <v>3457</v>
      </c>
      <c r="I1938">
        <v>35</v>
      </c>
      <c r="J1938">
        <v>1966</v>
      </c>
      <c r="K1938" s="5">
        <v>46161.621563935187</v>
      </c>
      <c r="M1938" s="2" t="s">
        <v>3359</v>
      </c>
      <c r="N1938" s="2" t="s">
        <v>1701</v>
      </c>
      <c r="O1938" s="5">
        <v>44230.731506435193</v>
      </c>
      <c r="P1938" t="str">
        <f>IF($Q1938="DELETE",IF($S1938="CONFIRMED: NO MODS &gt; 1YR","CONFIRMED: NO MODS &gt; 1YR","DO NOT DELETE — not defensibly confirmed"),IF($Q1938="HOLD","DO NOT DELETE — HOLD (Charlie review)",IF($Q1938="KEEP","DO NOT DELETE — KEEP",IF(ISNUMBER(SEARCH("REVIEW",$Q1938)),"DO NOT DELETE — REVIEW pending",$S1938))))</f>
        <v>DO NOT DELETE — REVIEW pending</v>
      </c>
      <c r="Q1938" t="str" cm="1">
        <f t="array" ref="Q1938">_xlfn.IFS(AND($A1938="thg-beauty",ISNUMBER(SEARCH("liveramp",$C1938))),"DELETE",$A1938="agile-bonbon-662",_xlfn.IFS(LEFT($G1938,9)="Tranche 1","DELETE",$C1938="Sessions_Level_1_All_Sites","KEEP",ISNUMBER(--$C1938),"REVIEW — UA raw logs",$C1938="Emag_Reporting","KEEP",$C1938="Nutrition_Data_Archived_Tables","KEEP",$C1938="EU_Data","KEEP",TRUE,"REVIEW"),OR($A1938="thg-influencer",$A1938="thg-ingenuity",$A1938="thg-central-marketing",$A1938="thg-seoclarity"),"HOLD",TRUE,"")</f>
        <v>REVIEW</v>
      </c>
      <c r="R1938" t="str" cm="1">
        <f t="array" ref="R1938">_xlfn.IFS(AND($A1938="thg-beauty",ISNUMBER(SEARCH("liveramp",$C1938))),"thg-beauty Liveramp dataset — confirmed safe to delete",$A1938="agile-bonbon-662",_xlfn.IFS(LEFT($G1938,9)="Tranche 1","Tranche 1: cleared",$C1938="Sessions_Level_1_All_Sites","Downstream aggregation of UA raw logs — keep if raw tables go",ISNUMBER(--$C1938),"UA raw site logs (account ID) — keep pending audit-retention check",$C1938="Emag_Reporting","Legacy but likely needed",$C1938="Nutrition_Data_Archived_Tables","Worth keeping",$C1938="EU_Data","Static lookup tables — scripts still reference (smoke-test risk)",TRUE,"Review"),OR($A1938="thg-influencer",$A1938="thg-ingenuity",$A1938="thg-central-marketing",$A1938="thg-seoclarity"),"HOLD — Charlie Stringer to review before deletion",TRUE,"")</f>
        <v>Review</v>
      </c>
      <c r="S1938" t="s">
        <v>1631</v>
      </c>
    </row>
    <row r="1939" spans="1:19" ht="45.75" hidden="1">
      <c r="A1939" t="s">
        <v>89</v>
      </c>
      <c r="B1939" t="s">
        <v>1619</v>
      </c>
      <c r="C1939" t="s">
        <v>4262</v>
      </c>
      <c r="D1939" s="2" t="s">
        <v>1621</v>
      </c>
      <c r="E1939">
        <v>0.01</v>
      </c>
      <c r="F1939">
        <v>0</v>
      </c>
      <c r="G1939" t="s">
        <v>72</v>
      </c>
      <c r="H1939" t="s">
        <v>3457</v>
      </c>
      <c r="I1939">
        <v>35</v>
      </c>
      <c r="J1939">
        <v>1967</v>
      </c>
      <c r="K1939" s="5">
        <v>46161.584951168981</v>
      </c>
      <c r="M1939" s="2" t="s">
        <v>3438</v>
      </c>
      <c r="N1939" s="2" t="s">
        <v>1701</v>
      </c>
      <c r="O1939" s="5">
        <v>44230.242009710651</v>
      </c>
      <c r="P1939" t="str">
        <f>IF($Q1939="DELETE",IF($S1939="CONFIRMED: NO MODS &gt; 1YR","CONFIRMED: NO MODS &gt; 1YR","DO NOT DELETE — not defensibly confirmed"),IF($Q1939="HOLD","DO NOT DELETE — HOLD (Charlie review)",IF($Q1939="KEEP","DO NOT DELETE — KEEP",IF(ISNUMBER(SEARCH("REVIEW",$Q1939)),"DO NOT DELETE — REVIEW pending",$S1939))))</f>
        <v>DO NOT DELETE — REVIEW pending</v>
      </c>
      <c r="Q1939" t="str" cm="1">
        <f t="array" ref="Q1939">_xlfn.IFS(AND($A1939="thg-beauty",ISNUMBER(SEARCH("liveramp",$C1939))),"DELETE",$A1939="agile-bonbon-662",_xlfn.IFS(LEFT($G1939,9)="Tranche 1","DELETE",$C1939="Sessions_Level_1_All_Sites","KEEP",ISNUMBER(--$C1939),"REVIEW — UA raw logs",$C1939="Emag_Reporting","KEEP",$C1939="Nutrition_Data_Archived_Tables","KEEP",$C1939="EU_Data","KEEP",TRUE,"REVIEW"),OR($A1939="thg-influencer",$A1939="thg-ingenuity",$A1939="thg-central-marketing",$A1939="thg-seoclarity"),"HOLD",TRUE,"")</f>
        <v>REVIEW — UA raw logs</v>
      </c>
      <c r="R1939" t="str" cm="1">
        <f t="array" ref="R1939">_xlfn.IFS(AND($A1939="thg-beauty",ISNUMBER(SEARCH("liveramp",$C1939))),"thg-beauty Liveramp dataset — confirmed safe to delete",$A1939="agile-bonbon-662",_xlfn.IFS(LEFT($G1939,9)="Tranche 1","Tranche 1: cleared",$C1939="Sessions_Level_1_All_Sites","Downstream aggregation of UA raw logs — keep if raw tables go",ISNUMBER(--$C1939),"UA raw site logs (account ID) — keep pending audit-retention check",$C1939="Emag_Reporting","Legacy but likely needed",$C1939="Nutrition_Data_Archived_Tables","Worth keeping",$C1939="EU_Data","Static lookup tables — scripts still reference (smoke-test risk)",TRUE,"Review"),OR($A1939="thg-influencer",$A1939="thg-ingenuity",$A1939="thg-central-marketing",$A1939="thg-seoclarity"),"HOLD — Charlie Stringer to review before deletion",TRUE,"")</f>
        <v>UA raw site logs (account ID) — keep pending audit-retention check</v>
      </c>
      <c r="S1939" t="s">
        <v>1631</v>
      </c>
    </row>
    <row r="1940" spans="1:19" ht="45.75" hidden="1">
      <c r="A1940" t="s">
        <v>89</v>
      </c>
      <c r="B1940" t="s">
        <v>1619</v>
      </c>
      <c r="C1940" t="s">
        <v>4263</v>
      </c>
      <c r="D1940" s="2" t="s">
        <v>1621</v>
      </c>
      <c r="E1940">
        <v>0.01</v>
      </c>
      <c r="F1940">
        <v>0</v>
      </c>
      <c r="G1940" t="s">
        <v>72</v>
      </c>
      <c r="H1940" t="s">
        <v>3457</v>
      </c>
      <c r="I1940">
        <v>35</v>
      </c>
      <c r="J1940">
        <v>729</v>
      </c>
      <c r="K1940" s="5">
        <v>46161.600096585651</v>
      </c>
      <c r="M1940" s="2" t="s">
        <v>3925</v>
      </c>
      <c r="N1940" s="2" t="s">
        <v>1701</v>
      </c>
      <c r="O1940" s="5">
        <v>45468.224795034723</v>
      </c>
      <c r="P1940" t="str">
        <f>IF($Q1940="DELETE",IF($S1940="CONFIRMED: NO MODS &gt; 1YR","CONFIRMED: NO MODS &gt; 1YR","DO NOT DELETE — not defensibly confirmed"),IF($Q1940="HOLD","DO NOT DELETE — HOLD (Charlie review)",IF($Q1940="KEEP","DO NOT DELETE — KEEP",IF(ISNUMBER(SEARCH("REVIEW",$Q1940)),"DO NOT DELETE — REVIEW pending",$S1940))))</f>
        <v>DO NOT DELETE — REVIEW pending</v>
      </c>
      <c r="Q1940" t="str" cm="1">
        <f t="array" ref="Q1940">_xlfn.IFS(AND($A1940="thg-beauty",ISNUMBER(SEARCH("liveramp",$C1940))),"DELETE",$A1940="agile-bonbon-662",_xlfn.IFS(LEFT($G1940,9)="Tranche 1","DELETE",$C1940="Sessions_Level_1_All_Sites","KEEP",ISNUMBER(--$C1940),"REVIEW — UA raw logs",$C1940="Emag_Reporting","KEEP",$C1940="Nutrition_Data_Archived_Tables","KEEP",$C1940="EU_Data","KEEP",TRUE,"REVIEW"),OR($A1940="thg-influencer",$A1940="thg-ingenuity",$A1940="thg-central-marketing",$A1940="thg-seoclarity"),"HOLD",TRUE,"")</f>
        <v>REVIEW — UA raw logs</v>
      </c>
      <c r="R1940" t="str" cm="1">
        <f t="array" ref="R1940">_xlfn.IFS(AND($A1940="thg-beauty",ISNUMBER(SEARCH("liveramp",$C1940))),"thg-beauty Liveramp dataset — confirmed safe to delete",$A1940="agile-bonbon-662",_xlfn.IFS(LEFT($G1940,9)="Tranche 1","Tranche 1: cleared",$C1940="Sessions_Level_1_All_Sites","Downstream aggregation of UA raw logs — keep if raw tables go",ISNUMBER(--$C1940),"UA raw site logs (account ID) — keep pending audit-retention check",$C1940="Emag_Reporting","Legacy but likely needed",$C1940="Nutrition_Data_Archived_Tables","Worth keeping",$C1940="EU_Data","Static lookup tables — scripts still reference (smoke-test risk)",TRUE,"Review"),OR($A1940="thg-influencer",$A1940="thg-ingenuity",$A1940="thg-central-marketing",$A1940="thg-seoclarity"),"HOLD — Charlie Stringer to review before deletion",TRUE,"")</f>
        <v>UA raw site logs (account ID) — keep pending audit-retention check</v>
      </c>
      <c r="S1940" t="s">
        <v>1631</v>
      </c>
    </row>
    <row r="1941" spans="1:19" ht="45.75" hidden="1">
      <c r="A1941" t="s">
        <v>89</v>
      </c>
      <c r="B1941" t="s">
        <v>1619</v>
      </c>
      <c r="C1941" t="s">
        <v>4264</v>
      </c>
      <c r="D1941" s="2" t="s">
        <v>1621</v>
      </c>
      <c r="E1941">
        <v>0.01</v>
      </c>
      <c r="F1941">
        <v>0</v>
      </c>
      <c r="G1941" t="s">
        <v>72</v>
      </c>
      <c r="H1941" t="s">
        <v>3457</v>
      </c>
      <c r="I1941">
        <v>35</v>
      </c>
      <c r="J1941">
        <v>1763</v>
      </c>
      <c r="K1941" s="5">
        <v>46161.592250624999</v>
      </c>
      <c r="M1941" s="2" t="s">
        <v>3448</v>
      </c>
      <c r="N1941" s="2" t="s">
        <v>1701</v>
      </c>
      <c r="O1941" s="5">
        <v>44434.276642500001</v>
      </c>
      <c r="P1941" t="str">
        <f>IF($Q1941="DELETE",IF($S1941="CONFIRMED: NO MODS &gt; 1YR","CONFIRMED: NO MODS &gt; 1YR","DO NOT DELETE — not defensibly confirmed"),IF($Q1941="HOLD","DO NOT DELETE — HOLD (Charlie review)",IF($Q1941="KEEP","DO NOT DELETE — KEEP",IF(ISNUMBER(SEARCH("REVIEW",$Q1941)),"DO NOT DELETE — REVIEW pending",$S1941))))</f>
        <v>DO NOT DELETE — REVIEW pending</v>
      </c>
      <c r="Q1941" t="str" cm="1">
        <f t="array" ref="Q1941">_xlfn.IFS(AND($A1941="thg-beauty",ISNUMBER(SEARCH("liveramp",$C1941))),"DELETE",$A1941="agile-bonbon-662",_xlfn.IFS(LEFT($G1941,9)="Tranche 1","DELETE",$C1941="Sessions_Level_1_All_Sites","KEEP",ISNUMBER(--$C1941),"REVIEW — UA raw logs",$C1941="Emag_Reporting","KEEP",$C1941="Nutrition_Data_Archived_Tables","KEEP",$C1941="EU_Data","KEEP",TRUE,"REVIEW"),OR($A1941="thg-influencer",$A1941="thg-ingenuity",$A1941="thg-central-marketing",$A1941="thg-seoclarity"),"HOLD",TRUE,"")</f>
        <v>REVIEW — UA raw logs</v>
      </c>
      <c r="R1941" t="str" cm="1">
        <f t="array" ref="R1941">_xlfn.IFS(AND($A1941="thg-beauty",ISNUMBER(SEARCH("liveramp",$C1941))),"thg-beauty Liveramp dataset — confirmed safe to delete",$A1941="agile-bonbon-662",_xlfn.IFS(LEFT($G1941,9)="Tranche 1","Tranche 1: cleared",$C1941="Sessions_Level_1_All_Sites","Downstream aggregation of UA raw logs — keep if raw tables go",ISNUMBER(--$C1941),"UA raw site logs (account ID) — keep pending audit-retention check",$C1941="Emag_Reporting","Legacy but likely needed",$C1941="Nutrition_Data_Archived_Tables","Worth keeping",$C1941="EU_Data","Static lookup tables — scripts still reference (smoke-test risk)",TRUE,"Review"),OR($A1941="thg-influencer",$A1941="thg-ingenuity",$A1941="thg-central-marketing",$A1941="thg-seoclarity"),"HOLD — Charlie Stringer to review before deletion",TRUE,"")</f>
        <v>UA raw site logs (account ID) — keep pending audit-retention check</v>
      </c>
      <c r="S1941" t="s">
        <v>1631</v>
      </c>
    </row>
    <row r="1942" spans="1:19" ht="45.75" hidden="1">
      <c r="A1942" t="s">
        <v>89</v>
      </c>
      <c r="B1942" t="s">
        <v>1619</v>
      </c>
      <c r="C1942" t="s">
        <v>4265</v>
      </c>
      <c r="D1942" s="2" t="s">
        <v>1621</v>
      </c>
      <c r="E1942">
        <v>0.01</v>
      </c>
      <c r="F1942">
        <v>0</v>
      </c>
      <c r="G1942" t="s">
        <v>72</v>
      </c>
      <c r="H1942" t="s">
        <v>3457</v>
      </c>
      <c r="I1942">
        <v>35</v>
      </c>
      <c r="J1942">
        <v>1966</v>
      </c>
      <c r="K1942" s="5">
        <v>46161.622319837959</v>
      </c>
      <c r="M1942" s="2" t="s">
        <v>3907</v>
      </c>
      <c r="N1942" s="2" t="s">
        <v>1701</v>
      </c>
      <c r="O1942" s="5">
        <v>44231.240216967592</v>
      </c>
      <c r="P1942" t="str">
        <f>IF($Q1942="DELETE",IF($S1942="CONFIRMED: NO MODS &gt; 1YR","CONFIRMED: NO MODS &gt; 1YR","DO NOT DELETE — not defensibly confirmed"),IF($Q1942="HOLD","DO NOT DELETE — HOLD (Charlie review)",IF($Q1942="KEEP","DO NOT DELETE — KEEP",IF(ISNUMBER(SEARCH("REVIEW",$Q1942)),"DO NOT DELETE — REVIEW pending",$S1942))))</f>
        <v>DO NOT DELETE — REVIEW pending</v>
      </c>
      <c r="Q1942" t="str" cm="1">
        <f t="array" ref="Q1942">_xlfn.IFS(AND($A1942="thg-beauty",ISNUMBER(SEARCH("liveramp",$C1942))),"DELETE",$A1942="agile-bonbon-662",_xlfn.IFS(LEFT($G1942,9)="Tranche 1","DELETE",$C1942="Sessions_Level_1_All_Sites","KEEP",ISNUMBER(--$C1942),"REVIEW — UA raw logs",$C1942="Emag_Reporting","KEEP",$C1942="Nutrition_Data_Archived_Tables","KEEP",$C1942="EU_Data","KEEP",TRUE,"REVIEW"),OR($A1942="thg-influencer",$A1942="thg-ingenuity",$A1942="thg-central-marketing",$A1942="thg-seoclarity"),"HOLD",TRUE,"")</f>
        <v>REVIEW</v>
      </c>
      <c r="R1942" t="str" cm="1">
        <f t="array" ref="R1942">_xlfn.IFS(AND($A1942="thg-beauty",ISNUMBER(SEARCH("liveramp",$C1942))),"thg-beauty Liveramp dataset — confirmed safe to delete",$A1942="agile-bonbon-662",_xlfn.IFS(LEFT($G1942,9)="Tranche 1","Tranche 1: cleared",$C1942="Sessions_Level_1_All_Sites","Downstream aggregation of UA raw logs — keep if raw tables go",ISNUMBER(--$C1942),"UA raw site logs (account ID) — keep pending audit-retention check",$C1942="Emag_Reporting","Legacy but likely needed",$C1942="Nutrition_Data_Archived_Tables","Worth keeping",$C1942="EU_Data","Static lookup tables — scripts still reference (smoke-test risk)",TRUE,"Review"),OR($A1942="thg-influencer",$A1942="thg-ingenuity",$A1942="thg-central-marketing",$A1942="thg-seoclarity"),"HOLD — Charlie Stringer to review before deletion",TRUE,"")</f>
        <v>Review</v>
      </c>
      <c r="S1942" t="s">
        <v>1631</v>
      </c>
    </row>
    <row r="1943" spans="1:19" ht="45.75" hidden="1">
      <c r="A1943" t="s">
        <v>89</v>
      </c>
      <c r="B1943" t="s">
        <v>1619</v>
      </c>
      <c r="C1943" t="s">
        <v>4266</v>
      </c>
      <c r="D1943" s="2" t="s">
        <v>1621</v>
      </c>
      <c r="E1943">
        <v>0.01</v>
      </c>
      <c r="F1943">
        <v>0</v>
      </c>
      <c r="G1943" t="s">
        <v>72</v>
      </c>
      <c r="H1943" t="s">
        <v>3457</v>
      </c>
      <c r="I1943">
        <v>35</v>
      </c>
      <c r="J1943">
        <v>1966</v>
      </c>
      <c r="K1943" s="5">
        <v>46161.621915868047</v>
      </c>
      <c r="M1943" s="2" t="s">
        <v>3359</v>
      </c>
      <c r="N1943" s="2" t="s">
        <v>1701</v>
      </c>
      <c r="O1943" s="5">
        <v>44231.140862685177</v>
      </c>
      <c r="P1943" t="str">
        <f>IF($Q1943="DELETE",IF($S1943="CONFIRMED: NO MODS &gt; 1YR","CONFIRMED: NO MODS &gt; 1YR","DO NOT DELETE — not defensibly confirmed"),IF($Q1943="HOLD","DO NOT DELETE — HOLD (Charlie review)",IF($Q1943="KEEP","DO NOT DELETE — KEEP",IF(ISNUMBER(SEARCH("REVIEW",$Q1943)),"DO NOT DELETE — REVIEW pending",$S1943))))</f>
        <v>DO NOT DELETE — REVIEW pending</v>
      </c>
      <c r="Q1943" t="str" cm="1">
        <f t="array" ref="Q1943">_xlfn.IFS(AND($A1943="thg-beauty",ISNUMBER(SEARCH("liveramp",$C1943))),"DELETE",$A1943="agile-bonbon-662",_xlfn.IFS(LEFT($G1943,9)="Tranche 1","DELETE",$C1943="Sessions_Level_1_All_Sites","KEEP",ISNUMBER(--$C1943),"REVIEW — UA raw logs",$C1943="Emag_Reporting","KEEP",$C1943="Nutrition_Data_Archived_Tables","KEEP",$C1943="EU_Data","KEEP",TRUE,"REVIEW"),OR($A1943="thg-influencer",$A1943="thg-ingenuity",$A1943="thg-central-marketing",$A1943="thg-seoclarity"),"HOLD",TRUE,"")</f>
        <v>REVIEW</v>
      </c>
      <c r="R1943" t="str" cm="1">
        <f t="array" ref="R1943">_xlfn.IFS(AND($A1943="thg-beauty",ISNUMBER(SEARCH("liveramp",$C1943))),"thg-beauty Liveramp dataset — confirmed safe to delete",$A1943="agile-bonbon-662",_xlfn.IFS(LEFT($G1943,9)="Tranche 1","Tranche 1: cleared",$C1943="Sessions_Level_1_All_Sites","Downstream aggregation of UA raw logs — keep if raw tables go",ISNUMBER(--$C1943),"UA raw site logs (account ID) — keep pending audit-retention check",$C1943="Emag_Reporting","Legacy but likely needed",$C1943="Nutrition_Data_Archived_Tables","Worth keeping",$C1943="EU_Data","Static lookup tables — scripts still reference (smoke-test risk)",TRUE,"Review"),OR($A1943="thg-influencer",$A1943="thg-ingenuity",$A1943="thg-central-marketing",$A1943="thg-seoclarity"),"HOLD — Charlie Stringer to review before deletion",TRUE,"")</f>
        <v>Review</v>
      </c>
      <c r="S1943" t="s">
        <v>1631</v>
      </c>
    </row>
    <row r="1944" spans="1:19" ht="45.75" hidden="1">
      <c r="A1944" t="s">
        <v>89</v>
      </c>
      <c r="B1944" t="s">
        <v>1619</v>
      </c>
      <c r="C1944" t="s">
        <v>4267</v>
      </c>
      <c r="D1944" s="2" t="s">
        <v>1621</v>
      </c>
      <c r="E1944">
        <v>0.01</v>
      </c>
      <c r="F1944">
        <v>0</v>
      </c>
      <c r="G1944" t="s">
        <v>72</v>
      </c>
      <c r="H1944" t="s">
        <v>3457</v>
      </c>
      <c r="I1944">
        <v>35</v>
      </c>
      <c r="J1944">
        <v>532</v>
      </c>
      <c r="K1944" s="5">
        <v>46161.611903333331</v>
      </c>
      <c r="M1944" s="2" t="s">
        <v>4061</v>
      </c>
      <c r="N1944" s="2" t="s">
        <v>1701</v>
      </c>
      <c r="O1944" s="5">
        <v>45664.768169710653</v>
      </c>
      <c r="P1944" t="str">
        <f>IF($Q1944="DELETE",IF($S1944="CONFIRMED: NO MODS &gt; 1YR","CONFIRMED: NO MODS &gt; 1YR","DO NOT DELETE — not defensibly confirmed"),IF($Q1944="HOLD","DO NOT DELETE — HOLD (Charlie review)",IF($Q1944="KEEP","DO NOT DELETE — KEEP",IF(ISNUMBER(SEARCH("REVIEW",$Q1944)),"DO NOT DELETE — REVIEW pending",$S1944))))</f>
        <v>DO NOT DELETE — REVIEW pending</v>
      </c>
      <c r="Q1944" t="str" cm="1">
        <f t="array" ref="Q1944">_xlfn.IFS(AND($A1944="thg-beauty",ISNUMBER(SEARCH("liveramp",$C1944))),"DELETE",$A1944="agile-bonbon-662",_xlfn.IFS(LEFT($G1944,9)="Tranche 1","DELETE",$C1944="Sessions_Level_1_All_Sites","KEEP",ISNUMBER(--$C1944),"REVIEW — UA raw logs",$C1944="Emag_Reporting","KEEP",$C1944="Nutrition_Data_Archived_Tables","KEEP",$C1944="EU_Data","KEEP",TRUE,"REVIEW"),OR($A1944="thg-influencer",$A1944="thg-ingenuity",$A1944="thg-central-marketing",$A1944="thg-seoclarity"),"HOLD",TRUE,"")</f>
        <v>REVIEW</v>
      </c>
      <c r="R1944" t="str" cm="1">
        <f t="array" ref="R1944">_xlfn.IFS(AND($A1944="thg-beauty",ISNUMBER(SEARCH("liveramp",$C1944))),"thg-beauty Liveramp dataset — confirmed safe to delete",$A1944="agile-bonbon-662",_xlfn.IFS(LEFT($G1944,9)="Tranche 1","Tranche 1: cleared",$C1944="Sessions_Level_1_All_Sites","Downstream aggregation of UA raw logs — keep if raw tables go",ISNUMBER(--$C1944),"UA raw site logs (account ID) — keep pending audit-retention check",$C1944="Emag_Reporting","Legacy but likely needed",$C1944="Nutrition_Data_Archived_Tables","Worth keeping",$C1944="EU_Data","Static lookup tables — scripts still reference (smoke-test risk)",TRUE,"Review"),OR($A1944="thg-influencer",$A1944="thg-ingenuity",$A1944="thg-central-marketing",$A1944="thg-seoclarity"),"HOLD — Charlie Stringer to review before deletion",TRUE,"")</f>
        <v>Review</v>
      </c>
      <c r="S1944" t="s">
        <v>1631</v>
      </c>
    </row>
    <row r="1945" spans="1:19" ht="45.75" hidden="1">
      <c r="A1945" t="s">
        <v>89</v>
      </c>
      <c r="B1945" t="s">
        <v>1619</v>
      </c>
      <c r="C1945" t="s">
        <v>4268</v>
      </c>
      <c r="D1945" s="2" t="s">
        <v>1621</v>
      </c>
      <c r="E1945">
        <v>0.01</v>
      </c>
      <c r="F1945">
        <v>0</v>
      </c>
      <c r="G1945" t="s">
        <v>72</v>
      </c>
      <c r="H1945" t="s">
        <v>3457</v>
      </c>
      <c r="I1945">
        <v>35</v>
      </c>
      <c r="J1945">
        <v>1943</v>
      </c>
      <c r="K1945" s="5">
        <v>46161.606673113427</v>
      </c>
      <c r="M1945" s="2" t="s">
        <v>3906</v>
      </c>
      <c r="N1945" s="2" t="s">
        <v>1701</v>
      </c>
      <c r="O1945" s="5">
        <v>44253.569992314813</v>
      </c>
      <c r="P1945" t="str">
        <f>IF($Q1945="DELETE",IF($S1945="CONFIRMED: NO MODS &gt; 1YR","CONFIRMED: NO MODS &gt; 1YR","DO NOT DELETE — not defensibly confirmed"),IF($Q1945="HOLD","DO NOT DELETE — HOLD (Charlie review)",IF($Q1945="KEEP","DO NOT DELETE — KEEP",IF(ISNUMBER(SEARCH("REVIEW",$Q1945)),"DO NOT DELETE — REVIEW pending",$S1945))))</f>
        <v>DO NOT DELETE — REVIEW pending</v>
      </c>
      <c r="Q1945" t="str" cm="1">
        <f t="array" ref="Q1945">_xlfn.IFS(AND($A1945="thg-beauty",ISNUMBER(SEARCH("liveramp",$C1945))),"DELETE",$A1945="agile-bonbon-662",_xlfn.IFS(LEFT($G1945,9)="Tranche 1","DELETE",$C1945="Sessions_Level_1_All_Sites","KEEP",ISNUMBER(--$C1945),"REVIEW — UA raw logs",$C1945="Emag_Reporting","KEEP",$C1945="Nutrition_Data_Archived_Tables","KEEP",$C1945="EU_Data","KEEP",TRUE,"REVIEW"),OR($A1945="thg-influencer",$A1945="thg-ingenuity",$A1945="thg-central-marketing",$A1945="thg-seoclarity"),"HOLD",TRUE,"")</f>
        <v>REVIEW</v>
      </c>
      <c r="R1945" t="str" cm="1">
        <f t="array" ref="R1945">_xlfn.IFS(AND($A1945="thg-beauty",ISNUMBER(SEARCH("liveramp",$C1945))),"thg-beauty Liveramp dataset — confirmed safe to delete",$A1945="agile-bonbon-662",_xlfn.IFS(LEFT($G1945,9)="Tranche 1","Tranche 1: cleared",$C1945="Sessions_Level_1_All_Sites","Downstream aggregation of UA raw logs — keep if raw tables go",ISNUMBER(--$C1945),"UA raw site logs (account ID) — keep pending audit-retention check",$C1945="Emag_Reporting","Legacy but likely needed",$C1945="Nutrition_Data_Archived_Tables","Worth keeping",$C1945="EU_Data","Static lookup tables — scripts still reference (smoke-test risk)",TRUE,"Review"),OR($A1945="thg-influencer",$A1945="thg-ingenuity",$A1945="thg-central-marketing",$A1945="thg-seoclarity"),"HOLD — Charlie Stringer to review before deletion",TRUE,"")</f>
        <v>Review</v>
      </c>
      <c r="S1945" t="s">
        <v>1631</v>
      </c>
    </row>
    <row r="1946" spans="1:19" ht="45.75" hidden="1">
      <c r="A1946" t="s">
        <v>89</v>
      </c>
      <c r="B1946" t="s">
        <v>1619</v>
      </c>
      <c r="C1946" t="s">
        <v>4269</v>
      </c>
      <c r="D1946" s="2" t="s">
        <v>1621</v>
      </c>
      <c r="E1946">
        <v>0.01</v>
      </c>
      <c r="F1946">
        <v>0</v>
      </c>
      <c r="G1946" t="s">
        <v>72</v>
      </c>
      <c r="H1946" t="s">
        <v>3457</v>
      </c>
      <c r="I1946">
        <v>35</v>
      </c>
      <c r="J1946">
        <v>1966</v>
      </c>
      <c r="K1946" s="5">
        <v>46161.621357939817</v>
      </c>
      <c r="M1946" s="2" t="s">
        <v>1960</v>
      </c>
      <c r="N1946" s="2" t="s">
        <v>1701</v>
      </c>
      <c r="O1946" s="5">
        <v>44230.531070648147</v>
      </c>
      <c r="P1946" t="str">
        <f>IF($Q1946="DELETE",IF($S1946="CONFIRMED: NO MODS &gt; 1YR","CONFIRMED: NO MODS &gt; 1YR","DO NOT DELETE — not defensibly confirmed"),IF($Q1946="HOLD","DO NOT DELETE — HOLD (Charlie review)",IF($Q1946="KEEP","DO NOT DELETE — KEEP",IF(ISNUMBER(SEARCH("REVIEW",$Q1946)),"DO NOT DELETE — REVIEW pending",$S1946))))</f>
        <v>DO NOT DELETE — REVIEW pending</v>
      </c>
      <c r="Q1946" t="str" cm="1">
        <f t="array" ref="Q1946">_xlfn.IFS(AND($A1946="thg-beauty",ISNUMBER(SEARCH("liveramp",$C1946))),"DELETE",$A1946="agile-bonbon-662",_xlfn.IFS(LEFT($G1946,9)="Tranche 1","DELETE",$C1946="Sessions_Level_1_All_Sites","KEEP",ISNUMBER(--$C1946),"REVIEW — UA raw logs",$C1946="Emag_Reporting","KEEP",$C1946="Nutrition_Data_Archived_Tables","KEEP",$C1946="EU_Data","KEEP",TRUE,"REVIEW"),OR($A1946="thg-influencer",$A1946="thg-ingenuity",$A1946="thg-central-marketing",$A1946="thg-seoclarity"),"HOLD",TRUE,"")</f>
        <v>REVIEW</v>
      </c>
      <c r="R1946" t="str" cm="1">
        <f t="array" ref="R1946">_xlfn.IFS(AND($A1946="thg-beauty",ISNUMBER(SEARCH("liveramp",$C1946))),"thg-beauty Liveramp dataset — confirmed safe to delete",$A1946="agile-bonbon-662",_xlfn.IFS(LEFT($G1946,9)="Tranche 1","Tranche 1: cleared",$C1946="Sessions_Level_1_All_Sites","Downstream aggregation of UA raw logs — keep if raw tables go",ISNUMBER(--$C1946),"UA raw site logs (account ID) — keep pending audit-retention check",$C1946="Emag_Reporting","Legacy but likely needed",$C1946="Nutrition_Data_Archived_Tables","Worth keeping",$C1946="EU_Data","Static lookup tables — scripts still reference (smoke-test risk)",TRUE,"Review"),OR($A1946="thg-influencer",$A1946="thg-ingenuity",$A1946="thg-central-marketing",$A1946="thg-seoclarity"),"HOLD — Charlie Stringer to review before deletion",TRUE,"")</f>
        <v>Review</v>
      </c>
      <c r="S1946" t="s">
        <v>1631</v>
      </c>
    </row>
    <row r="1947" spans="1:19" ht="45.75" hidden="1">
      <c r="A1947" t="s">
        <v>89</v>
      </c>
      <c r="B1947" t="s">
        <v>1619</v>
      </c>
      <c r="C1947" t="s">
        <v>4270</v>
      </c>
      <c r="D1947" s="2" t="s">
        <v>1621</v>
      </c>
      <c r="E1947">
        <v>0</v>
      </c>
      <c r="F1947">
        <v>0</v>
      </c>
      <c r="G1947" t="s">
        <v>72</v>
      </c>
      <c r="H1947" t="s">
        <v>3457</v>
      </c>
      <c r="I1947">
        <v>35</v>
      </c>
      <c r="J1947">
        <v>2694</v>
      </c>
      <c r="K1947" s="5">
        <v>46161.59018835648</v>
      </c>
      <c r="M1947" s="2" t="s">
        <v>3402</v>
      </c>
      <c r="N1947" s="2" t="s">
        <v>1701</v>
      </c>
      <c r="O1947" s="5">
        <v>43502.601301284732</v>
      </c>
      <c r="P1947" t="str">
        <f>IF($Q1947="DELETE",IF($S1947="CONFIRMED: NO MODS &gt; 1YR","CONFIRMED: NO MODS &gt; 1YR","DO NOT DELETE — not defensibly confirmed"),IF($Q1947="HOLD","DO NOT DELETE — HOLD (Charlie review)",IF($Q1947="KEEP","DO NOT DELETE — KEEP",IF(ISNUMBER(SEARCH("REVIEW",$Q1947)),"DO NOT DELETE — REVIEW pending",$S1947))))</f>
        <v>DO NOT DELETE — REVIEW pending</v>
      </c>
      <c r="Q1947" t="str" cm="1">
        <f t="array" ref="Q1947">_xlfn.IFS(AND($A1947="thg-beauty",ISNUMBER(SEARCH("liveramp",$C1947))),"DELETE",$A1947="agile-bonbon-662",_xlfn.IFS(LEFT($G1947,9)="Tranche 1","DELETE",$C1947="Sessions_Level_1_All_Sites","KEEP",ISNUMBER(--$C1947),"REVIEW — UA raw logs",$C1947="Emag_Reporting","KEEP",$C1947="Nutrition_Data_Archived_Tables","KEEP",$C1947="EU_Data","KEEP",TRUE,"REVIEW"),OR($A1947="thg-influencer",$A1947="thg-ingenuity",$A1947="thg-central-marketing",$A1947="thg-seoclarity"),"HOLD",TRUE,"")</f>
        <v>REVIEW — UA raw logs</v>
      </c>
      <c r="R1947" t="str" cm="1">
        <f t="array" ref="R1947">_xlfn.IFS(AND($A1947="thg-beauty",ISNUMBER(SEARCH("liveramp",$C1947))),"thg-beauty Liveramp dataset — confirmed safe to delete",$A1947="agile-bonbon-662",_xlfn.IFS(LEFT($G1947,9)="Tranche 1","Tranche 1: cleared",$C1947="Sessions_Level_1_All_Sites","Downstream aggregation of UA raw logs — keep if raw tables go",ISNUMBER(--$C1947),"UA raw site logs (account ID) — keep pending audit-retention check",$C1947="Emag_Reporting","Legacy but likely needed",$C1947="Nutrition_Data_Archived_Tables","Worth keeping",$C1947="EU_Data","Static lookup tables — scripts still reference (smoke-test risk)",TRUE,"Review"),OR($A1947="thg-influencer",$A1947="thg-ingenuity",$A1947="thg-central-marketing",$A1947="thg-seoclarity"),"HOLD — Charlie Stringer to review before deletion",TRUE,"")</f>
        <v>UA raw site logs (account ID) — keep pending audit-retention check</v>
      </c>
      <c r="S1947" t="s">
        <v>1631</v>
      </c>
    </row>
    <row r="1948" spans="1:19" ht="45.75" hidden="1">
      <c r="A1948" t="s">
        <v>89</v>
      </c>
      <c r="B1948" t="s">
        <v>1619</v>
      </c>
      <c r="C1948" t="s">
        <v>4271</v>
      </c>
      <c r="D1948" s="2" t="s">
        <v>1621</v>
      </c>
      <c r="E1948">
        <v>0</v>
      </c>
      <c r="F1948">
        <v>0</v>
      </c>
      <c r="G1948" t="s">
        <v>72</v>
      </c>
      <c r="H1948" t="s">
        <v>3457</v>
      </c>
      <c r="I1948">
        <v>35</v>
      </c>
      <c r="J1948">
        <v>1966</v>
      </c>
      <c r="K1948" s="5">
        <v>46161.622307685182</v>
      </c>
      <c r="M1948" s="2" t="s">
        <v>3356</v>
      </c>
      <c r="N1948" s="2" t="s">
        <v>1701</v>
      </c>
      <c r="O1948" s="5">
        <v>44231.205675868063</v>
      </c>
      <c r="P1948" t="str">
        <f>IF($Q1948="DELETE",IF($S1948="CONFIRMED: NO MODS &gt; 1YR","CONFIRMED: NO MODS &gt; 1YR","DO NOT DELETE — not defensibly confirmed"),IF($Q1948="HOLD","DO NOT DELETE — HOLD (Charlie review)",IF($Q1948="KEEP","DO NOT DELETE — KEEP",IF(ISNUMBER(SEARCH("REVIEW",$Q1948)),"DO NOT DELETE — REVIEW pending",$S1948))))</f>
        <v>DO NOT DELETE — REVIEW pending</v>
      </c>
      <c r="Q1948" t="str" cm="1">
        <f t="array" ref="Q1948">_xlfn.IFS(AND($A1948="thg-beauty",ISNUMBER(SEARCH("liveramp",$C1948))),"DELETE",$A1948="agile-bonbon-662",_xlfn.IFS(LEFT($G1948,9)="Tranche 1","DELETE",$C1948="Sessions_Level_1_All_Sites","KEEP",ISNUMBER(--$C1948),"REVIEW — UA raw logs",$C1948="Emag_Reporting","KEEP",$C1948="Nutrition_Data_Archived_Tables","KEEP",$C1948="EU_Data","KEEP",TRUE,"REVIEW"),OR($A1948="thg-influencer",$A1948="thg-ingenuity",$A1948="thg-central-marketing",$A1948="thg-seoclarity"),"HOLD",TRUE,"")</f>
        <v>REVIEW</v>
      </c>
      <c r="R1948" t="str" cm="1">
        <f t="array" ref="R1948">_xlfn.IFS(AND($A1948="thg-beauty",ISNUMBER(SEARCH("liveramp",$C1948))),"thg-beauty Liveramp dataset — confirmed safe to delete",$A1948="agile-bonbon-662",_xlfn.IFS(LEFT($G1948,9)="Tranche 1","Tranche 1: cleared",$C1948="Sessions_Level_1_All_Sites","Downstream aggregation of UA raw logs — keep if raw tables go",ISNUMBER(--$C1948),"UA raw site logs (account ID) — keep pending audit-retention check",$C1948="Emag_Reporting","Legacy but likely needed",$C1948="Nutrition_Data_Archived_Tables","Worth keeping",$C1948="EU_Data","Static lookup tables — scripts still reference (smoke-test risk)",TRUE,"Review"),OR($A1948="thg-influencer",$A1948="thg-ingenuity",$A1948="thg-central-marketing",$A1948="thg-seoclarity"),"HOLD — Charlie Stringer to review before deletion",TRUE,"")</f>
        <v>Review</v>
      </c>
      <c r="S1948" t="s">
        <v>1631</v>
      </c>
    </row>
    <row r="1949" spans="1:19" ht="45.75" hidden="1">
      <c r="A1949" t="s">
        <v>89</v>
      </c>
      <c r="B1949" t="s">
        <v>1619</v>
      </c>
      <c r="C1949" t="s">
        <v>4272</v>
      </c>
      <c r="D1949" s="2" t="s">
        <v>1621</v>
      </c>
      <c r="E1949">
        <v>0</v>
      </c>
      <c r="F1949">
        <v>0</v>
      </c>
      <c r="G1949" t="s">
        <v>72</v>
      </c>
      <c r="H1949" t="s">
        <v>3457</v>
      </c>
      <c r="I1949">
        <v>35</v>
      </c>
      <c r="J1949">
        <v>1195</v>
      </c>
      <c r="K1949" s="5">
        <v>46161.620275868052</v>
      </c>
      <c r="M1949" s="2" t="s">
        <v>1969</v>
      </c>
      <c r="N1949" s="2" t="s">
        <v>1701</v>
      </c>
      <c r="O1949" s="5">
        <v>45002.406822037039</v>
      </c>
      <c r="P1949" t="str">
        <f>IF($Q1949="DELETE",IF($S1949="CONFIRMED: NO MODS &gt; 1YR","CONFIRMED: NO MODS &gt; 1YR","DO NOT DELETE — not defensibly confirmed"),IF($Q1949="HOLD","DO NOT DELETE — HOLD (Charlie review)",IF($Q1949="KEEP","DO NOT DELETE — KEEP",IF(ISNUMBER(SEARCH("REVIEW",$Q1949)),"DO NOT DELETE — REVIEW pending",$S1949))))</f>
        <v>DO NOT DELETE — REVIEW pending</v>
      </c>
      <c r="Q1949" t="str" cm="1">
        <f t="array" ref="Q1949">_xlfn.IFS(AND($A1949="thg-beauty",ISNUMBER(SEARCH("liveramp",$C1949))),"DELETE",$A1949="agile-bonbon-662",_xlfn.IFS(LEFT($G1949,9)="Tranche 1","DELETE",$C1949="Sessions_Level_1_All_Sites","KEEP",ISNUMBER(--$C1949),"REVIEW — UA raw logs",$C1949="Emag_Reporting","KEEP",$C1949="Nutrition_Data_Archived_Tables","KEEP",$C1949="EU_Data","KEEP",TRUE,"REVIEW"),OR($A1949="thg-influencer",$A1949="thg-ingenuity",$A1949="thg-central-marketing",$A1949="thg-seoclarity"),"HOLD",TRUE,"")</f>
        <v>REVIEW</v>
      </c>
      <c r="R1949" t="str" cm="1">
        <f t="array" ref="R1949">_xlfn.IFS(AND($A1949="thg-beauty",ISNUMBER(SEARCH("liveramp",$C1949))),"thg-beauty Liveramp dataset — confirmed safe to delete",$A1949="agile-bonbon-662",_xlfn.IFS(LEFT($G1949,9)="Tranche 1","Tranche 1: cleared",$C1949="Sessions_Level_1_All_Sites","Downstream aggregation of UA raw logs — keep if raw tables go",ISNUMBER(--$C1949),"UA raw site logs (account ID) — keep pending audit-retention check",$C1949="Emag_Reporting","Legacy but likely needed",$C1949="Nutrition_Data_Archived_Tables","Worth keeping",$C1949="EU_Data","Static lookup tables — scripts still reference (smoke-test risk)",TRUE,"Review"),OR($A1949="thg-influencer",$A1949="thg-ingenuity",$A1949="thg-central-marketing",$A1949="thg-seoclarity"),"HOLD — Charlie Stringer to review before deletion",TRUE,"")</f>
        <v>Review</v>
      </c>
      <c r="S1949" t="s">
        <v>1631</v>
      </c>
    </row>
    <row r="1950" spans="1:19" ht="76.5" hidden="1">
      <c r="A1950" t="s">
        <v>89</v>
      </c>
      <c r="B1950" t="s">
        <v>1619</v>
      </c>
      <c r="C1950" t="s">
        <v>4273</v>
      </c>
      <c r="D1950" s="2" t="s">
        <v>1621</v>
      </c>
      <c r="E1950">
        <v>0</v>
      </c>
      <c r="F1950">
        <v>0</v>
      </c>
      <c r="G1950" t="s">
        <v>72</v>
      </c>
      <c r="H1950" t="s">
        <v>3457</v>
      </c>
      <c r="I1950">
        <v>35</v>
      </c>
      <c r="J1950">
        <v>1612</v>
      </c>
      <c r="K1950" s="5">
        <v>46161.580290925929</v>
      </c>
      <c r="M1950" s="2" t="s">
        <v>4036</v>
      </c>
      <c r="N1950" s="2" t="s">
        <v>1701</v>
      </c>
      <c r="O1950" s="5">
        <v>44585.43828224537</v>
      </c>
      <c r="P1950" t="str">
        <f>IF($Q1950="DELETE",IF($S1950="CONFIRMED: NO MODS &gt; 1YR","CONFIRMED: NO MODS &gt; 1YR","DO NOT DELETE — not defensibly confirmed"),IF($Q1950="HOLD","DO NOT DELETE — HOLD (Charlie review)",IF($Q1950="KEEP","DO NOT DELETE — KEEP",IF(ISNUMBER(SEARCH("REVIEW",$Q1950)),"DO NOT DELETE — REVIEW pending",$S1950))))</f>
        <v>DO NOT DELETE — REVIEW pending</v>
      </c>
      <c r="Q1950" t="str" cm="1">
        <f t="array" ref="Q1950">_xlfn.IFS(AND($A1950="thg-beauty",ISNUMBER(SEARCH("liveramp",$C1950))),"DELETE",$A1950="agile-bonbon-662",_xlfn.IFS(LEFT($G1950,9)="Tranche 1","DELETE",$C1950="Sessions_Level_1_All_Sites","KEEP",ISNUMBER(--$C1950),"REVIEW — UA raw logs",$C1950="Emag_Reporting","KEEP",$C1950="Nutrition_Data_Archived_Tables","KEEP",$C1950="EU_Data","KEEP",TRUE,"REVIEW"),OR($A1950="thg-influencer",$A1950="thg-ingenuity",$A1950="thg-central-marketing",$A1950="thg-seoclarity"),"HOLD",TRUE,"")</f>
        <v>REVIEW</v>
      </c>
      <c r="R1950" t="str" cm="1">
        <f t="array" ref="R1950">_xlfn.IFS(AND($A1950="thg-beauty",ISNUMBER(SEARCH("liveramp",$C1950))),"thg-beauty Liveramp dataset — confirmed safe to delete",$A1950="agile-bonbon-662",_xlfn.IFS(LEFT($G1950,9)="Tranche 1","Tranche 1: cleared",$C1950="Sessions_Level_1_All_Sites","Downstream aggregation of UA raw logs — keep if raw tables go",ISNUMBER(--$C1950),"UA raw site logs (account ID) — keep pending audit-retention check",$C1950="Emag_Reporting","Legacy but likely needed",$C1950="Nutrition_Data_Archived_Tables","Worth keeping",$C1950="EU_Data","Static lookup tables — scripts still reference (smoke-test risk)",TRUE,"Review"),OR($A1950="thg-influencer",$A1950="thg-ingenuity",$A1950="thg-central-marketing",$A1950="thg-seoclarity"),"HOLD — Charlie Stringer to review before deletion",TRUE,"")</f>
        <v>Review</v>
      </c>
      <c r="S1950" t="s">
        <v>1631</v>
      </c>
    </row>
    <row r="1951" spans="1:19" ht="45.75" hidden="1">
      <c r="A1951" t="s">
        <v>89</v>
      </c>
      <c r="B1951" t="s">
        <v>1619</v>
      </c>
      <c r="C1951" t="s">
        <v>4274</v>
      </c>
      <c r="D1951" s="2" t="s">
        <v>1621</v>
      </c>
      <c r="E1951">
        <v>0</v>
      </c>
      <c r="F1951">
        <v>0</v>
      </c>
      <c r="G1951" t="s">
        <v>72</v>
      </c>
      <c r="H1951" t="s">
        <v>3457</v>
      </c>
      <c r="I1951">
        <v>35</v>
      </c>
      <c r="J1951">
        <v>1350</v>
      </c>
      <c r="K1951" s="5">
        <v>46161.605385370371</v>
      </c>
      <c r="M1951" s="2" t="s">
        <v>4275</v>
      </c>
      <c r="N1951" s="2" t="s">
        <v>1701</v>
      </c>
      <c r="O1951" s="5">
        <v>44846.464566099537</v>
      </c>
      <c r="P1951" t="str">
        <f>IF($Q1951="DELETE",IF($S1951="CONFIRMED: NO MODS &gt; 1YR","CONFIRMED: NO MODS &gt; 1YR","DO NOT DELETE — not defensibly confirmed"),IF($Q1951="HOLD","DO NOT DELETE — HOLD (Charlie review)",IF($Q1951="KEEP","DO NOT DELETE — KEEP",IF(ISNUMBER(SEARCH("REVIEW",$Q1951)),"DO NOT DELETE — REVIEW pending",$S1951))))</f>
        <v>DO NOT DELETE — REVIEW pending</v>
      </c>
      <c r="Q1951" t="str" cm="1">
        <f t="array" ref="Q1951">_xlfn.IFS(AND($A1951="thg-beauty",ISNUMBER(SEARCH("liveramp",$C1951))),"DELETE",$A1951="agile-bonbon-662",_xlfn.IFS(LEFT($G1951,9)="Tranche 1","DELETE",$C1951="Sessions_Level_1_All_Sites","KEEP",ISNUMBER(--$C1951),"REVIEW — UA raw logs",$C1951="Emag_Reporting","KEEP",$C1951="Nutrition_Data_Archived_Tables","KEEP",$C1951="EU_Data","KEEP",TRUE,"REVIEW"),OR($A1951="thg-influencer",$A1951="thg-ingenuity",$A1951="thg-central-marketing",$A1951="thg-seoclarity"),"HOLD",TRUE,"")</f>
        <v>REVIEW</v>
      </c>
      <c r="R1951" t="str" cm="1">
        <f t="array" ref="R1951">_xlfn.IFS(AND($A1951="thg-beauty",ISNUMBER(SEARCH("liveramp",$C1951))),"thg-beauty Liveramp dataset — confirmed safe to delete",$A1951="agile-bonbon-662",_xlfn.IFS(LEFT($G1951,9)="Tranche 1","Tranche 1: cleared",$C1951="Sessions_Level_1_All_Sites","Downstream aggregation of UA raw logs — keep if raw tables go",ISNUMBER(--$C1951),"UA raw site logs (account ID) — keep pending audit-retention check",$C1951="Emag_Reporting","Legacy but likely needed",$C1951="Nutrition_Data_Archived_Tables","Worth keeping",$C1951="EU_Data","Static lookup tables — scripts still reference (smoke-test risk)",TRUE,"Review"),OR($A1951="thg-influencer",$A1951="thg-ingenuity",$A1951="thg-central-marketing",$A1951="thg-seoclarity"),"HOLD — Charlie Stringer to review before deletion",TRUE,"")</f>
        <v>Review</v>
      </c>
      <c r="S1951" t="s">
        <v>1631</v>
      </c>
    </row>
    <row r="1952" spans="1:19" ht="45.75" hidden="1">
      <c r="A1952" t="s">
        <v>89</v>
      </c>
      <c r="B1952" t="s">
        <v>1619</v>
      </c>
      <c r="C1952" t="s">
        <v>4276</v>
      </c>
      <c r="D1952" s="2" t="s">
        <v>1621</v>
      </c>
      <c r="E1952">
        <v>0</v>
      </c>
      <c r="F1952">
        <v>0</v>
      </c>
      <c r="G1952" t="s">
        <v>72</v>
      </c>
      <c r="H1952" t="s">
        <v>3457</v>
      </c>
      <c r="I1952">
        <v>35</v>
      </c>
      <c r="J1952">
        <v>1966</v>
      </c>
      <c r="K1952" s="5">
        <v>46161.622250960652</v>
      </c>
      <c r="M1952" s="2" t="s">
        <v>3356</v>
      </c>
      <c r="N1952" s="2" t="s">
        <v>1701</v>
      </c>
      <c r="O1952" s="5">
        <v>44231.190580173607</v>
      </c>
      <c r="P1952" t="str">
        <f>IF($Q1952="DELETE",IF($S1952="CONFIRMED: NO MODS &gt; 1YR","CONFIRMED: NO MODS &gt; 1YR","DO NOT DELETE — not defensibly confirmed"),IF($Q1952="HOLD","DO NOT DELETE — HOLD (Charlie review)",IF($Q1952="KEEP","DO NOT DELETE — KEEP",IF(ISNUMBER(SEARCH("REVIEW",$Q1952)),"DO NOT DELETE — REVIEW pending",$S1952))))</f>
        <v>DO NOT DELETE — REVIEW pending</v>
      </c>
      <c r="Q1952" t="str" cm="1">
        <f t="array" ref="Q1952">_xlfn.IFS(AND($A1952="thg-beauty",ISNUMBER(SEARCH("liveramp",$C1952))),"DELETE",$A1952="agile-bonbon-662",_xlfn.IFS(LEFT($G1952,9)="Tranche 1","DELETE",$C1952="Sessions_Level_1_All_Sites","KEEP",ISNUMBER(--$C1952),"REVIEW — UA raw logs",$C1952="Emag_Reporting","KEEP",$C1952="Nutrition_Data_Archived_Tables","KEEP",$C1952="EU_Data","KEEP",TRUE,"REVIEW"),OR($A1952="thg-influencer",$A1952="thg-ingenuity",$A1952="thg-central-marketing",$A1952="thg-seoclarity"),"HOLD",TRUE,"")</f>
        <v>REVIEW</v>
      </c>
      <c r="R1952" t="str" cm="1">
        <f t="array" ref="R1952">_xlfn.IFS(AND($A1952="thg-beauty",ISNUMBER(SEARCH("liveramp",$C1952))),"thg-beauty Liveramp dataset — confirmed safe to delete",$A1952="agile-bonbon-662",_xlfn.IFS(LEFT($G1952,9)="Tranche 1","Tranche 1: cleared",$C1952="Sessions_Level_1_All_Sites","Downstream aggregation of UA raw logs — keep if raw tables go",ISNUMBER(--$C1952),"UA raw site logs (account ID) — keep pending audit-retention check",$C1952="Emag_Reporting","Legacy but likely needed",$C1952="Nutrition_Data_Archived_Tables","Worth keeping",$C1952="EU_Data","Static lookup tables — scripts still reference (smoke-test risk)",TRUE,"Review"),OR($A1952="thg-influencer",$A1952="thg-ingenuity",$A1952="thg-central-marketing",$A1952="thg-seoclarity"),"HOLD — Charlie Stringer to review before deletion",TRUE,"")</f>
        <v>Review</v>
      </c>
      <c r="S1952" t="s">
        <v>1631</v>
      </c>
    </row>
    <row r="1953" spans="1:19" ht="45.75" hidden="1">
      <c r="A1953" t="s">
        <v>89</v>
      </c>
      <c r="B1953" t="s">
        <v>1619</v>
      </c>
      <c r="C1953" t="s">
        <v>4277</v>
      </c>
      <c r="D1953" s="2" t="s">
        <v>1621</v>
      </c>
      <c r="E1953">
        <v>0</v>
      </c>
      <c r="F1953">
        <v>0</v>
      </c>
      <c r="G1953" t="s">
        <v>72</v>
      </c>
      <c r="H1953" t="s">
        <v>3457</v>
      </c>
      <c r="I1953">
        <v>35</v>
      </c>
      <c r="J1953">
        <v>893</v>
      </c>
      <c r="K1953" s="5">
        <v>46161.608898935177</v>
      </c>
      <c r="M1953" s="2" t="s">
        <v>4013</v>
      </c>
      <c r="N1953" s="2" t="s">
        <v>1701</v>
      </c>
      <c r="O1953" s="5">
        <v>45303.640887361107</v>
      </c>
      <c r="P1953" t="str">
        <f>IF($Q1953="DELETE",IF($S1953="CONFIRMED: NO MODS &gt; 1YR","CONFIRMED: NO MODS &gt; 1YR","DO NOT DELETE — not defensibly confirmed"),IF($Q1953="HOLD","DO NOT DELETE — HOLD (Charlie review)",IF($Q1953="KEEP","DO NOT DELETE — KEEP",IF(ISNUMBER(SEARCH("REVIEW",$Q1953)),"DO NOT DELETE — REVIEW pending",$S1953))))</f>
        <v>DO NOT DELETE — REVIEW pending</v>
      </c>
      <c r="Q1953" t="str" cm="1">
        <f t="array" ref="Q1953">_xlfn.IFS(AND($A1953="thg-beauty",ISNUMBER(SEARCH("liveramp",$C1953))),"DELETE",$A1953="agile-bonbon-662",_xlfn.IFS(LEFT($G1953,9)="Tranche 1","DELETE",$C1953="Sessions_Level_1_All_Sites","KEEP",ISNUMBER(--$C1953),"REVIEW — UA raw logs",$C1953="Emag_Reporting","KEEP",$C1953="Nutrition_Data_Archived_Tables","KEEP",$C1953="EU_Data","KEEP",TRUE,"REVIEW"),OR($A1953="thg-influencer",$A1953="thg-ingenuity",$A1953="thg-central-marketing",$A1953="thg-seoclarity"),"HOLD",TRUE,"")</f>
        <v>REVIEW</v>
      </c>
      <c r="R1953" t="str" cm="1">
        <f t="array" ref="R1953">_xlfn.IFS(AND($A1953="thg-beauty",ISNUMBER(SEARCH("liveramp",$C1953))),"thg-beauty Liveramp dataset — confirmed safe to delete",$A1953="agile-bonbon-662",_xlfn.IFS(LEFT($G1953,9)="Tranche 1","Tranche 1: cleared",$C1953="Sessions_Level_1_All_Sites","Downstream aggregation of UA raw logs — keep if raw tables go",ISNUMBER(--$C1953),"UA raw site logs (account ID) — keep pending audit-retention check",$C1953="Emag_Reporting","Legacy but likely needed",$C1953="Nutrition_Data_Archived_Tables","Worth keeping",$C1953="EU_Data","Static lookup tables — scripts still reference (smoke-test risk)",TRUE,"Review"),OR($A1953="thg-influencer",$A1953="thg-ingenuity",$A1953="thg-central-marketing",$A1953="thg-seoclarity"),"HOLD — Charlie Stringer to review before deletion",TRUE,"")</f>
        <v>Review</v>
      </c>
      <c r="S1953" t="s">
        <v>1631</v>
      </c>
    </row>
    <row r="1954" spans="1:19" ht="45.75" hidden="1">
      <c r="A1954" t="s">
        <v>89</v>
      </c>
      <c r="B1954" t="s">
        <v>1619</v>
      </c>
      <c r="C1954" t="s">
        <v>4278</v>
      </c>
      <c r="D1954" s="2" t="s">
        <v>1621</v>
      </c>
      <c r="E1954">
        <v>0</v>
      </c>
      <c r="F1954">
        <v>0</v>
      </c>
      <c r="G1954" t="s">
        <v>72</v>
      </c>
      <c r="H1954" t="s">
        <v>3457</v>
      </c>
      <c r="I1954">
        <v>35</v>
      </c>
      <c r="J1954">
        <v>2689</v>
      </c>
      <c r="K1954" s="5">
        <v>46161.603168414353</v>
      </c>
      <c r="M1954" s="2" t="s">
        <v>4137</v>
      </c>
      <c r="N1954" s="2" t="s">
        <v>1701</v>
      </c>
      <c r="O1954" s="5">
        <v>43507.777541377312</v>
      </c>
      <c r="P1954" t="str">
        <f>IF($Q1954="DELETE",IF($S1954="CONFIRMED: NO MODS &gt; 1YR","CONFIRMED: NO MODS &gt; 1YR","DO NOT DELETE — not defensibly confirmed"),IF($Q1954="HOLD","DO NOT DELETE — HOLD (Charlie review)",IF($Q1954="KEEP","DO NOT DELETE — KEEP",IF(ISNUMBER(SEARCH("REVIEW",$Q1954)),"DO NOT DELETE — REVIEW pending",$S1954))))</f>
        <v>DO NOT DELETE — REVIEW pending</v>
      </c>
      <c r="Q1954" t="str" cm="1">
        <f t="array" ref="Q1954">_xlfn.IFS(AND($A1954="thg-beauty",ISNUMBER(SEARCH("liveramp",$C1954))),"DELETE",$A1954="agile-bonbon-662",_xlfn.IFS(LEFT($G1954,9)="Tranche 1","DELETE",$C1954="Sessions_Level_1_All_Sites","KEEP",ISNUMBER(--$C1954),"REVIEW — UA raw logs",$C1954="Emag_Reporting","KEEP",$C1954="Nutrition_Data_Archived_Tables","KEEP",$C1954="EU_Data","KEEP",TRUE,"REVIEW"),OR($A1954="thg-influencer",$A1954="thg-ingenuity",$A1954="thg-central-marketing",$A1954="thg-seoclarity"),"HOLD",TRUE,"")</f>
        <v>REVIEW — UA raw logs</v>
      </c>
      <c r="R1954" t="str" cm="1">
        <f t="array" ref="R1954">_xlfn.IFS(AND($A1954="thg-beauty",ISNUMBER(SEARCH("liveramp",$C1954))),"thg-beauty Liveramp dataset — confirmed safe to delete",$A1954="agile-bonbon-662",_xlfn.IFS(LEFT($G1954,9)="Tranche 1","Tranche 1: cleared",$C1954="Sessions_Level_1_All_Sites","Downstream aggregation of UA raw logs — keep if raw tables go",ISNUMBER(--$C1954),"UA raw site logs (account ID) — keep pending audit-retention check",$C1954="Emag_Reporting","Legacy but likely needed",$C1954="Nutrition_Data_Archived_Tables","Worth keeping",$C1954="EU_Data","Static lookup tables — scripts still reference (smoke-test risk)",TRUE,"Review"),OR($A1954="thg-influencer",$A1954="thg-ingenuity",$A1954="thg-central-marketing",$A1954="thg-seoclarity"),"HOLD — Charlie Stringer to review before deletion",TRUE,"")</f>
        <v>UA raw site logs (account ID) — keep pending audit-retention check</v>
      </c>
      <c r="S1954" t="s">
        <v>1631</v>
      </c>
    </row>
    <row r="1955" spans="1:19" ht="45.75" hidden="1">
      <c r="A1955" t="s">
        <v>89</v>
      </c>
      <c r="B1955" t="s">
        <v>1619</v>
      </c>
      <c r="C1955" t="s">
        <v>4279</v>
      </c>
      <c r="D1955" s="2" t="s">
        <v>1621</v>
      </c>
      <c r="E1955">
        <v>0</v>
      </c>
      <c r="F1955">
        <v>0</v>
      </c>
      <c r="G1955" t="s">
        <v>72</v>
      </c>
      <c r="H1955" t="s">
        <v>3457</v>
      </c>
      <c r="I1955">
        <v>35</v>
      </c>
      <c r="J1955">
        <v>1966</v>
      </c>
      <c r="K1955" s="5">
        <v>46161.622059884263</v>
      </c>
      <c r="M1955" s="2" t="s">
        <v>3359</v>
      </c>
      <c r="N1955" s="2" t="s">
        <v>1701</v>
      </c>
      <c r="O1955" s="5">
        <v>44231.141540520832</v>
      </c>
      <c r="P1955" t="str">
        <f>IF($Q1955="DELETE",IF($S1955="CONFIRMED: NO MODS &gt; 1YR","CONFIRMED: NO MODS &gt; 1YR","DO NOT DELETE — not defensibly confirmed"),IF($Q1955="HOLD","DO NOT DELETE — HOLD (Charlie review)",IF($Q1955="KEEP","DO NOT DELETE — KEEP",IF(ISNUMBER(SEARCH("REVIEW",$Q1955)),"DO NOT DELETE — REVIEW pending",$S1955))))</f>
        <v>DO NOT DELETE — REVIEW pending</v>
      </c>
      <c r="Q1955" t="str" cm="1">
        <f t="array" ref="Q1955">_xlfn.IFS(AND($A1955="thg-beauty",ISNUMBER(SEARCH("liveramp",$C1955))),"DELETE",$A1955="agile-bonbon-662",_xlfn.IFS(LEFT($G1955,9)="Tranche 1","DELETE",$C1955="Sessions_Level_1_All_Sites","KEEP",ISNUMBER(--$C1955),"REVIEW — UA raw logs",$C1955="Emag_Reporting","KEEP",$C1955="Nutrition_Data_Archived_Tables","KEEP",$C1955="EU_Data","KEEP",TRUE,"REVIEW"),OR($A1955="thg-influencer",$A1955="thg-ingenuity",$A1955="thg-central-marketing",$A1955="thg-seoclarity"),"HOLD",TRUE,"")</f>
        <v>REVIEW</v>
      </c>
      <c r="R1955" t="str" cm="1">
        <f t="array" ref="R1955">_xlfn.IFS(AND($A1955="thg-beauty",ISNUMBER(SEARCH("liveramp",$C1955))),"thg-beauty Liveramp dataset — confirmed safe to delete",$A1955="agile-bonbon-662",_xlfn.IFS(LEFT($G1955,9)="Tranche 1","Tranche 1: cleared",$C1955="Sessions_Level_1_All_Sites","Downstream aggregation of UA raw logs — keep if raw tables go",ISNUMBER(--$C1955),"UA raw site logs (account ID) — keep pending audit-retention check",$C1955="Emag_Reporting","Legacy but likely needed",$C1955="Nutrition_Data_Archived_Tables","Worth keeping",$C1955="EU_Data","Static lookup tables — scripts still reference (smoke-test risk)",TRUE,"Review"),OR($A1955="thg-influencer",$A1955="thg-ingenuity",$A1955="thg-central-marketing",$A1955="thg-seoclarity"),"HOLD — Charlie Stringer to review before deletion",TRUE,"")</f>
        <v>Review</v>
      </c>
      <c r="S1955" t="s">
        <v>1631</v>
      </c>
    </row>
    <row r="1956" spans="1:19" ht="45.75" hidden="1">
      <c r="A1956" t="s">
        <v>89</v>
      </c>
      <c r="B1956" t="s">
        <v>1619</v>
      </c>
      <c r="C1956" t="s">
        <v>4280</v>
      </c>
      <c r="D1956" s="2" t="s">
        <v>1621</v>
      </c>
      <c r="E1956">
        <v>0</v>
      </c>
      <c r="F1956">
        <v>0</v>
      </c>
      <c r="G1956" t="s">
        <v>72</v>
      </c>
      <c r="H1956" t="s">
        <v>3457</v>
      </c>
      <c r="I1956">
        <v>35</v>
      </c>
      <c r="J1956">
        <v>2503</v>
      </c>
      <c r="K1956" s="5">
        <v>46161.582292870371</v>
      </c>
      <c r="M1956" s="2" t="s">
        <v>3444</v>
      </c>
      <c r="N1956" s="2" t="s">
        <v>1701</v>
      </c>
      <c r="O1956" s="5">
        <v>43694.215783020831</v>
      </c>
      <c r="P1956" t="str">
        <f>IF($Q1956="DELETE",IF($S1956="CONFIRMED: NO MODS &gt; 1YR","CONFIRMED: NO MODS &gt; 1YR","DO NOT DELETE — not defensibly confirmed"),IF($Q1956="HOLD","DO NOT DELETE — HOLD (Charlie review)",IF($Q1956="KEEP","DO NOT DELETE — KEEP",IF(ISNUMBER(SEARCH("REVIEW",$Q1956)),"DO NOT DELETE — REVIEW pending",$S1956))))</f>
        <v>DO NOT DELETE — REVIEW pending</v>
      </c>
      <c r="Q1956" t="str" cm="1">
        <f t="array" ref="Q1956">_xlfn.IFS(AND($A1956="thg-beauty",ISNUMBER(SEARCH("liveramp",$C1956))),"DELETE",$A1956="agile-bonbon-662",_xlfn.IFS(LEFT($G1956,9)="Tranche 1","DELETE",$C1956="Sessions_Level_1_All_Sites","KEEP",ISNUMBER(--$C1956),"REVIEW — UA raw logs",$C1956="Emag_Reporting","KEEP",$C1956="Nutrition_Data_Archived_Tables","KEEP",$C1956="EU_Data","KEEP",TRUE,"REVIEW"),OR($A1956="thg-influencer",$A1956="thg-ingenuity",$A1956="thg-central-marketing",$A1956="thg-seoclarity"),"HOLD",TRUE,"")</f>
        <v>REVIEW — UA raw logs</v>
      </c>
      <c r="R1956" t="str" cm="1">
        <f t="array" ref="R1956">_xlfn.IFS(AND($A1956="thg-beauty",ISNUMBER(SEARCH("liveramp",$C1956))),"thg-beauty Liveramp dataset — confirmed safe to delete",$A1956="agile-bonbon-662",_xlfn.IFS(LEFT($G1956,9)="Tranche 1","Tranche 1: cleared",$C1956="Sessions_Level_1_All_Sites","Downstream aggregation of UA raw logs — keep if raw tables go",ISNUMBER(--$C1956),"UA raw site logs (account ID) — keep pending audit-retention check",$C1956="Emag_Reporting","Legacy but likely needed",$C1956="Nutrition_Data_Archived_Tables","Worth keeping",$C1956="EU_Data","Static lookup tables — scripts still reference (smoke-test risk)",TRUE,"Review"),OR($A1956="thg-influencer",$A1956="thg-ingenuity",$A1956="thg-central-marketing",$A1956="thg-seoclarity"),"HOLD — Charlie Stringer to review before deletion",TRUE,"")</f>
        <v>UA raw site logs (account ID) — keep pending audit-retention check</v>
      </c>
      <c r="S1956" t="s">
        <v>1631</v>
      </c>
    </row>
    <row r="1957" spans="1:19" ht="45.75" hidden="1">
      <c r="A1957" t="s">
        <v>89</v>
      </c>
      <c r="B1957" t="s">
        <v>1619</v>
      </c>
      <c r="C1957" t="s">
        <v>4281</v>
      </c>
      <c r="D1957" s="2" t="s">
        <v>1621</v>
      </c>
      <c r="E1957">
        <v>0</v>
      </c>
      <c r="F1957">
        <v>0</v>
      </c>
      <c r="G1957" t="s">
        <v>72</v>
      </c>
      <c r="H1957" t="s">
        <v>3457</v>
      </c>
      <c r="I1957">
        <v>35</v>
      </c>
      <c r="J1957">
        <v>1966</v>
      </c>
      <c r="K1957" s="5">
        <v>46161.622069791672</v>
      </c>
      <c r="M1957" s="2" t="s">
        <v>3354</v>
      </c>
      <c r="N1957" s="2" t="s">
        <v>1701</v>
      </c>
      <c r="O1957" s="5">
        <v>44231.149351493063</v>
      </c>
      <c r="P1957" t="str">
        <f>IF($Q1957="DELETE",IF($S1957="CONFIRMED: NO MODS &gt; 1YR","CONFIRMED: NO MODS &gt; 1YR","DO NOT DELETE — not defensibly confirmed"),IF($Q1957="HOLD","DO NOT DELETE — HOLD (Charlie review)",IF($Q1957="KEEP","DO NOT DELETE — KEEP",IF(ISNUMBER(SEARCH("REVIEW",$Q1957)),"DO NOT DELETE — REVIEW pending",$S1957))))</f>
        <v>DO NOT DELETE — REVIEW pending</v>
      </c>
      <c r="Q1957" t="str" cm="1">
        <f t="array" ref="Q1957">_xlfn.IFS(AND($A1957="thg-beauty",ISNUMBER(SEARCH("liveramp",$C1957))),"DELETE",$A1957="agile-bonbon-662",_xlfn.IFS(LEFT($G1957,9)="Tranche 1","DELETE",$C1957="Sessions_Level_1_All_Sites","KEEP",ISNUMBER(--$C1957),"REVIEW — UA raw logs",$C1957="Emag_Reporting","KEEP",$C1957="Nutrition_Data_Archived_Tables","KEEP",$C1957="EU_Data","KEEP",TRUE,"REVIEW"),OR($A1957="thg-influencer",$A1957="thg-ingenuity",$A1957="thg-central-marketing",$A1957="thg-seoclarity"),"HOLD",TRUE,"")</f>
        <v>REVIEW</v>
      </c>
      <c r="R1957" t="str" cm="1">
        <f t="array" ref="R1957">_xlfn.IFS(AND($A1957="thg-beauty",ISNUMBER(SEARCH("liveramp",$C1957))),"thg-beauty Liveramp dataset — confirmed safe to delete",$A1957="agile-bonbon-662",_xlfn.IFS(LEFT($G1957,9)="Tranche 1","Tranche 1: cleared",$C1957="Sessions_Level_1_All_Sites","Downstream aggregation of UA raw logs — keep if raw tables go",ISNUMBER(--$C1957),"UA raw site logs (account ID) — keep pending audit-retention check",$C1957="Emag_Reporting","Legacy but likely needed",$C1957="Nutrition_Data_Archived_Tables","Worth keeping",$C1957="EU_Data","Static lookup tables — scripts still reference (smoke-test risk)",TRUE,"Review"),OR($A1957="thg-influencer",$A1957="thg-ingenuity",$A1957="thg-central-marketing",$A1957="thg-seoclarity"),"HOLD — Charlie Stringer to review before deletion",TRUE,"")</f>
        <v>Review</v>
      </c>
      <c r="S1957" t="s">
        <v>1631</v>
      </c>
    </row>
    <row r="1958" spans="1:19" ht="45.75" hidden="1">
      <c r="A1958" t="s">
        <v>89</v>
      </c>
      <c r="B1958" t="s">
        <v>1619</v>
      </c>
      <c r="C1958" t="s">
        <v>4282</v>
      </c>
      <c r="D1958" s="2" t="s">
        <v>1621</v>
      </c>
      <c r="E1958">
        <v>0</v>
      </c>
      <c r="F1958">
        <v>0</v>
      </c>
      <c r="G1958" t="s">
        <v>72</v>
      </c>
      <c r="H1958" t="s">
        <v>3457</v>
      </c>
      <c r="I1958">
        <v>35</v>
      </c>
      <c r="J1958">
        <v>1966</v>
      </c>
      <c r="K1958" s="5">
        <v>46161.622101469897</v>
      </c>
      <c r="M1958" s="2" t="s">
        <v>3354</v>
      </c>
      <c r="N1958" s="2" t="s">
        <v>1701</v>
      </c>
      <c r="O1958" s="5">
        <v>44231.166818240737</v>
      </c>
      <c r="P1958" t="str">
        <f>IF($Q1958="DELETE",IF($S1958="CONFIRMED: NO MODS &gt; 1YR","CONFIRMED: NO MODS &gt; 1YR","DO NOT DELETE — not defensibly confirmed"),IF($Q1958="HOLD","DO NOT DELETE — HOLD (Charlie review)",IF($Q1958="KEEP","DO NOT DELETE — KEEP",IF(ISNUMBER(SEARCH("REVIEW",$Q1958)),"DO NOT DELETE — REVIEW pending",$S1958))))</f>
        <v>DO NOT DELETE — REVIEW pending</v>
      </c>
      <c r="Q1958" t="str" cm="1">
        <f t="array" ref="Q1958">_xlfn.IFS(AND($A1958="thg-beauty",ISNUMBER(SEARCH("liveramp",$C1958))),"DELETE",$A1958="agile-bonbon-662",_xlfn.IFS(LEFT($G1958,9)="Tranche 1","DELETE",$C1958="Sessions_Level_1_All_Sites","KEEP",ISNUMBER(--$C1958),"REVIEW — UA raw logs",$C1958="Emag_Reporting","KEEP",$C1958="Nutrition_Data_Archived_Tables","KEEP",$C1958="EU_Data","KEEP",TRUE,"REVIEW"),OR($A1958="thg-influencer",$A1958="thg-ingenuity",$A1958="thg-central-marketing",$A1958="thg-seoclarity"),"HOLD",TRUE,"")</f>
        <v>REVIEW</v>
      </c>
      <c r="R1958" t="str" cm="1">
        <f t="array" ref="R1958">_xlfn.IFS(AND($A1958="thg-beauty",ISNUMBER(SEARCH("liveramp",$C1958))),"thg-beauty Liveramp dataset — confirmed safe to delete",$A1958="agile-bonbon-662",_xlfn.IFS(LEFT($G1958,9)="Tranche 1","Tranche 1: cleared",$C1958="Sessions_Level_1_All_Sites","Downstream aggregation of UA raw logs — keep if raw tables go",ISNUMBER(--$C1958),"UA raw site logs (account ID) — keep pending audit-retention check",$C1958="Emag_Reporting","Legacy but likely needed",$C1958="Nutrition_Data_Archived_Tables","Worth keeping",$C1958="EU_Data","Static lookup tables — scripts still reference (smoke-test risk)",TRUE,"Review"),OR($A1958="thg-influencer",$A1958="thg-ingenuity",$A1958="thg-central-marketing",$A1958="thg-seoclarity"),"HOLD — Charlie Stringer to review before deletion",TRUE,"")</f>
        <v>Review</v>
      </c>
      <c r="S1958" t="s">
        <v>1631</v>
      </c>
    </row>
    <row r="1959" spans="1:19" ht="45.75" hidden="1">
      <c r="A1959" t="s">
        <v>89</v>
      </c>
      <c r="B1959" t="s">
        <v>1619</v>
      </c>
      <c r="C1959" t="s">
        <v>4283</v>
      </c>
      <c r="D1959" s="2" t="s">
        <v>1621</v>
      </c>
      <c r="E1959">
        <v>0</v>
      </c>
      <c r="F1959">
        <v>0</v>
      </c>
      <c r="G1959" t="s">
        <v>72</v>
      </c>
      <c r="H1959" t="s">
        <v>3457</v>
      </c>
      <c r="I1959">
        <v>35</v>
      </c>
      <c r="J1959">
        <v>2689</v>
      </c>
      <c r="K1959" s="5">
        <v>46161.603115196762</v>
      </c>
      <c r="M1959" s="2" t="s">
        <v>4137</v>
      </c>
      <c r="N1959" s="2" t="s">
        <v>1701</v>
      </c>
      <c r="O1959" s="5">
        <v>43507.777387256952</v>
      </c>
      <c r="P1959" t="str">
        <f>IF($Q1959="DELETE",IF($S1959="CONFIRMED: NO MODS &gt; 1YR","CONFIRMED: NO MODS &gt; 1YR","DO NOT DELETE — not defensibly confirmed"),IF($Q1959="HOLD","DO NOT DELETE — HOLD (Charlie review)",IF($Q1959="KEEP","DO NOT DELETE — KEEP",IF(ISNUMBER(SEARCH("REVIEW",$Q1959)),"DO NOT DELETE — REVIEW pending",$S1959))))</f>
        <v>DO NOT DELETE — REVIEW pending</v>
      </c>
      <c r="Q1959" t="str" cm="1">
        <f t="array" ref="Q1959">_xlfn.IFS(AND($A1959="thg-beauty",ISNUMBER(SEARCH("liveramp",$C1959))),"DELETE",$A1959="agile-bonbon-662",_xlfn.IFS(LEFT($G1959,9)="Tranche 1","DELETE",$C1959="Sessions_Level_1_All_Sites","KEEP",ISNUMBER(--$C1959),"REVIEW — UA raw logs",$C1959="Emag_Reporting","KEEP",$C1959="Nutrition_Data_Archived_Tables","KEEP",$C1959="EU_Data","KEEP",TRUE,"REVIEW"),OR($A1959="thg-influencer",$A1959="thg-ingenuity",$A1959="thg-central-marketing",$A1959="thg-seoclarity"),"HOLD",TRUE,"")</f>
        <v>REVIEW — UA raw logs</v>
      </c>
      <c r="R1959" t="str" cm="1">
        <f t="array" ref="R1959">_xlfn.IFS(AND($A1959="thg-beauty",ISNUMBER(SEARCH("liveramp",$C1959))),"thg-beauty Liveramp dataset — confirmed safe to delete",$A1959="agile-bonbon-662",_xlfn.IFS(LEFT($G1959,9)="Tranche 1","Tranche 1: cleared",$C1959="Sessions_Level_1_All_Sites","Downstream aggregation of UA raw logs — keep if raw tables go",ISNUMBER(--$C1959),"UA raw site logs (account ID) — keep pending audit-retention check",$C1959="Emag_Reporting","Legacy but likely needed",$C1959="Nutrition_Data_Archived_Tables","Worth keeping",$C1959="EU_Data","Static lookup tables — scripts still reference (smoke-test risk)",TRUE,"Review"),OR($A1959="thg-influencer",$A1959="thg-ingenuity",$A1959="thg-central-marketing",$A1959="thg-seoclarity"),"HOLD — Charlie Stringer to review before deletion",TRUE,"")</f>
        <v>UA raw site logs (account ID) — keep pending audit-retention check</v>
      </c>
      <c r="S1959" t="s">
        <v>1631</v>
      </c>
    </row>
    <row r="1960" spans="1:19" ht="45.75" hidden="1">
      <c r="A1960" t="s">
        <v>89</v>
      </c>
      <c r="B1960" t="s">
        <v>1619</v>
      </c>
      <c r="C1960" t="s">
        <v>4284</v>
      </c>
      <c r="D1960" s="2" t="s">
        <v>1621</v>
      </c>
      <c r="E1960">
        <v>0</v>
      </c>
      <c r="F1960">
        <v>0</v>
      </c>
      <c r="G1960" t="s">
        <v>72</v>
      </c>
      <c r="H1960" t="s">
        <v>3457</v>
      </c>
      <c r="I1960">
        <v>35</v>
      </c>
      <c r="J1960">
        <v>1210</v>
      </c>
      <c r="K1960" s="5">
        <v>46161.607576377311</v>
      </c>
      <c r="M1960" s="2" t="s">
        <v>3909</v>
      </c>
      <c r="N1960" s="2" t="s">
        <v>1701</v>
      </c>
      <c r="O1960" s="5">
        <v>44987.410011111111</v>
      </c>
      <c r="P1960" t="str">
        <f>IF($Q1960="DELETE",IF($S1960="CONFIRMED: NO MODS &gt; 1YR","CONFIRMED: NO MODS &gt; 1YR","DO NOT DELETE — not defensibly confirmed"),IF($Q1960="HOLD","DO NOT DELETE — HOLD (Charlie review)",IF($Q1960="KEEP","DO NOT DELETE — KEEP",IF(ISNUMBER(SEARCH("REVIEW",$Q1960)),"DO NOT DELETE — REVIEW pending",$S1960))))</f>
        <v>DO NOT DELETE — REVIEW pending</v>
      </c>
      <c r="Q1960" t="str" cm="1">
        <f t="array" ref="Q1960">_xlfn.IFS(AND($A1960="thg-beauty",ISNUMBER(SEARCH("liveramp",$C1960))),"DELETE",$A1960="agile-bonbon-662",_xlfn.IFS(LEFT($G1960,9)="Tranche 1","DELETE",$C1960="Sessions_Level_1_All_Sites","KEEP",ISNUMBER(--$C1960),"REVIEW — UA raw logs",$C1960="Emag_Reporting","KEEP",$C1960="Nutrition_Data_Archived_Tables","KEEP",$C1960="EU_Data","KEEP",TRUE,"REVIEW"),OR($A1960="thg-influencer",$A1960="thg-ingenuity",$A1960="thg-central-marketing",$A1960="thg-seoclarity"),"HOLD",TRUE,"")</f>
        <v>REVIEW</v>
      </c>
      <c r="R1960" t="str" cm="1">
        <f t="array" ref="R1960">_xlfn.IFS(AND($A1960="thg-beauty",ISNUMBER(SEARCH("liveramp",$C1960))),"thg-beauty Liveramp dataset — confirmed safe to delete",$A1960="agile-bonbon-662",_xlfn.IFS(LEFT($G1960,9)="Tranche 1","Tranche 1: cleared",$C1960="Sessions_Level_1_All_Sites","Downstream aggregation of UA raw logs — keep if raw tables go",ISNUMBER(--$C1960),"UA raw site logs (account ID) — keep pending audit-retention check",$C1960="Emag_Reporting","Legacy but likely needed",$C1960="Nutrition_Data_Archived_Tables","Worth keeping",$C1960="EU_Data","Static lookup tables — scripts still reference (smoke-test risk)",TRUE,"Review"),OR($A1960="thg-influencer",$A1960="thg-ingenuity",$A1960="thg-central-marketing",$A1960="thg-seoclarity"),"HOLD — Charlie Stringer to review before deletion",TRUE,"")</f>
        <v>Review</v>
      </c>
      <c r="S1960" t="s">
        <v>1631</v>
      </c>
    </row>
    <row r="1961" spans="1:19" ht="45.75" hidden="1">
      <c r="A1961" t="s">
        <v>89</v>
      </c>
      <c r="B1961" t="s">
        <v>1619</v>
      </c>
      <c r="C1961" t="s">
        <v>4285</v>
      </c>
      <c r="D1961" s="2" t="s">
        <v>1621</v>
      </c>
      <c r="E1961">
        <v>0</v>
      </c>
      <c r="F1961">
        <v>0</v>
      </c>
      <c r="G1961" t="s">
        <v>72</v>
      </c>
      <c r="H1961" t="s">
        <v>3457</v>
      </c>
      <c r="I1961">
        <v>35</v>
      </c>
      <c r="J1961">
        <v>432</v>
      </c>
      <c r="K1961" s="5">
        <v>46161.609050648149</v>
      </c>
      <c r="M1961" s="2" t="s">
        <v>4230</v>
      </c>
      <c r="N1961" s="2" t="s">
        <v>1701</v>
      </c>
      <c r="O1961" s="5">
        <v>45764.598367650462</v>
      </c>
      <c r="P1961" t="str">
        <f>IF($Q1961="DELETE",IF($S1961="CONFIRMED: NO MODS &gt; 1YR","CONFIRMED: NO MODS &gt; 1YR","DO NOT DELETE — not defensibly confirmed"),IF($Q1961="HOLD","DO NOT DELETE — HOLD (Charlie review)",IF($Q1961="KEEP","DO NOT DELETE — KEEP",IF(ISNUMBER(SEARCH("REVIEW",$Q1961)),"DO NOT DELETE — REVIEW pending",$S1961))))</f>
        <v>DO NOT DELETE — REVIEW pending</v>
      </c>
      <c r="Q1961" t="str" cm="1">
        <f t="array" ref="Q1961">_xlfn.IFS(AND($A1961="thg-beauty",ISNUMBER(SEARCH("liveramp",$C1961))),"DELETE",$A1961="agile-bonbon-662",_xlfn.IFS(LEFT($G1961,9)="Tranche 1","DELETE",$C1961="Sessions_Level_1_All_Sites","KEEP",ISNUMBER(--$C1961),"REVIEW — UA raw logs",$C1961="Emag_Reporting","KEEP",$C1961="Nutrition_Data_Archived_Tables","KEEP",$C1961="EU_Data","KEEP",TRUE,"REVIEW"),OR($A1961="thg-influencer",$A1961="thg-ingenuity",$A1961="thg-central-marketing",$A1961="thg-seoclarity"),"HOLD",TRUE,"")</f>
        <v>REVIEW</v>
      </c>
      <c r="R1961" t="str" cm="1">
        <f t="array" ref="R1961">_xlfn.IFS(AND($A1961="thg-beauty",ISNUMBER(SEARCH("liveramp",$C1961))),"thg-beauty Liveramp dataset — confirmed safe to delete",$A1961="agile-bonbon-662",_xlfn.IFS(LEFT($G1961,9)="Tranche 1","Tranche 1: cleared",$C1961="Sessions_Level_1_All_Sites","Downstream aggregation of UA raw logs — keep if raw tables go",ISNUMBER(--$C1961),"UA raw site logs (account ID) — keep pending audit-retention check",$C1961="Emag_Reporting","Legacy but likely needed",$C1961="Nutrition_Data_Archived_Tables","Worth keeping",$C1961="EU_Data","Static lookup tables — scripts still reference (smoke-test risk)",TRUE,"Review"),OR($A1961="thg-influencer",$A1961="thg-ingenuity",$A1961="thg-central-marketing",$A1961="thg-seoclarity"),"HOLD — Charlie Stringer to review before deletion",TRUE,"")</f>
        <v>Review</v>
      </c>
      <c r="S1961" t="s">
        <v>1631</v>
      </c>
    </row>
    <row r="1962" spans="1:19" ht="45.75" hidden="1">
      <c r="A1962" t="s">
        <v>89</v>
      </c>
      <c r="B1962" t="s">
        <v>1619</v>
      </c>
      <c r="C1962" t="s">
        <v>4286</v>
      </c>
      <c r="D1962" s="2" t="s">
        <v>1621</v>
      </c>
      <c r="E1962">
        <v>0</v>
      </c>
      <c r="F1962">
        <v>0</v>
      </c>
      <c r="G1962" t="s">
        <v>72</v>
      </c>
      <c r="H1962" t="s">
        <v>3457</v>
      </c>
      <c r="I1962">
        <v>35</v>
      </c>
      <c r="J1962">
        <v>2695</v>
      </c>
      <c r="K1962" s="5">
        <v>46161.586138113416</v>
      </c>
      <c r="M1962" s="2" t="s">
        <v>3439</v>
      </c>
      <c r="N1962" s="2" t="s">
        <v>1701</v>
      </c>
      <c r="O1962" s="5">
        <v>43501.71589605324</v>
      </c>
      <c r="P1962" t="str">
        <f>IF($Q1962="DELETE",IF($S1962="CONFIRMED: NO MODS &gt; 1YR","CONFIRMED: NO MODS &gt; 1YR","DO NOT DELETE — not defensibly confirmed"),IF($Q1962="HOLD","DO NOT DELETE — HOLD (Charlie review)",IF($Q1962="KEEP","DO NOT DELETE — KEEP",IF(ISNUMBER(SEARCH("REVIEW",$Q1962)),"DO NOT DELETE — REVIEW pending",$S1962))))</f>
        <v>DO NOT DELETE — REVIEW pending</v>
      </c>
      <c r="Q1962" t="str" cm="1">
        <f t="array" ref="Q1962">_xlfn.IFS(AND($A1962="thg-beauty",ISNUMBER(SEARCH("liveramp",$C1962))),"DELETE",$A1962="agile-bonbon-662",_xlfn.IFS(LEFT($G1962,9)="Tranche 1","DELETE",$C1962="Sessions_Level_1_All_Sites","KEEP",ISNUMBER(--$C1962),"REVIEW — UA raw logs",$C1962="Emag_Reporting","KEEP",$C1962="Nutrition_Data_Archived_Tables","KEEP",$C1962="EU_Data","KEEP",TRUE,"REVIEW"),OR($A1962="thg-influencer",$A1962="thg-ingenuity",$A1962="thg-central-marketing",$A1962="thg-seoclarity"),"HOLD",TRUE,"")</f>
        <v>REVIEW — UA raw logs</v>
      </c>
      <c r="R1962" t="str" cm="1">
        <f t="array" ref="R1962">_xlfn.IFS(AND($A1962="thg-beauty",ISNUMBER(SEARCH("liveramp",$C1962))),"thg-beauty Liveramp dataset — confirmed safe to delete",$A1962="agile-bonbon-662",_xlfn.IFS(LEFT($G1962,9)="Tranche 1","Tranche 1: cleared",$C1962="Sessions_Level_1_All_Sites","Downstream aggregation of UA raw logs — keep if raw tables go",ISNUMBER(--$C1962),"UA raw site logs (account ID) — keep pending audit-retention check",$C1962="Emag_Reporting","Legacy but likely needed",$C1962="Nutrition_Data_Archived_Tables","Worth keeping",$C1962="EU_Data","Static lookup tables — scripts still reference (smoke-test risk)",TRUE,"Review"),OR($A1962="thg-influencer",$A1962="thg-ingenuity",$A1962="thg-central-marketing",$A1962="thg-seoclarity"),"HOLD — Charlie Stringer to review before deletion",TRUE,"")</f>
        <v>UA raw site logs (account ID) — keep pending audit-retention check</v>
      </c>
      <c r="S1962" t="s">
        <v>1631</v>
      </c>
    </row>
    <row r="1963" spans="1:19" ht="45.75" hidden="1">
      <c r="A1963" t="s">
        <v>89</v>
      </c>
      <c r="B1963" t="s">
        <v>1619</v>
      </c>
      <c r="C1963" t="s">
        <v>4287</v>
      </c>
      <c r="D1963" s="2" t="s">
        <v>1621</v>
      </c>
      <c r="E1963">
        <v>0</v>
      </c>
      <c r="F1963">
        <v>0</v>
      </c>
      <c r="G1963" t="s">
        <v>72</v>
      </c>
      <c r="H1963" t="s">
        <v>3457</v>
      </c>
      <c r="I1963">
        <v>35</v>
      </c>
      <c r="J1963">
        <v>2689</v>
      </c>
      <c r="K1963" s="5">
        <v>46161.603038043977</v>
      </c>
      <c r="M1963" s="2" t="s">
        <v>4137</v>
      </c>
      <c r="N1963" s="2" t="s">
        <v>1701</v>
      </c>
      <c r="O1963" s="5">
        <v>43507.777211446759</v>
      </c>
      <c r="P1963" t="str">
        <f>IF($Q1963="DELETE",IF($S1963="CONFIRMED: NO MODS &gt; 1YR","CONFIRMED: NO MODS &gt; 1YR","DO NOT DELETE — not defensibly confirmed"),IF($Q1963="HOLD","DO NOT DELETE — HOLD (Charlie review)",IF($Q1963="KEEP","DO NOT DELETE — KEEP",IF(ISNUMBER(SEARCH("REVIEW",$Q1963)),"DO NOT DELETE — REVIEW pending",$S1963))))</f>
        <v>DO NOT DELETE — REVIEW pending</v>
      </c>
      <c r="Q1963" t="str" cm="1">
        <f t="array" ref="Q1963">_xlfn.IFS(AND($A1963="thg-beauty",ISNUMBER(SEARCH("liveramp",$C1963))),"DELETE",$A1963="agile-bonbon-662",_xlfn.IFS(LEFT($G1963,9)="Tranche 1","DELETE",$C1963="Sessions_Level_1_All_Sites","KEEP",ISNUMBER(--$C1963),"REVIEW — UA raw logs",$C1963="Emag_Reporting","KEEP",$C1963="Nutrition_Data_Archived_Tables","KEEP",$C1963="EU_Data","KEEP",TRUE,"REVIEW"),OR($A1963="thg-influencer",$A1963="thg-ingenuity",$A1963="thg-central-marketing",$A1963="thg-seoclarity"),"HOLD",TRUE,"")</f>
        <v>REVIEW — UA raw logs</v>
      </c>
      <c r="R1963" t="str" cm="1">
        <f t="array" ref="R1963">_xlfn.IFS(AND($A1963="thg-beauty",ISNUMBER(SEARCH("liveramp",$C1963))),"thg-beauty Liveramp dataset — confirmed safe to delete",$A1963="agile-bonbon-662",_xlfn.IFS(LEFT($G1963,9)="Tranche 1","Tranche 1: cleared",$C1963="Sessions_Level_1_All_Sites","Downstream aggregation of UA raw logs — keep if raw tables go",ISNUMBER(--$C1963),"UA raw site logs (account ID) — keep pending audit-retention check",$C1963="Emag_Reporting","Legacy but likely needed",$C1963="Nutrition_Data_Archived_Tables","Worth keeping",$C1963="EU_Data","Static lookup tables — scripts still reference (smoke-test risk)",TRUE,"Review"),OR($A1963="thg-influencer",$A1963="thg-ingenuity",$A1963="thg-central-marketing",$A1963="thg-seoclarity"),"HOLD — Charlie Stringer to review before deletion",TRUE,"")</f>
        <v>UA raw site logs (account ID) — keep pending audit-retention check</v>
      </c>
      <c r="S1963" t="s">
        <v>1631</v>
      </c>
    </row>
    <row r="1964" spans="1:19" ht="45.75" hidden="1">
      <c r="A1964" t="s">
        <v>89</v>
      </c>
      <c r="B1964" t="s">
        <v>1619</v>
      </c>
      <c r="C1964" t="s">
        <v>4288</v>
      </c>
      <c r="D1964" s="2" t="s">
        <v>1621</v>
      </c>
      <c r="E1964">
        <v>0</v>
      </c>
      <c r="F1964">
        <v>0</v>
      </c>
      <c r="G1964" t="s">
        <v>72</v>
      </c>
      <c r="H1964" t="s">
        <v>3457</v>
      </c>
      <c r="I1964">
        <v>35</v>
      </c>
      <c r="J1964">
        <v>1966</v>
      </c>
      <c r="K1964" s="5">
        <v>46161.621673229172</v>
      </c>
      <c r="M1964" s="2" t="s">
        <v>3359</v>
      </c>
      <c r="N1964" s="2" t="s">
        <v>1701</v>
      </c>
      <c r="O1964" s="5">
        <v>44230.864779189818</v>
      </c>
      <c r="P1964" t="str">
        <f>IF($Q1964="DELETE",IF($S1964="CONFIRMED: NO MODS &gt; 1YR","CONFIRMED: NO MODS &gt; 1YR","DO NOT DELETE — not defensibly confirmed"),IF($Q1964="HOLD","DO NOT DELETE — HOLD (Charlie review)",IF($Q1964="KEEP","DO NOT DELETE — KEEP",IF(ISNUMBER(SEARCH("REVIEW",$Q1964)),"DO NOT DELETE — REVIEW pending",$S1964))))</f>
        <v>DO NOT DELETE — REVIEW pending</v>
      </c>
      <c r="Q1964" t="str" cm="1">
        <f t="array" ref="Q1964">_xlfn.IFS(AND($A1964="thg-beauty",ISNUMBER(SEARCH("liveramp",$C1964))),"DELETE",$A1964="agile-bonbon-662",_xlfn.IFS(LEFT($G1964,9)="Tranche 1","DELETE",$C1964="Sessions_Level_1_All_Sites","KEEP",ISNUMBER(--$C1964),"REVIEW — UA raw logs",$C1964="Emag_Reporting","KEEP",$C1964="Nutrition_Data_Archived_Tables","KEEP",$C1964="EU_Data","KEEP",TRUE,"REVIEW"),OR($A1964="thg-influencer",$A1964="thg-ingenuity",$A1964="thg-central-marketing",$A1964="thg-seoclarity"),"HOLD",TRUE,"")</f>
        <v>REVIEW</v>
      </c>
      <c r="R1964" t="str" cm="1">
        <f t="array" ref="R1964">_xlfn.IFS(AND($A1964="thg-beauty",ISNUMBER(SEARCH("liveramp",$C1964))),"thg-beauty Liveramp dataset — confirmed safe to delete",$A1964="agile-bonbon-662",_xlfn.IFS(LEFT($G1964,9)="Tranche 1","Tranche 1: cleared",$C1964="Sessions_Level_1_All_Sites","Downstream aggregation of UA raw logs — keep if raw tables go",ISNUMBER(--$C1964),"UA raw site logs (account ID) — keep pending audit-retention check",$C1964="Emag_Reporting","Legacy but likely needed",$C1964="Nutrition_Data_Archived_Tables","Worth keeping",$C1964="EU_Data","Static lookup tables — scripts still reference (smoke-test risk)",TRUE,"Review"),OR($A1964="thg-influencer",$A1964="thg-ingenuity",$A1964="thg-central-marketing",$A1964="thg-seoclarity"),"HOLD — Charlie Stringer to review before deletion",TRUE,"")</f>
        <v>Review</v>
      </c>
      <c r="S1964" t="s">
        <v>1631</v>
      </c>
    </row>
    <row r="1965" spans="1:19" ht="45.75" hidden="1">
      <c r="A1965" t="s">
        <v>89</v>
      </c>
      <c r="B1965" t="s">
        <v>1619</v>
      </c>
      <c r="C1965" t="s">
        <v>4289</v>
      </c>
      <c r="D1965" s="2" t="s">
        <v>1621</v>
      </c>
      <c r="E1965">
        <v>0</v>
      </c>
      <c r="F1965">
        <v>0</v>
      </c>
      <c r="G1965" t="s">
        <v>72</v>
      </c>
      <c r="H1965" t="s">
        <v>3457</v>
      </c>
      <c r="I1965">
        <v>35</v>
      </c>
      <c r="J1965">
        <v>2488</v>
      </c>
      <c r="K1965" s="5">
        <v>46161.610792453706</v>
      </c>
      <c r="M1965" s="2" t="s">
        <v>2058</v>
      </c>
      <c r="N1965" s="2" t="s">
        <v>1701</v>
      </c>
      <c r="O1965" s="5">
        <v>43708.71142605324</v>
      </c>
      <c r="P1965" t="str">
        <f>IF($Q1965="DELETE",IF($S1965="CONFIRMED: NO MODS &gt; 1YR","CONFIRMED: NO MODS &gt; 1YR","DO NOT DELETE — not defensibly confirmed"),IF($Q1965="HOLD","DO NOT DELETE — HOLD (Charlie review)",IF($Q1965="KEEP","DO NOT DELETE — KEEP",IF(ISNUMBER(SEARCH("REVIEW",$Q1965)),"DO NOT DELETE — REVIEW pending",$S1965))))</f>
        <v>DO NOT DELETE — REVIEW pending</v>
      </c>
      <c r="Q1965" t="str" cm="1">
        <f t="array" ref="Q1965">_xlfn.IFS(AND($A1965="thg-beauty",ISNUMBER(SEARCH("liveramp",$C1965))),"DELETE",$A1965="agile-bonbon-662",_xlfn.IFS(LEFT($G1965,9)="Tranche 1","DELETE",$C1965="Sessions_Level_1_All_Sites","KEEP",ISNUMBER(--$C1965),"REVIEW — UA raw logs",$C1965="Emag_Reporting","KEEP",$C1965="Nutrition_Data_Archived_Tables","KEEP",$C1965="EU_Data","KEEP",TRUE,"REVIEW"),OR($A1965="thg-influencer",$A1965="thg-ingenuity",$A1965="thg-central-marketing",$A1965="thg-seoclarity"),"HOLD",TRUE,"")</f>
        <v>REVIEW</v>
      </c>
      <c r="R1965" t="str" cm="1">
        <f t="array" ref="R1965">_xlfn.IFS(AND($A1965="thg-beauty",ISNUMBER(SEARCH("liveramp",$C1965))),"thg-beauty Liveramp dataset — confirmed safe to delete",$A1965="agile-bonbon-662",_xlfn.IFS(LEFT($G1965,9)="Tranche 1","Tranche 1: cleared",$C1965="Sessions_Level_1_All_Sites","Downstream aggregation of UA raw logs — keep if raw tables go",ISNUMBER(--$C1965),"UA raw site logs (account ID) — keep pending audit-retention check",$C1965="Emag_Reporting","Legacy but likely needed",$C1965="Nutrition_Data_Archived_Tables","Worth keeping",$C1965="EU_Data","Static lookup tables — scripts still reference (smoke-test risk)",TRUE,"Review"),OR($A1965="thg-influencer",$A1965="thg-ingenuity",$A1965="thg-central-marketing",$A1965="thg-seoclarity"),"HOLD — Charlie Stringer to review before deletion",TRUE,"")</f>
        <v>Review</v>
      </c>
      <c r="S1965" t="s">
        <v>1631</v>
      </c>
    </row>
    <row r="1966" spans="1:19" ht="60.75" hidden="1">
      <c r="A1966" t="s">
        <v>89</v>
      </c>
      <c r="B1966" t="s">
        <v>1619</v>
      </c>
      <c r="C1966" t="s">
        <v>4290</v>
      </c>
      <c r="D1966" s="2" t="s">
        <v>1621</v>
      </c>
      <c r="E1966">
        <v>0</v>
      </c>
      <c r="F1966">
        <v>0</v>
      </c>
      <c r="G1966" t="s">
        <v>72</v>
      </c>
      <c r="H1966" t="s">
        <v>3457</v>
      </c>
      <c r="I1966">
        <v>35</v>
      </c>
      <c r="J1966">
        <v>1741</v>
      </c>
      <c r="K1966" s="5">
        <v>46161.581547754628</v>
      </c>
      <c r="M1966" s="2" t="s">
        <v>2032</v>
      </c>
      <c r="N1966" s="2" t="s">
        <v>1701</v>
      </c>
      <c r="O1966" s="5">
        <v>44455.586557812501</v>
      </c>
      <c r="P1966" t="str">
        <f>IF($Q1966="DELETE",IF($S1966="CONFIRMED: NO MODS &gt; 1YR","CONFIRMED: NO MODS &gt; 1YR","DO NOT DELETE — not defensibly confirmed"),IF($Q1966="HOLD","DO NOT DELETE — HOLD (Charlie review)",IF($Q1966="KEEP","DO NOT DELETE — KEEP",IF(ISNUMBER(SEARCH("REVIEW",$Q1966)),"DO NOT DELETE — REVIEW pending",$S1966))))</f>
        <v>DO NOT DELETE — REVIEW pending</v>
      </c>
      <c r="Q1966" t="str" cm="1">
        <f t="array" ref="Q1966">_xlfn.IFS(AND($A1966="thg-beauty",ISNUMBER(SEARCH("liveramp",$C1966))),"DELETE",$A1966="agile-bonbon-662",_xlfn.IFS(LEFT($G1966,9)="Tranche 1","DELETE",$C1966="Sessions_Level_1_All_Sites","KEEP",ISNUMBER(--$C1966),"REVIEW — UA raw logs",$C1966="Emag_Reporting","KEEP",$C1966="Nutrition_Data_Archived_Tables","KEEP",$C1966="EU_Data","KEEP",TRUE,"REVIEW"),OR($A1966="thg-influencer",$A1966="thg-ingenuity",$A1966="thg-central-marketing",$A1966="thg-seoclarity"),"HOLD",TRUE,"")</f>
        <v>REVIEW</v>
      </c>
      <c r="R1966" t="str" cm="1">
        <f t="array" ref="R1966">_xlfn.IFS(AND($A1966="thg-beauty",ISNUMBER(SEARCH("liveramp",$C1966))),"thg-beauty Liveramp dataset — confirmed safe to delete",$A1966="agile-bonbon-662",_xlfn.IFS(LEFT($G1966,9)="Tranche 1","Tranche 1: cleared",$C1966="Sessions_Level_1_All_Sites","Downstream aggregation of UA raw logs — keep if raw tables go",ISNUMBER(--$C1966),"UA raw site logs (account ID) — keep pending audit-retention check",$C1966="Emag_Reporting","Legacy but likely needed",$C1966="Nutrition_Data_Archived_Tables","Worth keeping",$C1966="EU_Data","Static lookup tables — scripts still reference (smoke-test risk)",TRUE,"Review"),OR($A1966="thg-influencer",$A1966="thg-ingenuity",$A1966="thg-central-marketing",$A1966="thg-seoclarity"),"HOLD — Charlie Stringer to review before deletion",TRUE,"")</f>
        <v>Review</v>
      </c>
      <c r="S1966" t="s">
        <v>1631</v>
      </c>
    </row>
    <row r="1967" spans="1:19" ht="45.75" hidden="1">
      <c r="A1967" t="s">
        <v>89</v>
      </c>
      <c r="B1967" t="s">
        <v>1619</v>
      </c>
      <c r="C1967" t="s">
        <v>4291</v>
      </c>
      <c r="D1967" s="2" t="s">
        <v>1621</v>
      </c>
      <c r="E1967">
        <v>0</v>
      </c>
      <c r="F1967">
        <v>0</v>
      </c>
      <c r="G1967" t="s">
        <v>72</v>
      </c>
      <c r="H1967" t="s">
        <v>3457</v>
      </c>
      <c r="I1967">
        <v>35</v>
      </c>
      <c r="J1967">
        <v>2224</v>
      </c>
      <c r="K1967" s="5">
        <v>46161.608224826392</v>
      </c>
      <c r="M1967" s="2" t="s">
        <v>2047</v>
      </c>
      <c r="N1967" s="2" t="s">
        <v>1701</v>
      </c>
      <c r="O1967" s="5">
        <v>43973.437822719898</v>
      </c>
      <c r="P1967" t="str">
        <f>IF($Q1967="DELETE",IF($S1967="CONFIRMED: NO MODS &gt; 1YR","CONFIRMED: NO MODS &gt; 1YR","DO NOT DELETE — not defensibly confirmed"),IF($Q1967="HOLD","DO NOT DELETE — HOLD (Charlie review)",IF($Q1967="KEEP","DO NOT DELETE — KEEP",IF(ISNUMBER(SEARCH("REVIEW",$Q1967)),"DO NOT DELETE — REVIEW pending",$S1967))))</f>
        <v>DO NOT DELETE — REVIEW pending</v>
      </c>
      <c r="Q1967" t="str" cm="1">
        <f t="array" ref="Q1967">_xlfn.IFS(AND($A1967="thg-beauty",ISNUMBER(SEARCH("liveramp",$C1967))),"DELETE",$A1967="agile-bonbon-662",_xlfn.IFS(LEFT($G1967,9)="Tranche 1","DELETE",$C1967="Sessions_Level_1_All_Sites","KEEP",ISNUMBER(--$C1967),"REVIEW — UA raw logs",$C1967="Emag_Reporting","KEEP",$C1967="Nutrition_Data_Archived_Tables","KEEP",$C1967="EU_Data","KEEP",TRUE,"REVIEW"),OR($A1967="thg-influencer",$A1967="thg-ingenuity",$A1967="thg-central-marketing",$A1967="thg-seoclarity"),"HOLD",TRUE,"")</f>
        <v>REVIEW</v>
      </c>
      <c r="R1967" t="str" cm="1">
        <f t="array" ref="R1967">_xlfn.IFS(AND($A1967="thg-beauty",ISNUMBER(SEARCH("liveramp",$C1967))),"thg-beauty Liveramp dataset — confirmed safe to delete",$A1967="agile-bonbon-662",_xlfn.IFS(LEFT($G1967,9)="Tranche 1","Tranche 1: cleared",$C1967="Sessions_Level_1_All_Sites","Downstream aggregation of UA raw logs — keep if raw tables go",ISNUMBER(--$C1967),"UA raw site logs (account ID) — keep pending audit-retention check",$C1967="Emag_Reporting","Legacy but likely needed",$C1967="Nutrition_Data_Archived_Tables","Worth keeping",$C1967="EU_Data","Static lookup tables — scripts still reference (smoke-test risk)",TRUE,"Review"),OR($A1967="thg-influencer",$A1967="thg-ingenuity",$A1967="thg-central-marketing",$A1967="thg-seoclarity"),"HOLD — Charlie Stringer to review before deletion",TRUE,"")</f>
        <v>Review</v>
      </c>
      <c r="S1967" t="s">
        <v>1631</v>
      </c>
    </row>
    <row r="1968" spans="1:19" ht="45.75" hidden="1">
      <c r="A1968" t="s">
        <v>89</v>
      </c>
      <c r="B1968" t="s">
        <v>1619</v>
      </c>
      <c r="C1968" t="s">
        <v>4292</v>
      </c>
      <c r="D1968" s="2" t="s">
        <v>1621</v>
      </c>
      <c r="E1968">
        <v>0</v>
      </c>
      <c r="F1968">
        <v>0</v>
      </c>
      <c r="G1968" t="s">
        <v>72</v>
      </c>
      <c r="H1968" t="s">
        <v>3457</v>
      </c>
      <c r="I1968">
        <v>35</v>
      </c>
      <c r="J1968">
        <v>1966</v>
      </c>
      <c r="K1968" s="5">
        <v>46161.622296122689</v>
      </c>
      <c r="M1968" s="2" t="s">
        <v>3356</v>
      </c>
      <c r="N1968" s="2" t="s">
        <v>1701</v>
      </c>
      <c r="O1968" s="5">
        <v>44231.199169120373</v>
      </c>
      <c r="P1968" t="str">
        <f>IF($Q1968="DELETE",IF($S1968="CONFIRMED: NO MODS &gt; 1YR","CONFIRMED: NO MODS &gt; 1YR","DO NOT DELETE — not defensibly confirmed"),IF($Q1968="HOLD","DO NOT DELETE — HOLD (Charlie review)",IF($Q1968="KEEP","DO NOT DELETE — KEEP",IF(ISNUMBER(SEARCH("REVIEW",$Q1968)),"DO NOT DELETE — REVIEW pending",$S1968))))</f>
        <v>DO NOT DELETE — REVIEW pending</v>
      </c>
      <c r="Q1968" t="str" cm="1">
        <f t="array" ref="Q1968">_xlfn.IFS(AND($A1968="thg-beauty",ISNUMBER(SEARCH("liveramp",$C1968))),"DELETE",$A1968="agile-bonbon-662",_xlfn.IFS(LEFT($G1968,9)="Tranche 1","DELETE",$C1968="Sessions_Level_1_All_Sites","KEEP",ISNUMBER(--$C1968),"REVIEW — UA raw logs",$C1968="Emag_Reporting","KEEP",$C1968="Nutrition_Data_Archived_Tables","KEEP",$C1968="EU_Data","KEEP",TRUE,"REVIEW"),OR($A1968="thg-influencer",$A1968="thg-ingenuity",$A1968="thg-central-marketing",$A1968="thg-seoclarity"),"HOLD",TRUE,"")</f>
        <v>REVIEW</v>
      </c>
      <c r="R1968" t="str" cm="1">
        <f t="array" ref="R1968">_xlfn.IFS(AND($A1968="thg-beauty",ISNUMBER(SEARCH("liveramp",$C1968))),"thg-beauty Liveramp dataset — confirmed safe to delete",$A1968="agile-bonbon-662",_xlfn.IFS(LEFT($G1968,9)="Tranche 1","Tranche 1: cleared",$C1968="Sessions_Level_1_All_Sites","Downstream aggregation of UA raw logs — keep if raw tables go",ISNUMBER(--$C1968),"UA raw site logs (account ID) — keep pending audit-retention check",$C1968="Emag_Reporting","Legacy but likely needed",$C1968="Nutrition_Data_Archived_Tables","Worth keeping",$C1968="EU_Data","Static lookup tables — scripts still reference (smoke-test risk)",TRUE,"Review"),OR($A1968="thg-influencer",$A1968="thg-ingenuity",$A1968="thg-central-marketing",$A1968="thg-seoclarity"),"HOLD — Charlie Stringer to review before deletion",TRUE,"")</f>
        <v>Review</v>
      </c>
      <c r="S1968" t="s">
        <v>1631</v>
      </c>
    </row>
    <row r="1969" spans="1:19" ht="45.75" hidden="1">
      <c r="A1969" t="s">
        <v>89</v>
      </c>
      <c r="B1969" t="s">
        <v>1619</v>
      </c>
      <c r="C1969" t="s">
        <v>4293</v>
      </c>
      <c r="D1969" s="2" t="s">
        <v>1621</v>
      </c>
      <c r="E1969">
        <v>0</v>
      </c>
      <c r="F1969">
        <v>0</v>
      </c>
      <c r="G1969" t="s">
        <v>72</v>
      </c>
      <c r="H1969" t="s">
        <v>3457</v>
      </c>
      <c r="I1969">
        <v>35</v>
      </c>
      <c r="J1969">
        <v>1966</v>
      </c>
      <c r="K1969" s="5">
        <v>46161.622136724538</v>
      </c>
      <c r="M1969" s="2" t="s">
        <v>3354</v>
      </c>
      <c r="N1969" s="2" t="s">
        <v>1701</v>
      </c>
      <c r="O1969" s="5">
        <v>44231.167160543977</v>
      </c>
      <c r="P1969" t="str">
        <f>IF($Q1969="DELETE",IF($S1969="CONFIRMED: NO MODS &gt; 1YR","CONFIRMED: NO MODS &gt; 1YR","DO NOT DELETE — not defensibly confirmed"),IF($Q1969="HOLD","DO NOT DELETE — HOLD (Charlie review)",IF($Q1969="KEEP","DO NOT DELETE — KEEP",IF(ISNUMBER(SEARCH("REVIEW",$Q1969)),"DO NOT DELETE — REVIEW pending",$S1969))))</f>
        <v>DO NOT DELETE — REVIEW pending</v>
      </c>
      <c r="Q1969" t="str" cm="1">
        <f t="array" ref="Q1969">_xlfn.IFS(AND($A1969="thg-beauty",ISNUMBER(SEARCH("liveramp",$C1969))),"DELETE",$A1969="agile-bonbon-662",_xlfn.IFS(LEFT($G1969,9)="Tranche 1","DELETE",$C1969="Sessions_Level_1_All_Sites","KEEP",ISNUMBER(--$C1969),"REVIEW — UA raw logs",$C1969="Emag_Reporting","KEEP",$C1969="Nutrition_Data_Archived_Tables","KEEP",$C1969="EU_Data","KEEP",TRUE,"REVIEW"),OR($A1969="thg-influencer",$A1969="thg-ingenuity",$A1969="thg-central-marketing",$A1969="thg-seoclarity"),"HOLD",TRUE,"")</f>
        <v>REVIEW</v>
      </c>
      <c r="R1969" t="str" cm="1">
        <f t="array" ref="R1969">_xlfn.IFS(AND($A1969="thg-beauty",ISNUMBER(SEARCH("liveramp",$C1969))),"thg-beauty Liveramp dataset — confirmed safe to delete",$A1969="agile-bonbon-662",_xlfn.IFS(LEFT($G1969,9)="Tranche 1","Tranche 1: cleared",$C1969="Sessions_Level_1_All_Sites","Downstream aggregation of UA raw logs — keep if raw tables go",ISNUMBER(--$C1969),"UA raw site logs (account ID) — keep pending audit-retention check",$C1969="Emag_Reporting","Legacy but likely needed",$C1969="Nutrition_Data_Archived_Tables","Worth keeping",$C1969="EU_Data","Static lookup tables — scripts still reference (smoke-test risk)",TRUE,"Review"),OR($A1969="thg-influencer",$A1969="thg-ingenuity",$A1969="thg-central-marketing",$A1969="thg-seoclarity"),"HOLD — Charlie Stringer to review before deletion",TRUE,"")</f>
        <v>Review</v>
      </c>
      <c r="S1969" t="s">
        <v>1631</v>
      </c>
    </row>
    <row r="1970" spans="1:19" ht="45.75" hidden="1">
      <c r="A1970" t="s">
        <v>89</v>
      </c>
      <c r="B1970" t="s">
        <v>1619</v>
      </c>
      <c r="C1970" t="s">
        <v>4294</v>
      </c>
      <c r="D1970" s="2" t="s">
        <v>1621</v>
      </c>
      <c r="E1970">
        <v>0</v>
      </c>
      <c r="F1970">
        <v>0</v>
      </c>
      <c r="G1970" t="s">
        <v>72</v>
      </c>
      <c r="H1970" t="s">
        <v>3457</v>
      </c>
      <c r="I1970">
        <v>35</v>
      </c>
      <c r="J1970">
        <v>1966</v>
      </c>
      <c r="K1970" s="5">
        <v>46161.622049178237</v>
      </c>
      <c r="M1970" s="2" t="s">
        <v>3359</v>
      </c>
      <c r="N1970" s="2" t="s">
        <v>1701</v>
      </c>
      <c r="O1970" s="5">
        <v>44231.14120125</v>
      </c>
      <c r="P1970" t="str">
        <f>IF($Q1970="DELETE",IF($S1970="CONFIRMED: NO MODS &gt; 1YR","CONFIRMED: NO MODS &gt; 1YR","DO NOT DELETE — not defensibly confirmed"),IF($Q1970="HOLD","DO NOT DELETE — HOLD (Charlie review)",IF($Q1970="KEEP","DO NOT DELETE — KEEP",IF(ISNUMBER(SEARCH("REVIEW",$Q1970)),"DO NOT DELETE — REVIEW pending",$S1970))))</f>
        <v>DO NOT DELETE — REVIEW pending</v>
      </c>
      <c r="Q1970" t="str" cm="1">
        <f t="array" ref="Q1970">_xlfn.IFS(AND($A1970="thg-beauty",ISNUMBER(SEARCH("liveramp",$C1970))),"DELETE",$A1970="agile-bonbon-662",_xlfn.IFS(LEFT($G1970,9)="Tranche 1","DELETE",$C1970="Sessions_Level_1_All_Sites","KEEP",ISNUMBER(--$C1970),"REVIEW — UA raw logs",$C1970="Emag_Reporting","KEEP",$C1970="Nutrition_Data_Archived_Tables","KEEP",$C1970="EU_Data","KEEP",TRUE,"REVIEW"),OR($A1970="thg-influencer",$A1970="thg-ingenuity",$A1970="thg-central-marketing",$A1970="thg-seoclarity"),"HOLD",TRUE,"")</f>
        <v>REVIEW</v>
      </c>
      <c r="R1970" t="str" cm="1">
        <f t="array" ref="R1970">_xlfn.IFS(AND($A1970="thg-beauty",ISNUMBER(SEARCH("liveramp",$C1970))),"thg-beauty Liveramp dataset — confirmed safe to delete",$A1970="agile-bonbon-662",_xlfn.IFS(LEFT($G1970,9)="Tranche 1","Tranche 1: cleared",$C1970="Sessions_Level_1_All_Sites","Downstream aggregation of UA raw logs — keep if raw tables go",ISNUMBER(--$C1970),"UA raw site logs (account ID) — keep pending audit-retention check",$C1970="Emag_Reporting","Legacy but likely needed",$C1970="Nutrition_Data_Archived_Tables","Worth keeping",$C1970="EU_Data","Static lookup tables — scripts still reference (smoke-test risk)",TRUE,"Review"),OR($A1970="thg-influencer",$A1970="thg-ingenuity",$A1970="thg-central-marketing",$A1970="thg-seoclarity"),"HOLD — Charlie Stringer to review before deletion",TRUE,"")</f>
        <v>Review</v>
      </c>
      <c r="S1970" t="s">
        <v>1631</v>
      </c>
    </row>
    <row r="1971" spans="1:19" ht="45.75" hidden="1">
      <c r="A1971" t="s">
        <v>89</v>
      </c>
      <c r="B1971" t="s">
        <v>1619</v>
      </c>
      <c r="C1971" t="s">
        <v>4295</v>
      </c>
      <c r="D1971" s="2" t="s">
        <v>1621</v>
      </c>
      <c r="E1971">
        <v>0</v>
      </c>
      <c r="F1971">
        <v>0</v>
      </c>
      <c r="G1971" t="s">
        <v>72</v>
      </c>
      <c r="H1971" t="s">
        <v>3457</v>
      </c>
      <c r="I1971">
        <v>35</v>
      </c>
      <c r="J1971">
        <v>1966</v>
      </c>
      <c r="K1971" s="5">
        <v>46161.621650949077</v>
      </c>
      <c r="M1971" s="2" t="s">
        <v>3359</v>
      </c>
      <c r="N1971" s="2" t="s">
        <v>1701</v>
      </c>
      <c r="O1971" s="5">
        <v>44230.844422337963</v>
      </c>
      <c r="P1971" t="str">
        <f>IF($Q1971="DELETE",IF($S1971="CONFIRMED: NO MODS &gt; 1YR","CONFIRMED: NO MODS &gt; 1YR","DO NOT DELETE — not defensibly confirmed"),IF($Q1971="HOLD","DO NOT DELETE — HOLD (Charlie review)",IF($Q1971="KEEP","DO NOT DELETE — KEEP",IF(ISNUMBER(SEARCH("REVIEW",$Q1971)),"DO NOT DELETE — REVIEW pending",$S1971))))</f>
        <v>DO NOT DELETE — REVIEW pending</v>
      </c>
      <c r="Q1971" t="str" cm="1">
        <f t="array" ref="Q1971">_xlfn.IFS(AND($A1971="thg-beauty",ISNUMBER(SEARCH("liveramp",$C1971))),"DELETE",$A1971="agile-bonbon-662",_xlfn.IFS(LEFT($G1971,9)="Tranche 1","DELETE",$C1971="Sessions_Level_1_All_Sites","KEEP",ISNUMBER(--$C1971),"REVIEW — UA raw logs",$C1971="Emag_Reporting","KEEP",$C1971="Nutrition_Data_Archived_Tables","KEEP",$C1971="EU_Data","KEEP",TRUE,"REVIEW"),OR($A1971="thg-influencer",$A1971="thg-ingenuity",$A1971="thg-central-marketing",$A1971="thg-seoclarity"),"HOLD",TRUE,"")</f>
        <v>REVIEW</v>
      </c>
      <c r="R1971" t="str" cm="1">
        <f t="array" ref="R1971">_xlfn.IFS(AND($A1971="thg-beauty",ISNUMBER(SEARCH("liveramp",$C1971))),"thg-beauty Liveramp dataset — confirmed safe to delete",$A1971="agile-bonbon-662",_xlfn.IFS(LEFT($G1971,9)="Tranche 1","Tranche 1: cleared",$C1971="Sessions_Level_1_All_Sites","Downstream aggregation of UA raw logs — keep if raw tables go",ISNUMBER(--$C1971),"UA raw site logs (account ID) — keep pending audit-retention check",$C1971="Emag_Reporting","Legacy but likely needed",$C1971="Nutrition_Data_Archived_Tables","Worth keeping",$C1971="EU_Data","Static lookup tables — scripts still reference (smoke-test risk)",TRUE,"Review"),OR($A1971="thg-influencer",$A1971="thg-ingenuity",$A1971="thg-central-marketing",$A1971="thg-seoclarity"),"HOLD — Charlie Stringer to review before deletion",TRUE,"")</f>
        <v>Review</v>
      </c>
      <c r="S1971" t="s">
        <v>1631</v>
      </c>
    </row>
    <row r="1972" spans="1:19" ht="45.75" hidden="1">
      <c r="A1972" t="s">
        <v>89</v>
      </c>
      <c r="B1972" t="s">
        <v>1619</v>
      </c>
      <c r="C1972" t="s">
        <v>4296</v>
      </c>
      <c r="D1972" s="2" t="s">
        <v>1621</v>
      </c>
      <c r="E1972">
        <v>0</v>
      </c>
      <c r="F1972">
        <v>0</v>
      </c>
      <c r="G1972" t="s">
        <v>72</v>
      </c>
      <c r="H1972" t="s">
        <v>3457</v>
      </c>
      <c r="I1972">
        <v>35</v>
      </c>
      <c r="J1972">
        <v>1966</v>
      </c>
      <c r="K1972" s="5">
        <v>46161.621722951393</v>
      </c>
      <c r="M1972" s="2" t="s">
        <v>3359</v>
      </c>
      <c r="N1972" s="2" t="s">
        <v>1701</v>
      </c>
      <c r="O1972" s="5">
        <v>44230.865908368047</v>
      </c>
      <c r="P1972" t="str">
        <f>IF($Q1972="DELETE",IF($S1972="CONFIRMED: NO MODS &gt; 1YR","CONFIRMED: NO MODS &gt; 1YR","DO NOT DELETE — not defensibly confirmed"),IF($Q1972="HOLD","DO NOT DELETE — HOLD (Charlie review)",IF($Q1972="KEEP","DO NOT DELETE — KEEP",IF(ISNUMBER(SEARCH("REVIEW",$Q1972)),"DO NOT DELETE — REVIEW pending",$S1972))))</f>
        <v>DO NOT DELETE — REVIEW pending</v>
      </c>
      <c r="Q1972" t="str" cm="1">
        <f t="array" ref="Q1972">_xlfn.IFS(AND($A1972="thg-beauty",ISNUMBER(SEARCH("liveramp",$C1972))),"DELETE",$A1972="agile-bonbon-662",_xlfn.IFS(LEFT($G1972,9)="Tranche 1","DELETE",$C1972="Sessions_Level_1_All_Sites","KEEP",ISNUMBER(--$C1972),"REVIEW — UA raw logs",$C1972="Emag_Reporting","KEEP",$C1972="Nutrition_Data_Archived_Tables","KEEP",$C1972="EU_Data","KEEP",TRUE,"REVIEW"),OR($A1972="thg-influencer",$A1972="thg-ingenuity",$A1972="thg-central-marketing",$A1972="thg-seoclarity"),"HOLD",TRUE,"")</f>
        <v>REVIEW</v>
      </c>
      <c r="R1972" t="str" cm="1">
        <f t="array" ref="R1972">_xlfn.IFS(AND($A1972="thg-beauty",ISNUMBER(SEARCH("liveramp",$C1972))),"thg-beauty Liveramp dataset — confirmed safe to delete",$A1972="agile-bonbon-662",_xlfn.IFS(LEFT($G1972,9)="Tranche 1","Tranche 1: cleared",$C1972="Sessions_Level_1_All_Sites","Downstream aggregation of UA raw logs — keep if raw tables go",ISNUMBER(--$C1972),"UA raw site logs (account ID) — keep pending audit-retention check",$C1972="Emag_Reporting","Legacy but likely needed",$C1972="Nutrition_Data_Archived_Tables","Worth keeping",$C1972="EU_Data","Static lookup tables — scripts still reference (smoke-test risk)",TRUE,"Review"),OR($A1972="thg-influencer",$A1972="thg-ingenuity",$A1972="thg-central-marketing",$A1972="thg-seoclarity"),"HOLD — Charlie Stringer to review before deletion",TRUE,"")</f>
        <v>Review</v>
      </c>
      <c r="S1972" t="s">
        <v>1631</v>
      </c>
    </row>
    <row r="1973" spans="1:19" ht="45.75" hidden="1">
      <c r="A1973" t="s">
        <v>89</v>
      </c>
      <c r="B1973" t="s">
        <v>1619</v>
      </c>
      <c r="C1973" t="s">
        <v>4297</v>
      </c>
      <c r="D1973" s="2" t="s">
        <v>1621</v>
      </c>
      <c r="E1973">
        <v>0</v>
      </c>
      <c r="F1973">
        <v>0</v>
      </c>
      <c r="G1973" t="s">
        <v>72</v>
      </c>
      <c r="H1973" t="s">
        <v>3457</v>
      </c>
      <c r="I1973">
        <v>35</v>
      </c>
      <c r="J1973">
        <v>1966</v>
      </c>
      <c r="K1973" s="5">
        <v>46161.621662708327</v>
      </c>
      <c r="M1973" s="2" t="s">
        <v>3359</v>
      </c>
      <c r="N1973" s="2" t="s">
        <v>1701</v>
      </c>
      <c r="O1973" s="5">
        <v>44230.844865231476</v>
      </c>
      <c r="P1973" t="str">
        <f>IF($Q1973="DELETE",IF($S1973="CONFIRMED: NO MODS &gt; 1YR","CONFIRMED: NO MODS &gt; 1YR","DO NOT DELETE — not defensibly confirmed"),IF($Q1973="HOLD","DO NOT DELETE — HOLD (Charlie review)",IF($Q1973="KEEP","DO NOT DELETE — KEEP",IF(ISNUMBER(SEARCH("REVIEW",$Q1973)),"DO NOT DELETE — REVIEW pending",$S1973))))</f>
        <v>DO NOT DELETE — REVIEW pending</v>
      </c>
      <c r="Q1973" t="str" cm="1">
        <f t="array" ref="Q1973">_xlfn.IFS(AND($A1973="thg-beauty",ISNUMBER(SEARCH("liveramp",$C1973))),"DELETE",$A1973="agile-bonbon-662",_xlfn.IFS(LEFT($G1973,9)="Tranche 1","DELETE",$C1973="Sessions_Level_1_All_Sites","KEEP",ISNUMBER(--$C1973),"REVIEW — UA raw logs",$C1973="Emag_Reporting","KEEP",$C1973="Nutrition_Data_Archived_Tables","KEEP",$C1973="EU_Data","KEEP",TRUE,"REVIEW"),OR($A1973="thg-influencer",$A1973="thg-ingenuity",$A1973="thg-central-marketing",$A1973="thg-seoclarity"),"HOLD",TRUE,"")</f>
        <v>REVIEW</v>
      </c>
      <c r="R1973" t="str" cm="1">
        <f t="array" ref="R1973">_xlfn.IFS(AND($A1973="thg-beauty",ISNUMBER(SEARCH("liveramp",$C1973))),"thg-beauty Liveramp dataset — confirmed safe to delete",$A1973="agile-bonbon-662",_xlfn.IFS(LEFT($G1973,9)="Tranche 1","Tranche 1: cleared",$C1973="Sessions_Level_1_All_Sites","Downstream aggregation of UA raw logs — keep if raw tables go",ISNUMBER(--$C1973),"UA raw site logs (account ID) — keep pending audit-retention check",$C1973="Emag_Reporting","Legacy but likely needed",$C1973="Nutrition_Data_Archived_Tables","Worth keeping",$C1973="EU_Data","Static lookup tables — scripts still reference (smoke-test risk)",TRUE,"Review"),OR($A1973="thg-influencer",$A1973="thg-ingenuity",$A1973="thg-central-marketing",$A1973="thg-seoclarity"),"HOLD — Charlie Stringer to review before deletion",TRUE,"")</f>
        <v>Review</v>
      </c>
      <c r="S1973" t="s">
        <v>1631</v>
      </c>
    </row>
    <row r="1974" spans="1:19" ht="45.75" hidden="1">
      <c r="A1974" t="s">
        <v>89</v>
      </c>
      <c r="B1974" t="s">
        <v>1619</v>
      </c>
      <c r="C1974" t="s">
        <v>4298</v>
      </c>
      <c r="D1974" s="2" t="s">
        <v>1621</v>
      </c>
      <c r="E1974">
        <v>0</v>
      </c>
      <c r="F1974">
        <v>0</v>
      </c>
      <c r="G1974" t="s">
        <v>72</v>
      </c>
      <c r="H1974" t="s">
        <v>3457</v>
      </c>
      <c r="I1974">
        <v>35</v>
      </c>
      <c r="J1974">
        <v>1962</v>
      </c>
      <c r="K1974" s="5">
        <v>46161.604935312498</v>
      </c>
      <c r="M1974" s="2" t="s">
        <v>3988</v>
      </c>
      <c r="N1974" s="2" t="s">
        <v>1701</v>
      </c>
      <c r="O1974" s="5">
        <v>44234.875195208333</v>
      </c>
      <c r="P1974" t="str">
        <f>IF($Q1974="DELETE",IF($S1974="CONFIRMED: NO MODS &gt; 1YR","CONFIRMED: NO MODS &gt; 1YR","DO NOT DELETE — not defensibly confirmed"),IF($Q1974="HOLD","DO NOT DELETE — HOLD (Charlie review)",IF($Q1974="KEEP","DO NOT DELETE — KEEP",IF(ISNUMBER(SEARCH("REVIEW",$Q1974)),"DO NOT DELETE — REVIEW pending",$S1974))))</f>
        <v>DO NOT DELETE — REVIEW pending</v>
      </c>
      <c r="Q1974" t="str" cm="1">
        <f t="array" ref="Q1974">_xlfn.IFS(AND($A1974="thg-beauty",ISNUMBER(SEARCH("liveramp",$C1974))),"DELETE",$A1974="agile-bonbon-662",_xlfn.IFS(LEFT($G1974,9)="Tranche 1","DELETE",$C1974="Sessions_Level_1_All_Sites","KEEP",ISNUMBER(--$C1974),"REVIEW — UA raw logs",$C1974="Emag_Reporting","KEEP",$C1974="Nutrition_Data_Archived_Tables","KEEP",$C1974="EU_Data","KEEP",TRUE,"REVIEW"),OR($A1974="thg-influencer",$A1974="thg-ingenuity",$A1974="thg-central-marketing",$A1974="thg-seoclarity"),"HOLD",TRUE,"")</f>
        <v>REVIEW</v>
      </c>
      <c r="R1974" t="str" cm="1">
        <f t="array" ref="R1974">_xlfn.IFS(AND($A1974="thg-beauty",ISNUMBER(SEARCH("liveramp",$C1974))),"thg-beauty Liveramp dataset — confirmed safe to delete",$A1974="agile-bonbon-662",_xlfn.IFS(LEFT($G1974,9)="Tranche 1","Tranche 1: cleared",$C1974="Sessions_Level_1_All_Sites","Downstream aggregation of UA raw logs — keep if raw tables go",ISNUMBER(--$C1974),"UA raw site logs (account ID) — keep pending audit-retention check",$C1974="Emag_Reporting","Legacy but likely needed",$C1974="Nutrition_Data_Archived_Tables","Worth keeping",$C1974="EU_Data","Static lookup tables — scripts still reference (smoke-test risk)",TRUE,"Review"),OR($A1974="thg-influencer",$A1974="thg-ingenuity",$A1974="thg-central-marketing",$A1974="thg-seoclarity"),"HOLD — Charlie Stringer to review before deletion",TRUE,"")</f>
        <v>Review</v>
      </c>
      <c r="S1974" t="s">
        <v>1631</v>
      </c>
    </row>
    <row r="1975" spans="1:19" ht="45.75" hidden="1">
      <c r="A1975" t="s">
        <v>89</v>
      </c>
      <c r="B1975" t="s">
        <v>1619</v>
      </c>
      <c r="C1975" t="s">
        <v>4299</v>
      </c>
      <c r="D1975" s="2" t="s">
        <v>1621</v>
      </c>
      <c r="E1975">
        <v>0</v>
      </c>
      <c r="F1975">
        <v>0</v>
      </c>
      <c r="G1975" t="s">
        <v>72</v>
      </c>
      <c r="H1975" t="s">
        <v>3457</v>
      </c>
      <c r="I1975">
        <v>35</v>
      </c>
      <c r="J1975">
        <v>1497</v>
      </c>
      <c r="K1975" s="5">
        <v>46161.616994745367</v>
      </c>
      <c r="M1975" s="2" t="s">
        <v>1947</v>
      </c>
      <c r="N1975" s="2" t="s">
        <v>1701</v>
      </c>
      <c r="O1975" s="5">
        <v>44700.322375821757</v>
      </c>
      <c r="P1975" t="str">
        <f>IF($Q1975="DELETE",IF($S1975="CONFIRMED: NO MODS &gt; 1YR","CONFIRMED: NO MODS &gt; 1YR","DO NOT DELETE — not defensibly confirmed"),IF($Q1975="HOLD","DO NOT DELETE — HOLD (Charlie review)",IF($Q1975="KEEP","DO NOT DELETE — KEEP",IF(ISNUMBER(SEARCH("REVIEW",$Q1975)),"DO NOT DELETE — REVIEW pending",$S1975))))</f>
        <v>DO NOT DELETE — REVIEW pending</v>
      </c>
      <c r="Q1975" t="str" cm="1">
        <f t="array" ref="Q1975">_xlfn.IFS(AND($A1975="thg-beauty",ISNUMBER(SEARCH("liveramp",$C1975))),"DELETE",$A1975="agile-bonbon-662",_xlfn.IFS(LEFT($G1975,9)="Tranche 1","DELETE",$C1975="Sessions_Level_1_All_Sites","KEEP",ISNUMBER(--$C1975),"REVIEW — UA raw logs",$C1975="Emag_Reporting","KEEP",$C1975="Nutrition_Data_Archived_Tables","KEEP",$C1975="EU_Data","KEEP",TRUE,"REVIEW"),OR($A1975="thg-influencer",$A1975="thg-ingenuity",$A1975="thg-central-marketing",$A1975="thg-seoclarity"),"HOLD",TRUE,"")</f>
        <v>REVIEW</v>
      </c>
      <c r="R1975" t="str" cm="1">
        <f t="array" ref="R1975">_xlfn.IFS(AND($A1975="thg-beauty",ISNUMBER(SEARCH("liveramp",$C1975))),"thg-beauty Liveramp dataset — confirmed safe to delete",$A1975="agile-bonbon-662",_xlfn.IFS(LEFT($G1975,9)="Tranche 1","Tranche 1: cleared",$C1975="Sessions_Level_1_All_Sites","Downstream aggregation of UA raw logs — keep if raw tables go",ISNUMBER(--$C1975),"UA raw site logs (account ID) — keep pending audit-retention check",$C1975="Emag_Reporting","Legacy but likely needed",$C1975="Nutrition_Data_Archived_Tables","Worth keeping",$C1975="EU_Data","Static lookup tables — scripts still reference (smoke-test risk)",TRUE,"Review"),OR($A1975="thg-influencer",$A1975="thg-ingenuity",$A1975="thg-central-marketing",$A1975="thg-seoclarity"),"HOLD — Charlie Stringer to review before deletion",TRUE,"")</f>
        <v>Review</v>
      </c>
      <c r="S1975" t="s">
        <v>1631</v>
      </c>
    </row>
    <row r="1976" spans="1:19" ht="45.75" hidden="1">
      <c r="A1976" t="s">
        <v>89</v>
      </c>
      <c r="B1976" t="s">
        <v>1619</v>
      </c>
      <c r="C1976" t="s">
        <v>4300</v>
      </c>
      <c r="D1976" s="2" t="s">
        <v>1621</v>
      </c>
      <c r="E1976">
        <v>0</v>
      </c>
      <c r="F1976">
        <v>0</v>
      </c>
      <c r="G1976" t="s">
        <v>72</v>
      </c>
      <c r="H1976" t="s">
        <v>3457</v>
      </c>
      <c r="I1976">
        <v>35</v>
      </c>
      <c r="J1976">
        <v>1497</v>
      </c>
      <c r="K1976" s="5">
        <v>46161.59519162037</v>
      </c>
      <c r="M1976" s="2" t="s">
        <v>3426</v>
      </c>
      <c r="N1976" s="2" t="s">
        <v>1701</v>
      </c>
      <c r="O1976" s="5">
        <v>44699.596395671288</v>
      </c>
      <c r="P1976" t="str">
        <f>IF($Q1976="DELETE",IF($S1976="CONFIRMED: NO MODS &gt; 1YR","CONFIRMED: NO MODS &gt; 1YR","DO NOT DELETE — not defensibly confirmed"),IF($Q1976="HOLD","DO NOT DELETE — HOLD (Charlie review)",IF($Q1976="KEEP","DO NOT DELETE — KEEP",IF(ISNUMBER(SEARCH("REVIEW",$Q1976)),"DO NOT DELETE — REVIEW pending",$S1976))))</f>
        <v>DO NOT DELETE — REVIEW pending</v>
      </c>
      <c r="Q1976" t="str" cm="1">
        <f t="array" ref="Q1976">_xlfn.IFS(AND($A1976="thg-beauty",ISNUMBER(SEARCH("liveramp",$C1976))),"DELETE",$A1976="agile-bonbon-662",_xlfn.IFS(LEFT($G1976,9)="Tranche 1","DELETE",$C1976="Sessions_Level_1_All_Sites","KEEP",ISNUMBER(--$C1976),"REVIEW — UA raw logs",$C1976="Emag_Reporting","KEEP",$C1976="Nutrition_Data_Archived_Tables","KEEP",$C1976="EU_Data","KEEP",TRUE,"REVIEW"),OR($A1976="thg-influencer",$A1976="thg-ingenuity",$A1976="thg-central-marketing",$A1976="thg-seoclarity"),"HOLD",TRUE,"")</f>
        <v>REVIEW — UA raw logs</v>
      </c>
      <c r="R1976" t="str" cm="1">
        <f t="array" ref="R1976">_xlfn.IFS(AND($A1976="thg-beauty",ISNUMBER(SEARCH("liveramp",$C1976))),"thg-beauty Liveramp dataset — confirmed safe to delete",$A1976="agile-bonbon-662",_xlfn.IFS(LEFT($G1976,9)="Tranche 1","Tranche 1: cleared",$C1976="Sessions_Level_1_All_Sites","Downstream aggregation of UA raw logs — keep if raw tables go",ISNUMBER(--$C1976),"UA raw site logs (account ID) — keep pending audit-retention check",$C1976="Emag_Reporting","Legacy but likely needed",$C1976="Nutrition_Data_Archived_Tables","Worth keeping",$C1976="EU_Data","Static lookup tables — scripts still reference (smoke-test risk)",TRUE,"Review"),OR($A1976="thg-influencer",$A1976="thg-ingenuity",$A1976="thg-central-marketing",$A1976="thg-seoclarity"),"HOLD — Charlie Stringer to review before deletion",TRUE,"")</f>
        <v>UA raw site logs (account ID) — keep pending audit-retention check</v>
      </c>
      <c r="S1976" t="s">
        <v>1631</v>
      </c>
    </row>
    <row r="1977" spans="1:19" ht="45.75" hidden="1">
      <c r="A1977" t="s">
        <v>89</v>
      </c>
      <c r="B1977" t="s">
        <v>1619</v>
      </c>
      <c r="C1977" t="s">
        <v>4301</v>
      </c>
      <c r="D1977" s="2" t="s">
        <v>1621</v>
      </c>
      <c r="E1977">
        <v>0</v>
      </c>
      <c r="F1977">
        <v>0</v>
      </c>
      <c r="G1977" t="s">
        <v>72</v>
      </c>
      <c r="H1977" t="s">
        <v>3457</v>
      </c>
      <c r="I1977">
        <v>35</v>
      </c>
      <c r="J1977">
        <v>1783</v>
      </c>
      <c r="K1977" s="5">
        <v>46161.594493761571</v>
      </c>
      <c r="M1977" s="2" t="s">
        <v>3902</v>
      </c>
      <c r="N1977" s="2" t="s">
        <v>1701</v>
      </c>
      <c r="O1977" s="5">
        <v>44414.273857268519</v>
      </c>
      <c r="P1977" t="str">
        <f>IF($Q1977="DELETE",IF($S1977="CONFIRMED: NO MODS &gt; 1YR","CONFIRMED: NO MODS &gt; 1YR","DO NOT DELETE — not defensibly confirmed"),IF($Q1977="HOLD","DO NOT DELETE — HOLD (Charlie review)",IF($Q1977="KEEP","DO NOT DELETE — KEEP",IF(ISNUMBER(SEARCH("REVIEW",$Q1977)),"DO NOT DELETE — REVIEW pending",$S1977))))</f>
        <v>DO NOT DELETE — REVIEW pending</v>
      </c>
      <c r="Q1977" t="str" cm="1">
        <f t="array" ref="Q1977">_xlfn.IFS(AND($A1977="thg-beauty",ISNUMBER(SEARCH("liveramp",$C1977))),"DELETE",$A1977="agile-bonbon-662",_xlfn.IFS(LEFT($G1977,9)="Tranche 1","DELETE",$C1977="Sessions_Level_1_All_Sites","KEEP",ISNUMBER(--$C1977),"REVIEW — UA raw logs",$C1977="Emag_Reporting","KEEP",$C1977="Nutrition_Data_Archived_Tables","KEEP",$C1977="EU_Data","KEEP",TRUE,"REVIEW"),OR($A1977="thg-influencer",$A1977="thg-ingenuity",$A1977="thg-central-marketing",$A1977="thg-seoclarity"),"HOLD",TRUE,"")</f>
        <v>REVIEW — UA raw logs</v>
      </c>
      <c r="R1977" t="str" cm="1">
        <f t="array" ref="R1977">_xlfn.IFS(AND($A1977="thg-beauty",ISNUMBER(SEARCH("liveramp",$C1977))),"thg-beauty Liveramp dataset — confirmed safe to delete",$A1977="agile-bonbon-662",_xlfn.IFS(LEFT($G1977,9)="Tranche 1","Tranche 1: cleared",$C1977="Sessions_Level_1_All_Sites","Downstream aggregation of UA raw logs — keep if raw tables go",ISNUMBER(--$C1977),"UA raw site logs (account ID) — keep pending audit-retention check",$C1977="Emag_Reporting","Legacy but likely needed",$C1977="Nutrition_Data_Archived_Tables","Worth keeping",$C1977="EU_Data","Static lookup tables — scripts still reference (smoke-test risk)",TRUE,"Review"),OR($A1977="thg-influencer",$A1977="thg-ingenuity",$A1977="thg-central-marketing",$A1977="thg-seoclarity"),"HOLD — Charlie Stringer to review before deletion",TRUE,"")</f>
        <v>UA raw site logs (account ID) — keep pending audit-retention check</v>
      </c>
      <c r="S1977" t="s">
        <v>1631</v>
      </c>
    </row>
    <row r="1978" spans="1:19" ht="45.75" hidden="1">
      <c r="A1978" t="s">
        <v>89</v>
      </c>
      <c r="B1978" t="s">
        <v>1619</v>
      </c>
      <c r="C1978" t="s">
        <v>4302</v>
      </c>
      <c r="D1978" s="2" t="s">
        <v>1621</v>
      </c>
      <c r="E1978">
        <v>0</v>
      </c>
      <c r="F1978">
        <v>0</v>
      </c>
      <c r="G1978" t="s">
        <v>72</v>
      </c>
      <c r="H1978" t="s">
        <v>3457</v>
      </c>
      <c r="I1978">
        <v>35</v>
      </c>
      <c r="J1978">
        <v>1701</v>
      </c>
      <c r="K1978" s="5">
        <v>46161.606657777767</v>
      </c>
      <c r="M1978" s="2" t="s">
        <v>3906</v>
      </c>
      <c r="N1978" s="2" t="s">
        <v>1701</v>
      </c>
      <c r="O1978" s="5">
        <v>44496.359775127312</v>
      </c>
      <c r="P1978" t="str">
        <f>IF($Q1978="DELETE",IF($S1978="CONFIRMED: NO MODS &gt; 1YR","CONFIRMED: NO MODS &gt; 1YR","DO NOT DELETE — not defensibly confirmed"),IF($Q1978="HOLD","DO NOT DELETE — HOLD (Charlie review)",IF($Q1978="KEEP","DO NOT DELETE — KEEP",IF(ISNUMBER(SEARCH("REVIEW",$Q1978)),"DO NOT DELETE — REVIEW pending",$S1978))))</f>
        <v>DO NOT DELETE — REVIEW pending</v>
      </c>
      <c r="Q1978" t="str" cm="1">
        <f t="array" ref="Q1978">_xlfn.IFS(AND($A1978="thg-beauty",ISNUMBER(SEARCH("liveramp",$C1978))),"DELETE",$A1978="agile-bonbon-662",_xlfn.IFS(LEFT($G1978,9)="Tranche 1","DELETE",$C1978="Sessions_Level_1_All_Sites","KEEP",ISNUMBER(--$C1978),"REVIEW — UA raw logs",$C1978="Emag_Reporting","KEEP",$C1978="Nutrition_Data_Archived_Tables","KEEP",$C1978="EU_Data","KEEP",TRUE,"REVIEW"),OR($A1978="thg-influencer",$A1978="thg-ingenuity",$A1978="thg-central-marketing",$A1978="thg-seoclarity"),"HOLD",TRUE,"")</f>
        <v>REVIEW</v>
      </c>
      <c r="R1978" t="str" cm="1">
        <f t="array" ref="R1978">_xlfn.IFS(AND($A1978="thg-beauty",ISNUMBER(SEARCH("liveramp",$C1978))),"thg-beauty Liveramp dataset — confirmed safe to delete",$A1978="agile-bonbon-662",_xlfn.IFS(LEFT($G1978,9)="Tranche 1","Tranche 1: cleared",$C1978="Sessions_Level_1_All_Sites","Downstream aggregation of UA raw logs — keep if raw tables go",ISNUMBER(--$C1978),"UA raw site logs (account ID) — keep pending audit-retention check",$C1978="Emag_Reporting","Legacy but likely needed",$C1978="Nutrition_Data_Archived_Tables","Worth keeping",$C1978="EU_Data","Static lookup tables — scripts still reference (smoke-test risk)",TRUE,"Review"),OR($A1978="thg-influencer",$A1978="thg-ingenuity",$A1978="thg-central-marketing",$A1978="thg-seoclarity"),"HOLD — Charlie Stringer to review before deletion",TRUE,"")</f>
        <v>Review</v>
      </c>
      <c r="S1978" t="s">
        <v>1631</v>
      </c>
    </row>
    <row r="1979" spans="1:19" ht="45.75" hidden="1">
      <c r="A1979" t="s">
        <v>89</v>
      </c>
      <c r="B1979" t="s">
        <v>1619</v>
      </c>
      <c r="C1979" t="s">
        <v>4303</v>
      </c>
      <c r="D1979" s="2" t="s">
        <v>1621</v>
      </c>
      <c r="E1979">
        <v>0</v>
      </c>
      <c r="F1979">
        <v>0</v>
      </c>
      <c r="G1979" t="s">
        <v>72</v>
      </c>
      <c r="H1979" t="s">
        <v>3457</v>
      </c>
      <c r="I1979">
        <v>35</v>
      </c>
      <c r="J1979">
        <v>1966</v>
      </c>
      <c r="K1979" s="5">
        <v>46161.621275787038</v>
      </c>
      <c r="M1979" s="2" t="s">
        <v>1960</v>
      </c>
      <c r="N1979" s="2" t="s">
        <v>1701</v>
      </c>
      <c r="O1979" s="5">
        <v>44230.528354618058</v>
      </c>
      <c r="P1979" t="str">
        <f>IF($Q1979="DELETE",IF($S1979="CONFIRMED: NO MODS &gt; 1YR","CONFIRMED: NO MODS &gt; 1YR","DO NOT DELETE — not defensibly confirmed"),IF($Q1979="HOLD","DO NOT DELETE — HOLD (Charlie review)",IF($Q1979="KEEP","DO NOT DELETE — KEEP",IF(ISNUMBER(SEARCH("REVIEW",$Q1979)),"DO NOT DELETE — REVIEW pending",$S1979))))</f>
        <v>DO NOT DELETE — REVIEW pending</v>
      </c>
      <c r="Q1979" t="str" cm="1">
        <f t="array" ref="Q1979">_xlfn.IFS(AND($A1979="thg-beauty",ISNUMBER(SEARCH("liveramp",$C1979))),"DELETE",$A1979="agile-bonbon-662",_xlfn.IFS(LEFT($G1979,9)="Tranche 1","DELETE",$C1979="Sessions_Level_1_All_Sites","KEEP",ISNUMBER(--$C1979),"REVIEW — UA raw logs",$C1979="Emag_Reporting","KEEP",$C1979="Nutrition_Data_Archived_Tables","KEEP",$C1979="EU_Data","KEEP",TRUE,"REVIEW"),OR($A1979="thg-influencer",$A1979="thg-ingenuity",$A1979="thg-central-marketing",$A1979="thg-seoclarity"),"HOLD",TRUE,"")</f>
        <v>REVIEW</v>
      </c>
      <c r="R1979" t="str" cm="1">
        <f t="array" ref="R1979">_xlfn.IFS(AND($A1979="thg-beauty",ISNUMBER(SEARCH("liveramp",$C1979))),"thg-beauty Liveramp dataset — confirmed safe to delete",$A1979="agile-bonbon-662",_xlfn.IFS(LEFT($G1979,9)="Tranche 1","Tranche 1: cleared",$C1979="Sessions_Level_1_All_Sites","Downstream aggregation of UA raw logs — keep if raw tables go",ISNUMBER(--$C1979),"UA raw site logs (account ID) — keep pending audit-retention check",$C1979="Emag_Reporting","Legacy but likely needed",$C1979="Nutrition_Data_Archived_Tables","Worth keeping",$C1979="EU_Data","Static lookup tables — scripts still reference (smoke-test risk)",TRUE,"Review"),OR($A1979="thg-influencer",$A1979="thg-ingenuity",$A1979="thg-central-marketing",$A1979="thg-seoclarity"),"HOLD — Charlie Stringer to review before deletion",TRUE,"")</f>
        <v>Review</v>
      </c>
      <c r="S1979" t="s">
        <v>1631</v>
      </c>
    </row>
    <row r="1980" spans="1:19" ht="45.75" hidden="1">
      <c r="A1980" t="s">
        <v>89</v>
      </c>
      <c r="B1980" t="s">
        <v>1619</v>
      </c>
      <c r="C1980" t="s">
        <v>4304</v>
      </c>
      <c r="D1980" s="2" t="s">
        <v>1621</v>
      </c>
      <c r="E1980">
        <v>0</v>
      </c>
      <c r="F1980">
        <v>0</v>
      </c>
      <c r="G1980" t="s">
        <v>72</v>
      </c>
      <c r="H1980" t="s">
        <v>3457</v>
      </c>
      <c r="I1980">
        <v>35</v>
      </c>
      <c r="J1980">
        <v>1966</v>
      </c>
      <c r="K1980" s="5">
        <v>46161.622262673613</v>
      </c>
      <c r="M1980" s="2" t="s">
        <v>3356</v>
      </c>
      <c r="N1980" s="2" t="s">
        <v>1701</v>
      </c>
      <c r="O1980" s="5">
        <v>44231.190637962973</v>
      </c>
      <c r="P1980" t="str">
        <f>IF($Q1980="DELETE",IF($S1980="CONFIRMED: NO MODS &gt; 1YR","CONFIRMED: NO MODS &gt; 1YR","DO NOT DELETE — not defensibly confirmed"),IF($Q1980="HOLD","DO NOT DELETE — HOLD (Charlie review)",IF($Q1980="KEEP","DO NOT DELETE — KEEP",IF(ISNUMBER(SEARCH("REVIEW",$Q1980)),"DO NOT DELETE — REVIEW pending",$S1980))))</f>
        <v>DO NOT DELETE — REVIEW pending</v>
      </c>
      <c r="Q1980" t="str" cm="1">
        <f t="array" ref="Q1980">_xlfn.IFS(AND($A1980="thg-beauty",ISNUMBER(SEARCH("liveramp",$C1980))),"DELETE",$A1980="agile-bonbon-662",_xlfn.IFS(LEFT($G1980,9)="Tranche 1","DELETE",$C1980="Sessions_Level_1_All_Sites","KEEP",ISNUMBER(--$C1980),"REVIEW — UA raw logs",$C1980="Emag_Reporting","KEEP",$C1980="Nutrition_Data_Archived_Tables","KEEP",$C1980="EU_Data","KEEP",TRUE,"REVIEW"),OR($A1980="thg-influencer",$A1980="thg-ingenuity",$A1980="thg-central-marketing",$A1980="thg-seoclarity"),"HOLD",TRUE,"")</f>
        <v>REVIEW</v>
      </c>
      <c r="R1980" t="str" cm="1">
        <f t="array" ref="R1980">_xlfn.IFS(AND($A1980="thg-beauty",ISNUMBER(SEARCH("liveramp",$C1980))),"thg-beauty Liveramp dataset — confirmed safe to delete",$A1980="agile-bonbon-662",_xlfn.IFS(LEFT($G1980,9)="Tranche 1","Tranche 1: cleared",$C1980="Sessions_Level_1_All_Sites","Downstream aggregation of UA raw logs — keep if raw tables go",ISNUMBER(--$C1980),"UA raw site logs (account ID) — keep pending audit-retention check",$C1980="Emag_Reporting","Legacy but likely needed",$C1980="Nutrition_Data_Archived_Tables","Worth keeping",$C1980="EU_Data","Static lookup tables — scripts still reference (smoke-test risk)",TRUE,"Review"),OR($A1980="thg-influencer",$A1980="thg-ingenuity",$A1980="thg-central-marketing",$A1980="thg-seoclarity"),"HOLD — Charlie Stringer to review before deletion",TRUE,"")</f>
        <v>Review</v>
      </c>
      <c r="S1980" t="s">
        <v>1631</v>
      </c>
    </row>
    <row r="1981" spans="1:19" ht="45.75" hidden="1">
      <c r="A1981" t="s">
        <v>89</v>
      </c>
      <c r="B1981" t="s">
        <v>1619</v>
      </c>
      <c r="C1981" t="s">
        <v>4305</v>
      </c>
      <c r="D1981" s="2" t="s">
        <v>1621</v>
      </c>
      <c r="E1981">
        <v>0</v>
      </c>
      <c r="F1981">
        <v>0</v>
      </c>
      <c r="G1981" t="s">
        <v>72</v>
      </c>
      <c r="H1981" t="s">
        <v>3457</v>
      </c>
      <c r="I1981">
        <v>35</v>
      </c>
      <c r="J1981">
        <v>1385</v>
      </c>
      <c r="K1981" s="5">
        <v>46161.613123333344</v>
      </c>
      <c r="M1981" s="2" t="s">
        <v>2078</v>
      </c>
      <c r="N1981" s="2" t="s">
        <v>1701</v>
      </c>
      <c r="O1981" s="5">
        <v>44811.605984270827</v>
      </c>
      <c r="P1981" t="str">
        <f>IF($Q1981="DELETE",IF($S1981="CONFIRMED: NO MODS &gt; 1YR","CONFIRMED: NO MODS &gt; 1YR","DO NOT DELETE — not defensibly confirmed"),IF($Q1981="HOLD","DO NOT DELETE — HOLD (Charlie review)",IF($Q1981="KEEP","DO NOT DELETE — KEEP",IF(ISNUMBER(SEARCH("REVIEW",$Q1981)),"DO NOT DELETE — REVIEW pending",$S1981))))</f>
        <v>DO NOT DELETE — REVIEW pending</v>
      </c>
      <c r="Q1981" t="str" cm="1">
        <f t="array" ref="Q1981">_xlfn.IFS(AND($A1981="thg-beauty",ISNUMBER(SEARCH("liveramp",$C1981))),"DELETE",$A1981="agile-bonbon-662",_xlfn.IFS(LEFT($G1981,9)="Tranche 1","DELETE",$C1981="Sessions_Level_1_All_Sites","KEEP",ISNUMBER(--$C1981),"REVIEW — UA raw logs",$C1981="Emag_Reporting","KEEP",$C1981="Nutrition_Data_Archived_Tables","KEEP",$C1981="EU_Data","KEEP",TRUE,"REVIEW"),OR($A1981="thg-influencer",$A1981="thg-ingenuity",$A1981="thg-central-marketing",$A1981="thg-seoclarity"),"HOLD",TRUE,"")</f>
        <v>REVIEW</v>
      </c>
      <c r="R1981" t="str" cm="1">
        <f t="array" ref="R1981">_xlfn.IFS(AND($A1981="thg-beauty",ISNUMBER(SEARCH("liveramp",$C1981))),"thg-beauty Liveramp dataset — confirmed safe to delete",$A1981="agile-bonbon-662",_xlfn.IFS(LEFT($G1981,9)="Tranche 1","Tranche 1: cleared",$C1981="Sessions_Level_1_All_Sites","Downstream aggregation of UA raw logs — keep if raw tables go",ISNUMBER(--$C1981),"UA raw site logs (account ID) — keep pending audit-retention check",$C1981="Emag_Reporting","Legacy but likely needed",$C1981="Nutrition_Data_Archived_Tables","Worth keeping",$C1981="EU_Data","Static lookup tables — scripts still reference (smoke-test risk)",TRUE,"Review"),OR($A1981="thg-influencer",$A1981="thg-ingenuity",$A1981="thg-central-marketing",$A1981="thg-seoclarity"),"HOLD — Charlie Stringer to review before deletion",TRUE,"")</f>
        <v>Review</v>
      </c>
      <c r="S1981" t="s">
        <v>1631</v>
      </c>
    </row>
    <row r="1982" spans="1:19" ht="45.75" hidden="1">
      <c r="A1982" t="s">
        <v>89</v>
      </c>
      <c r="B1982" t="s">
        <v>1619</v>
      </c>
      <c r="C1982" t="s">
        <v>4306</v>
      </c>
      <c r="D1982" s="2" t="s">
        <v>1621</v>
      </c>
      <c r="E1982">
        <v>0</v>
      </c>
      <c r="F1982">
        <v>0</v>
      </c>
      <c r="G1982" t="s">
        <v>72</v>
      </c>
      <c r="H1982" t="s">
        <v>3457</v>
      </c>
      <c r="I1982">
        <v>35</v>
      </c>
      <c r="J1982">
        <v>1960</v>
      </c>
      <c r="K1982" s="5">
        <v>46161.621483668983</v>
      </c>
      <c r="M1982" s="2" t="s">
        <v>3432</v>
      </c>
      <c r="N1982" s="2" t="s">
        <v>1701</v>
      </c>
      <c r="O1982" s="5">
        <v>44236.463637592591</v>
      </c>
      <c r="P1982" t="str">
        <f>IF($Q1982="DELETE",IF($S1982="CONFIRMED: NO MODS &gt; 1YR","CONFIRMED: NO MODS &gt; 1YR","DO NOT DELETE — not defensibly confirmed"),IF($Q1982="HOLD","DO NOT DELETE — HOLD (Charlie review)",IF($Q1982="KEEP","DO NOT DELETE — KEEP",IF(ISNUMBER(SEARCH("REVIEW",$Q1982)),"DO NOT DELETE — REVIEW pending",$S1982))))</f>
        <v>DO NOT DELETE — REVIEW pending</v>
      </c>
      <c r="Q1982" t="str" cm="1">
        <f t="array" ref="Q1982">_xlfn.IFS(AND($A1982="thg-beauty",ISNUMBER(SEARCH("liveramp",$C1982))),"DELETE",$A1982="agile-bonbon-662",_xlfn.IFS(LEFT($G1982,9)="Tranche 1","DELETE",$C1982="Sessions_Level_1_All_Sites","KEEP",ISNUMBER(--$C1982),"REVIEW — UA raw logs",$C1982="Emag_Reporting","KEEP",$C1982="Nutrition_Data_Archived_Tables","KEEP",$C1982="EU_Data","KEEP",TRUE,"REVIEW"),OR($A1982="thg-influencer",$A1982="thg-ingenuity",$A1982="thg-central-marketing",$A1982="thg-seoclarity"),"HOLD",TRUE,"")</f>
        <v>REVIEW</v>
      </c>
      <c r="R1982" t="str" cm="1">
        <f t="array" ref="R1982">_xlfn.IFS(AND($A1982="thg-beauty",ISNUMBER(SEARCH("liveramp",$C1982))),"thg-beauty Liveramp dataset — confirmed safe to delete",$A1982="agile-bonbon-662",_xlfn.IFS(LEFT($G1982,9)="Tranche 1","Tranche 1: cleared",$C1982="Sessions_Level_1_All_Sites","Downstream aggregation of UA raw logs — keep if raw tables go",ISNUMBER(--$C1982),"UA raw site logs (account ID) — keep pending audit-retention check",$C1982="Emag_Reporting","Legacy but likely needed",$C1982="Nutrition_Data_Archived_Tables","Worth keeping",$C1982="EU_Data","Static lookup tables — scripts still reference (smoke-test risk)",TRUE,"Review"),OR($A1982="thg-influencer",$A1982="thg-ingenuity",$A1982="thg-central-marketing",$A1982="thg-seoclarity"),"HOLD — Charlie Stringer to review before deletion",TRUE,"")</f>
        <v>Review</v>
      </c>
      <c r="S1982" t="s">
        <v>1631</v>
      </c>
    </row>
    <row r="1983" spans="1:19" ht="45.75" hidden="1">
      <c r="A1983" t="s">
        <v>89</v>
      </c>
      <c r="B1983" t="s">
        <v>1619</v>
      </c>
      <c r="C1983" t="s">
        <v>4307</v>
      </c>
      <c r="D1983" s="2" t="s">
        <v>1621</v>
      </c>
      <c r="E1983">
        <v>0</v>
      </c>
      <c r="F1983">
        <v>0</v>
      </c>
      <c r="G1983" t="s">
        <v>72</v>
      </c>
      <c r="H1983" t="s">
        <v>3457</v>
      </c>
      <c r="I1983">
        <v>35</v>
      </c>
      <c r="J1983">
        <v>1474</v>
      </c>
      <c r="K1983" s="5">
        <v>46161.616984444438</v>
      </c>
      <c r="M1983" s="2" t="s">
        <v>1947</v>
      </c>
      <c r="N1983" s="2" t="s">
        <v>1701</v>
      </c>
      <c r="O1983" s="5">
        <v>44722.758360439817</v>
      </c>
      <c r="P1983" t="str">
        <f>IF($Q1983="DELETE",IF($S1983="CONFIRMED: NO MODS &gt; 1YR","CONFIRMED: NO MODS &gt; 1YR","DO NOT DELETE — not defensibly confirmed"),IF($Q1983="HOLD","DO NOT DELETE — HOLD (Charlie review)",IF($Q1983="KEEP","DO NOT DELETE — KEEP",IF(ISNUMBER(SEARCH("REVIEW",$Q1983)),"DO NOT DELETE — REVIEW pending",$S1983))))</f>
        <v>DO NOT DELETE — REVIEW pending</v>
      </c>
      <c r="Q1983" t="str" cm="1">
        <f t="array" ref="Q1983">_xlfn.IFS(AND($A1983="thg-beauty",ISNUMBER(SEARCH("liveramp",$C1983))),"DELETE",$A1983="agile-bonbon-662",_xlfn.IFS(LEFT($G1983,9)="Tranche 1","DELETE",$C1983="Sessions_Level_1_All_Sites","KEEP",ISNUMBER(--$C1983),"REVIEW — UA raw logs",$C1983="Emag_Reporting","KEEP",$C1983="Nutrition_Data_Archived_Tables","KEEP",$C1983="EU_Data","KEEP",TRUE,"REVIEW"),OR($A1983="thg-influencer",$A1983="thg-ingenuity",$A1983="thg-central-marketing",$A1983="thg-seoclarity"),"HOLD",TRUE,"")</f>
        <v>REVIEW</v>
      </c>
      <c r="R1983" t="str" cm="1">
        <f t="array" ref="R1983">_xlfn.IFS(AND($A1983="thg-beauty",ISNUMBER(SEARCH("liveramp",$C1983))),"thg-beauty Liveramp dataset — confirmed safe to delete",$A1983="agile-bonbon-662",_xlfn.IFS(LEFT($G1983,9)="Tranche 1","Tranche 1: cleared",$C1983="Sessions_Level_1_All_Sites","Downstream aggregation of UA raw logs — keep if raw tables go",ISNUMBER(--$C1983),"UA raw site logs (account ID) — keep pending audit-retention check",$C1983="Emag_Reporting","Legacy but likely needed",$C1983="Nutrition_Data_Archived_Tables","Worth keeping",$C1983="EU_Data","Static lookup tables — scripts still reference (smoke-test risk)",TRUE,"Review"),OR($A1983="thg-influencer",$A1983="thg-ingenuity",$A1983="thg-central-marketing",$A1983="thg-seoclarity"),"HOLD — Charlie Stringer to review before deletion",TRUE,"")</f>
        <v>Review</v>
      </c>
      <c r="S1983" t="s">
        <v>1631</v>
      </c>
    </row>
    <row r="1984" spans="1:19" ht="60.75" hidden="1">
      <c r="A1984" t="s">
        <v>89</v>
      </c>
      <c r="B1984" t="s">
        <v>1619</v>
      </c>
      <c r="C1984" t="s">
        <v>4308</v>
      </c>
      <c r="D1984" s="2" t="s">
        <v>1621</v>
      </c>
      <c r="E1984">
        <v>0</v>
      </c>
      <c r="F1984">
        <v>0</v>
      </c>
      <c r="G1984" t="s">
        <v>72</v>
      </c>
      <c r="H1984" t="s">
        <v>3457</v>
      </c>
      <c r="I1984">
        <v>35</v>
      </c>
      <c r="J1984">
        <v>1224</v>
      </c>
      <c r="K1984" s="5">
        <v>46161.581043599537</v>
      </c>
      <c r="M1984" s="2" t="s">
        <v>4309</v>
      </c>
      <c r="N1984" s="2" t="s">
        <v>1701</v>
      </c>
      <c r="O1984" s="5">
        <v>44973.361850497677</v>
      </c>
      <c r="P1984" t="str">
        <f>IF($Q1984="DELETE",IF($S1984="CONFIRMED: NO MODS &gt; 1YR","CONFIRMED: NO MODS &gt; 1YR","DO NOT DELETE — not defensibly confirmed"),IF($Q1984="HOLD","DO NOT DELETE — HOLD (Charlie review)",IF($Q1984="KEEP","DO NOT DELETE — KEEP",IF(ISNUMBER(SEARCH("REVIEW",$Q1984)),"DO NOT DELETE — REVIEW pending",$S1984))))</f>
        <v>DO NOT DELETE — REVIEW pending</v>
      </c>
      <c r="Q1984" t="str" cm="1">
        <f t="array" ref="Q1984">_xlfn.IFS(AND($A1984="thg-beauty",ISNUMBER(SEARCH("liveramp",$C1984))),"DELETE",$A1984="agile-bonbon-662",_xlfn.IFS(LEFT($G1984,9)="Tranche 1","DELETE",$C1984="Sessions_Level_1_All_Sites","KEEP",ISNUMBER(--$C1984),"REVIEW — UA raw logs",$C1984="Emag_Reporting","KEEP",$C1984="Nutrition_Data_Archived_Tables","KEEP",$C1984="EU_Data","KEEP",TRUE,"REVIEW"),OR($A1984="thg-influencer",$A1984="thg-ingenuity",$A1984="thg-central-marketing",$A1984="thg-seoclarity"),"HOLD",TRUE,"")</f>
        <v>REVIEW</v>
      </c>
      <c r="R1984" t="str" cm="1">
        <f t="array" ref="R1984">_xlfn.IFS(AND($A1984="thg-beauty",ISNUMBER(SEARCH("liveramp",$C1984))),"thg-beauty Liveramp dataset — confirmed safe to delete",$A1984="agile-bonbon-662",_xlfn.IFS(LEFT($G1984,9)="Tranche 1","Tranche 1: cleared",$C1984="Sessions_Level_1_All_Sites","Downstream aggregation of UA raw logs — keep if raw tables go",ISNUMBER(--$C1984),"UA raw site logs (account ID) — keep pending audit-retention check",$C1984="Emag_Reporting","Legacy but likely needed",$C1984="Nutrition_Data_Archived_Tables","Worth keeping",$C1984="EU_Data","Static lookup tables — scripts still reference (smoke-test risk)",TRUE,"Review"),OR($A1984="thg-influencer",$A1984="thg-ingenuity",$A1984="thg-central-marketing",$A1984="thg-seoclarity"),"HOLD — Charlie Stringer to review before deletion",TRUE,"")</f>
        <v>Review</v>
      </c>
      <c r="S1984" t="s">
        <v>1631</v>
      </c>
    </row>
    <row r="1985" spans="1:19" ht="45.75" hidden="1">
      <c r="A1985" t="s">
        <v>89</v>
      </c>
      <c r="B1985" t="s">
        <v>1619</v>
      </c>
      <c r="C1985" t="s">
        <v>4310</v>
      </c>
      <c r="D1985" s="2" t="s">
        <v>1621</v>
      </c>
      <c r="E1985">
        <v>0</v>
      </c>
      <c r="F1985">
        <v>0</v>
      </c>
      <c r="G1985" t="s">
        <v>72</v>
      </c>
      <c r="H1985" t="s">
        <v>3457</v>
      </c>
      <c r="I1985">
        <v>35</v>
      </c>
      <c r="J1985">
        <v>1966</v>
      </c>
      <c r="K1985" s="5">
        <v>46161.622125567133</v>
      </c>
      <c r="M1985" s="2" t="s">
        <v>3354</v>
      </c>
      <c r="N1985" s="2" t="s">
        <v>1701</v>
      </c>
      <c r="O1985" s="5">
        <v>44231.16687184028</v>
      </c>
      <c r="P1985" t="str">
        <f>IF($Q1985="DELETE",IF($S1985="CONFIRMED: NO MODS &gt; 1YR","CONFIRMED: NO MODS &gt; 1YR","DO NOT DELETE — not defensibly confirmed"),IF($Q1985="HOLD","DO NOT DELETE — HOLD (Charlie review)",IF($Q1985="KEEP","DO NOT DELETE — KEEP",IF(ISNUMBER(SEARCH("REVIEW",$Q1985)),"DO NOT DELETE — REVIEW pending",$S1985))))</f>
        <v>DO NOT DELETE — REVIEW pending</v>
      </c>
      <c r="Q1985" t="str" cm="1">
        <f t="array" ref="Q1985">_xlfn.IFS(AND($A1985="thg-beauty",ISNUMBER(SEARCH("liveramp",$C1985))),"DELETE",$A1985="agile-bonbon-662",_xlfn.IFS(LEFT($G1985,9)="Tranche 1","DELETE",$C1985="Sessions_Level_1_All_Sites","KEEP",ISNUMBER(--$C1985),"REVIEW — UA raw logs",$C1985="Emag_Reporting","KEEP",$C1985="Nutrition_Data_Archived_Tables","KEEP",$C1985="EU_Data","KEEP",TRUE,"REVIEW"),OR($A1985="thg-influencer",$A1985="thg-ingenuity",$A1985="thg-central-marketing",$A1985="thg-seoclarity"),"HOLD",TRUE,"")</f>
        <v>REVIEW</v>
      </c>
      <c r="R1985" t="str" cm="1">
        <f t="array" ref="R1985">_xlfn.IFS(AND($A1985="thg-beauty",ISNUMBER(SEARCH("liveramp",$C1985))),"thg-beauty Liveramp dataset — confirmed safe to delete",$A1985="agile-bonbon-662",_xlfn.IFS(LEFT($G1985,9)="Tranche 1","Tranche 1: cleared",$C1985="Sessions_Level_1_All_Sites","Downstream aggregation of UA raw logs — keep if raw tables go",ISNUMBER(--$C1985),"UA raw site logs (account ID) — keep pending audit-retention check",$C1985="Emag_Reporting","Legacy but likely needed",$C1985="Nutrition_Data_Archived_Tables","Worth keeping",$C1985="EU_Data","Static lookup tables — scripts still reference (smoke-test risk)",TRUE,"Review"),OR($A1985="thg-influencer",$A1985="thg-ingenuity",$A1985="thg-central-marketing",$A1985="thg-seoclarity"),"HOLD — Charlie Stringer to review before deletion",TRUE,"")</f>
        <v>Review</v>
      </c>
      <c r="S1985" t="s">
        <v>1631</v>
      </c>
    </row>
    <row r="1986" spans="1:19" ht="45.75" hidden="1">
      <c r="A1986" t="s">
        <v>89</v>
      </c>
      <c r="B1986" t="s">
        <v>1619</v>
      </c>
      <c r="C1986" t="s">
        <v>4311</v>
      </c>
      <c r="D1986" s="2" t="s">
        <v>1621</v>
      </c>
      <c r="E1986">
        <v>0</v>
      </c>
      <c r="F1986">
        <v>0</v>
      </c>
      <c r="G1986" t="s">
        <v>72</v>
      </c>
      <c r="H1986" t="s">
        <v>3457</v>
      </c>
      <c r="I1986">
        <v>35</v>
      </c>
      <c r="J1986">
        <v>1966</v>
      </c>
      <c r="K1986" s="5">
        <v>46161.621370347217</v>
      </c>
      <c r="M1986" s="2" t="s">
        <v>1960</v>
      </c>
      <c r="N1986" s="2" t="s">
        <v>1701</v>
      </c>
      <c r="O1986" s="5">
        <v>44230.53112496528</v>
      </c>
      <c r="P1986" t="str">
        <f>IF($Q1986="DELETE",IF($S1986="CONFIRMED: NO MODS &gt; 1YR","CONFIRMED: NO MODS &gt; 1YR","DO NOT DELETE — not defensibly confirmed"),IF($Q1986="HOLD","DO NOT DELETE — HOLD (Charlie review)",IF($Q1986="KEEP","DO NOT DELETE — KEEP",IF(ISNUMBER(SEARCH("REVIEW",$Q1986)),"DO NOT DELETE — REVIEW pending",$S1986))))</f>
        <v>DO NOT DELETE — REVIEW pending</v>
      </c>
      <c r="Q1986" t="str" cm="1">
        <f t="array" ref="Q1986">_xlfn.IFS(AND($A1986="thg-beauty",ISNUMBER(SEARCH("liveramp",$C1986))),"DELETE",$A1986="agile-bonbon-662",_xlfn.IFS(LEFT($G1986,9)="Tranche 1","DELETE",$C1986="Sessions_Level_1_All_Sites","KEEP",ISNUMBER(--$C1986),"REVIEW — UA raw logs",$C1986="Emag_Reporting","KEEP",$C1986="Nutrition_Data_Archived_Tables","KEEP",$C1986="EU_Data","KEEP",TRUE,"REVIEW"),OR($A1986="thg-influencer",$A1986="thg-ingenuity",$A1986="thg-central-marketing",$A1986="thg-seoclarity"),"HOLD",TRUE,"")</f>
        <v>REVIEW</v>
      </c>
      <c r="R1986" t="str" cm="1">
        <f t="array" ref="R1986">_xlfn.IFS(AND($A1986="thg-beauty",ISNUMBER(SEARCH("liveramp",$C1986))),"thg-beauty Liveramp dataset — confirmed safe to delete",$A1986="agile-bonbon-662",_xlfn.IFS(LEFT($G1986,9)="Tranche 1","Tranche 1: cleared",$C1986="Sessions_Level_1_All_Sites","Downstream aggregation of UA raw logs — keep if raw tables go",ISNUMBER(--$C1986),"UA raw site logs (account ID) — keep pending audit-retention check",$C1986="Emag_Reporting","Legacy but likely needed",$C1986="Nutrition_Data_Archived_Tables","Worth keeping",$C1986="EU_Data","Static lookup tables — scripts still reference (smoke-test risk)",TRUE,"Review"),OR($A1986="thg-influencer",$A1986="thg-ingenuity",$A1986="thg-central-marketing",$A1986="thg-seoclarity"),"HOLD — Charlie Stringer to review before deletion",TRUE,"")</f>
        <v>Review</v>
      </c>
      <c r="S1986" t="s">
        <v>1631</v>
      </c>
    </row>
    <row r="1987" spans="1:19" ht="45.75" hidden="1">
      <c r="A1987" t="s">
        <v>89</v>
      </c>
      <c r="B1987" t="s">
        <v>1619</v>
      </c>
      <c r="C1987" t="s">
        <v>4312</v>
      </c>
      <c r="D1987" s="2" t="s">
        <v>1621</v>
      </c>
      <c r="E1987">
        <v>0</v>
      </c>
      <c r="F1987">
        <v>0</v>
      </c>
      <c r="G1987" t="s">
        <v>72</v>
      </c>
      <c r="H1987" t="s">
        <v>3457</v>
      </c>
      <c r="I1987">
        <v>35</v>
      </c>
      <c r="J1987">
        <v>1447</v>
      </c>
      <c r="K1987" s="5">
        <v>46161.622785601852</v>
      </c>
      <c r="M1987" s="2" t="s">
        <v>3351</v>
      </c>
      <c r="N1987" s="2" t="s">
        <v>1701</v>
      </c>
      <c r="O1987" s="5">
        <v>44749.604256296298</v>
      </c>
      <c r="P1987" t="str">
        <f>IF($Q1987="DELETE",IF($S1987="CONFIRMED: NO MODS &gt; 1YR","CONFIRMED: NO MODS &gt; 1YR","DO NOT DELETE — not defensibly confirmed"),IF($Q1987="HOLD","DO NOT DELETE — HOLD (Charlie review)",IF($Q1987="KEEP","DO NOT DELETE — KEEP",IF(ISNUMBER(SEARCH("REVIEW",$Q1987)),"DO NOT DELETE — REVIEW pending",$S1987))))</f>
        <v>DO NOT DELETE — REVIEW pending</v>
      </c>
      <c r="Q1987" t="str" cm="1">
        <f t="array" ref="Q1987">_xlfn.IFS(AND($A1987="thg-beauty",ISNUMBER(SEARCH("liveramp",$C1987))),"DELETE",$A1987="agile-bonbon-662",_xlfn.IFS(LEFT($G1987,9)="Tranche 1","DELETE",$C1987="Sessions_Level_1_All_Sites","KEEP",ISNUMBER(--$C1987),"REVIEW — UA raw logs",$C1987="Emag_Reporting","KEEP",$C1987="Nutrition_Data_Archived_Tables","KEEP",$C1987="EU_Data","KEEP",TRUE,"REVIEW"),OR($A1987="thg-influencer",$A1987="thg-ingenuity",$A1987="thg-central-marketing",$A1987="thg-seoclarity"),"HOLD",TRUE,"")</f>
        <v>REVIEW</v>
      </c>
      <c r="R1987" t="str" cm="1">
        <f t="array" ref="R1987">_xlfn.IFS(AND($A1987="thg-beauty",ISNUMBER(SEARCH("liveramp",$C1987))),"thg-beauty Liveramp dataset — confirmed safe to delete",$A1987="agile-bonbon-662",_xlfn.IFS(LEFT($G1987,9)="Tranche 1","Tranche 1: cleared",$C1987="Sessions_Level_1_All_Sites","Downstream aggregation of UA raw logs — keep if raw tables go",ISNUMBER(--$C1987),"UA raw site logs (account ID) — keep pending audit-retention check",$C1987="Emag_Reporting","Legacy but likely needed",$C1987="Nutrition_Data_Archived_Tables","Worth keeping",$C1987="EU_Data","Static lookup tables — scripts still reference (smoke-test risk)",TRUE,"Review"),OR($A1987="thg-influencer",$A1987="thg-ingenuity",$A1987="thg-central-marketing",$A1987="thg-seoclarity"),"HOLD — Charlie Stringer to review before deletion",TRUE,"")</f>
        <v>Review</v>
      </c>
      <c r="S1987" t="s">
        <v>1631</v>
      </c>
    </row>
    <row r="1988" spans="1:19" ht="45.75" hidden="1">
      <c r="A1988" t="s">
        <v>89</v>
      </c>
      <c r="B1988" t="s">
        <v>1619</v>
      </c>
      <c r="C1988" t="s">
        <v>872</v>
      </c>
      <c r="D1988" s="2" t="s">
        <v>1621</v>
      </c>
      <c r="E1988">
        <v>0</v>
      </c>
      <c r="F1988">
        <v>0</v>
      </c>
      <c r="G1988" t="s">
        <v>72</v>
      </c>
      <c r="H1988" t="s">
        <v>3457</v>
      </c>
      <c r="I1988">
        <v>35</v>
      </c>
      <c r="J1988">
        <v>868</v>
      </c>
      <c r="K1988" s="5">
        <v>46161.611567974527</v>
      </c>
      <c r="M1988" s="2" t="s">
        <v>3898</v>
      </c>
      <c r="N1988" s="2" t="s">
        <v>1701</v>
      </c>
      <c r="O1988" s="5">
        <v>45328.498584444453</v>
      </c>
      <c r="P1988" t="str">
        <f>IF($Q1988="DELETE",IF($S1988="CONFIRMED: NO MODS &gt; 1YR","CONFIRMED: NO MODS &gt; 1YR","DO NOT DELETE — not defensibly confirmed"),IF($Q1988="HOLD","DO NOT DELETE — HOLD (Charlie review)",IF($Q1988="KEEP","DO NOT DELETE — KEEP",IF(ISNUMBER(SEARCH("REVIEW",$Q1988)),"DO NOT DELETE — REVIEW pending",$S1988))))</f>
        <v>DO NOT DELETE — REVIEW pending</v>
      </c>
      <c r="Q1988" t="str" cm="1">
        <f t="array" ref="Q1988">_xlfn.IFS(AND($A1988="thg-beauty",ISNUMBER(SEARCH("liveramp",$C1988))),"DELETE",$A1988="agile-bonbon-662",_xlfn.IFS(LEFT($G1988,9)="Tranche 1","DELETE",$C1988="Sessions_Level_1_All_Sites","KEEP",ISNUMBER(--$C1988),"REVIEW — UA raw logs",$C1988="Emag_Reporting","KEEP",$C1988="Nutrition_Data_Archived_Tables","KEEP",$C1988="EU_Data","KEEP",TRUE,"REVIEW"),OR($A1988="thg-influencer",$A1988="thg-ingenuity",$A1988="thg-central-marketing",$A1988="thg-seoclarity"),"HOLD",TRUE,"")</f>
        <v>REVIEW</v>
      </c>
      <c r="R1988" t="str" cm="1">
        <f t="array" ref="R1988">_xlfn.IFS(AND($A1988="thg-beauty",ISNUMBER(SEARCH("liveramp",$C1988))),"thg-beauty Liveramp dataset — confirmed safe to delete",$A1988="agile-bonbon-662",_xlfn.IFS(LEFT($G1988,9)="Tranche 1","Tranche 1: cleared",$C1988="Sessions_Level_1_All_Sites","Downstream aggregation of UA raw logs — keep if raw tables go",ISNUMBER(--$C1988),"UA raw site logs (account ID) — keep pending audit-retention check",$C1988="Emag_Reporting","Legacy but likely needed",$C1988="Nutrition_Data_Archived_Tables","Worth keeping",$C1988="EU_Data","Static lookup tables — scripts still reference (smoke-test risk)",TRUE,"Review"),OR($A1988="thg-influencer",$A1988="thg-ingenuity",$A1988="thg-central-marketing",$A1988="thg-seoclarity"),"HOLD — Charlie Stringer to review before deletion",TRUE,"")</f>
        <v>Review</v>
      </c>
      <c r="S1988" t="s">
        <v>1631</v>
      </c>
    </row>
    <row r="1989" spans="1:19" ht="76.5" hidden="1">
      <c r="A1989" t="s">
        <v>91</v>
      </c>
      <c r="B1989" t="s">
        <v>1619</v>
      </c>
      <c r="C1989" t="s">
        <v>2107</v>
      </c>
      <c r="D1989" s="2" t="s">
        <v>1621</v>
      </c>
      <c r="E1989">
        <v>0</v>
      </c>
      <c r="F1989">
        <v>0</v>
      </c>
      <c r="G1989" t="s">
        <v>72</v>
      </c>
      <c r="H1989" t="s">
        <v>3457</v>
      </c>
      <c r="I1989">
        <v>26</v>
      </c>
      <c r="J1989">
        <v>796</v>
      </c>
      <c r="K1989" s="5">
        <v>46170.558144143521</v>
      </c>
      <c r="M1989" s="2" t="s">
        <v>4313</v>
      </c>
      <c r="N1989" s="2" t="s">
        <v>1701</v>
      </c>
      <c r="O1989" s="5">
        <v>45400.455400254628</v>
      </c>
      <c r="P1989" t="str">
        <f>IF($Q1989="DELETE",IF($S1989="CONFIRMED: NO MODS &gt; 1YR","CONFIRMED: NO MODS &gt; 1YR","DO NOT DELETE — not defensibly confirmed"),IF($Q1989="HOLD","DO NOT DELETE — HOLD (Charlie review)",IF($Q1989="KEEP","DO NOT DELETE — KEEP",IF(ISNUMBER(SEARCH("REVIEW",$Q1989)),"DO NOT DELETE — REVIEW pending",$S1989))))</f>
        <v>REVIEW</v>
      </c>
      <c r="Q1989" t="str" cm="1">
        <f t="array" ref="Q1989">_xlfn.IFS(AND($A1989="thg-beauty",ISNUMBER(SEARCH("liveramp",$C1989))),"DELETE",$A1989="agile-bonbon-662",_xlfn.IFS(LEFT($G1989,9)="Tranche 1","DELETE",$C1989="Sessions_Level_1_All_Sites","KEEP",ISNUMBER(--$C1989),"REVIEW — UA raw logs",$C1989="Emag_Reporting","KEEP",$C1989="Nutrition_Data_Archived_Tables","KEEP",$C1989="EU_Data","KEEP",TRUE,"REVIEW"),OR($A1989="thg-influencer",$A1989="thg-ingenuity",$A1989="thg-central-marketing",$A1989="thg-seoclarity"),"HOLD",TRUE,"")</f>
        <v/>
      </c>
      <c r="R1989" t="str" cm="1">
        <f t="array" ref="R1989">_xlfn.IFS(AND($A1989="thg-beauty",ISNUMBER(SEARCH("liveramp",$C1989))),"thg-beauty Liveramp dataset — confirmed safe to delete",$A1989="agile-bonbon-662",_xlfn.IFS(LEFT($G1989,9)="Tranche 1","Tranche 1: cleared",$C1989="Sessions_Level_1_All_Sites","Downstream aggregation of UA raw logs — keep if raw tables go",ISNUMBER(--$C1989),"UA raw site logs (account ID) — keep pending audit-retention check",$C1989="Emag_Reporting","Legacy but likely needed",$C1989="Nutrition_Data_Archived_Tables","Worth keeping",$C1989="EU_Data","Static lookup tables — scripts still reference (smoke-test risk)",TRUE,"Review"),OR($A1989="thg-influencer",$A1989="thg-ingenuity",$A1989="thg-central-marketing",$A1989="thg-seoclarity"),"HOLD — Charlie Stringer to review before deletion",TRUE,"")</f>
        <v/>
      </c>
      <c r="S1989" t="s">
        <v>1631</v>
      </c>
    </row>
    <row r="1990" spans="1:19" hidden="1">
      <c r="A1990" t="s">
        <v>92</v>
      </c>
      <c r="B1990" t="s">
        <v>1619</v>
      </c>
      <c r="C1990" t="s">
        <v>4314</v>
      </c>
      <c r="D1990" s="2" t="s">
        <v>1621</v>
      </c>
      <c r="E1990">
        <v>48.46</v>
      </c>
      <c r="F1990">
        <v>0.97</v>
      </c>
      <c r="G1990" t="s">
        <v>72</v>
      </c>
      <c r="H1990" t="s">
        <v>3457</v>
      </c>
      <c r="I1990">
        <v>625</v>
      </c>
      <c r="J1990">
        <v>625</v>
      </c>
      <c r="M1990" s="2" t="s">
        <v>1715</v>
      </c>
      <c r="N1990" s="2" t="s">
        <v>1701</v>
      </c>
      <c r="O1990" s="5">
        <v>45571.696063136573</v>
      </c>
      <c r="P1990" t="str">
        <f>IF($Q1990="DELETE",IF($S1990="CONFIRMED: NO MODS &gt; 1YR","CONFIRMED: NO MODS &gt; 1YR","DO NOT DELETE — not defensibly confirmed"),IF($Q1990="HOLD","DO NOT DELETE — HOLD (Charlie review)",IF($Q1990="KEEP","DO NOT DELETE — KEEP",IF(ISNUMBER(SEARCH("REVIEW",$Q1990)),"DO NOT DELETE — REVIEW pending",$S1990))))</f>
        <v>REVIEW</v>
      </c>
      <c r="Q1990" t="str" cm="1">
        <f t="array" ref="Q1990">_xlfn.IFS(AND($A1990="thg-beauty",ISNUMBER(SEARCH("liveramp",$C1990))),"DELETE",$A1990="agile-bonbon-662",_xlfn.IFS(LEFT($G1990,9)="Tranche 1","DELETE",$C1990="Sessions_Level_1_All_Sites","KEEP",ISNUMBER(--$C1990),"REVIEW — UA raw logs",$C1990="Emag_Reporting","KEEP",$C1990="Nutrition_Data_Archived_Tables","KEEP",$C1990="EU_Data","KEEP",TRUE,"REVIEW"),OR($A1990="thg-influencer",$A1990="thg-ingenuity",$A1990="thg-central-marketing",$A1990="thg-seoclarity"),"HOLD",TRUE,"")</f>
        <v/>
      </c>
      <c r="R1990" t="str" cm="1">
        <f t="array" ref="R1990">_xlfn.IFS(AND($A1990="thg-beauty",ISNUMBER(SEARCH("liveramp",$C1990))),"thg-beauty Liveramp dataset — confirmed safe to delete",$A1990="agile-bonbon-662",_xlfn.IFS(LEFT($G1990,9)="Tranche 1","Tranche 1: cleared",$C1990="Sessions_Level_1_All_Sites","Downstream aggregation of UA raw logs — keep if raw tables go",ISNUMBER(--$C1990),"UA raw site logs (account ID) — keep pending audit-retention check",$C1990="Emag_Reporting","Legacy but likely needed",$C1990="Nutrition_Data_Archived_Tables","Worth keeping",$C1990="EU_Data","Static lookup tables — scripts still reference (smoke-test risk)",TRUE,"Review"),OR($A1990="thg-influencer",$A1990="thg-ingenuity",$A1990="thg-central-marketing",$A1990="thg-seoclarity"),"HOLD — Charlie Stringer to review before deletion",TRUE,"")</f>
        <v/>
      </c>
      <c r="S1990" t="s">
        <v>1631</v>
      </c>
    </row>
    <row r="1991" spans="1:19" ht="60.75" hidden="1">
      <c r="A1991" t="s">
        <v>2163</v>
      </c>
      <c r="B1991" t="s">
        <v>1619</v>
      </c>
      <c r="C1991" t="s">
        <v>4315</v>
      </c>
      <c r="D1991" s="2" t="s">
        <v>1621</v>
      </c>
      <c r="E1991">
        <v>34.46</v>
      </c>
      <c r="F1991">
        <v>0.69</v>
      </c>
      <c r="G1991" t="s">
        <v>72</v>
      </c>
      <c r="H1991" t="s">
        <v>3457</v>
      </c>
      <c r="I1991">
        <v>11</v>
      </c>
      <c r="J1991">
        <v>1842</v>
      </c>
      <c r="K1991" s="5">
        <v>46185.573596805552</v>
      </c>
      <c r="M1991" s="2" t="s">
        <v>4316</v>
      </c>
      <c r="N1991" s="2" t="s">
        <v>1701</v>
      </c>
      <c r="O1991" s="5">
        <v>44355.350780196757</v>
      </c>
      <c r="P1991" t="str">
        <f>IF($Q1991="DELETE",IF($S1991="CONFIRMED: NO MODS &gt; 1YR","CONFIRMED: NO MODS &gt; 1YR","DO NOT DELETE — not defensibly confirmed"),IF($Q1991="HOLD","DO NOT DELETE — HOLD (Charlie review)",IF($Q1991="KEEP","DO NOT DELETE — KEEP",IF(ISNUMBER(SEARCH("REVIEW",$Q1991)),"DO NOT DELETE — REVIEW pending",$S1991))))</f>
        <v>REVIEW</v>
      </c>
      <c r="Q1991" t="str" cm="1">
        <f t="array" ref="Q1991">_xlfn.IFS(AND($A1991="thg-beauty",ISNUMBER(SEARCH("liveramp",$C1991))),"DELETE",$A1991="agile-bonbon-662",_xlfn.IFS(LEFT($G1991,9)="Tranche 1","DELETE",$C1991="Sessions_Level_1_All_Sites","KEEP",ISNUMBER(--$C1991),"REVIEW — UA raw logs",$C1991="Emag_Reporting","KEEP",$C1991="Nutrition_Data_Archived_Tables","KEEP",$C1991="EU_Data","KEEP",TRUE,"REVIEW"),OR($A1991="thg-influencer",$A1991="thg-ingenuity",$A1991="thg-central-marketing",$A1991="thg-seoclarity"),"HOLD",TRUE,"")</f>
        <v/>
      </c>
      <c r="R1991" t="str" cm="1">
        <f t="array" ref="R1991">_xlfn.IFS(AND($A1991="thg-beauty",ISNUMBER(SEARCH("liveramp",$C1991))),"thg-beauty Liveramp dataset — confirmed safe to delete",$A1991="agile-bonbon-662",_xlfn.IFS(LEFT($G1991,9)="Tranche 1","Tranche 1: cleared",$C1991="Sessions_Level_1_All_Sites","Downstream aggregation of UA raw logs — keep if raw tables go",ISNUMBER(--$C1991),"UA raw site logs (account ID) — keep pending audit-retention check",$C1991="Emag_Reporting","Legacy but likely needed",$C1991="Nutrition_Data_Archived_Tables","Worth keeping",$C1991="EU_Data","Static lookup tables — scripts still reference (smoke-test risk)",TRUE,"Review"),OR($A1991="thg-influencer",$A1991="thg-ingenuity",$A1991="thg-central-marketing",$A1991="thg-seoclarity"),"HOLD — Charlie Stringer to review before deletion",TRUE,"")</f>
        <v/>
      </c>
      <c r="S1991" t="s">
        <v>1631</v>
      </c>
    </row>
    <row r="1992" spans="1:19" hidden="1">
      <c r="A1992" t="s">
        <v>2163</v>
      </c>
      <c r="B1992" t="s">
        <v>1619</v>
      </c>
      <c r="C1992" t="s">
        <v>4317</v>
      </c>
      <c r="D1992" s="2" t="s">
        <v>1621</v>
      </c>
      <c r="E1992">
        <v>0.68</v>
      </c>
      <c r="F1992">
        <v>0.01</v>
      </c>
      <c r="G1992" t="s">
        <v>72</v>
      </c>
      <c r="H1992" t="s">
        <v>3457</v>
      </c>
      <c r="I1992">
        <v>11</v>
      </c>
      <c r="J1992">
        <v>1335</v>
      </c>
      <c r="K1992" s="5">
        <v>46185.573596805552</v>
      </c>
      <c r="M1992" s="2" t="s">
        <v>4318</v>
      </c>
      <c r="N1992" s="2" t="s">
        <v>1701</v>
      </c>
      <c r="O1992" s="5">
        <v>44861.591326192131</v>
      </c>
      <c r="P1992" t="str">
        <f>IF($Q1992="DELETE",IF($S1992="CONFIRMED: NO MODS &gt; 1YR","CONFIRMED: NO MODS &gt; 1YR","DO NOT DELETE — not defensibly confirmed"),IF($Q1992="HOLD","DO NOT DELETE — HOLD (Charlie review)",IF($Q1992="KEEP","DO NOT DELETE — KEEP",IF(ISNUMBER(SEARCH("REVIEW",$Q1992)),"DO NOT DELETE — REVIEW pending",$S1992))))</f>
        <v>REVIEW</v>
      </c>
      <c r="Q1992" t="str" cm="1">
        <f t="array" ref="Q1992">_xlfn.IFS(AND($A1992="thg-beauty",ISNUMBER(SEARCH("liveramp",$C1992))),"DELETE",$A1992="agile-bonbon-662",_xlfn.IFS(LEFT($G1992,9)="Tranche 1","DELETE",$C1992="Sessions_Level_1_All_Sites","KEEP",ISNUMBER(--$C1992),"REVIEW — UA raw logs",$C1992="Emag_Reporting","KEEP",$C1992="Nutrition_Data_Archived_Tables","KEEP",$C1992="EU_Data","KEEP",TRUE,"REVIEW"),OR($A1992="thg-influencer",$A1992="thg-ingenuity",$A1992="thg-central-marketing",$A1992="thg-seoclarity"),"HOLD",TRUE,"")</f>
        <v/>
      </c>
      <c r="R1992" t="str" cm="1">
        <f t="array" ref="R1992">_xlfn.IFS(AND($A1992="thg-beauty",ISNUMBER(SEARCH("liveramp",$C1992))),"thg-beauty Liveramp dataset — confirmed safe to delete",$A1992="agile-bonbon-662",_xlfn.IFS(LEFT($G1992,9)="Tranche 1","Tranche 1: cleared",$C1992="Sessions_Level_1_All_Sites","Downstream aggregation of UA raw logs — keep if raw tables go",ISNUMBER(--$C1992),"UA raw site logs (account ID) — keep pending audit-retention check",$C1992="Emag_Reporting","Legacy but likely needed",$C1992="Nutrition_Data_Archived_Tables","Worth keeping",$C1992="EU_Data","Static lookup tables — scripts still reference (smoke-test risk)",TRUE,"Review"),OR($A1992="thg-influencer",$A1992="thg-ingenuity",$A1992="thg-central-marketing",$A1992="thg-seoclarity"),"HOLD — Charlie Stringer to review before deletion",TRUE,"")</f>
        <v/>
      </c>
      <c r="S1992" t="s">
        <v>1631</v>
      </c>
    </row>
    <row r="1993" spans="1:19" ht="76.5" hidden="1">
      <c r="A1993" t="s">
        <v>89</v>
      </c>
      <c r="B1993" t="s">
        <v>1619</v>
      </c>
      <c r="C1993" t="s">
        <v>4319</v>
      </c>
      <c r="D1993" s="2" t="s">
        <v>1621</v>
      </c>
      <c r="E1993">
        <v>0.11</v>
      </c>
      <c r="F1993">
        <v>0</v>
      </c>
      <c r="G1993" t="s">
        <v>72</v>
      </c>
      <c r="H1993" t="s">
        <v>3457</v>
      </c>
      <c r="I1993">
        <v>2</v>
      </c>
      <c r="J1993">
        <v>639</v>
      </c>
      <c r="K1993" s="5">
        <v>46194.642811851852</v>
      </c>
      <c r="M1993" s="2" t="s">
        <v>4320</v>
      </c>
      <c r="N1993" s="2" t="s">
        <v>1701</v>
      </c>
      <c r="O1993" s="5">
        <v>45558.310262997693</v>
      </c>
      <c r="P1993" t="str">
        <f>IF($Q1993="DELETE",IF($S1993="CONFIRMED: NO MODS &gt; 1YR","CONFIRMED: NO MODS &gt; 1YR","DO NOT DELETE — not defensibly confirmed"),IF($Q1993="HOLD","DO NOT DELETE — HOLD (Charlie review)",IF($Q1993="KEEP","DO NOT DELETE — KEEP",IF(ISNUMBER(SEARCH("REVIEW",$Q1993)),"DO NOT DELETE — REVIEW pending",$S1993))))</f>
        <v>DO NOT DELETE — REVIEW pending</v>
      </c>
      <c r="Q1993" t="str" cm="1">
        <f t="array" ref="Q1993">_xlfn.IFS(AND($A1993="thg-beauty",ISNUMBER(SEARCH("liveramp",$C1993))),"DELETE",$A1993="agile-bonbon-662",_xlfn.IFS(LEFT($G1993,9)="Tranche 1","DELETE",$C1993="Sessions_Level_1_All_Sites","KEEP",ISNUMBER(--$C1993),"REVIEW — UA raw logs",$C1993="Emag_Reporting","KEEP",$C1993="Nutrition_Data_Archived_Tables","KEEP",$C1993="EU_Data","KEEP",TRUE,"REVIEW"),OR($A1993="thg-influencer",$A1993="thg-ingenuity",$A1993="thg-central-marketing",$A1993="thg-seoclarity"),"HOLD",TRUE,"")</f>
        <v>REVIEW</v>
      </c>
      <c r="R1993" t="str" cm="1">
        <f t="array" ref="R1993">_xlfn.IFS(AND($A1993="thg-beauty",ISNUMBER(SEARCH("liveramp",$C1993))),"thg-beauty Liveramp dataset — confirmed safe to delete",$A1993="agile-bonbon-662",_xlfn.IFS(LEFT($G1993,9)="Tranche 1","Tranche 1: cleared",$C1993="Sessions_Level_1_All_Sites","Downstream aggregation of UA raw logs — keep if raw tables go",ISNUMBER(--$C1993),"UA raw site logs (account ID) — keep pending audit-retention check",$C1993="Emag_Reporting","Legacy but likely needed",$C1993="Nutrition_Data_Archived_Tables","Worth keeping",$C1993="EU_Data","Static lookup tables — scripts still reference (smoke-test risk)",TRUE,"Review"),OR($A1993="thg-influencer",$A1993="thg-ingenuity",$A1993="thg-central-marketing",$A1993="thg-seoclarity"),"HOLD — Charlie Stringer to review before deletion",TRUE,"")</f>
        <v>Review</v>
      </c>
      <c r="S1993" t="s">
        <v>1631</v>
      </c>
    </row>
    <row r="1994" spans="1:19" ht="76.5" hidden="1">
      <c r="A1994" t="s">
        <v>89</v>
      </c>
      <c r="B1994" t="s">
        <v>1619</v>
      </c>
      <c r="C1994" t="s">
        <v>849</v>
      </c>
      <c r="D1994" s="2" t="s">
        <v>1621</v>
      </c>
      <c r="E1994">
        <v>72.790000000000006</v>
      </c>
      <c r="F1994">
        <v>1.46</v>
      </c>
      <c r="G1994" t="s">
        <v>72</v>
      </c>
      <c r="H1994" t="s">
        <v>3457</v>
      </c>
      <c r="I1994">
        <v>0</v>
      </c>
      <c r="J1994">
        <v>1708</v>
      </c>
      <c r="K1994" s="5">
        <v>46197.416715358799</v>
      </c>
      <c r="M1994" s="2" t="s">
        <v>4321</v>
      </c>
      <c r="N1994" s="2" t="s">
        <v>1701</v>
      </c>
      <c r="O1994" s="5">
        <v>44488.674465995369</v>
      </c>
      <c r="P1994" t="str">
        <f>IF($Q1994="DELETE",IF($S1994="CONFIRMED: NO MODS &gt; 1YR","CONFIRMED: NO MODS &gt; 1YR","DO NOT DELETE — not defensibly confirmed"),IF($Q1994="HOLD","DO NOT DELETE — HOLD (Charlie review)",IF($Q1994="KEEP","DO NOT DELETE — KEEP",IF(ISNUMBER(SEARCH("REVIEW",$Q1994)),"DO NOT DELETE — REVIEW pending",$S1994))))</f>
        <v>DO NOT DELETE — KEEP</v>
      </c>
      <c r="Q1994" t="str" cm="1">
        <f t="array" ref="Q1994">_xlfn.IFS(AND($A1994="thg-beauty",ISNUMBER(SEARCH("liveramp",$C1994))),"DELETE",$A1994="agile-bonbon-662",_xlfn.IFS(LEFT($G1994,9)="Tranche 1","DELETE",$C1994="Sessions_Level_1_All_Sites","KEEP",ISNUMBER(--$C1994),"REVIEW — UA raw logs",$C1994="Emag_Reporting","KEEP",$C1994="Nutrition_Data_Archived_Tables","KEEP",$C1994="EU_Data","KEEP",TRUE,"REVIEW"),OR($A1994="thg-influencer",$A1994="thg-ingenuity",$A1994="thg-central-marketing",$A1994="thg-seoclarity"),"HOLD",TRUE,"")</f>
        <v>KEEP</v>
      </c>
      <c r="R1994" t="str" cm="1">
        <f t="array" ref="R1994">_xlfn.IFS(AND($A1994="thg-beauty",ISNUMBER(SEARCH("liveramp",$C1994))),"thg-beauty Liveramp dataset — confirmed safe to delete",$A1994="agile-bonbon-662",_xlfn.IFS(LEFT($G1994,9)="Tranche 1","Tranche 1: cleared",$C1994="Sessions_Level_1_All_Sites","Downstream aggregation of UA raw logs — keep if raw tables go",ISNUMBER(--$C1994),"UA raw site logs (account ID) — keep pending audit-retention check",$C1994="Emag_Reporting","Legacy but likely needed",$C1994="Nutrition_Data_Archived_Tables","Worth keeping",$C1994="EU_Data","Static lookup tables — scripts still reference (smoke-test risk)",TRUE,"Review"),OR($A1994="thg-influencer",$A1994="thg-ingenuity",$A1994="thg-central-marketing",$A1994="thg-seoclarity"),"HOLD — Charlie Stringer to review before deletion",TRUE,"")</f>
        <v>Static lookup tables — scripts still reference (smoke-test risk)</v>
      </c>
      <c r="S1994" t="s">
        <v>1631</v>
      </c>
    </row>
    <row r="1995" spans="1:19" ht="76.5" hidden="1">
      <c r="A1995" t="s">
        <v>1471</v>
      </c>
      <c r="B1995" t="s">
        <v>1619</v>
      </c>
      <c r="C1995" t="s">
        <v>1472</v>
      </c>
      <c r="D1995" s="2" t="s">
        <v>1621</v>
      </c>
      <c r="E1995">
        <v>13.67</v>
      </c>
      <c r="F1995">
        <v>0.27</v>
      </c>
      <c r="G1995" t="s">
        <v>72</v>
      </c>
      <c r="H1995" t="s">
        <v>3457</v>
      </c>
      <c r="I1995">
        <v>0</v>
      </c>
      <c r="J1995">
        <v>457</v>
      </c>
      <c r="K1995" s="5">
        <v>46197.350041979167</v>
      </c>
      <c r="M1995" s="2" t="s">
        <v>4322</v>
      </c>
      <c r="N1995" s="2" t="s">
        <v>1701</v>
      </c>
      <c r="O1995" s="5">
        <v>45740.447064618063</v>
      </c>
      <c r="P1995" t="str">
        <f>IF($Q1995="DELETE",IF($S1995="CONFIRMED: NO MODS &gt; 1YR","CONFIRMED: NO MODS &gt; 1YR","DO NOT DELETE — not defensibly confirmed"),IF($Q1995="HOLD","DO NOT DELETE — HOLD (Charlie review)",IF($Q1995="KEEP","DO NOT DELETE — KEEP",IF(ISNUMBER(SEARCH("REVIEW",$Q1995)),"DO NOT DELETE — REVIEW pending",$S1995))))</f>
        <v>REVIEW</v>
      </c>
      <c r="Q1995" t="str" cm="1">
        <f t="array" ref="Q1995">_xlfn.IFS(AND($A1995="thg-beauty",ISNUMBER(SEARCH("liveramp",$C1995))),"DELETE",$A1995="agile-bonbon-662",_xlfn.IFS(LEFT($G1995,9)="Tranche 1","DELETE",$C1995="Sessions_Level_1_All_Sites","KEEP",ISNUMBER(--$C1995),"REVIEW — UA raw logs",$C1995="Emag_Reporting","KEEP",$C1995="Nutrition_Data_Archived_Tables","KEEP",$C1995="EU_Data","KEEP",TRUE,"REVIEW"),OR($A1995="thg-influencer",$A1995="thg-ingenuity",$A1995="thg-central-marketing",$A1995="thg-seoclarity"),"HOLD",TRUE,"")</f>
        <v/>
      </c>
      <c r="R1995" t="str" cm="1">
        <f t="array" ref="R1995">_xlfn.IFS(AND($A1995="thg-beauty",ISNUMBER(SEARCH("liveramp",$C1995))),"thg-beauty Liveramp dataset — confirmed safe to delete",$A1995="agile-bonbon-662",_xlfn.IFS(LEFT($G1995,9)="Tranche 1","Tranche 1: cleared",$C1995="Sessions_Level_1_All_Sites","Downstream aggregation of UA raw logs — keep if raw tables go",ISNUMBER(--$C1995),"UA raw site logs (account ID) — keep pending audit-retention check",$C1995="Emag_Reporting","Legacy but likely needed",$C1995="Nutrition_Data_Archived_Tables","Worth keeping",$C1995="EU_Data","Static lookup tables — scripts still reference (smoke-test risk)",TRUE,"Review"),OR($A1995="thg-influencer",$A1995="thg-ingenuity",$A1995="thg-central-marketing",$A1995="thg-seoclarity"),"HOLD — Charlie Stringer to review before deletion",TRUE,"")</f>
        <v/>
      </c>
      <c r="S1995" t="s">
        <v>1631</v>
      </c>
    </row>
    <row r="1996" spans="1:19" ht="76.5" hidden="1">
      <c r="A1996" t="s">
        <v>2513</v>
      </c>
      <c r="B1996" t="s">
        <v>1619</v>
      </c>
      <c r="C1996" t="s">
        <v>4323</v>
      </c>
      <c r="D1996" s="2" t="s">
        <v>1621</v>
      </c>
      <c r="E1996">
        <v>0.2</v>
      </c>
      <c r="F1996">
        <v>0</v>
      </c>
      <c r="G1996" t="s">
        <v>72</v>
      </c>
      <c r="H1996" t="s">
        <v>3457</v>
      </c>
      <c r="I1996">
        <v>0</v>
      </c>
      <c r="J1996">
        <v>694</v>
      </c>
      <c r="K1996" s="5">
        <v>46197.239764768521</v>
      </c>
      <c r="M1996" s="2" t="s">
        <v>4324</v>
      </c>
      <c r="N1996" s="2" t="s">
        <v>1701</v>
      </c>
      <c r="O1996" s="5">
        <v>45502.493189699067</v>
      </c>
      <c r="P1996" t="str">
        <f>IF($Q1996="DELETE",IF($S1996="CONFIRMED: NO MODS &gt; 1YR","CONFIRMED: NO MODS &gt; 1YR","DO NOT DELETE — not defensibly confirmed"),IF($Q1996="HOLD","DO NOT DELETE — HOLD (Charlie review)",IF($Q1996="KEEP","DO NOT DELETE — KEEP",IF(ISNUMBER(SEARCH("REVIEW",$Q1996)),"DO NOT DELETE — REVIEW pending",$S1996))))</f>
        <v>REVIEW</v>
      </c>
      <c r="Q1996" t="str" cm="1">
        <f t="array" ref="Q1996">_xlfn.IFS(AND($A1996="thg-beauty",ISNUMBER(SEARCH("liveramp",$C1996))),"DELETE",$A1996="agile-bonbon-662",_xlfn.IFS(LEFT($G1996,9)="Tranche 1","DELETE",$C1996="Sessions_Level_1_All_Sites","KEEP",ISNUMBER(--$C1996),"REVIEW — UA raw logs",$C1996="Emag_Reporting","KEEP",$C1996="Nutrition_Data_Archived_Tables","KEEP",$C1996="EU_Data","KEEP",TRUE,"REVIEW"),OR($A1996="thg-influencer",$A1996="thg-ingenuity",$A1996="thg-central-marketing",$A1996="thg-seoclarity"),"HOLD",TRUE,"")</f>
        <v/>
      </c>
      <c r="R1996" t="str" cm="1">
        <f t="array" ref="R1996">_xlfn.IFS(AND($A1996="thg-beauty",ISNUMBER(SEARCH("liveramp",$C1996))),"thg-beauty Liveramp dataset — confirmed safe to delete",$A1996="agile-bonbon-662",_xlfn.IFS(LEFT($G1996,9)="Tranche 1","Tranche 1: cleared",$C1996="Sessions_Level_1_All_Sites","Downstream aggregation of UA raw logs — keep if raw tables go",ISNUMBER(--$C1996),"UA raw site logs (account ID) — keep pending audit-retention check",$C1996="Emag_Reporting","Legacy but likely needed",$C1996="Nutrition_Data_Archived_Tables","Worth keeping",$C1996="EU_Data","Static lookup tables — scripts still reference (smoke-test risk)",TRUE,"Review"),OR($A1996="thg-influencer",$A1996="thg-ingenuity",$A1996="thg-central-marketing",$A1996="thg-seoclarity"),"HOLD — Charlie Stringer to review before deletion",TRUE,"")</f>
        <v/>
      </c>
      <c r="S1996" t="s">
        <v>1631</v>
      </c>
    </row>
    <row r="1997" spans="1:19" hidden="1">
      <c r="A1997" t="s">
        <v>92</v>
      </c>
      <c r="B1997" t="s">
        <v>1619</v>
      </c>
      <c r="C1997" t="s">
        <v>4325</v>
      </c>
      <c r="D1997" s="2" t="s">
        <v>1621</v>
      </c>
      <c r="E1997">
        <v>15.24</v>
      </c>
      <c r="F1997">
        <v>0.3</v>
      </c>
      <c r="G1997" t="s">
        <v>72</v>
      </c>
      <c r="H1997" t="s">
        <v>3457</v>
      </c>
      <c r="I1997">
        <v>459</v>
      </c>
      <c r="J1997">
        <v>459</v>
      </c>
      <c r="M1997" s="2" t="s">
        <v>1715</v>
      </c>
      <c r="N1997" s="2" t="s">
        <v>1701</v>
      </c>
      <c r="O1997" s="5">
        <v>45737.585980960648</v>
      </c>
      <c r="P1997" t="str">
        <f>IF($Q1997="DELETE",IF($S1997="CONFIRMED: NO MODS &gt; 1YR","CONFIRMED: NO MODS &gt; 1YR","DO NOT DELETE — not defensibly confirmed"),IF($Q1997="HOLD","DO NOT DELETE — HOLD (Charlie review)",IF($Q1997="KEEP","DO NOT DELETE — KEEP",IF(ISNUMBER(SEARCH("REVIEW",$Q1997)),"DO NOT DELETE — REVIEW pending",$S1997))))</f>
        <v>REVIEW</v>
      </c>
      <c r="Q1997" t="str" cm="1">
        <f t="array" ref="Q1997">_xlfn.IFS(AND($A1997="thg-beauty",ISNUMBER(SEARCH("liveramp",$C1997))),"DELETE",$A1997="agile-bonbon-662",_xlfn.IFS(LEFT($G1997,9)="Tranche 1","DELETE",$C1997="Sessions_Level_1_All_Sites","KEEP",ISNUMBER(--$C1997),"REVIEW — UA raw logs",$C1997="Emag_Reporting","KEEP",$C1997="Nutrition_Data_Archived_Tables","KEEP",$C1997="EU_Data","KEEP",TRUE,"REVIEW"),OR($A1997="thg-influencer",$A1997="thg-ingenuity",$A1997="thg-central-marketing",$A1997="thg-seoclarity"),"HOLD",TRUE,"")</f>
        <v/>
      </c>
      <c r="R1997" t="str" cm="1">
        <f t="array" ref="R1997">_xlfn.IFS(AND($A1997="thg-beauty",ISNUMBER(SEARCH("liveramp",$C1997))),"thg-beauty Liveramp dataset — confirmed safe to delete",$A1997="agile-bonbon-662",_xlfn.IFS(LEFT($G1997,9)="Tranche 1","Tranche 1: cleared",$C1997="Sessions_Level_1_All_Sites","Downstream aggregation of UA raw logs — keep if raw tables go",ISNUMBER(--$C1997),"UA raw site logs (account ID) — keep pending audit-retention check",$C1997="Emag_Reporting","Legacy but likely needed",$C1997="Nutrition_Data_Archived_Tables","Worth keeping",$C1997="EU_Data","Static lookup tables — scripts still reference (smoke-test risk)",TRUE,"Review"),OR($A1997="thg-influencer",$A1997="thg-ingenuity",$A1997="thg-central-marketing",$A1997="thg-seoclarity"),"HOLD — Charlie Stringer to review before deletion",TRUE,"")</f>
        <v/>
      </c>
      <c r="S1997" t="s">
        <v>1631</v>
      </c>
    </row>
    <row r="1998" spans="1:19" hidden="1">
      <c r="A1998" t="s">
        <v>92</v>
      </c>
      <c r="B1998" t="s">
        <v>1619</v>
      </c>
      <c r="C1998" t="s">
        <v>4326</v>
      </c>
      <c r="D1998" s="2" t="s">
        <v>1621</v>
      </c>
      <c r="E1998">
        <v>12.01</v>
      </c>
      <c r="F1998">
        <v>0.24</v>
      </c>
      <c r="G1998" t="s">
        <v>72</v>
      </c>
      <c r="H1998" t="s">
        <v>3457</v>
      </c>
      <c r="I1998">
        <v>813</v>
      </c>
      <c r="J1998">
        <v>813</v>
      </c>
      <c r="M1998" s="2" t="s">
        <v>1715</v>
      </c>
      <c r="N1998" s="2" t="s">
        <v>1701</v>
      </c>
      <c r="O1998" s="5">
        <v>45384.271263287039</v>
      </c>
      <c r="P1998" t="str">
        <f>IF($Q1998="DELETE",IF($S1998="CONFIRMED: NO MODS &gt; 1YR","CONFIRMED: NO MODS &gt; 1YR","DO NOT DELETE — not defensibly confirmed"),IF($Q1998="HOLD","DO NOT DELETE — HOLD (Charlie review)",IF($Q1998="KEEP","DO NOT DELETE — KEEP",IF(ISNUMBER(SEARCH("REVIEW",$Q1998)),"DO NOT DELETE — REVIEW pending",$S1998))))</f>
        <v>REVIEW</v>
      </c>
      <c r="Q1998" t="str" cm="1">
        <f t="array" ref="Q1998">_xlfn.IFS(AND($A1998="thg-beauty",ISNUMBER(SEARCH("liveramp",$C1998))),"DELETE",$A1998="agile-bonbon-662",_xlfn.IFS(LEFT($G1998,9)="Tranche 1","DELETE",$C1998="Sessions_Level_1_All_Sites","KEEP",ISNUMBER(--$C1998),"REVIEW — UA raw logs",$C1998="Emag_Reporting","KEEP",$C1998="Nutrition_Data_Archived_Tables","KEEP",$C1998="EU_Data","KEEP",TRUE,"REVIEW"),OR($A1998="thg-influencer",$A1998="thg-ingenuity",$A1998="thg-central-marketing",$A1998="thg-seoclarity"),"HOLD",TRUE,"")</f>
        <v/>
      </c>
      <c r="R1998" t="str" cm="1">
        <f t="array" ref="R1998">_xlfn.IFS(AND($A1998="thg-beauty",ISNUMBER(SEARCH("liveramp",$C1998))),"thg-beauty Liveramp dataset — confirmed safe to delete",$A1998="agile-bonbon-662",_xlfn.IFS(LEFT($G1998,9)="Tranche 1","Tranche 1: cleared",$C1998="Sessions_Level_1_All_Sites","Downstream aggregation of UA raw logs — keep if raw tables go",ISNUMBER(--$C1998),"UA raw site logs (account ID) — keep pending audit-retention check",$C1998="Emag_Reporting","Legacy but likely needed",$C1998="Nutrition_Data_Archived_Tables","Worth keeping",$C1998="EU_Data","Static lookup tables — scripts still reference (smoke-test risk)",TRUE,"Review"),OR($A1998="thg-influencer",$A1998="thg-ingenuity",$A1998="thg-central-marketing",$A1998="thg-seoclarity"),"HOLD — Charlie Stringer to review before deletion",TRUE,"")</f>
        <v/>
      </c>
      <c r="S1998" t="s">
        <v>1631</v>
      </c>
    </row>
    <row r="1999" spans="1:19" hidden="1">
      <c r="A1999" t="s">
        <v>92</v>
      </c>
      <c r="B1999" t="s">
        <v>1619</v>
      </c>
      <c r="C1999" t="s">
        <v>4327</v>
      </c>
      <c r="D1999" s="2" t="s">
        <v>1621</v>
      </c>
      <c r="E1999">
        <v>11.15</v>
      </c>
      <c r="F1999">
        <v>0.22</v>
      </c>
      <c r="G1999" t="s">
        <v>72</v>
      </c>
      <c r="H1999" t="s">
        <v>3457</v>
      </c>
      <c r="I1999">
        <v>937</v>
      </c>
      <c r="J1999">
        <v>937</v>
      </c>
      <c r="M1999" s="2" t="s">
        <v>1715</v>
      </c>
      <c r="N1999" s="2" t="s">
        <v>1701</v>
      </c>
      <c r="O1999" s="5">
        <v>45260.301156817128</v>
      </c>
      <c r="P1999" t="str">
        <f>IF($Q1999="DELETE",IF($S1999="CONFIRMED: NO MODS &gt; 1YR","CONFIRMED: NO MODS &gt; 1YR","DO NOT DELETE — not defensibly confirmed"),IF($Q1999="HOLD","DO NOT DELETE — HOLD (Charlie review)",IF($Q1999="KEEP","DO NOT DELETE — KEEP",IF(ISNUMBER(SEARCH("REVIEW",$Q1999)),"DO NOT DELETE — REVIEW pending",$S1999))))</f>
        <v>REVIEW</v>
      </c>
      <c r="Q1999" t="str" cm="1">
        <f t="array" ref="Q1999">_xlfn.IFS(AND($A1999="thg-beauty",ISNUMBER(SEARCH("liveramp",$C1999))),"DELETE",$A1999="agile-bonbon-662",_xlfn.IFS(LEFT($G1999,9)="Tranche 1","DELETE",$C1999="Sessions_Level_1_All_Sites","KEEP",ISNUMBER(--$C1999),"REVIEW — UA raw logs",$C1999="Emag_Reporting","KEEP",$C1999="Nutrition_Data_Archived_Tables","KEEP",$C1999="EU_Data","KEEP",TRUE,"REVIEW"),OR($A1999="thg-influencer",$A1999="thg-ingenuity",$A1999="thg-central-marketing",$A1999="thg-seoclarity"),"HOLD",TRUE,"")</f>
        <v/>
      </c>
      <c r="R1999" t="str" cm="1">
        <f t="array" ref="R1999">_xlfn.IFS(AND($A1999="thg-beauty",ISNUMBER(SEARCH("liveramp",$C1999))),"thg-beauty Liveramp dataset — confirmed safe to delete",$A1999="agile-bonbon-662",_xlfn.IFS(LEFT($G1999,9)="Tranche 1","Tranche 1: cleared",$C1999="Sessions_Level_1_All_Sites","Downstream aggregation of UA raw logs — keep if raw tables go",ISNUMBER(--$C1999),"UA raw site logs (account ID) — keep pending audit-retention check",$C1999="Emag_Reporting","Legacy but likely needed",$C1999="Nutrition_Data_Archived_Tables","Worth keeping",$C1999="EU_Data","Static lookup tables — scripts still reference (smoke-test risk)",TRUE,"Review"),OR($A1999="thg-influencer",$A1999="thg-ingenuity",$A1999="thg-central-marketing",$A1999="thg-seoclarity"),"HOLD — Charlie Stringer to review before deletion",TRUE,"")</f>
        <v/>
      </c>
      <c r="S1999" t="s">
        <v>1631</v>
      </c>
    </row>
    <row r="2000" spans="1:19" hidden="1">
      <c r="A2000" t="s">
        <v>92</v>
      </c>
      <c r="B2000" t="s">
        <v>1619</v>
      </c>
      <c r="C2000" t="s">
        <v>4328</v>
      </c>
      <c r="D2000" s="2" t="s">
        <v>1621</v>
      </c>
      <c r="E2000">
        <v>7.6</v>
      </c>
      <c r="F2000">
        <v>0.15</v>
      </c>
      <c r="G2000" t="s">
        <v>72</v>
      </c>
      <c r="H2000" t="s">
        <v>3457</v>
      </c>
      <c r="I2000">
        <v>1001</v>
      </c>
      <c r="J2000">
        <v>1001</v>
      </c>
      <c r="M2000" s="2" t="s">
        <v>1715</v>
      </c>
      <c r="N2000" s="2" t="s">
        <v>1701</v>
      </c>
      <c r="O2000" s="5">
        <v>45196.399989675927</v>
      </c>
      <c r="P2000" t="str">
        <f>IF($Q2000="DELETE",IF($S2000="CONFIRMED: NO MODS &gt; 1YR","CONFIRMED: NO MODS &gt; 1YR","DO NOT DELETE — not defensibly confirmed"),IF($Q2000="HOLD","DO NOT DELETE — HOLD (Charlie review)",IF($Q2000="KEEP","DO NOT DELETE — KEEP",IF(ISNUMBER(SEARCH("REVIEW",$Q2000)),"DO NOT DELETE — REVIEW pending",$S2000))))</f>
        <v>REVIEW</v>
      </c>
      <c r="Q2000" t="str" cm="1">
        <f t="array" ref="Q2000">_xlfn.IFS(AND($A2000="thg-beauty",ISNUMBER(SEARCH("liveramp",$C2000))),"DELETE",$A2000="agile-bonbon-662",_xlfn.IFS(LEFT($G2000,9)="Tranche 1","DELETE",$C2000="Sessions_Level_1_All_Sites","KEEP",ISNUMBER(--$C2000),"REVIEW — UA raw logs",$C2000="Emag_Reporting","KEEP",$C2000="Nutrition_Data_Archived_Tables","KEEP",$C2000="EU_Data","KEEP",TRUE,"REVIEW"),OR($A2000="thg-influencer",$A2000="thg-ingenuity",$A2000="thg-central-marketing",$A2000="thg-seoclarity"),"HOLD",TRUE,"")</f>
        <v/>
      </c>
      <c r="R2000" t="str" cm="1">
        <f t="array" ref="R2000">_xlfn.IFS(AND($A2000="thg-beauty",ISNUMBER(SEARCH("liveramp",$C2000))),"thg-beauty Liveramp dataset — confirmed safe to delete",$A2000="agile-bonbon-662",_xlfn.IFS(LEFT($G2000,9)="Tranche 1","Tranche 1: cleared",$C2000="Sessions_Level_1_All_Sites","Downstream aggregation of UA raw logs — keep if raw tables go",ISNUMBER(--$C2000),"UA raw site logs (account ID) — keep pending audit-retention check",$C2000="Emag_Reporting","Legacy but likely needed",$C2000="Nutrition_Data_Archived_Tables","Worth keeping",$C2000="EU_Data","Static lookup tables — scripts still reference (smoke-test risk)",TRUE,"Review"),OR($A2000="thg-influencer",$A2000="thg-ingenuity",$A2000="thg-central-marketing",$A2000="thg-seoclarity"),"HOLD — Charlie Stringer to review before deletion",TRUE,"")</f>
        <v/>
      </c>
      <c r="S2000" t="s">
        <v>1631</v>
      </c>
    </row>
    <row r="2001" spans="1:19" hidden="1">
      <c r="A2001" t="s">
        <v>92</v>
      </c>
      <c r="B2001" t="s">
        <v>1619</v>
      </c>
      <c r="C2001" t="s">
        <v>4329</v>
      </c>
      <c r="D2001" s="2" t="s">
        <v>1621</v>
      </c>
      <c r="E2001">
        <v>2.93</v>
      </c>
      <c r="F2001">
        <v>0.06</v>
      </c>
      <c r="G2001" t="s">
        <v>72</v>
      </c>
      <c r="H2001" t="s">
        <v>3457</v>
      </c>
      <c r="I2001">
        <v>502</v>
      </c>
      <c r="J2001">
        <v>502</v>
      </c>
      <c r="M2001" s="2" t="s">
        <v>1715</v>
      </c>
      <c r="N2001" s="2" t="s">
        <v>1701</v>
      </c>
      <c r="O2001" s="5">
        <v>45695.346490219898</v>
      </c>
      <c r="P2001" t="str">
        <f>IF($Q2001="DELETE",IF($S2001="CONFIRMED: NO MODS &gt; 1YR","CONFIRMED: NO MODS &gt; 1YR","DO NOT DELETE — not defensibly confirmed"),IF($Q2001="HOLD","DO NOT DELETE — HOLD (Charlie review)",IF($Q2001="KEEP","DO NOT DELETE — KEEP",IF(ISNUMBER(SEARCH("REVIEW",$Q2001)),"DO NOT DELETE — REVIEW pending",$S2001))))</f>
        <v>DO NOT DELETE — not defensibly confirmed</v>
      </c>
      <c r="Q2001" t="str" cm="1">
        <f t="array" ref="Q2001">_xlfn.IFS(AND($A2001="thg-beauty",ISNUMBER(SEARCH("liveramp",$C2001))),"DELETE",$A2001="agile-bonbon-662",_xlfn.IFS(LEFT($G2001,9)="Tranche 1","DELETE",$C2001="Sessions_Level_1_All_Sites","KEEP",ISNUMBER(--$C2001),"REVIEW — UA raw logs",$C2001="Emag_Reporting","KEEP",$C2001="Nutrition_Data_Archived_Tables","KEEP",$C2001="EU_Data","KEEP",TRUE,"REVIEW"),OR($A2001="thg-influencer",$A2001="thg-ingenuity",$A2001="thg-central-marketing",$A2001="thg-seoclarity"),"HOLD",TRUE,"")</f>
        <v>DELETE</v>
      </c>
      <c r="R2001" t="str" cm="1">
        <f t="array" ref="R2001">_xlfn.IFS(AND($A2001="thg-beauty",ISNUMBER(SEARCH("liveramp",$C2001))),"thg-beauty Liveramp dataset — confirmed safe to delete",$A2001="agile-bonbon-662",_xlfn.IFS(LEFT($G2001,9)="Tranche 1","Tranche 1: cleared",$C2001="Sessions_Level_1_All_Sites","Downstream aggregation of UA raw logs — keep if raw tables go",ISNUMBER(--$C2001),"UA raw site logs (account ID) — keep pending audit-retention check",$C2001="Emag_Reporting","Legacy but likely needed",$C2001="Nutrition_Data_Archived_Tables","Worth keeping",$C2001="EU_Data","Static lookup tables — scripts still reference (smoke-test risk)",TRUE,"Review"),OR($A2001="thg-influencer",$A2001="thg-ingenuity",$A2001="thg-central-marketing",$A2001="thg-seoclarity"),"HOLD — Charlie Stringer to review before deletion",TRUE,"")</f>
        <v>thg-beauty Liveramp dataset — confirmed safe to delete</v>
      </c>
      <c r="S2001" t="s">
        <v>1631</v>
      </c>
    </row>
    <row r="2002" spans="1:19" hidden="1">
      <c r="A2002" t="s">
        <v>92</v>
      </c>
      <c r="B2002" t="s">
        <v>1619</v>
      </c>
      <c r="C2002" t="s">
        <v>4330</v>
      </c>
      <c r="D2002" s="2" t="s">
        <v>1621</v>
      </c>
      <c r="E2002">
        <v>7.0000000000000007E-2</v>
      </c>
      <c r="F2002">
        <v>0</v>
      </c>
      <c r="G2002" t="s">
        <v>72</v>
      </c>
      <c r="H2002" t="s">
        <v>3457</v>
      </c>
      <c r="I2002">
        <v>1499</v>
      </c>
      <c r="J2002">
        <v>1499</v>
      </c>
      <c r="M2002" s="2" t="s">
        <v>1715</v>
      </c>
      <c r="N2002" s="2" t="s">
        <v>1701</v>
      </c>
      <c r="O2002" s="5">
        <v>44697.682128796303</v>
      </c>
      <c r="P2002" t="str">
        <f>IF($Q2002="DELETE",IF($S2002="CONFIRMED: NO MODS &gt; 1YR","CONFIRMED: NO MODS &gt; 1YR","DO NOT DELETE — not defensibly confirmed"),IF($Q2002="HOLD","DO NOT DELETE — HOLD (Charlie review)",IF($Q2002="KEEP","DO NOT DELETE — KEEP",IF(ISNUMBER(SEARCH("REVIEW",$Q2002)),"DO NOT DELETE — REVIEW pending",$S2002))))</f>
        <v>REVIEW</v>
      </c>
      <c r="Q2002" t="str" cm="1">
        <f t="array" ref="Q2002">_xlfn.IFS(AND($A2002="thg-beauty",ISNUMBER(SEARCH("liveramp",$C2002))),"DELETE",$A2002="agile-bonbon-662",_xlfn.IFS(LEFT($G2002,9)="Tranche 1","DELETE",$C2002="Sessions_Level_1_All_Sites","KEEP",ISNUMBER(--$C2002),"REVIEW — UA raw logs",$C2002="Emag_Reporting","KEEP",$C2002="Nutrition_Data_Archived_Tables","KEEP",$C2002="EU_Data","KEEP",TRUE,"REVIEW"),OR($A2002="thg-influencer",$A2002="thg-ingenuity",$A2002="thg-central-marketing",$A2002="thg-seoclarity"),"HOLD",TRUE,"")</f>
        <v/>
      </c>
      <c r="R2002" t="str" cm="1">
        <f t="array" ref="R2002">_xlfn.IFS(AND($A2002="thg-beauty",ISNUMBER(SEARCH("liveramp",$C2002))),"thg-beauty Liveramp dataset — confirmed safe to delete",$A2002="agile-bonbon-662",_xlfn.IFS(LEFT($G2002,9)="Tranche 1","Tranche 1: cleared",$C2002="Sessions_Level_1_All_Sites","Downstream aggregation of UA raw logs — keep if raw tables go",ISNUMBER(--$C2002),"UA raw site logs (account ID) — keep pending audit-retention check",$C2002="Emag_Reporting","Legacy but likely needed",$C2002="Nutrition_Data_Archived_Tables","Worth keeping",$C2002="EU_Data","Static lookup tables — scripts still reference (smoke-test risk)",TRUE,"Review"),OR($A2002="thg-influencer",$A2002="thg-ingenuity",$A2002="thg-central-marketing",$A2002="thg-seoclarity"),"HOLD — Charlie Stringer to review before deletion",TRUE,"")</f>
        <v/>
      </c>
      <c r="S2002" t="s">
        <v>1631</v>
      </c>
    </row>
    <row r="2003" spans="1:19" hidden="1">
      <c r="A2003" t="s">
        <v>92</v>
      </c>
      <c r="B2003" t="s">
        <v>1619</v>
      </c>
      <c r="C2003" t="s">
        <v>4331</v>
      </c>
      <c r="D2003" s="2" t="s">
        <v>1621</v>
      </c>
      <c r="E2003">
        <v>0.09</v>
      </c>
      <c r="F2003">
        <v>0</v>
      </c>
      <c r="G2003" t="s">
        <v>72</v>
      </c>
      <c r="H2003" t="s">
        <v>3457</v>
      </c>
      <c r="I2003">
        <v>973</v>
      </c>
      <c r="J2003">
        <v>973</v>
      </c>
      <c r="M2003" s="2" t="s">
        <v>1715</v>
      </c>
      <c r="N2003" s="2" t="s">
        <v>1701</v>
      </c>
      <c r="O2003" s="5">
        <v>45223.521951875002</v>
      </c>
      <c r="P2003" t="str">
        <f>IF($Q2003="DELETE",IF($S2003="CONFIRMED: NO MODS &gt; 1YR","CONFIRMED: NO MODS &gt; 1YR","DO NOT DELETE — not defensibly confirmed"),IF($Q2003="HOLD","DO NOT DELETE — HOLD (Charlie review)",IF($Q2003="KEEP","DO NOT DELETE — KEEP",IF(ISNUMBER(SEARCH("REVIEW",$Q2003)),"DO NOT DELETE — REVIEW pending",$S2003))))</f>
        <v>REVIEW</v>
      </c>
      <c r="Q2003" t="str" cm="1">
        <f t="array" ref="Q2003">_xlfn.IFS(AND($A2003="thg-beauty",ISNUMBER(SEARCH("liveramp",$C2003))),"DELETE",$A2003="agile-bonbon-662",_xlfn.IFS(LEFT($G2003,9)="Tranche 1","DELETE",$C2003="Sessions_Level_1_All_Sites","KEEP",ISNUMBER(--$C2003),"REVIEW — UA raw logs",$C2003="Emag_Reporting","KEEP",$C2003="Nutrition_Data_Archived_Tables","KEEP",$C2003="EU_Data","KEEP",TRUE,"REVIEW"),OR($A2003="thg-influencer",$A2003="thg-ingenuity",$A2003="thg-central-marketing",$A2003="thg-seoclarity"),"HOLD",TRUE,"")</f>
        <v/>
      </c>
      <c r="R2003" t="str" cm="1">
        <f t="array" ref="R2003">_xlfn.IFS(AND($A2003="thg-beauty",ISNUMBER(SEARCH("liveramp",$C2003))),"thg-beauty Liveramp dataset — confirmed safe to delete",$A2003="agile-bonbon-662",_xlfn.IFS(LEFT($G2003,9)="Tranche 1","Tranche 1: cleared",$C2003="Sessions_Level_1_All_Sites","Downstream aggregation of UA raw logs — keep if raw tables go",ISNUMBER(--$C2003),"UA raw site logs (account ID) — keep pending audit-retention check",$C2003="Emag_Reporting","Legacy but likely needed",$C2003="Nutrition_Data_Archived_Tables","Worth keeping",$C2003="EU_Data","Static lookup tables — scripts still reference (smoke-test risk)",TRUE,"Review"),OR($A2003="thg-influencer",$A2003="thg-ingenuity",$A2003="thg-central-marketing",$A2003="thg-seoclarity"),"HOLD — Charlie Stringer to review before deletion",TRUE,"")</f>
        <v/>
      </c>
      <c r="S2003" t="s">
        <v>1631</v>
      </c>
    </row>
    <row r="2004" spans="1:19" hidden="1">
      <c r="A2004" t="s">
        <v>92</v>
      </c>
      <c r="B2004" t="s">
        <v>1619</v>
      </c>
      <c r="C2004" t="s">
        <v>4332</v>
      </c>
      <c r="D2004" s="2" t="s">
        <v>1621</v>
      </c>
      <c r="E2004">
        <v>0.02</v>
      </c>
      <c r="F2004">
        <v>0</v>
      </c>
      <c r="G2004" t="s">
        <v>72</v>
      </c>
      <c r="H2004" t="s">
        <v>3457</v>
      </c>
      <c r="I2004">
        <v>966</v>
      </c>
      <c r="J2004">
        <v>966</v>
      </c>
      <c r="M2004" s="2" t="s">
        <v>1715</v>
      </c>
      <c r="N2004" s="2" t="s">
        <v>1701</v>
      </c>
      <c r="O2004" s="5">
        <v>45231.215403842587</v>
      </c>
      <c r="P2004" t="str">
        <f>IF($Q2004="DELETE",IF($S2004="CONFIRMED: NO MODS &gt; 1YR","CONFIRMED: NO MODS &gt; 1YR","DO NOT DELETE — not defensibly confirmed"),IF($Q2004="HOLD","DO NOT DELETE — HOLD (Charlie review)",IF($Q2004="KEEP","DO NOT DELETE — KEEP",IF(ISNUMBER(SEARCH("REVIEW",$Q2004)),"DO NOT DELETE — REVIEW pending",$S2004))))</f>
        <v>REVIEW</v>
      </c>
      <c r="Q2004" t="str" cm="1">
        <f t="array" ref="Q2004">_xlfn.IFS(AND($A2004="thg-beauty",ISNUMBER(SEARCH("liveramp",$C2004))),"DELETE",$A2004="agile-bonbon-662",_xlfn.IFS(LEFT($G2004,9)="Tranche 1","DELETE",$C2004="Sessions_Level_1_All_Sites","KEEP",ISNUMBER(--$C2004),"REVIEW — UA raw logs",$C2004="Emag_Reporting","KEEP",$C2004="Nutrition_Data_Archived_Tables","KEEP",$C2004="EU_Data","KEEP",TRUE,"REVIEW"),OR($A2004="thg-influencer",$A2004="thg-ingenuity",$A2004="thg-central-marketing",$A2004="thg-seoclarity"),"HOLD",TRUE,"")</f>
        <v/>
      </c>
      <c r="R2004" t="str" cm="1">
        <f t="array" ref="R2004">_xlfn.IFS(AND($A2004="thg-beauty",ISNUMBER(SEARCH("liveramp",$C2004))),"thg-beauty Liveramp dataset — confirmed safe to delete",$A2004="agile-bonbon-662",_xlfn.IFS(LEFT($G2004,9)="Tranche 1","Tranche 1: cleared",$C2004="Sessions_Level_1_All_Sites","Downstream aggregation of UA raw logs — keep if raw tables go",ISNUMBER(--$C2004),"UA raw site logs (account ID) — keep pending audit-retention check",$C2004="Emag_Reporting","Legacy but likely needed",$C2004="Nutrition_Data_Archived_Tables","Worth keeping",$C2004="EU_Data","Static lookup tables — scripts still reference (smoke-test risk)",TRUE,"Review"),OR($A2004="thg-influencer",$A2004="thg-ingenuity",$A2004="thg-central-marketing",$A2004="thg-seoclarity"),"HOLD — Charlie Stringer to review before deletion",TRUE,"")</f>
        <v/>
      </c>
      <c r="S2004" t="s">
        <v>1631</v>
      </c>
    </row>
    <row r="2005" spans="1:19" hidden="1">
      <c r="A2005" t="s">
        <v>92</v>
      </c>
      <c r="B2005" t="s">
        <v>1619</v>
      </c>
      <c r="C2005" t="s">
        <v>4333</v>
      </c>
      <c r="D2005" s="2" t="s">
        <v>1621</v>
      </c>
      <c r="E2005">
        <v>0</v>
      </c>
      <c r="F2005">
        <v>0</v>
      </c>
      <c r="G2005" t="s">
        <v>72</v>
      </c>
      <c r="H2005" t="s">
        <v>3457</v>
      </c>
      <c r="I2005">
        <v>947</v>
      </c>
      <c r="J2005">
        <v>947</v>
      </c>
      <c r="M2005" s="2" t="s">
        <v>1715</v>
      </c>
      <c r="N2005" s="2" t="s">
        <v>1701</v>
      </c>
      <c r="O2005" s="5">
        <v>45249.906827824067</v>
      </c>
      <c r="P2005" t="str">
        <f>IF($Q2005="DELETE",IF($S2005="CONFIRMED: NO MODS &gt; 1YR","CONFIRMED: NO MODS &gt; 1YR","DO NOT DELETE — not defensibly confirmed"),IF($Q2005="HOLD","DO NOT DELETE — HOLD (Charlie review)",IF($Q2005="KEEP","DO NOT DELETE — KEEP",IF(ISNUMBER(SEARCH("REVIEW",$Q2005)),"DO NOT DELETE — REVIEW pending",$S2005))))</f>
        <v>REVIEW</v>
      </c>
      <c r="Q2005" t="str" cm="1">
        <f t="array" ref="Q2005">_xlfn.IFS(AND($A2005="thg-beauty",ISNUMBER(SEARCH("liveramp",$C2005))),"DELETE",$A2005="agile-bonbon-662",_xlfn.IFS(LEFT($G2005,9)="Tranche 1","DELETE",$C2005="Sessions_Level_1_All_Sites","KEEP",ISNUMBER(--$C2005),"REVIEW — UA raw logs",$C2005="Emag_Reporting","KEEP",$C2005="Nutrition_Data_Archived_Tables","KEEP",$C2005="EU_Data","KEEP",TRUE,"REVIEW"),OR($A2005="thg-influencer",$A2005="thg-ingenuity",$A2005="thg-central-marketing",$A2005="thg-seoclarity"),"HOLD",TRUE,"")</f>
        <v/>
      </c>
      <c r="R2005" t="str" cm="1">
        <f t="array" ref="R2005">_xlfn.IFS(AND($A2005="thg-beauty",ISNUMBER(SEARCH("liveramp",$C2005))),"thg-beauty Liveramp dataset — confirmed safe to delete",$A2005="agile-bonbon-662",_xlfn.IFS(LEFT($G2005,9)="Tranche 1","Tranche 1: cleared",$C2005="Sessions_Level_1_All_Sites","Downstream aggregation of UA raw logs — keep if raw tables go",ISNUMBER(--$C2005),"UA raw site logs (account ID) — keep pending audit-retention check",$C2005="Emag_Reporting","Legacy but likely needed",$C2005="Nutrition_Data_Archived_Tables","Worth keeping",$C2005="EU_Data","Static lookup tables — scripts still reference (smoke-test risk)",TRUE,"Review"),OR($A2005="thg-influencer",$A2005="thg-ingenuity",$A2005="thg-central-marketing",$A2005="thg-seoclarity"),"HOLD — Charlie Stringer to review before deletion",TRUE,"")</f>
        <v/>
      </c>
      <c r="S2005" t="s">
        <v>1631</v>
      </c>
    </row>
    <row r="2006" spans="1:19" hidden="1">
      <c r="A2006" t="s">
        <v>92</v>
      </c>
      <c r="B2006" t="s">
        <v>1619</v>
      </c>
      <c r="C2006" t="s">
        <v>4334</v>
      </c>
      <c r="D2006" s="2" t="s">
        <v>1621</v>
      </c>
      <c r="E2006">
        <v>7.0000000000000007E-2</v>
      </c>
      <c r="F2006">
        <v>0</v>
      </c>
      <c r="G2006" t="s">
        <v>72</v>
      </c>
      <c r="H2006" t="s">
        <v>3457</v>
      </c>
      <c r="I2006">
        <v>937</v>
      </c>
      <c r="J2006">
        <v>937</v>
      </c>
      <c r="M2006" s="2" t="s">
        <v>1715</v>
      </c>
      <c r="N2006" s="2" t="s">
        <v>1701</v>
      </c>
      <c r="O2006" s="5">
        <v>45260.251309803243</v>
      </c>
      <c r="P2006" t="str">
        <f>IF($Q2006="DELETE",IF($S2006="CONFIRMED: NO MODS &gt; 1YR","CONFIRMED: NO MODS &gt; 1YR","DO NOT DELETE — not defensibly confirmed"),IF($Q2006="HOLD","DO NOT DELETE — HOLD (Charlie review)",IF($Q2006="KEEP","DO NOT DELETE — KEEP",IF(ISNUMBER(SEARCH("REVIEW",$Q2006)),"DO NOT DELETE — REVIEW pending",$S2006))))</f>
        <v>REVIEW</v>
      </c>
      <c r="Q2006" t="str" cm="1">
        <f t="array" ref="Q2006">_xlfn.IFS(AND($A2006="thg-beauty",ISNUMBER(SEARCH("liveramp",$C2006))),"DELETE",$A2006="agile-bonbon-662",_xlfn.IFS(LEFT($G2006,9)="Tranche 1","DELETE",$C2006="Sessions_Level_1_All_Sites","KEEP",ISNUMBER(--$C2006),"REVIEW — UA raw logs",$C2006="Emag_Reporting","KEEP",$C2006="Nutrition_Data_Archived_Tables","KEEP",$C2006="EU_Data","KEEP",TRUE,"REVIEW"),OR($A2006="thg-influencer",$A2006="thg-ingenuity",$A2006="thg-central-marketing",$A2006="thg-seoclarity"),"HOLD",TRUE,"")</f>
        <v/>
      </c>
      <c r="R2006" t="str" cm="1">
        <f t="array" ref="R2006">_xlfn.IFS(AND($A2006="thg-beauty",ISNUMBER(SEARCH("liveramp",$C2006))),"thg-beauty Liveramp dataset — confirmed safe to delete",$A2006="agile-bonbon-662",_xlfn.IFS(LEFT($G2006,9)="Tranche 1","Tranche 1: cleared",$C2006="Sessions_Level_1_All_Sites","Downstream aggregation of UA raw logs — keep if raw tables go",ISNUMBER(--$C2006),"UA raw site logs (account ID) — keep pending audit-retention check",$C2006="Emag_Reporting","Legacy but likely needed",$C2006="Nutrition_Data_Archived_Tables","Worth keeping",$C2006="EU_Data","Static lookup tables — scripts still reference (smoke-test risk)",TRUE,"Review"),OR($A2006="thg-influencer",$A2006="thg-ingenuity",$A2006="thg-central-marketing",$A2006="thg-seoclarity"),"HOLD — Charlie Stringer to review before deletion",TRUE,"")</f>
        <v/>
      </c>
      <c r="S2006" t="s">
        <v>1631</v>
      </c>
    </row>
    <row r="2007" spans="1:19" hidden="1">
      <c r="A2007" t="s">
        <v>92</v>
      </c>
      <c r="B2007" t="s">
        <v>1619</v>
      </c>
      <c r="C2007" t="s">
        <v>4335</v>
      </c>
      <c r="D2007" s="2" t="s">
        <v>1621</v>
      </c>
      <c r="E2007">
        <v>0</v>
      </c>
      <c r="F2007">
        <v>0</v>
      </c>
      <c r="G2007" t="s">
        <v>72</v>
      </c>
      <c r="H2007" t="s">
        <v>3457</v>
      </c>
      <c r="I2007">
        <v>903</v>
      </c>
      <c r="J2007">
        <v>903</v>
      </c>
      <c r="M2007" s="2" t="s">
        <v>1715</v>
      </c>
      <c r="N2007" s="2" t="s">
        <v>1701</v>
      </c>
      <c r="O2007" s="5">
        <v>45293.646524953707</v>
      </c>
      <c r="P2007" t="str">
        <f>IF($Q2007="DELETE",IF($S2007="CONFIRMED: NO MODS &gt; 1YR","CONFIRMED: NO MODS &gt; 1YR","DO NOT DELETE — not defensibly confirmed"),IF($Q2007="HOLD","DO NOT DELETE — HOLD (Charlie review)",IF($Q2007="KEEP","DO NOT DELETE — KEEP",IF(ISNUMBER(SEARCH("REVIEW",$Q2007)),"DO NOT DELETE — REVIEW pending",$S2007))))</f>
        <v>REVIEW</v>
      </c>
      <c r="Q2007" t="str" cm="1">
        <f t="array" ref="Q2007">_xlfn.IFS(AND($A2007="thg-beauty",ISNUMBER(SEARCH("liveramp",$C2007))),"DELETE",$A2007="agile-bonbon-662",_xlfn.IFS(LEFT($G2007,9)="Tranche 1","DELETE",$C2007="Sessions_Level_1_All_Sites","KEEP",ISNUMBER(--$C2007),"REVIEW — UA raw logs",$C2007="Emag_Reporting","KEEP",$C2007="Nutrition_Data_Archived_Tables","KEEP",$C2007="EU_Data","KEEP",TRUE,"REVIEW"),OR($A2007="thg-influencer",$A2007="thg-ingenuity",$A2007="thg-central-marketing",$A2007="thg-seoclarity"),"HOLD",TRUE,"")</f>
        <v/>
      </c>
      <c r="R2007" t="str" cm="1">
        <f t="array" ref="R2007">_xlfn.IFS(AND($A2007="thg-beauty",ISNUMBER(SEARCH("liveramp",$C2007))),"thg-beauty Liveramp dataset — confirmed safe to delete",$A2007="agile-bonbon-662",_xlfn.IFS(LEFT($G2007,9)="Tranche 1","Tranche 1: cleared",$C2007="Sessions_Level_1_All_Sites","Downstream aggregation of UA raw logs — keep if raw tables go",ISNUMBER(--$C2007),"UA raw site logs (account ID) — keep pending audit-retention check",$C2007="Emag_Reporting","Legacy but likely needed",$C2007="Nutrition_Data_Archived_Tables","Worth keeping",$C2007="EU_Data","Static lookup tables — scripts still reference (smoke-test risk)",TRUE,"Review"),OR($A2007="thg-influencer",$A2007="thg-ingenuity",$A2007="thg-central-marketing",$A2007="thg-seoclarity"),"HOLD — Charlie Stringer to review before deletion",TRUE,"")</f>
        <v/>
      </c>
      <c r="S2007" t="s">
        <v>1631</v>
      </c>
    </row>
    <row r="2008" spans="1:19" hidden="1">
      <c r="A2008" t="s">
        <v>92</v>
      </c>
      <c r="B2008" t="s">
        <v>1619</v>
      </c>
      <c r="C2008" t="s">
        <v>4336</v>
      </c>
      <c r="D2008" s="2" t="s">
        <v>1621</v>
      </c>
      <c r="E2008">
        <v>0</v>
      </c>
      <c r="F2008">
        <v>0</v>
      </c>
      <c r="G2008" t="s">
        <v>72</v>
      </c>
      <c r="H2008" t="s">
        <v>3457</v>
      </c>
      <c r="I2008">
        <v>700</v>
      </c>
      <c r="J2008">
        <v>700</v>
      </c>
      <c r="M2008" s="2" t="s">
        <v>1715</v>
      </c>
      <c r="N2008" s="2" t="s">
        <v>1701</v>
      </c>
      <c r="O2008" s="5">
        <v>45496.548594490741</v>
      </c>
      <c r="P2008" t="str">
        <f>IF($Q2008="DELETE",IF($S2008="CONFIRMED: NO MODS &gt; 1YR","CONFIRMED: NO MODS &gt; 1YR","DO NOT DELETE — not defensibly confirmed"),IF($Q2008="HOLD","DO NOT DELETE — HOLD (Charlie review)",IF($Q2008="KEEP","DO NOT DELETE — KEEP",IF(ISNUMBER(SEARCH("REVIEW",$Q2008)),"DO NOT DELETE — REVIEW pending",$S2008))))</f>
        <v>REVIEW</v>
      </c>
      <c r="Q2008" t="str" cm="1">
        <f t="array" ref="Q2008">_xlfn.IFS(AND($A2008="thg-beauty",ISNUMBER(SEARCH("liveramp",$C2008))),"DELETE",$A2008="agile-bonbon-662",_xlfn.IFS(LEFT($G2008,9)="Tranche 1","DELETE",$C2008="Sessions_Level_1_All_Sites","KEEP",ISNUMBER(--$C2008),"REVIEW — UA raw logs",$C2008="Emag_Reporting","KEEP",$C2008="Nutrition_Data_Archived_Tables","KEEP",$C2008="EU_Data","KEEP",TRUE,"REVIEW"),OR($A2008="thg-influencer",$A2008="thg-ingenuity",$A2008="thg-central-marketing",$A2008="thg-seoclarity"),"HOLD",TRUE,"")</f>
        <v/>
      </c>
      <c r="R2008" t="str" cm="1">
        <f t="array" ref="R2008">_xlfn.IFS(AND($A2008="thg-beauty",ISNUMBER(SEARCH("liveramp",$C2008))),"thg-beauty Liveramp dataset — confirmed safe to delete",$A2008="agile-bonbon-662",_xlfn.IFS(LEFT($G2008,9)="Tranche 1","Tranche 1: cleared",$C2008="Sessions_Level_1_All_Sites","Downstream aggregation of UA raw logs — keep if raw tables go",ISNUMBER(--$C2008),"UA raw site logs (account ID) — keep pending audit-retention check",$C2008="Emag_Reporting","Legacy but likely needed",$C2008="Nutrition_Data_Archived_Tables","Worth keeping",$C2008="EU_Data","Static lookup tables — scripts still reference (smoke-test risk)",TRUE,"Review"),OR($A2008="thg-influencer",$A2008="thg-ingenuity",$A2008="thg-central-marketing",$A2008="thg-seoclarity"),"HOLD — Charlie Stringer to review before deletion",TRUE,"")</f>
        <v/>
      </c>
      <c r="S2008" t="s">
        <v>1631</v>
      </c>
    </row>
    <row r="2009" spans="1:19" hidden="1">
      <c r="A2009" t="s">
        <v>92</v>
      </c>
      <c r="B2009" t="s">
        <v>1619</v>
      </c>
      <c r="C2009" t="s">
        <v>4004</v>
      </c>
      <c r="D2009" s="2" t="s">
        <v>1621</v>
      </c>
      <c r="E2009">
        <v>0.06</v>
      </c>
      <c r="F2009">
        <v>0</v>
      </c>
      <c r="G2009" t="s">
        <v>72</v>
      </c>
      <c r="H2009" t="s">
        <v>3457</v>
      </c>
      <c r="I2009">
        <v>503</v>
      </c>
      <c r="J2009">
        <v>503</v>
      </c>
      <c r="M2009" s="2" t="s">
        <v>1715</v>
      </c>
      <c r="N2009" s="2" t="s">
        <v>1701</v>
      </c>
      <c r="O2009" s="5">
        <v>45693.564559212973</v>
      </c>
      <c r="P2009" t="str">
        <f>IF($Q2009="DELETE",IF($S2009="CONFIRMED: NO MODS &gt; 1YR","CONFIRMED: NO MODS &gt; 1YR","DO NOT DELETE — not defensibly confirmed"),IF($Q2009="HOLD","DO NOT DELETE — HOLD (Charlie review)",IF($Q2009="KEEP","DO NOT DELETE — KEEP",IF(ISNUMBER(SEARCH("REVIEW",$Q2009)),"DO NOT DELETE — REVIEW pending",$S2009))))</f>
        <v>DO NOT DELETE — not defensibly confirmed</v>
      </c>
      <c r="Q2009" t="str" cm="1">
        <f t="array" ref="Q2009">_xlfn.IFS(AND($A2009="thg-beauty",ISNUMBER(SEARCH("liveramp",$C2009))),"DELETE",$A2009="agile-bonbon-662",_xlfn.IFS(LEFT($G2009,9)="Tranche 1","DELETE",$C2009="Sessions_Level_1_All_Sites","KEEP",ISNUMBER(--$C2009),"REVIEW — UA raw logs",$C2009="Emag_Reporting","KEEP",$C2009="Nutrition_Data_Archived_Tables","KEEP",$C2009="EU_Data","KEEP",TRUE,"REVIEW"),OR($A2009="thg-influencer",$A2009="thg-ingenuity",$A2009="thg-central-marketing",$A2009="thg-seoclarity"),"HOLD",TRUE,"")</f>
        <v>DELETE</v>
      </c>
      <c r="R2009" t="str" cm="1">
        <f t="array" ref="R2009">_xlfn.IFS(AND($A2009="thg-beauty",ISNUMBER(SEARCH("liveramp",$C2009))),"thg-beauty Liveramp dataset — confirmed safe to delete",$A2009="agile-bonbon-662",_xlfn.IFS(LEFT($G2009,9)="Tranche 1","Tranche 1: cleared",$C2009="Sessions_Level_1_All_Sites","Downstream aggregation of UA raw logs — keep if raw tables go",ISNUMBER(--$C2009),"UA raw site logs (account ID) — keep pending audit-retention check",$C2009="Emag_Reporting","Legacy but likely needed",$C2009="Nutrition_Data_Archived_Tables","Worth keeping",$C2009="EU_Data","Static lookup tables — scripts still reference (smoke-test risk)",TRUE,"Review"),OR($A2009="thg-influencer",$A2009="thg-ingenuity",$A2009="thg-central-marketing",$A2009="thg-seoclarity"),"HOLD — Charlie Stringer to review before deletion",TRUE,"")</f>
        <v>thg-beauty Liveramp dataset — confirmed safe to delete</v>
      </c>
      <c r="S2009" t="s">
        <v>1631</v>
      </c>
    </row>
    <row r="2010" spans="1:19" hidden="1">
      <c r="A2010" t="s">
        <v>92</v>
      </c>
      <c r="B2010" t="s">
        <v>1619</v>
      </c>
      <c r="C2010" t="s">
        <v>4337</v>
      </c>
      <c r="D2010" s="2" t="s">
        <v>1621</v>
      </c>
      <c r="E2010">
        <v>0.02</v>
      </c>
      <c r="F2010">
        <v>0</v>
      </c>
      <c r="G2010" t="s">
        <v>72</v>
      </c>
      <c r="H2010" t="s">
        <v>3457</v>
      </c>
      <c r="I2010">
        <v>78</v>
      </c>
      <c r="J2010">
        <v>765</v>
      </c>
      <c r="K2010" s="5">
        <v>46119.360244791656</v>
      </c>
      <c r="M2010" s="2" t="s">
        <v>4338</v>
      </c>
      <c r="N2010" s="2" t="s">
        <v>1701</v>
      </c>
      <c r="O2010" s="5">
        <v>45432.292613333331</v>
      </c>
      <c r="P2010" t="str">
        <f>IF($Q2010="DELETE",IF($S2010="CONFIRMED: NO MODS &gt; 1YR","CONFIRMED: NO MODS &gt; 1YR","DO NOT DELETE — not defensibly confirmed"),IF($Q2010="HOLD","DO NOT DELETE — HOLD (Charlie review)",IF($Q2010="KEEP","DO NOT DELETE — KEEP",IF(ISNUMBER(SEARCH("REVIEW",$Q2010)),"DO NOT DELETE — REVIEW pending",$S2010))))</f>
        <v>REVIEW</v>
      </c>
      <c r="Q2010" t="str" cm="1">
        <f t="array" ref="Q2010">_xlfn.IFS(AND($A2010="thg-beauty",ISNUMBER(SEARCH("liveramp",$C2010))),"DELETE",$A2010="agile-bonbon-662",_xlfn.IFS(LEFT($G2010,9)="Tranche 1","DELETE",$C2010="Sessions_Level_1_All_Sites","KEEP",ISNUMBER(--$C2010),"REVIEW — UA raw logs",$C2010="Emag_Reporting","KEEP",$C2010="Nutrition_Data_Archived_Tables","KEEP",$C2010="EU_Data","KEEP",TRUE,"REVIEW"),OR($A2010="thg-influencer",$A2010="thg-ingenuity",$A2010="thg-central-marketing",$A2010="thg-seoclarity"),"HOLD",TRUE,"")</f>
        <v/>
      </c>
      <c r="R2010" t="str" cm="1">
        <f t="array" ref="R2010">_xlfn.IFS(AND($A2010="thg-beauty",ISNUMBER(SEARCH("liveramp",$C2010))),"thg-beauty Liveramp dataset — confirmed safe to delete",$A2010="agile-bonbon-662",_xlfn.IFS(LEFT($G2010,9)="Tranche 1","Tranche 1: cleared",$C2010="Sessions_Level_1_All_Sites","Downstream aggregation of UA raw logs — keep if raw tables go",ISNUMBER(--$C2010),"UA raw site logs (account ID) — keep pending audit-retention check",$C2010="Emag_Reporting","Legacy but likely needed",$C2010="Nutrition_Data_Archived_Tables","Worth keeping",$C2010="EU_Data","Static lookup tables — scripts still reference (smoke-test risk)",TRUE,"Review"),OR($A2010="thg-influencer",$A2010="thg-ingenuity",$A2010="thg-central-marketing",$A2010="thg-seoclarity"),"HOLD — Charlie Stringer to review before deletion",TRUE,"")</f>
        <v/>
      </c>
      <c r="S2010" t="s">
        <v>1631</v>
      </c>
    </row>
    <row r="2011" spans="1:19" hidden="1">
      <c r="A2011" t="s">
        <v>38</v>
      </c>
      <c r="B2011" t="s">
        <v>1619</v>
      </c>
      <c r="C2011" t="s">
        <v>2591</v>
      </c>
      <c r="D2011" s="2" t="s">
        <v>1621</v>
      </c>
      <c r="E2011">
        <v>4.3099999999999996</v>
      </c>
      <c r="F2011">
        <v>0.09</v>
      </c>
      <c r="G2011" t="s">
        <v>4339</v>
      </c>
      <c r="H2011" t="s">
        <v>4340</v>
      </c>
      <c r="I2011">
        <v>355</v>
      </c>
      <c r="J2011">
        <v>355</v>
      </c>
      <c r="M2011" s="2" t="s">
        <v>1715</v>
      </c>
      <c r="N2011" s="2" t="s">
        <v>1701</v>
      </c>
      <c r="O2011" s="5">
        <v>45842.373957835647</v>
      </c>
      <c r="P2011" t="str">
        <f>IF($Q2011="DELETE",IF($S2011="CONFIRMED: NO MODS &gt; 1YR","CONFIRMED: NO MODS &gt; 1YR","DO NOT DELETE — not defensibly confirmed"),IF($Q2011="HOLD","DO NOT DELETE — HOLD (Charlie review)",IF($Q2011="KEEP","DO NOT DELETE — KEEP",IF(ISNUMBER(SEARCH("REVIEW",$Q2011)),"DO NOT DELETE — REVIEW pending",$S2011))))</f>
        <v>DO NOT DELETE — HOLD (Charlie review)</v>
      </c>
      <c r="Q2011" t="str" cm="1">
        <f t="array" ref="Q2011">_xlfn.IFS(AND($A2011="thg-beauty",ISNUMBER(SEARCH("liveramp",$C2011))),"DELETE",$A2011="agile-bonbon-662",_xlfn.IFS(LEFT($G2011,9)="Tranche 1","DELETE",$C2011="Sessions_Level_1_All_Sites","KEEP",ISNUMBER(--$C2011),"REVIEW — UA raw logs",$C2011="Emag_Reporting","KEEP",$C2011="Nutrition_Data_Archived_Tables","KEEP",$C2011="EU_Data","KEEP",TRUE,"REVIEW"),OR($A2011="thg-influencer",$A2011="thg-ingenuity",$A2011="thg-central-marketing",$A2011="thg-seoclarity"),"HOLD",TRUE,"")</f>
        <v>HOLD</v>
      </c>
      <c r="R2011" t="str" cm="1">
        <f t="array" ref="R2011">_xlfn.IFS(AND($A2011="thg-beauty",ISNUMBER(SEARCH("liveramp",$C2011))),"thg-beauty Liveramp dataset — confirmed safe to delete",$A2011="agile-bonbon-662",_xlfn.IFS(LEFT($G2011,9)="Tranche 1","Tranche 1: cleared",$C2011="Sessions_Level_1_All_Sites","Downstream aggregation of UA raw logs — keep if raw tables go",ISNUMBER(--$C2011),"UA raw site logs (account ID) — keep pending audit-retention check",$C2011="Emag_Reporting","Legacy but likely needed",$C2011="Nutrition_Data_Archived_Tables","Worth keeping",$C2011="EU_Data","Static lookup tables — scripts still reference (smoke-test risk)",TRUE,"Review"),OR($A2011="thg-influencer",$A2011="thg-ingenuity",$A2011="thg-central-marketing",$A2011="thg-seoclarity"),"HOLD — Charlie Stringer to review before deletion",TRUE,"")</f>
        <v>HOLD — Charlie Stringer to review before deletion</v>
      </c>
      <c r="S2011" t="s">
        <v>1631</v>
      </c>
    </row>
    <row r="2012" spans="1:19" hidden="1">
      <c r="A2012" t="s">
        <v>38</v>
      </c>
      <c r="B2012" t="s">
        <v>1619</v>
      </c>
      <c r="C2012" t="s">
        <v>4341</v>
      </c>
      <c r="D2012" s="2" t="s">
        <v>1621</v>
      </c>
      <c r="E2012">
        <v>28.1</v>
      </c>
      <c r="F2012">
        <v>0.56000000000000005</v>
      </c>
      <c r="G2012" t="s">
        <v>4339</v>
      </c>
      <c r="H2012" t="s">
        <v>4340</v>
      </c>
      <c r="I2012">
        <v>343</v>
      </c>
      <c r="J2012">
        <v>343</v>
      </c>
      <c r="M2012" s="2" t="s">
        <v>1715</v>
      </c>
      <c r="N2012" s="2" t="s">
        <v>1701</v>
      </c>
      <c r="O2012" s="5">
        <v>45853.47111421296</v>
      </c>
      <c r="P2012" t="str">
        <f>IF($Q2012="DELETE",IF($S2012="CONFIRMED: NO MODS &gt; 1YR","CONFIRMED: NO MODS &gt; 1YR","DO NOT DELETE — not defensibly confirmed"),IF($Q2012="HOLD","DO NOT DELETE — HOLD (Charlie review)",IF($Q2012="KEEP","DO NOT DELETE — KEEP",IF(ISNUMBER(SEARCH("REVIEW",$Q2012)),"DO NOT DELETE — REVIEW pending",$S2012))))</f>
        <v>DO NOT DELETE — HOLD (Charlie review)</v>
      </c>
      <c r="Q2012" t="str" cm="1">
        <f t="array" ref="Q2012">_xlfn.IFS(AND($A2012="thg-beauty",ISNUMBER(SEARCH("liveramp",$C2012))),"DELETE",$A2012="agile-bonbon-662",_xlfn.IFS(LEFT($G2012,9)="Tranche 1","DELETE",$C2012="Sessions_Level_1_All_Sites","KEEP",ISNUMBER(--$C2012),"REVIEW — UA raw logs",$C2012="Emag_Reporting","KEEP",$C2012="Nutrition_Data_Archived_Tables","KEEP",$C2012="EU_Data","KEEP",TRUE,"REVIEW"),OR($A2012="thg-influencer",$A2012="thg-ingenuity",$A2012="thg-central-marketing",$A2012="thg-seoclarity"),"HOLD",TRUE,"")</f>
        <v>HOLD</v>
      </c>
      <c r="R2012" t="str" cm="1">
        <f t="array" ref="R2012">_xlfn.IFS(AND($A2012="thg-beauty",ISNUMBER(SEARCH("liveramp",$C2012))),"thg-beauty Liveramp dataset — confirmed safe to delete",$A2012="agile-bonbon-662",_xlfn.IFS(LEFT($G2012,9)="Tranche 1","Tranche 1: cleared",$C2012="Sessions_Level_1_All_Sites","Downstream aggregation of UA raw logs — keep if raw tables go",ISNUMBER(--$C2012),"UA raw site logs (account ID) — keep pending audit-retention check",$C2012="Emag_Reporting","Legacy but likely needed",$C2012="Nutrition_Data_Archived_Tables","Worth keeping",$C2012="EU_Data","Static lookup tables — scripts still reference (smoke-test risk)",TRUE,"Review"),OR($A2012="thg-influencer",$A2012="thg-ingenuity",$A2012="thg-central-marketing",$A2012="thg-seoclarity"),"HOLD — Charlie Stringer to review before deletion",TRUE,"")</f>
        <v>HOLD — Charlie Stringer to review before deletion</v>
      </c>
      <c r="S2012" t="s">
        <v>1631</v>
      </c>
    </row>
    <row r="2013" spans="1:19" hidden="1">
      <c r="A2013" t="s">
        <v>38</v>
      </c>
      <c r="B2013" t="s">
        <v>1619</v>
      </c>
      <c r="C2013" t="s">
        <v>4342</v>
      </c>
      <c r="D2013" s="2" t="s">
        <v>1621</v>
      </c>
      <c r="E2013">
        <v>0.35</v>
      </c>
      <c r="F2013">
        <v>0.01</v>
      </c>
      <c r="G2013" t="s">
        <v>4339</v>
      </c>
      <c r="H2013" t="s">
        <v>4340</v>
      </c>
      <c r="I2013">
        <v>343</v>
      </c>
      <c r="J2013">
        <v>343</v>
      </c>
      <c r="M2013" s="2" t="s">
        <v>1715</v>
      </c>
      <c r="N2013" s="2" t="s">
        <v>1701</v>
      </c>
      <c r="O2013" s="5">
        <v>45853.617122222233</v>
      </c>
      <c r="P2013" t="str">
        <f>IF($Q2013="DELETE",IF($S2013="CONFIRMED: NO MODS &gt; 1YR","CONFIRMED: NO MODS &gt; 1YR","DO NOT DELETE — not defensibly confirmed"),IF($Q2013="HOLD","DO NOT DELETE — HOLD (Charlie review)",IF($Q2013="KEEP","DO NOT DELETE — KEEP",IF(ISNUMBER(SEARCH("REVIEW",$Q2013)),"DO NOT DELETE — REVIEW pending",$S2013))))</f>
        <v>DO NOT DELETE — HOLD (Charlie review)</v>
      </c>
      <c r="Q2013" t="str" cm="1">
        <f t="array" ref="Q2013">_xlfn.IFS(AND($A2013="thg-beauty",ISNUMBER(SEARCH("liveramp",$C2013))),"DELETE",$A2013="agile-bonbon-662",_xlfn.IFS(LEFT($G2013,9)="Tranche 1","DELETE",$C2013="Sessions_Level_1_All_Sites","KEEP",ISNUMBER(--$C2013),"REVIEW — UA raw logs",$C2013="Emag_Reporting","KEEP",$C2013="Nutrition_Data_Archived_Tables","KEEP",$C2013="EU_Data","KEEP",TRUE,"REVIEW"),OR($A2013="thg-influencer",$A2013="thg-ingenuity",$A2013="thg-central-marketing",$A2013="thg-seoclarity"),"HOLD",TRUE,"")</f>
        <v>HOLD</v>
      </c>
      <c r="R2013" t="str" cm="1">
        <f t="array" ref="R2013">_xlfn.IFS(AND($A2013="thg-beauty",ISNUMBER(SEARCH("liveramp",$C2013))),"thg-beauty Liveramp dataset — confirmed safe to delete",$A2013="agile-bonbon-662",_xlfn.IFS(LEFT($G2013,9)="Tranche 1","Tranche 1: cleared",$C2013="Sessions_Level_1_All_Sites","Downstream aggregation of UA raw logs — keep if raw tables go",ISNUMBER(--$C2013),"UA raw site logs (account ID) — keep pending audit-retention check",$C2013="Emag_Reporting","Legacy but likely needed",$C2013="Nutrition_Data_Archived_Tables","Worth keeping",$C2013="EU_Data","Static lookup tables — scripts still reference (smoke-test risk)",TRUE,"Review"),OR($A2013="thg-influencer",$A2013="thg-ingenuity",$A2013="thg-central-marketing",$A2013="thg-seoclarity"),"HOLD — Charlie Stringer to review before deletion",TRUE,"")</f>
        <v>HOLD — Charlie Stringer to review before deletion</v>
      </c>
      <c r="S2013" t="s">
        <v>1631</v>
      </c>
    </row>
    <row r="2014" spans="1:19" hidden="1">
      <c r="A2014" t="s">
        <v>38</v>
      </c>
      <c r="B2014" t="s">
        <v>1619</v>
      </c>
      <c r="C2014" t="s">
        <v>4343</v>
      </c>
      <c r="D2014" s="2" t="s">
        <v>1621</v>
      </c>
      <c r="E2014">
        <v>80.42</v>
      </c>
      <c r="F2014">
        <v>1.61</v>
      </c>
      <c r="G2014" t="s">
        <v>4339</v>
      </c>
      <c r="H2014" t="s">
        <v>4340</v>
      </c>
      <c r="I2014">
        <v>337</v>
      </c>
      <c r="J2014">
        <v>337</v>
      </c>
      <c r="M2014" s="2" t="s">
        <v>1715</v>
      </c>
      <c r="N2014" s="2" t="s">
        <v>1701</v>
      </c>
      <c r="O2014" s="5">
        <v>45859.525289317127</v>
      </c>
      <c r="P2014" t="str">
        <f>IF($Q2014="DELETE",IF($S2014="CONFIRMED: NO MODS &gt; 1YR","CONFIRMED: NO MODS &gt; 1YR","DO NOT DELETE — not defensibly confirmed"),IF($Q2014="HOLD","DO NOT DELETE — HOLD (Charlie review)",IF($Q2014="KEEP","DO NOT DELETE — KEEP",IF(ISNUMBER(SEARCH("REVIEW",$Q2014)),"DO NOT DELETE — REVIEW pending",$S2014))))</f>
        <v>DO NOT DELETE — HOLD (Charlie review)</v>
      </c>
      <c r="Q2014" t="str" cm="1">
        <f t="array" ref="Q2014">_xlfn.IFS(AND($A2014="thg-beauty",ISNUMBER(SEARCH("liveramp",$C2014))),"DELETE",$A2014="agile-bonbon-662",_xlfn.IFS(LEFT($G2014,9)="Tranche 1","DELETE",$C2014="Sessions_Level_1_All_Sites","KEEP",ISNUMBER(--$C2014),"REVIEW — UA raw logs",$C2014="Emag_Reporting","KEEP",$C2014="Nutrition_Data_Archived_Tables","KEEP",$C2014="EU_Data","KEEP",TRUE,"REVIEW"),OR($A2014="thg-influencer",$A2014="thg-ingenuity",$A2014="thg-central-marketing",$A2014="thg-seoclarity"),"HOLD",TRUE,"")</f>
        <v>HOLD</v>
      </c>
      <c r="R2014" t="str" cm="1">
        <f t="array" ref="R2014">_xlfn.IFS(AND($A2014="thg-beauty",ISNUMBER(SEARCH("liveramp",$C2014))),"thg-beauty Liveramp dataset — confirmed safe to delete",$A2014="agile-bonbon-662",_xlfn.IFS(LEFT($G2014,9)="Tranche 1","Tranche 1: cleared",$C2014="Sessions_Level_1_All_Sites","Downstream aggregation of UA raw logs — keep if raw tables go",ISNUMBER(--$C2014),"UA raw site logs (account ID) — keep pending audit-retention check",$C2014="Emag_Reporting","Legacy but likely needed",$C2014="Nutrition_Data_Archived_Tables","Worth keeping",$C2014="EU_Data","Static lookup tables — scripts still reference (smoke-test risk)",TRUE,"Review"),OR($A2014="thg-influencer",$A2014="thg-ingenuity",$A2014="thg-central-marketing",$A2014="thg-seoclarity"),"HOLD — Charlie Stringer to review before deletion",TRUE,"")</f>
        <v>HOLD — Charlie Stringer to review before deletion</v>
      </c>
      <c r="S2014" t="s">
        <v>1631</v>
      </c>
    </row>
    <row r="2015" spans="1:19" hidden="1">
      <c r="A2015" t="s">
        <v>38</v>
      </c>
      <c r="B2015" t="s">
        <v>1619</v>
      </c>
      <c r="C2015" t="s">
        <v>4344</v>
      </c>
      <c r="D2015" s="2" t="s">
        <v>1621</v>
      </c>
      <c r="E2015">
        <v>16.309999999999999</v>
      </c>
      <c r="F2015">
        <v>0.33</v>
      </c>
      <c r="G2015" t="s">
        <v>4339</v>
      </c>
      <c r="H2015" t="s">
        <v>4340</v>
      </c>
      <c r="I2015">
        <v>328</v>
      </c>
      <c r="J2015">
        <v>328</v>
      </c>
      <c r="M2015" s="2" t="s">
        <v>1715</v>
      </c>
      <c r="N2015" s="2" t="s">
        <v>1701</v>
      </c>
      <c r="O2015" s="5">
        <v>45868.501301342592</v>
      </c>
      <c r="P2015" t="str">
        <f>IF($Q2015="DELETE",IF($S2015="CONFIRMED: NO MODS &gt; 1YR","CONFIRMED: NO MODS &gt; 1YR","DO NOT DELETE — not defensibly confirmed"),IF($Q2015="HOLD","DO NOT DELETE — HOLD (Charlie review)",IF($Q2015="KEEP","DO NOT DELETE — KEEP",IF(ISNUMBER(SEARCH("REVIEW",$Q2015)),"DO NOT DELETE — REVIEW pending",$S2015))))</f>
        <v>DO NOT DELETE — HOLD (Charlie review)</v>
      </c>
      <c r="Q2015" t="str" cm="1">
        <f t="array" ref="Q2015">_xlfn.IFS(AND($A2015="thg-beauty",ISNUMBER(SEARCH("liveramp",$C2015))),"DELETE",$A2015="agile-bonbon-662",_xlfn.IFS(LEFT($G2015,9)="Tranche 1","DELETE",$C2015="Sessions_Level_1_All_Sites","KEEP",ISNUMBER(--$C2015),"REVIEW — UA raw logs",$C2015="Emag_Reporting","KEEP",$C2015="Nutrition_Data_Archived_Tables","KEEP",$C2015="EU_Data","KEEP",TRUE,"REVIEW"),OR($A2015="thg-influencer",$A2015="thg-ingenuity",$A2015="thg-central-marketing",$A2015="thg-seoclarity"),"HOLD",TRUE,"")</f>
        <v>HOLD</v>
      </c>
      <c r="R2015" t="str" cm="1">
        <f t="array" ref="R2015">_xlfn.IFS(AND($A2015="thg-beauty",ISNUMBER(SEARCH("liveramp",$C2015))),"thg-beauty Liveramp dataset — confirmed safe to delete",$A2015="agile-bonbon-662",_xlfn.IFS(LEFT($G2015,9)="Tranche 1","Tranche 1: cleared",$C2015="Sessions_Level_1_All_Sites","Downstream aggregation of UA raw logs — keep if raw tables go",ISNUMBER(--$C2015),"UA raw site logs (account ID) — keep pending audit-retention check",$C2015="Emag_Reporting","Legacy but likely needed",$C2015="Nutrition_Data_Archived_Tables","Worth keeping",$C2015="EU_Data","Static lookup tables — scripts still reference (smoke-test risk)",TRUE,"Review"),OR($A2015="thg-influencer",$A2015="thg-ingenuity",$A2015="thg-central-marketing",$A2015="thg-seoclarity"),"HOLD — Charlie Stringer to review before deletion",TRUE,"")</f>
        <v>HOLD — Charlie Stringer to review before deletion</v>
      </c>
      <c r="S2015" t="s">
        <v>1631</v>
      </c>
    </row>
    <row r="2016" spans="1:19" hidden="1">
      <c r="A2016" t="s">
        <v>38</v>
      </c>
      <c r="B2016" t="s">
        <v>1724</v>
      </c>
      <c r="C2016" t="s">
        <v>4345</v>
      </c>
      <c r="D2016" s="2" t="s">
        <v>1621</v>
      </c>
      <c r="E2016">
        <v>0</v>
      </c>
      <c r="F2016">
        <v>0</v>
      </c>
      <c r="G2016" t="s">
        <v>4339</v>
      </c>
      <c r="H2016" t="s">
        <v>4340</v>
      </c>
      <c r="I2016">
        <v>327</v>
      </c>
      <c r="J2016">
        <v>327</v>
      </c>
      <c r="M2016" s="2" t="s">
        <v>1715</v>
      </c>
      <c r="N2016" s="2" t="s">
        <v>1701</v>
      </c>
      <c r="O2016" s="5">
        <v>45869.59612652778</v>
      </c>
      <c r="P2016" t="str">
        <f>IF($Q2016="DELETE",IF($S2016="CONFIRMED: NO MODS &gt; 1YR","CONFIRMED: NO MODS &gt; 1YR","DO NOT DELETE — not defensibly confirmed"),IF($Q2016="HOLD","DO NOT DELETE — HOLD (Charlie review)",IF($Q2016="KEEP","DO NOT DELETE — KEEP",IF(ISNUMBER(SEARCH("REVIEW",$Q2016)),"DO NOT DELETE — REVIEW pending",$S2016))))</f>
        <v>DO NOT DELETE — HOLD (Charlie review)</v>
      </c>
      <c r="Q2016" t="str" cm="1">
        <f t="array" ref="Q2016">_xlfn.IFS(AND($A2016="thg-beauty",ISNUMBER(SEARCH("liveramp",$C2016))),"DELETE",$A2016="agile-bonbon-662",_xlfn.IFS(LEFT($G2016,9)="Tranche 1","DELETE",$C2016="Sessions_Level_1_All_Sites","KEEP",ISNUMBER(--$C2016),"REVIEW — UA raw logs",$C2016="Emag_Reporting","KEEP",$C2016="Nutrition_Data_Archived_Tables","KEEP",$C2016="EU_Data","KEEP",TRUE,"REVIEW"),OR($A2016="thg-influencer",$A2016="thg-ingenuity",$A2016="thg-central-marketing",$A2016="thg-seoclarity"),"HOLD",TRUE,"")</f>
        <v>HOLD</v>
      </c>
      <c r="R2016" t="str" cm="1">
        <f t="array" ref="R2016">_xlfn.IFS(AND($A2016="thg-beauty",ISNUMBER(SEARCH("liveramp",$C2016))),"thg-beauty Liveramp dataset — confirmed safe to delete",$A2016="agile-bonbon-662",_xlfn.IFS(LEFT($G2016,9)="Tranche 1","Tranche 1: cleared",$C2016="Sessions_Level_1_All_Sites","Downstream aggregation of UA raw logs — keep if raw tables go",ISNUMBER(--$C2016),"UA raw site logs (account ID) — keep pending audit-retention check",$C2016="Emag_Reporting","Legacy but likely needed",$C2016="Nutrition_Data_Archived_Tables","Worth keeping",$C2016="EU_Data","Static lookup tables — scripts still reference (smoke-test risk)",TRUE,"Review"),OR($A2016="thg-influencer",$A2016="thg-ingenuity",$A2016="thg-central-marketing",$A2016="thg-seoclarity"),"HOLD — Charlie Stringer to review before deletion",TRUE,"")</f>
        <v>HOLD — Charlie Stringer to review before deletion</v>
      </c>
      <c r="S2016" t="s">
        <v>1631</v>
      </c>
    </row>
    <row r="2017" spans="1:19" hidden="1">
      <c r="A2017" t="s">
        <v>38</v>
      </c>
      <c r="B2017" t="s">
        <v>1619</v>
      </c>
      <c r="C2017" t="s">
        <v>4346</v>
      </c>
      <c r="D2017" s="2" t="s">
        <v>1621</v>
      </c>
      <c r="E2017">
        <v>10.79</v>
      </c>
      <c r="F2017">
        <v>0.22</v>
      </c>
      <c r="G2017" t="s">
        <v>4339</v>
      </c>
      <c r="H2017" t="s">
        <v>4340</v>
      </c>
      <c r="I2017">
        <v>319</v>
      </c>
      <c r="J2017">
        <v>319</v>
      </c>
      <c r="M2017" s="2" t="s">
        <v>1715</v>
      </c>
      <c r="N2017" s="2" t="s">
        <v>1701</v>
      </c>
      <c r="O2017" s="5">
        <v>45878.430302974542</v>
      </c>
      <c r="P2017" t="str">
        <f>IF($Q2017="DELETE",IF($S2017="CONFIRMED: NO MODS &gt; 1YR","CONFIRMED: NO MODS &gt; 1YR","DO NOT DELETE — not defensibly confirmed"),IF($Q2017="HOLD","DO NOT DELETE — HOLD (Charlie review)",IF($Q2017="KEEP","DO NOT DELETE — KEEP",IF(ISNUMBER(SEARCH("REVIEW",$Q2017)),"DO NOT DELETE — REVIEW pending",$S2017))))</f>
        <v>DO NOT DELETE — HOLD (Charlie review)</v>
      </c>
      <c r="Q2017" t="str" cm="1">
        <f t="array" ref="Q2017">_xlfn.IFS(AND($A2017="thg-beauty",ISNUMBER(SEARCH("liveramp",$C2017))),"DELETE",$A2017="agile-bonbon-662",_xlfn.IFS(LEFT($G2017,9)="Tranche 1","DELETE",$C2017="Sessions_Level_1_All_Sites","KEEP",ISNUMBER(--$C2017),"REVIEW — UA raw logs",$C2017="Emag_Reporting","KEEP",$C2017="Nutrition_Data_Archived_Tables","KEEP",$C2017="EU_Data","KEEP",TRUE,"REVIEW"),OR($A2017="thg-influencer",$A2017="thg-ingenuity",$A2017="thg-central-marketing",$A2017="thg-seoclarity"),"HOLD",TRUE,"")</f>
        <v>HOLD</v>
      </c>
      <c r="R2017" t="str" cm="1">
        <f t="array" ref="R2017">_xlfn.IFS(AND($A2017="thg-beauty",ISNUMBER(SEARCH("liveramp",$C2017))),"thg-beauty Liveramp dataset — confirmed safe to delete",$A2017="agile-bonbon-662",_xlfn.IFS(LEFT($G2017,9)="Tranche 1","Tranche 1: cleared",$C2017="Sessions_Level_1_All_Sites","Downstream aggregation of UA raw logs — keep if raw tables go",ISNUMBER(--$C2017),"UA raw site logs (account ID) — keep pending audit-retention check",$C2017="Emag_Reporting","Legacy but likely needed",$C2017="Nutrition_Data_Archived_Tables","Worth keeping",$C2017="EU_Data","Static lookup tables — scripts still reference (smoke-test risk)",TRUE,"Review"),OR($A2017="thg-influencer",$A2017="thg-ingenuity",$A2017="thg-central-marketing",$A2017="thg-seoclarity"),"HOLD — Charlie Stringer to review before deletion",TRUE,"")</f>
        <v>HOLD — Charlie Stringer to review before deletion</v>
      </c>
      <c r="S2017" t="s">
        <v>1631</v>
      </c>
    </row>
    <row r="2018" spans="1:19" hidden="1">
      <c r="A2018" t="s">
        <v>38</v>
      </c>
      <c r="B2018" t="s">
        <v>1619</v>
      </c>
      <c r="C2018" t="s">
        <v>4347</v>
      </c>
      <c r="D2018" s="2" t="s">
        <v>1621</v>
      </c>
      <c r="E2018">
        <v>5.59</v>
      </c>
      <c r="F2018">
        <v>0.11</v>
      </c>
      <c r="G2018" t="s">
        <v>4339</v>
      </c>
      <c r="H2018" t="s">
        <v>4340</v>
      </c>
      <c r="I2018">
        <v>315</v>
      </c>
      <c r="J2018">
        <v>315</v>
      </c>
      <c r="M2018" s="2" t="s">
        <v>1715</v>
      </c>
      <c r="N2018" s="2" t="s">
        <v>1701</v>
      </c>
      <c r="O2018" s="5">
        <v>45882.42134346065</v>
      </c>
      <c r="P2018" t="str">
        <f>IF($Q2018="DELETE",IF($S2018="CONFIRMED: NO MODS &gt; 1YR","CONFIRMED: NO MODS &gt; 1YR","DO NOT DELETE — not defensibly confirmed"),IF($Q2018="HOLD","DO NOT DELETE — HOLD (Charlie review)",IF($Q2018="KEEP","DO NOT DELETE — KEEP",IF(ISNUMBER(SEARCH("REVIEW",$Q2018)),"DO NOT DELETE — REVIEW pending",$S2018))))</f>
        <v>DO NOT DELETE — HOLD (Charlie review)</v>
      </c>
      <c r="Q2018" t="str" cm="1">
        <f t="array" ref="Q2018">_xlfn.IFS(AND($A2018="thg-beauty",ISNUMBER(SEARCH("liveramp",$C2018))),"DELETE",$A2018="agile-bonbon-662",_xlfn.IFS(LEFT($G2018,9)="Tranche 1","DELETE",$C2018="Sessions_Level_1_All_Sites","KEEP",ISNUMBER(--$C2018),"REVIEW — UA raw logs",$C2018="Emag_Reporting","KEEP",$C2018="Nutrition_Data_Archived_Tables","KEEP",$C2018="EU_Data","KEEP",TRUE,"REVIEW"),OR($A2018="thg-influencer",$A2018="thg-ingenuity",$A2018="thg-central-marketing",$A2018="thg-seoclarity"),"HOLD",TRUE,"")</f>
        <v>HOLD</v>
      </c>
      <c r="R2018" t="str" cm="1">
        <f t="array" ref="R2018">_xlfn.IFS(AND($A2018="thg-beauty",ISNUMBER(SEARCH("liveramp",$C2018))),"thg-beauty Liveramp dataset — confirmed safe to delete",$A2018="agile-bonbon-662",_xlfn.IFS(LEFT($G2018,9)="Tranche 1","Tranche 1: cleared",$C2018="Sessions_Level_1_All_Sites","Downstream aggregation of UA raw logs — keep if raw tables go",ISNUMBER(--$C2018),"UA raw site logs (account ID) — keep pending audit-retention check",$C2018="Emag_Reporting","Legacy but likely needed",$C2018="Nutrition_Data_Archived_Tables","Worth keeping",$C2018="EU_Data","Static lookup tables — scripts still reference (smoke-test risk)",TRUE,"Review"),OR($A2018="thg-influencer",$A2018="thg-ingenuity",$A2018="thg-central-marketing",$A2018="thg-seoclarity"),"HOLD — Charlie Stringer to review before deletion",TRUE,"")</f>
        <v>HOLD — Charlie Stringer to review before deletion</v>
      </c>
      <c r="S2018" t="s">
        <v>1631</v>
      </c>
    </row>
    <row r="2019" spans="1:19" hidden="1">
      <c r="A2019" t="s">
        <v>35</v>
      </c>
      <c r="B2019" t="s">
        <v>1619</v>
      </c>
      <c r="C2019" t="s">
        <v>4348</v>
      </c>
      <c r="D2019" s="2" t="s">
        <v>1621</v>
      </c>
      <c r="E2019">
        <v>98.63</v>
      </c>
      <c r="F2019">
        <v>1.97</v>
      </c>
      <c r="G2019" t="s">
        <v>4339</v>
      </c>
      <c r="H2019" t="s">
        <v>4340</v>
      </c>
      <c r="I2019">
        <v>314</v>
      </c>
      <c r="J2019">
        <v>314</v>
      </c>
      <c r="M2019" s="2" t="s">
        <v>1715</v>
      </c>
      <c r="N2019" s="2" t="s">
        <v>1701</v>
      </c>
      <c r="O2019" s="5">
        <v>45883.41514971065</v>
      </c>
      <c r="P2019" t="str">
        <f>IF($Q2019="DELETE",IF($S2019="CONFIRMED: NO MODS &gt; 1YR","CONFIRMED: NO MODS &gt; 1YR","DO NOT DELETE — not defensibly confirmed"),IF($Q2019="HOLD","DO NOT DELETE — HOLD (Charlie review)",IF($Q2019="KEEP","DO NOT DELETE — KEEP",IF(ISNUMBER(SEARCH("REVIEW",$Q2019)),"DO NOT DELETE — REVIEW pending",$S2019))))</f>
        <v>DO NOT DELETE — HOLD (Charlie review)</v>
      </c>
      <c r="Q2019" t="str" cm="1">
        <f t="array" ref="Q2019">_xlfn.IFS(AND($A2019="thg-beauty",ISNUMBER(SEARCH("liveramp",$C2019))),"DELETE",$A2019="agile-bonbon-662",_xlfn.IFS(LEFT($G2019,9)="Tranche 1","DELETE",$C2019="Sessions_Level_1_All_Sites","KEEP",ISNUMBER(--$C2019),"REVIEW — UA raw logs",$C2019="Emag_Reporting","KEEP",$C2019="Nutrition_Data_Archived_Tables","KEEP",$C2019="EU_Data","KEEP",TRUE,"REVIEW"),OR($A2019="thg-influencer",$A2019="thg-ingenuity",$A2019="thg-central-marketing",$A2019="thg-seoclarity"),"HOLD",TRUE,"")</f>
        <v>HOLD</v>
      </c>
      <c r="R2019" t="str" cm="1">
        <f t="array" ref="R2019">_xlfn.IFS(AND($A2019="thg-beauty",ISNUMBER(SEARCH("liveramp",$C2019))),"thg-beauty Liveramp dataset — confirmed safe to delete",$A2019="agile-bonbon-662",_xlfn.IFS(LEFT($G2019,9)="Tranche 1","Tranche 1: cleared",$C2019="Sessions_Level_1_All_Sites","Downstream aggregation of UA raw logs — keep if raw tables go",ISNUMBER(--$C2019),"UA raw site logs (account ID) — keep pending audit-retention check",$C2019="Emag_Reporting","Legacy but likely needed",$C2019="Nutrition_Data_Archived_Tables","Worth keeping",$C2019="EU_Data","Static lookup tables — scripts still reference (smoke-test risk)",TRUE,"Review"),OR($A2019="thg-influencer",$A2019="thg-ingenuity",$A2019="thg-central-marketing",$A2019="thg-seoclarity"),"HOLD — Charlie Stringer to review before deletion",TRUE,"")</f>
        <v>HOLD — Charlie Stringer to review before deletion</v>
      </c>
      <c r="S2019" t="s">
        <v>1631</v>
      </c>
    </row>
    <row r="2020" spans="1:19" hidden="1">
      <c r="A2020" t="s">
        <v>38</v>
      </c>
      <c r="B2020" t="s">
        <v>1619</v>
      </c>
      <c r="C2020" t="s">
        <v>4349</v>
      </c>
      <c r="D2020" s="2" t="s">
        <v>1621</v>
      </c>
      <c r="E2020">
        <v>19.36</v>
      </c>
      <c r="F2020">
        <v>0.39</v>
      </c>
      <c r="G2020" t="s">
        <v>4339</v>
      </c>
      <c r="H2020" t="s">
        <v>4340</v>
      </c>
      <c r="I2020">
        <v>305</v>
      </c>
      <c r="J2020">
        <v>305</v>
      </c>
      <c r="M2020" s="2" t="s">
        <v>1715</v>
      </c>
      <c r="N2020" s="2" t="s">
        <v>1701</v>
      </c>
      <c r="O2020" s="5">
        <v>45891.488291956019</v>
      </c>
      <c r="P2020" t="str">
        <f>IF($Q2020="DELETE",IF($S2020="CONFIRMED: NO MODS &gt; 1YR","CONFIRMED: NO MODS &gt; 1YR","DO NOT DELETE — not defensibly confirmed"),IF($Q2020="HOLD","DO NOT DELETE — HOLD (Charlie review)",IF($Q2020="KEEP","DO NOT DELETE — KEEP",IF(ISNUMBER(SEARCH("REVIEW",$Q2020)),"DO NOT DELETE — REVIEW pending",$S2020))))</f>
        <v>DO NOT DELETE — HOLD (Charlie review)</v>
      </c>
      <c r="Q2020" t="str" cm="1">
        <f t="array" ref="Q2020">_xlfn.IFS(AND($A2020="thg-beauty",ISNUMBER(SEARCH("liveramp",$C2020))),"DELETE",$A2020="agile-bonbon-662",_xlfn.IFS(LEFT($G2020,9)="Tranche 1","DELETE",$C2020="Sessions_Level_1_All_Sites","KEEP",ISNUMBER(--$C2020),"REVIEW — UA raw logs",$C2020="Emag_Reporting","KEEP",$C2020="Nutrition_Data_Archived_Tables","KEEP",$C2020="EU_Data","KEEP",TRUE,"REVIEW"),OR($A2020="thg-influencer",$A2020="thg-ingenuity",$A2020="thg-central-marketing",$A2020="thg-seoclarity"),"HOLD",TRUE,"")</f>
        <v>HOLD</v>
      </c>
      <c r="R2020" t="str" cm="1">
        <f t="array" ref="R2020">_xlfn.IFS(AND($A2020="thg-beauty",ISNUMBER(SEARCH("liveramp",$C2020))),"thg-beauty Liveramp dataset — confirmed safe to delete",$A2020="agile-bonbon-662",_xlfn.IFS(LEFT($G2020,9)="Tranche 1","Tranche 1: cleared",$C2020="Sessions_Level_1_All_Sites","Downstream aggregation of UA raw logs — keep if raw tables go",ISNUMBER(--$C2020),"UA raw site logs (account ID) — keep pending audit-retention check",$C2020="Emag_Reporting","Legacy but likely needed",$C2020="Nutrition_Data_Archived_Tables","Worth keeping",$C2020="EU_Data","Static lookup tables — scripts still reference (smoke-test risk)",TRUE,"Review"),OR($A2020="thg-influencer",$A2020="thg-ingenuity",$A2020="thg-central-marketing",$A2020="thg-seoclarity"),"HOLD — Charlie Stringer to review before deletion",TRUE,"")</f>
        <v>HOLD — Charlie Stringer to review before deletion</v>
      </c>
      <c r="S2020" t="s">
        <v>1631</v>
      </c>
    </row>
    <row r="2021" spans="1:19" hidden="1">
      <c r="A2021" t="s">
        <v>38</v>
      </c>
      <c r="B2021" t="s">
        <v>1619</v>
      </c>
      <c r="C2021" t="s">
        <v>4350</v>
      </c>
      <c r="D2021" s="2" t="s">
        <v>1621</v>
      </c>
      <c r="E2021">
        <v>3.52</v>
      </c>
      <c r="F2021">
        <v>7.0000000000000007E-2</v>
      </c>
      <c r="G2021" t="s">
        <v>4339</v>
      </c>
      <c r="H2021" t="s">
        <v>4340</v>
      </c>
      <c r="I2021">
        <v>299</v>
      </c>
      <c r="J2021">
        <v>299</v>
      </c>
      <c r="M2021" s="2" t="s">
        <v>1715</v>
      </c>
      <c r="N2021" s="2" t="s">
        <v>1701</v>
      </c>
      <c r="O2021" s="5">
        <v>45897.692371018522</v>
      </c>
      <c r="P2021" t="str">
        <f>IF($Q2021="DELETE",IF($S2021="CONFIRMED: NO MODS &gt; 1YR","CONFIRMED: NO MODS &gt; 1YR","DO NOT DELETE — not defensibly confirmed"),IF($Q2021="HOLD","DO NOT DELETE — HOLD (Charlie review)",IF($Q2021="KEEP","DO NOT DELETE — KEEP",IF(ISNUMBER(SEARCH("REVIEW",$Q2021)),"DO NOT DELETE — REVIEW pending",$S2021))))</f>
        <v>DO NOT DELETE — HOLD (Charlie review)</v>
      </c>
      <c r="Q2021" t="str" cm="1">
        <f t="array" ref="Q2021">_xlfn.IFS(AND($A2021="thg-beauty",ISNUMBER(SEARCH("liveramp",$C2021))),"DELETE",$A2021="agile-bonbon-662",_xlfn.IFS(LEFT($G2021,9)="Tranche 1","DELETE",$C2021="Sessions_Level_1_All_Sites","KEEP",ISNUMBER(--$C2021),"REVIEW — UA raw logs",$C2021="Emag_Reporting","KEEP",$C2021="Nutrition_Data_Archived_Tables","KEEP",$C2021="EU_Data","KEEP",TRUE,"REVIEW"),OR($A2021="thg-influencer",$A2021="thg-ingenuity",$A2021="thg-central-marketing",$A2021="thg-seoclarity"),"HOLD",TRUE,"")</f>
        <v>HOLD</v>
      </c>
      <c r="R2021" t="str" cm="1">
        <f t="array" ref="R2021">_xlfn.IFS(AND($A2021="thg-beauty",ISNUMBER(SEARCH("liveramp",$C2021))),"thg-beauty Liveramp dataset — confirmed safe to delete",$A2021="agile-bonbon-662",_xlfn.IFS(LEFT($G2021,9)="Tranche 1","Tranche 1: cleared",$C2021="Sessions_Level_1_All_Sites","Downstream aggregation of UA raw logs — keep if raw tables go",ISNUMBER(--$C2021),"UA raw site logs (account ID) — keep pending audit-retention check",$C2021="Emag_Reporting","Legacy but likely needed",$C2021="Nutrition_Data_Archived_Tables","Worth keeping",$C2021="EU_Data","Static lookup tables — scripts still reference (smoke-test risk)",TRUE,"Review"),OR($A2021="thg-influencer",$A2021="thg-ingenuity",$A2021="thg-central-marketing",$A2021="thg-seoclarity"),"HOLD — Charlie Stringer to review before deletion",TRUE,"")</f>
        <v>HOLD — Charlie Stringer to review before deletion</v>
      </c>
      <c r="S2021" t="s">
        <v>1631</v>
      </c>
    </row>
    <row r="2022" spans="1:19" hidden="1">
      <c r="A2022" t="s">
        <v>38</v>
      </c>
      <c r="B2022" t="s">
        <v>1619</v>
      </c>
      <c r="C2022" t="s">
        <v>4351</v>
      </c>
      <c r="D2022" s="2" t="s">
        <v>1621</v>
      </c>
      <c r="E2022">
        <v>3.27</v>
      </c>
      <c r="F2022">
        <v>7.0000000000000007E-2</v>
      </c>
      <c r="G2022" t="s">
        <v>4339</v>
      </c>
      <c r="H2022" t="s">
        <v>4340</v>
      </c>
      <c r="I2022">
        <v>295</v>
      </c>
      <c r="J2022">
        <v>295</v>
      </c>
      <c r="M2022" s="2" t="s">
        <v>1715</v>
      </c>
      <c r="N2022" s="2" t="s">
        <v>1701</v>
      </c>
      <c r="O2022" s="5">
        <v>45902.41143010417</v>
      </c>
      <c r="P2022" t="str">
        <f>IF($Q2022="DELETE",IF($S2022="CONFIRMED: NO MODS &gt; 1YR","CONFIRMED: NO MODS &gt; 1YR","DO NOT DELETE — not defensibly confirmed"),IF($Q2022="HOLD","DO NOT DELETE — HOLD (Charlie review)",IF($Q2022="KEEP","DO NOT DELETE — KEEP",IF(ISNUMBER(SEARCH("REVIEW",$Q2022)),"DO NOT DELETE — REVIEW pending",$S2022))))</f>
        <v>DO NOT DELETE — HOLD (Charlie review)</v>
      </c>
      <c r="Q2022" t="str" cm="1">
        <f t="array" ref="Q2022">_xlfn.IFS(AND($A2022="thg-beauty",ISNUMBER(SEARCH("liveramp",$C2022))),"DELETE",$A2022="agile-bonbon-662",_xlfn.IFS(LEFT($G2022,9)="Tranche 1","DELETE",$C2022="Sessions_Level_1_All_Sites","KEEP",ISNUMBER(--$C2022),"REVIEW — UA raw logs",$C2022="Emag_Reporting","KEEP",$C2022="Nutrition_Data_Archived_Tables","KEEP",$C2022="EU_Data","KEEP",TRUE,"REVIEW"),OR($A2022="thg-influencer",$A2022="thg-ingenuity",$A2022="thg-central-marketing",$A2022="thg-seoclarity"),"HOLD",TRUE,"")</f>
        <v>HOLD</v>
      </c>
      <c r="R2022" t="str" cm="1">
        <f t="array" ref="R2022">_xlfn.IFS(AND($A2022="thg-beauty",ISNUMBER(SEARCH("liveramp",$C2022))),"thg-beauty Liveramp dataset — confirmed safe to delete",$A2022="agile-bonbon-662",_xlfn.IFS(LEFT($G2022,9)="Tranche 1","Tranche 1: cleared",$C2022="Sessions_Level_1_All_Sites","Downstream aggregation of UA raw logs — keep if raw tables go",ISNUMBER(--$C2022),"UA raw site logs (account ID) — keep pending audit-retention check",$C2022="Emag_Reporting","Legacy but likely needed",$C2022="Nutrition_Data_Archived_Tables","Worth keeping",$C2022="EU_Data","Static lookup tables — scripts still reference (smoke-test risk)",TRUE,"Review"),OR($A2022="thg-influencer",$A2022="thg-ingenuity",$A2022="thg-central-marketing",$A2022="thg-seoclarity"),"HOLD — Charlie Stringer to review before deletion",TRUE,"")</f>
        <v>HOLD — Charlie Stringer to review before deletion</v>
      </c>
      <c r="S2022" t="s">
        <v>1631</v>
      </c>
    </row>
    <row r="2023" spans="1:19" hidden="1">
      <c r="A2023" t="s">
        <v>38</v>
      </c>
      <c r="B2023" t="s">
        <v>1619</v>
      </c>
      <c r="C2023" t="s">
        <v>4352</v>
      </c>
      <c r="D2023" s="2" t="s">
        <v>1621</v>
      </c>
      <c r="E2023">
        <v>17.190000000000001</v>
      </c>
      <c r="F2023">
        <v>0.34</v>
      </c>
      <c r="G2023" t="s">
        <v>4339</v>
      </c>
      <c r="H2023" t="s">
        <v>4340</v>
      </c>
      <c r="I2023">
        <v>291</v>
      </c>
      <c r="J2023">
        <v>291</v>
      </c>
      <c r="M2023" s="2" t="s">
        <v>1715</v>
      </c>
      <c r="N2023" s="2" t="s">
        <v>1701</v>
      </c>
      <c r="O2023" s="5">
        <v>45906.430669548608</v>
      </c>
      <c r="P2023" t="str">
        <f>IF($Q2023="DELETE",IF($S2023="CONFIRMED: NO MODS &gt; 1YR","CONFIRMED: NO MODS &gt; 1YR","DO NOT DELETE — not defensibly confirmed"),IF($Q2023="HOLD","DO NOT DELETE — HOLD (Charlie review)",IF($Q2023="KEEP","DO NOT DELETE — KEEP",IF(ISNUMBER(SEARCH("REVIEW",$Q2023)),"DO NOT DELETE — REVIEW pending",$S2023))))</f>
        <v>DO NOT DELETE — HOLD (Charlie review)</v>
      </c>
      <c r="Q2023" t="str" cm="1">
        <f t="array" ref="Q2023">_xlfn.IFS(AND($A2023="thg-beauty",ISNUMBER(SEARCH("liveramp",$C2023))),"DELETE",$A2023="agile-bonbon-662",_xlfn.IFS(LEFT($G2023,9)="Tranche 1","DELETE",$C2023="Sessions_Level_1_All_Sites","KEEP",ISNUMBER(--$C2023),"REVIEW — UA raw logs",$C2023="Emag_Reporting","KEEP",$C2023="Nutrition_Data_Archived_Tables","KEEP",$C2023="EU_Data","KEEP",TRUE,"REVIEW"),OR($A2023="thg-influencer",$A2023="thg-ingenuity",$A2023="thg-central-marketing",$A2023="thg-seoclarity"),"HOLD",TRUE,"")</f>
        <v>HOLD</v>
      </c>
      <c r="R2023" t="str" cm="1">
        <f t="array" ref="R2023">_xlfn.IFS(AND($A2023="thg-beauty",ISNUMBER(SEARCH("liveramp",$C2023))),"thg-beauty Liveramp dataset — confirmed safe to delete",$A2023="agile-bonbon-662",_xlfn.IFS(LEFT($G2023,9)="Tranche 1","Tranche 1: cleared",$C2023="Sessions_Level_1_All_Sites","Downstream aggregation of UA raw logs — keep if raw tables go",ISNUMBER(--$C2023),"UA raw site logs (account ID) — keep pending audit-retention check",$C2023="Emag_Reporting","Legacy but likely needed",$C2023="Nutrition_Data_Archived_Tables","Worth keeping",$C2023="EU_Data","Static lookup tables — scripts still reference (smoke-test risk)",TRUE,"Review"),OR($A2023="thg-influencer",$A2023="thg-ingenuity",$A2023="thg-central-marketing",$A2023="thg-seoclarity"),"HOLD — Charlie Stringer to review before deletion",TRUE,"")</f>
        <v>HOLD — Charlie Stringer to review before deletion</v>
      </c>
      <c r="S2023" t="s">
        <v>1631</v>
      </c>
    </row>
    <row r="2024" spans="1:19" hidden="1">
      <c r="A2024" t="s">
        <v>39</v>
      </c>
      <c r="B2024" t="s">
        <v>1724</v>
      </c>
      <c r="C2024" t="s">
        <v>2034</v>
      </c>
      <c r="D2024" s="2" t="s">
        <v>1621</v>
      </c>
      <c r="E2024">
        <v>0.36</v>
      </c>
      <c r="F2024">
        <v>0.01</v>
      </c>
      <c r="G2024" t="s">
        <v>4339</v>
      </c>
      <c r="H2024" t="s">
        <v>4340</v>
      </c>
      <c r="I2024">
        <v>272</v>
      </c>
      <c r="J2024">
        <v>272</v>
      </c>
      <c r="M2024" s="2" t="s">
        <v>1715</v>
      </c>
      <c r="N2024" s="2" t="s">
        <v>1701</v>
      </c>
      <c r="O2024" s="5">
        <v>45925.010886550917</v>
      </c>
      <c r="P2024" t="str">
        <f>IF($Q2024="DELETE",IF($S2024="CONFIRMED: NO MODS &gt; 1YR","CONFIRMED: NO MODS &gt; 1YR","DO NOT DELETE — not defensibly confirmed"),IF($Q2024="HOLD","DO NOT DELETE — HOLD (Charlie review)",IF($Q2024="KEEP","DO NOT DELETE — KEEP",IF(ISNUMBER(SEARCH("REVIEW",$Q2024)),"DO NOT DELETE — REVIEW pending",$S2024))))</f>
        <v>DO NOT DELETE — HOLD (Charlie review)</v>
      </c>
      <c r="Q2024" t="str" cm="1">
        <f t="array" ref="Q2024">_xlfn.IFS(AND($A2024="thg-beauty",ISNUMBER(SEARCH("liveramp",$C2024))),"DELETE",$A2024="agile-bonbon-662",_xlfn.IFS(LEFT($G2024,9)="Tranche 1","DELETE",$C2024="Sessions_Level_1_All_Sites","KEEP",ISNUMBER(--$C2024),"REVIEW — UA raw logs",$C2024="Emag_Reporting","KEEP",$C2024="Nutrition_Data_Archived_Tables","KEEP",$C2024="EU_Data","KEEP",TRUE,"REVIEW"),OR($A2024="thg-influencer",$A2024="thg-ingenuity",$A2024="thg-central-marketing",$A2024="thg-seoclarity"),"HOLD",TRUE,"")</f>
        <v>HOLD</v>
      </c>
      <c r="R2024" t="str" cm="1">
        <f t="array" ref="R2024">_xlfn.IFS(AND($A2024="thg-beauty",ISNUMBER(SEARCH("liveramp",$C2024))),"thg-beauty Liveramp dataset — confirmed safe to delete",$A2024="agile-bonbon-662",_xlfn.IFS(LEFT($G2024,9)="Tranche 1","Tranche 1: cleared",$C2024="Sessions_Level_1_All_Sites","Downstream aggregation of UA raw logs — keep if raw tables go",ISNUMBER(--$C2024),"UA raw site logs (account ID) — keep pending audit-retention check",$C2024="Emag_Reporting","Legacy but likely needed",$C2024="Nutrition_Data_Archived_Tables","Worth keeping",$C2024="EU_Data","Static lookup tables — scripts still reference (smoke-test risk)",TRUE,"Review"),OR($A2024="thg-influencer",$A2024="thg-ingenuity",$A2024="thg-central-marketing",$A2024="thg-seoclarity"),"HOLD — Charlie Stringer to review before deletion",TRUE,"")</f>
        <v>HOLD — Charlie Stringer to review before deletion</v>
      </c>
      <c r="S2024" t="s">
        <v>1631</v>
      </c>
    </row>
    <row r="2025" spans="1:19" hidden="1">
      <c r="A2025" t="s">
        <v>38</v>
      </c>
      <c r="B2025" t="s">
        <v>1619</v>
      </c>
      <c r="C2025" t="s">
        <v>4353</v>
      </c>
      <c r="D2025" s="2" t="s">
        <v>1621</v>
      </c>
      <c r="E2025">
        <v>42.03</v>
      </c>
      <c r="F2025">
        <v>0.84</v>
      </c>
      <c r="G2025" t="s">
        <v>4339</v>
      </c>
      <c r="H2025" t="s">
        <v>4340</v>
      </c>
      <c r="I2025">
        <v>259</v>
      </c>
      <c r="J2025">
        <v>259</v>
      </c>
      <c r="M2025" s="2" t="s">
        <v>1715</v>
      </c>
      <c r="N2025" s="2" t="s">
        <v>1701</v>
      </c>
      <c r="O2025" s="5">
        <v>45938.400638217587</v>
      </c>
      <c r="P2025" t="str">
        <f>IF($Q2025="DELETE",IF($S2025="CONFIRMED: NO MODS &gt; 1YR","CONFIRMED: NO MODS &gt; 1YR","DO NOT DELETE — not defensibly confirmed"),IF($Q2025="HOLD","DO NOT DELETE — HOLD (Charlie review)",IF($Q2025="KEEP","DO NOT DELETE — KEEP",IF(ISNUMBER(SEARCH("REVIEW",$Q2025)),"DO NOT DELETE — REVIEW pending",$S2025))))</f>
        <v>DO NOT DELETE — HOLD (Charlie review)</v>
      </c>
      <c r="Q2025" t="str" cm="1">
        <f t="array" ref="Q2025">_xlfn.IFS(AND($A2025="thg-beauty",ISNUMBER(SEARCH("liveramp",$C2025))),"DELETE",$A2025="agile-bonbon-662",_xlfn.IFS(LEFT($G2025,9)="Tranche 1","DELETE",$C2025="Sessions_Level_1_All_Sites","KEEP",ISNUMBER(--$C2025),"REVIEW — UA raw logs",$C2025="Emag_Reporting","KEEP",$C2025="Nutrition_Data_Archived_Tables","KEEP",$C2025="EU_Data","KEEP",TRUE,"REVIEW"),OR($A2025="thg-influencer",$A2025="thg-ingenuity",$A2025="thg-central-marketing",$A2025="thg-seoclarity"),"HOLD",TRUE,"")</f>
        <v>HOLD</v>
      </c>
      <c r="R2025" t="str" cm="1">
        <f t="array" ref="R2025">_xlfn.IFS(AND($A2025="thg-beauty",ISNUMBER(SEARCH("liveramp",$C2025))),"thg-beauty Liveramp dataset — confirmed safe to delete",$A2025="agile-bonbon-662",_xlfn.IFS(LEFT($G2025,9)="Tranche 1","Tranche 1: cleared",$C2025="Sessions_Level_1_All_Sites","Downstream aggregation of UA raw logs — keep if raw tables go",ISNUMBER(--$C2025),"UA raw site logs (account ID) — keep pending audit-retention check",$C2025="Emag_Reporting","Legacy but likely needed",$C2025="Nutrition_Data_Archived_Tables","Worth keeping",$C2025="EU_Data","Static lookup tables — scripts still reference (smoke-test risk)",TRUE,"Review"),OR($A2025="thg-influencer",$A2025="thg-ingenuity",$A2025="thg-central-marketing",$A2025="thg-seoclarity"),"HOLD — Charlie Stringer to review before deletion",TRUE,"")</f>
        <v>HOLD — Charlie Stringer to review before deletion</v>
      </c>
      <c r="S2025" t="s">
        <v>1631</v>
      </c>
    </row>
    <row r="2026" spans="1:19" hidden="1">
      <c r="A2026" t="s">
        <v>39</v>
      </c>
      <c r="B2026" t="s">
        <v>1724</v>
      </c>
      <c r="C2026" t="s">
        <v>3120</v>
      </c>
      <c r="D2026" s="2" t="s">
        <v>1621</v>
      </c>
      <c r="E2026">
        <v>7.0000000000000007E-2</v>
      </c>
      <c r="F2026">
        <v>0</v>
      </c>
      <c r="G2026" t="s">
        <v>4339</v>
      </c>
      <c r="H2026" t="s">
        <v>4340</v>
      </c>
      <c r="I2026">
        <v>252</v>
      </c>
      <c r="J2026">
        <v>252</v>
      </c>
      <c r="M2026" s="2" t="s">
        <v>1715</v>
      </c>
      <c r="N2026" s="2" t="s">
        <v>1701</v>
      </c>
      <c r="O2026" s="5">
        <v>45945.004796608802</v>
      </c>
      <c r="P2026" t="str">
        <f>IF($Q2026="DELETE",IF($S2026="CONFIRMED: NO MODS &gt; 1YR","CONFIRMED: NO MODS &gt; 1YR","DO NOT DELETE — not defensibly confirmed"),IF($Q2026="HOLD","DO NOT DELETE — HOLD (Charlie review)",IF($Q2026="KEEP","DO NOT DELETE — KEEP",IF(ISNUMBER(SEARCH("REVIEW",$Q2026)),"DO NOT DELETE — REVIEW pending",$S2026))))</f>
        <v>DO NOT DELETE — HOLD (Charlie review)</v>
      </c>
      <c r="Q2026" t="str" cm="1">
        <f t="array" ref="Q2026">_xlfn.IFS(AND($A2026="thg-beauty",ISNUMBER(SEARCH("liveramp",$C2026))),"DELETE",$A2026="agile-bonbon-662",_xlfn.IFS(LEFT($G2026,9)="Tranche 1","DELETE",$C2026="Sessions_Level_1_All_Sites","KEEP",ISNUMBER(--$C2026),"REVIEW — UA raw logs",$C2026="Emag_Reporting","KEEP",$C2026="Nutrition_Data_Archived_Tables","KEEP",$C2026="EU_Data","KEEP",TRUE,"REVIEW"),OR($A2026="thg-influencer",$A2026="thg-ingenuity",$A2026="thg-central-marketing",$A2026="thg-seoclarity"),"HOLD",TRUE,"")</f>
        <v>HOLD</v>
      </c>
      <c r="R2026" t="str" cm="1">
        <f t="array" ref="R2026">_xlfn.IFS(AND($A2026="thg-beauty",ISNUMBER(SEARCH("liveramp",$C2026))),"thg-beauty Liveramp dataset — confirmed safe to delete",$A2026="agile-bonbon-662",_xlfn.IFS(LEFT($G2026,9)="Tranche 1","Tranche 1: cleared",$C2026="Sessions_Level_1_All_Sites","Downstream aggregation of UA raw logs — keep if raw tables go",ISNUMBER(--$C2026),"UA raw site logs (account ID) — keep pending audit-retention check",$C2026="Emag_Reporting","Legacy but likely needed",$C2026="Nutrition_Data_Archived_Tables","Worth keeping",$C2026="EU_Data","Static lookup tables — scripts still reference (smoke-test risk)",TRUE,"Review"),OR($A2026="thg-influencer",$A2026="thg-ingenuity",$A2026="thg-central-marketing",$A2026="thg-seoclarity"),"HOLD — Charlie Stringer to review before deletion",TRUE,"")</f>
        <v>HOLD — Charlie Stringer to review before deletion</v>
      </c>
      <c r="S2026" t="s">
        <v>1631</v>
      </c>
    </row>
    <row r="2027" spans="1:19" hidden="1">
      <c r="A2027" t="s">
        <v>39</v>
      </c>
      <c r="B2027" t="s">
        <v>1724</v>
      </c>
      <c r="C2027" t="s">
        <v>3179</v>
      </c>
      <c r="D2027" s="2" t="s">
        <v>1621</v>
      </c>
      <c r="E2027">
        <v>0.01</v>
      </c>
      <c r="F2027">
        <v>0</v>
      </c>
      <c r="G2027" t="s">
        <v>4339</v>
      </c>
      <c r="H2027" t="s">
        <v>4340</v>
      </c>
      <c r="I2027">
        <v>245</v>
      </c>
      <c r="J2027">
        <v>245</v>
      </c>
      <c r="M2027" s="2" t="s">
        <v>1715</v>
      </c>
      <c r="N2027" s="2" t="s">
        <v>1701</v>
      </c>
      <c r="O2027" s="5">
        <v>45952.085544965281</v>
      </c>
      <c r="P2027" t="str">
        <f>IF($Q2027="DELETE",IF($S2027="CONFIRMED: NO MODS &gt; 1YR","CONFIRMED: NO MODS &gt; 1YR","DO NOT DELETE — not defensibly confirmed"),IF($Q2027="HOLD","DO NOT DELETE — HOLD (Charlie review)",IF($Q2027="KEEP","DO NOT DELETE — KEEP",IF(ISNUMBER(SEARCH("REVIEW",$Q2027)),"DO NOT DELETE — REVIEW pending",$S2027))))</f>
        <v>DO NOT DELETE — HOLD (Charlie review)</v>
      </c>
      <c r="Q2027" t="str" cm="1">
        <f t="array" ref="Q2027">_xlfn.IFS(AND($A2027="thg-beauty",ISNUMBER(SEARCH("liveramp",$C2027))),"DELETE",$A2027="agile-bonbon-662",_xlfn.IFS(LEFT($G2027,9)="Tranche 1","DELETE",$C2027="Sessions_Level_1_All_Sites","KEEP",ISNUMBER(--$C2027),"REVIEW — UA raw logs",$C2027="Emag_Reporting","KEEP",$C2027="Nutrition_Data_Archived_Tables","KEEP",$C2027="EU_Data","KEEP",TRUE,"REVIEW"),OR($A2027="thg-influencer",$A2027="thg-ingenuity",$A2027="thg-central-marketing",$A2027="thg-seoclarity"),"HOLD",TRUE,"")</f>
        <v>HOLD</v>
      </c>
      <c r="R2027" t="str" cm="1">
        <f t="array" ref="R2027">_xlfn.IFS(AND($A2027="thg-beauty",ISNUMBER(SEARCH("liveramp",$C2027))),"thg-beauty Liveramp dataset — confirmed safe to delete",$A2027="agile-bonbon-662",_xlfn.IFS(LEFT($G2027,9)="Tranche 1","Tranche 1: cleared",$C2027="Sessions_Level_1_All_Sites","Downstream aggregation of UA raw logs — keep if raw tables go",ISNUMBER(--$C2027),"UA raw site logs (account ID) — keep pending audit-retention check",$C2027="Emag_Reporting","Legacy but likely needed",$C2027="Nutrition_Data_Archived_Tables","Worth keeping",$C2027="EU_Data","Static lookup tables — scripts still reference (smoke-test risk)",TRUE,"Review"),OR($A2027="thg-influencer",$A2027="thg-ingenuity",$A2027="thg-central-marketing",$A2027="thg-seoclarity"),"HOLD — Charlie Stringer to review before deletion",TRUE,"")</f>
        <v>HOLD — Charlie Stringer to review before deletion</v>
      </c>
      <c r="S2027" t="s">
        <v>1631</v>
      </c>
    </row>
    <row r="2028" spans="1:19" hidden="1">
      <c r="A2028" t="s">
        <v>38</v>
      </c>
      <c r="B2028" t="s">
        <v>1619</v>
      </c>
      <c r="C2028" t="s">
        <v>4354</v>
      </c>
      <c r="D2028" s="2" t="s">
        <v>1621</v>
      </c>
      <c r="E2028">
        <v>13.99</v>
      </c>
      <c r="F2028">
        <v>0.28000000000000003</v>
      </c>
      <c r="G2028" t="s">
        <v>4339</v>
      </c>
      <c r="H2028" t="s">
        <v>4340</v>
      </c>
      <c r="I2028">
        <v>228</v>
      </c>
      <c r="J2028">
        <v>228</v>
      </c>
      <c r="M2028" s="2" t="s">
        <v>1715</v>
      </c>
      <c r="N2028" s="2" t="s">
        <v>1701</v>
      </c>
      <c r="O2028" s="5">
        <v>45969.329722175928</v>
      </c>
      <c r="P2028" t="str">
        <f>IF($Q2028="DELETE",IF($S2028="CONFIRMED: NO MODS &gt; 1YR","CONFIRMED: NO MODS &gt; 1YR","DO NOT DELETE — not defensibly confirmed"),IF($Q2028="HOLD","DO NOT DELETE — HOLD (Charlie review)",IF($Q2028="KEEP","DO NOT DELETE — KEEP",IF(ISNUMBER(SEARCH("REVIEW",$Q2028)),"DO NOT DELETE — REVIEW pending",$S2028))))</f>
        <v>DO NOT DELETE — HOLD (Charlie review)</v>
      </c>
      <c r="Q2028" t="str" cm="1">
        <f t="array" ref="Q2028">_xlfn.IFS(AND($A2028="thg-beauty",ISNUMBER(SEARCH("liveramp",$C2028))),"DELETE",$A2028="agile-bonbon-662",_xlfn.IFS(LEFT($G2028,9)="Tranche 1","DELETE",$C2028="Sessions_Level_1_All_Sites","KEEP",ISNUMBER(--$C2028),"REVIEW — UA raw logs",$C2028="Emag_Reporting","KEEP",$C2028="Nutrition_Data_Archived_Tables","KEEP",$C2028="EU_Data","KEEP",TRUE,"REVIEW"),OR($A2028="thg-influencer",$A2028="thg-ingenuity",$A2028="thg-central-marketing",$A2028="thg-seoclarity"),"HOLD",TRUE,"")</f>
        <v>HOLD</v>
      </c>
      <c r="R2028" t="str" cm="1">
        <f t="array" ref="R2028">_xlfn.IFS(AND($A2028="thg-beauty",ISNUMBER(SEARCH("liveramp",$C2028))),"thg-beauty Liveramp dataset — confirmed safe to delete",$A2028="agile-bonbon-662",_xlfn.IFS(LEFT($G2028,9)="Tranche 1","Tranche 1: cleared",$C2028="Sessions_Level_1_All_Sites","Downstream aggregation of UA raw logs — keep if raw tables go",ISNUMBER(--$C2028),"UA raw site logs (account ID) — keep pending audit-retention check",$C2028="Emag_Reporting","Legacy but likely needed",$C2028="Nutrition_Data_Archived_Tables","Worth keeping",$C2028="EU_Data","Static lookup tables — scripts still reference (smoke-test risk)",TRUE,"Review"),OR($A2028="thg-influencer",$A2028="thg-ingenuity",$A2028="thg-central-marketing",$A2028="thg-seoclarity"),"HOLD — Charlie Stringer to review before deletion",TRUE,"")</f>
        <v>HOLD — Charlie Stringer to review before deletion</v>
      </c>
      <c r="S2028" t="s">
        <v>1631</v>
      </c>
    </row>
    <row r="2029" spans="1:19" hidden="1">
      <c r="A2029" t="s">
        <v>38</v>
      </c>
      <c r="B2029" t="s">
        <v>1619</v>
      </c>
      <c r="C2029" t="s">
        <v>4355</v>
      </c>
      <c r="D2029" s="2" t="s">
        <v>1621</v>
      </c>
      <c r="E2029">
        <v>4.74</v>
      </c>
      <c r="F2029">
        <v>0.09</v>
      </c>
      <c r="G2029" t="s">
        <v>4339</v>
      </c>
      <c r="H2029" t="s">
        <v>4340</v>
      </c>
      <c r="I2029">
        <v>207</v>
      </c>
      <c r="J2029">
        <v>207</v>
      </c>
      <c r="M2029" s="2" t="s">
        <v>1715</v>
      </c>
      <c r="N2029" s="2" t="s">
        <v>1701</v>
      </c>
      <c r="O2029" s="5">
        <v>45990.365358923613</v>
      </c>
      <c r="P2029" t="str">
        <f>IF($Q2029="DELETE",IF($S2029="CONFIRMED: NO MODS &gt; 1YR","CONFIRMED: NO MODS &gt; 1YR","DO NOT DELETE — not defensibly confirmed"),IF($Q2029="HOLD","DO NOT DELETE — HOLD (Charlie review)",IF($Q2029="KEEP","DO NOT DELETE — KEEP",IF(ISNUMBER(SEARCH("REVIEW",$Q2029)),"DO NOT DELETE — REVIEW pending",$S2029))))</f>
        <v>DO NOT DELETE — HOLD (Charlie review)</v>
      </c>
      <c r="Q2029" t="str" cm="1">
        <f t="array" ref="Q2029">_xlfn.IFS(AND($A2029="thg-beauty",ISNUMBER(SEARCH("liveramp",$C2029))),"DELETE",$A2029="agile-bonbon-662",_xlfn.IFS(LEFT($G2029,9)="Tranche 1","DELETE",$C2029="Sessions_Level_1_All_Sites","KEEP",ISNUMBER(--$C2029),"REVIEW — UA raw logs",$C2029="Emag_Reporting","KEEP",$C2029="Nutrition_Data_Archived_Tables","KEEP",$C2029="EU_Data","KEEP",TRUE,"REVIEW"),OR($A2029="thg-influencer",$A2029="thg-ingenuity",$A2029="thg-central-marketing",$A2029="thg-seoclarity"),"HOLD",TRUE,"")</f>
        <v>HOLD</v>
      </c>
      <c r="R2029" t="str" cm="1">
        <f t="array" ref="R2029">_xlfn.IFS(AND($A2029="thg-beauty",ISNUMBER(SEARCH("liveramp",$C2029))),"thg-beauty Liveramp dataset — confirmed safe to delete",$A2029="agile-bonbon-662",_xlfn.IFS(LEFT($G2029,9)="Tranche 1","Tranche 1: cleared",$C2029="Sessions_Level_1_All_Sites","Downstream aggregation of UA raw logs — keep if raw tables go",ISNUMBER(--$C2029),"UA raw site logs (account ID) — keep pending audit-retention check",$C2029="Emag_Reporting","Legacy but likely needed",$C2029="Nutrition_Data_Archived_Tables","Worth keeping",$C2029="EU_Data","Static lookup tables — scripts still reference (smoke-test risk)",TRUE,"Review"),OR($A2029="thg-influencer",$A2029="thg-ingenuity",$A2029="thg-central-marketing",$A2029="thg-seoclarity"),"HOLD — Charlie Stringer to review before deletion",TRUE,"")</f>
        <v>HOLD — Charlie Stringer to review before deletion</v>
      </c>
      <c r="S2029" t="s">
        <v>1631</v>
      </c>
    </row>
    <row r="2030" spans="1:19" hidden="1">
      <c r="A2030" t="s">
        <v>92</v>
      </c>
      <c r="B2030" t="s">
        <v>1619</v>
      </c>
      <c r="C2030" t="s">
        <v>4356</v>
      </c>
      <c r="D2030" s="2" t="s">
        <v>1621</v>
      </c>
      <c r="E2030">
        <v>692.84</v>
      </c>
      <c r="F2030">
        <v>13.86</v>
      </c>
      <c r="G2030" t="s">
        <v>78</v>
      </c>
      <c r="H2030" t="s">
        <v>4340</v>
      </c>
      <c r="I2030">
        <v>344</v>
      </c>
      <c r="J2030">
        <v>344</v>
      </c>
      <c r="M2030" s="2" t="s">
        <v>1715</v>
      </c>
      <c r="N2030" s="2" t="s">
        <v>1701</v>
      </c>
      <c r="O2030" s="5">
        <v>45853.375113506947</v>
      </c>
      <c r="P2030" t="str">
        <f>IF($Q2030="DELETE",IF($S2030="CONFIRMED: NO MODS &gt; 1YR","CONFIRMED: NO MODS &gt; 1YR","DO NOT DELETE — not defensibly confirmed"),IF($Q2030="HOLD","DO NOT DELETE — HOLD (Charlie review)",IF($Q2030="KEEP","DO NOT DELETE — KEEP",IF(ISNUMBER(SEARCH("REVIEW",$Q2030)),"DO NOT DELETE — REVIEW pending",$S2030))))</f>
        <v>REVIEW</v>
      </c>
      <c r="Q2030" t="str" cm="1">
        <f t="array" ref="Q2030">_xlfn.IFS(AND($A2030="thg-beauty",ISNUMBER(SEARCH("liveramp",$C2030))),"DELETE",$A2030="agile-bonbon-662",_xlfn.IFS(LEFT($G2030,9)="Tranche 1","DELETE",$C2030="Sessions_Level_1_All_Sites","KEEP",ISNUMBER(--$C2030),"REVIEW — UA raw logs",$C2030="Emag_Reporting","KEEP",$C2030="Nutrition_Data_Archived_Tables","KEEP",$C2030="EU_Data","KEEP",TRUE,"REVIEW"),OR($A2030="thg-influencer",$A2030="thg-ingenuity",$A2030="thg-central-marketing",$A2030="thg-seoclarity"),"HOLD",TRUE,"")</f>
        <v/>
      </c>
      <c r="R2030" t="str" cm="1">
        <f t="array" ref="R2030">_xlfn.IFS(AND($A2030="thg-beauty",ISNUMBER(SEARCH("liveramp",$C2030))),"thg-beauty Liveramp dataset — confirmed safe to delete",$A2030="agile-bonbon-662",_xlfn.IFS(LEFT($G2030,9)="Tranche 1","Tranche 1: cleared",$C2030="Sessions_Level_1_All_Sites","Downstream aggregation of UA raw logs — keep if raw tables go",ISNUMBER(--$C2030),"UA raw site logs (account ID) — keep pending audit-retention check",$C2030="Emag_Reporting","Legacy but likely needed",$C2030="Nutrition_Data_Archived_Tables","Worth keeping",$C2030="EU_Data","Static lookup tables — scripts still reference (smoke-test risk)",TRUE,"Review"),OR($A2030="thg-influencer",$A2030="thg-ingenuity",$A2030="thg-central-marketing",$A2030="thg-seoclarity"),"HOLD — Charlie Stringer to review before deletion",TRUE,"")</f>
        <v/>
      </c>
      <c r="S2030" t="s">
        <v>1631</v>
      </c>
    </row>
    <row r="2031" spans="1:19" hidden="1">
      <c r="A2031" t="s">
        <v>2513</v>
      </c>
      <c r="B2031" t="s">
        <v>1619</v>
      </c>
      <c r="C2031" t="s">
        <v>4357</v>
      </c>
      <c r="D2031" s="2" t="s">
        <v>1621</v>
      </c>
      <c r="E2031">
        <v>46.58</v>
      </c>
      <c r="F2031">
        <v>0.93</v>
      </c>
      <c r="G2031" t="s">
        <v>78</v>
      </c>
      <c r="H2031" t="s">
        <v>4340</v>
      </c>
      <c r="I2031">
        <v>365</v>
      </c>
      <c r="J2031">
        <v>365</v>
      </c>
      <c r="M2031" s="2" t="s">
        <v>1715</v>
      </c>
      <c r="N2031" s="2" t="s">
        <v>1701</v>
      </c>
      <c r="O2031" s="5">
        <v>45832.10731900463</v>
      </c>
      <c r="P2031" t="str">
        <f>IF($Q2031="DELETE",IF($S2031="CONFIRMED: NO MODS &gt; 1YR","CONFIRMED: NO MODS &gt; 1YR","DO NOT DELETE — not defensibly confirmed"),IF($Q2031="HOLD","DO NOT DELETE — HOLD (Charlie review)",IF($Q2031="KEEP","DO NOT DELETE — KEEP",IF(ISNUMBER(SEARCH("REVIEW",$Q2031)),"DO NOT DELETE — REVIEW pending",$S2031))))</f>
        <v>REVIEW</v>
      </c>
      <c r="Q2031" t="str" cm="1">
        <f t="array" ref="Q2031">_xlfn.IFS(AND($A2031="thg-beauty",ISNUMBER(SEARCH("liveramp",$C2031))),"DELETE",$A2031="agile-bonbon-662",_xlfn.IFS(LEFT($G2031,9)="Tranche 1","DELETE",$C2031="Sessions_Level_1_All_Sites","KEEP",ISNUMBER(--$C2031),"REVIEW — UA raw logs",$C2031="Emag_Reporting","KEEP",$C2031="Nutrition_Data_Archived_Tables","KEEP",$C2031="EU_Data","KEEP",TRUE,"REVIEW"),OR($A2031="thg-influencer",$A2031="thg-ingenuity",$A2031="thg-central-marketing",$A2031="thg-seoclarity"),"HOLD",TRUE,"")</f>
        <v/>
      </c>
      <c r="R2031" t="str" cm="1">
        <f t="array" ref="R2031">_xlfn.IFS(AND($A2031="thg-beauty",ISNUMBER(SEARCH("liveramp",$C2031))),"thg-beauty Liveramp dataset — confirmed safe to delete",$A2031="agile-bonbon-662",_xlfn.IFS(LEFT($G2031,9)="Tranche 1","Tranche 1: cleared",$C2031="Sessions_Level_1_All_Sites","Downstream aggregation of UA raw logs — keep if raw tables go",ISNUMBER(--$C2031),"UA raw site logs (account ID) — keep pending audit-retention check",$C2031="Emag_Reporting","Legacy but likely needed",$C2031="Nutrition_Data_Archived_Tables","Worth keeping",$C2031="EU_Data","Static lookup tables — scripts still reference (smoke-test risk)",TRUE,"Review"),OR($A2031="thg-influencer",$A2031="thg-ingenuity",$A2031="thg-central-marketing",$A2031="thg-seoclarity"),"HOLD — Charlie Stringer to review before deletion",TRUE,"")</f>
        <v/>
      </c>
      <c r="S2031" t="s">
        <v>1631</v>
      </c>
    </row>
    <row r="2032" spans="1:19" hidden="1">
      <c r="A2032" t="s">
        <v>93</v>
      </c>
      <c r="B2032" t="s">
        <v>1724</v>
      </c>
      <c r="C2032" t="s">
        <v>4358</v>
      </c>
      <c r="D2032" s="2" t="s">
        <v>1621</v>
      </c>
      <c r="E2032">
        <v>2301.7600000000002</v>
      </c>
      <c r="F2032">
        <v>46.04</v>
      </c>
      <c r="G2032" t="s">
        <v>78</v>
      </c>
      <c r="H2032" t="s">
        <v>4340</v>
      </c>
      <c r="I2032">
        <v>358</v>
      </c>
      <c r="J2032">
        <v>358</v>
      </c>
      <c r="M2032" s="2" t="s">
        <v>1715</v>
      </c>
      <c r="N2032" s="2" t="s">
        <v>1701</v>
      </c>
      <c r="O2032" s="5">
        <v>45838.550391701392</v>
      </c>
      <c r="P2032" t="str">
        <f>IF($Q2032="DELETE",IF($S2032="CONFIRMED: NO MODS &gt; 1YR","CONFIRMED: NO MODS &gt; 1YR","DO NOT DELETE — not defensibly confirmed"),IF($Q2032="HOLD","DO NOT DELETE — HOLD (Charlie review)",IF($Q2032="KEEP","DO NOT DELETE — KEEP",IF(ISNUMBER(SEARCH("REVIEW",$Q2032)),"DO NOT DELETE — REVIEW pending",$S2032))))</f>
        <v>REVIEW</v>
      </c>
      <c r="Q2032" t="str" cm="1">
        <f t="array" ref="Q2032">_xlfn.IFS(AND($A2032="thg-beauty",ISNUMBER(SEARCH("liveramp",$C2032))),"DELETE",$A2032="agile-bonbon-662",_xlfn.IFS(LEFT($G2032,9)="Tranche 1","DELETE",$C2032="Sessions_Level_1_All_Sites","KEEP",ISNUMBER(--$C2032),"REVIEW — UA raw logs",$C2032="Emag_Reporting","KEEP",$C2032="Nutrition_Data_Archived_Tables","KEEP",$C2032="EU_Data","KEEP",TRUE,"REVIEW"),OR($A2032="thg-influencer",$A2032="thg-ingenuity",$A2032="thg-central-marketing",$A2032="thg-seoclarity"),"HOLD",TRUE,"")</f>
        <v/>
      </c>
      <c r="R2032" t="str" cm="1">
        <f t="array" ref="R2032">_xlfn.IFS(AND($A2032="thg-beauty",ISNUMBER(SEARCH("liveramp",$C2032))),"thg-beauty Liveramp dataset — confirmed safe to delete",$A2032="agile-bonbon-662",_xlfn.IFS(LEFT($G2032,9)="Tranche 1","Tranche 1: cleared",$C2032="Sessions_Level_1_All_Sites","Downstream aggregation of UA raw logs — keep if raw tables go",ISNUMBER(--$C2032),"UA raw site logs (account ID) — keep pending audit-retention check",$C2032="Emag_Reporting","Legacy but likely needed",$C2032="Nutrition_Data_Archived_Tables","Worth keeping",$C2032="EU_Data","Static lookup tables — scripts still reference (smoke-test risk)",TRUE,"Review"),OR($A2032="thg-influencer",$A2032="thg-ingenuity",$A2032="thg-central-marketing",$A2032="thg-seoclarity"),"HOLD — Charlie Stringer to review before deletion",TRUE,"")</f>
        <v/>
      </c>
      <c r="S2032" t="s">
        <v>1631</v>
      </c>
    </row>
    <row r="2033" spans="1:19" hidden="1">
      <c r="A2033" t="s">
        <v>93</v>
      </c>
      <c r="B2033" t="s">
        <v>1619</v>
      </c>
      <c r="C2033" t="s">
        <v>4359</v>
      </c>
      <c r="D2033" s="2" t="s">
        <v>1621</v>
      </c>
      <c r="E2033">
        <v>84.68</v>
      </c>
      <c r="F2033">
        <v>1.69</v>
      </c>
      <c r="G2033" t="s">
        <v>78</v>
      </c>
      <c r="H2033" t="s">
        <v>4340</v>
      </c>
      <c r="I2033">
        <v>349</v>
      </c>
      <c r="J2033">
        <v>349</v>
      </c>
      <c r="M2033" s="2" t="s">
        <v>1715</v>
      </c>
      <c r="N2033" s="2" t="s">
        <v>1701</v>
      </c>
      <c r="O2033" s="5">
        <v>45848.351853807872</v>
      </c>
      <c r="P2033" t="str">
        <f>IF($Q2033="DELETE",IF($S2033="CONFIRMED: NO MODS &gt; 1YR","CONFIRMED: NO MODS &gt; 1YR","DO NOT DELETE — not defensibly confirmed"),IF($Q2033="HOLD","DO NOT DELETE — HOLD (Charlie review)",IF($Q2033="KEEP","DO NOT DELETE — KEEP",IF(ISNUMBER(SEARCH("REVIEW",$Q2033)),"DO NOT DELETE — REVIEW pending",$S2033))))</f>
        <v>REVIEW</v>
      </c>
      <c r="Q2033" t="str" cm="1">
        <f t="array" ref="Q2033">_xlfn.IFS(AND($A2033="thg-beauty",ISNUMBER(SEARCH("liveramp",$C2033))),"DELETE",$A2033="agile-bonbon-662",_xlfn.IFS(LEFT($G2033,9)="Tranche 1","DELETE",$C2033="Sessions_Level_1_All_Sites","KEEP",ISNUMBER(--$C2033),"REVIEW — UA raw logs",$C2033="Emag_Reporting","KEEP",$C2033="Nutrition_Data_Archived_Tables","KEEP",$C2033="EU_Data","KEEP",TRUE,"REVIEW"),OR($A2033="thg-influencer",$A2033="thg-ingenuity",$A2033="thg-central-marketing",$A2033="thg-seoclarity"),"HOLD",TRUE,"")</f>
        <v/>
      </c>
      <c r="R2033" t="str" cm="1">
        <f t="array" ref="R2033">_xlfn.IFS(AND($A2033="thg-beauty",ISNUMBER(SEARCH("liveramp",$C2033))),"thg-beauty Liveramp dataset — confirmed safe to delete",$A2033="agile-bonbon-662",_xlfn.IFS(LEFT($G2033,9)="Tranche 1","Tranche 1: cleared",$C2033="Sessions_Level_1_All_Sites","Downstream aggregation of UA raw logs — keep if raw tables go",ISNUMBER(--$C2033),"UA raw site logs (account ID) — keep pending audit-retention check",$C2033="Emag_Reporting","Legacy but likely needed",$C2033="Nutrition_Data_Archived_Tables","Worth keeping",$C2033="EU_Data","Static lookup tables — scripts still reference (smoke-test risk)",TRUE,"Review"),OR($A2033="thg-influencer",$A2033="thg-ingenuity",$A2033="thg-central-marketing",$A2033="thg-seoclarity"),"HOLD — Charlie Stringer to review before deletion",TRUE,"")</f>
        <v/>
      </c>
      <c r="S2033" t="s">
        <v>1631</v>
      </c>
    </row>
    <row r="2034" spans="1:19" hidden="1">
      <c r="A2034" t="s">
        <v>93</v>
      </c>
      <c r="B2034" t="s">
        <v>1724</v>
      </c>
      <c r="C2034" t="s">
        <v>4360</v>
      </c>
      <c r="D2034" s="2" t="s">
        <v>1621</v>
      </c>
      <c r="E2034">
        <v>1527.1</v>
      </c>
      <c r="F2034">
        <v>30.54</v>
      </c>
      <c r="G2034" t="s">
        <v>78</v>
      </c>
      <c r="H2034" t="s">
        <v>4340</v>
      </c>
      <c r="I2034">
        <v>341</v>
      </c>
      <c r="J2034">
        <v>341</v>
      </c>
      <c r="M2034" s="2" t="s">
        <v>1715</v>
      </c>
      <c r="N2034" s="2" t="s">
        <v>1701</v>
      </c>
      <c r="O2034" s="5">
        <v>45855.480949907411</v>
      </c>
      <c r="P2034" t="str">
        <f>IF($Q2034="DELETE",IF($S2034="CONFIRMED: NO MODS &gt; 1YR","CONFIRMED: NO MODS &gt; 1YR","DO NOT DELETE — not defensibly confirmed"),IF($Q2034="HOLD","DO NOT DELETE — HOLD (Charlie review)",IF($Q2034="KEEP","DO NOT DELETE — KEEP",IF(ISNUMBER(SEARCH("REVIEW",$Q2034)),"DO NOT DELETE — REVIEW pending",$S2034))))</f>
        <v>REVIEW</v>
      </c>
      <c r="Q2034" t="str" cm="1">
        <f t="array" ref="Q2034">_xlfn.IFS(AND($A2034="thg-beauty",ISNUMBER(SEARCH("liveramp",$C2034))),"DELETE",$A2034="agile-bonbon-662",_xlfn.IFS(LEFT($G2034,9)="Tranche 1","DELETE",$C2034="Sessions_Level_1_All_Sites","KEEP",ISNUMBER(--$C2034),"REVIEW — UA raw logs",$C2034="Emag_Reporting","KEEP",$C2034="Nutrition_Data_Archived_Tables","KEEP",$C2034="EU_Data","KEEP",TRUE,"REVIEW"),OR($A2034="thg-influencer",$A2034="thg-ingenuity",$A2034="thg-central-marketing",$A2034="thg-seoclarity"),"HOLD",TRUE,"")</f>
        <v/>
      </c>
      <c r="R2034" t="str" cm="1">
        <f t="array" ref="R2034">_xlfn.IFS(AND($A2034="thg-beauty",ISNUMBER(SEARCH("liveramp",$C2034))),"thg-beauty Liveramp dataset — confirmed safe to delete",$A2034="agile-bonbon-662",_xlfn.IFS(LEFT($G2034,9)="Tranche 1","Tranche 1: cleared",$C2034="Sessions_Level_1_All_Sites","Downstream aggregation of UA raw logs — keep if raw tables go",ISNUMBER(--$C2034),"UA raw site logs (account ID) — keep pending audit-retention check",$C2034="Emag_Reporting","Legacy but likely needed",$C2034="Nutrition_Data_Archived_Tables","Worth keeping",$C2034="EU_Data","Static lookup tables — scripts still reference (smoke-test risk)",TRUE,"Review"),OR($A2034="thg-influencer",$A2034="thg-ingenuity",$A2034="thg-central-marketing",$A2034="thg-seoclarity"),"HOLD — Charlie Stringer to review before deletion",TRUE,"")</f>
        <v/>
      </c>
      <c r="S2034" t="s">
        <v>1631</v>
      </c>
    </row>
    <row r="2035" spans="1:19" hidden="1">
      <c r="A2035" t="s">
        <v>1471</v>
      </c>
      <c r="B2035" t="s">
        <v>1619</v>
      </c>
      <c r="C2035" t="s">
        <v>4361</v>
      </c>
      <c r="D2035" s="2" t="s">
        <v>1621</v>
      </c>
      <c r="E2035">
        <v>0</v>
      </c>
      <c r="F2035">
        <v>0</v>
      </c>
      <c r="G2035" t="s">
        <v>78</v>
      </c>
      <c r="H2035" t="s">
        <v>4340</v>
      </c>
      <c r="I2035">
        <v>310</v>
      </c>
      <c r="J2035">
        <v>310</v>
      </c>
      <c r="M2035" s="2" t="s">
        <v>1715</v>
      </c>
      <c r="N2035" s="2" t="s">
        <v>1701</v>
      </c>
      <c r="O2035" s="5">
        <v>45887.295995810193</v>
      </c>
      <c r="P2035" t="str">
        <f>IF($Q2035="DELETE",IF($S2035="CONFIRMED: NO MODS &gt; 1YR","CONFIRMED: NO MODS &gt; 1YR","DO NOT DELETE — not defensibly confirmed"),IF($Q2035="HOLD","DO NOT DELETE — HOLD (Charlie review)",IF($Q2035="KEEP","DO NOT DELETE — KEEP",IF(ISNUMBER(SEARCH("REVIEW",$Q2035)),"DO NOT DELETE — REVIEW pending",$S2035))))</f>
        <v>REVIEW</v>
      </c>
      <c r="Q2035" t="str" cm="1">
        <f t="array" ref="Q2035">_xlfn.IFS(AND($A2035="thg-beauty",ISNUMBER(SEARCH("liveramp",$C2035))),"DELETE",$A2035="agile-bonbon-662",_xlfn.IFS(LEFT($G2035,9)="Tranche 1","DELETE",$C2035="Sessions_Level_1_All_Sites","KEEP",ISNUMBER(--$C2035),"REVIEW — UA raw logs",$C2035="Emag_Reporting","KEEP",$C2035="Nutrition_Data_Archived_Tables","KEEP",$C2035="EU_Data","KEEP",TRUE,"REVIEW"),OR($A2035="thg-influencer",$A2035="thg-ingenuity",$A2035="thg-central-marketing",$A2035="thg-seoclarity"),"HOLD",TRUE,"")</f>
        <v/>
      </c>
      <c r="R2035" t="str" cm="1">
        <f t="array" ref="R2035">_xlfn.IFS(AND($A2035="thg-beauty",ISNUMBER(SEARCH("liveramp",$C2035))),"thg-beauty Liveramp dataset — confirmed safe to delete",$A2035="agile-bonbon-662",_xlfn.IFS(LEFT($G2035,9)="Tranche 1","Tranche 1: cleared",$C2035="Sessions_Level_1_All_Sites","Downstream aggregation of UA raw logs — keep if raw tables go",ISNUMBER(--$C2035),"UA raw site logs (account ID) — keep pending audit-retention check",$C2035="Emag_Reporting","Legacy but likely needed",$C2035="Nutrition_Data_Archived_Tables","Worth keeping",$C2035="EU_Data","Static lookup tables — scripts still reference (smoke-test risk)",TRUE,"Review"),OR($A2035="thg-influencer",$A2035="thg-ingenuity",$A2035="thg-central-marketing",$A2035="thg-seoclarity"),"HOLD — Charlie Stringer to review before deletion",TRUE,"")</f>
        <v/>
      </c>
      <c r="S2035" t="s">
        <v>1631</v>
      </c>
    </row>
    <row r="2036" spans="1:19" hidden="1">
      <c r="A2036" t="s">
        <v>93</v>
      </c>
      <c r="B2036" t="s">
        <v>1724</v>
      </c>
      <c r="C2036" t="s">
        <v>4362</v>
      </c>
      <c r="D2036" s="2" t="s">
        <v>1621</v>
      </c>
      <c r="E2036">
        <v>2.35</v>
      </c>
      <c r="F2036">
        <v>0.05</v>
      </c>
      <c r="G2036" t="s">
        <v>78</v>
      </c>
      <c r="H2036" t="s">
        <v>4340</v>
      </c>
      <c r="I2036">
        <v>295</v>
      </c>
      <c r="J2036">
        <v>295</v>
      </c>
      <c r="M2036" s="2" t="s">
        <v>1715</v>
      </c>
      <c r="N2036" s="2" t="s">
        <v>1701</v>
      </c>
      <c r="O2036" s="5">
        <v>45902.446828206019</v>
      </c>
      <c r="P2036" t="str">
        <f>IF($Q2036="DELETE",IF($S2036="CONFIRMED: NO MODS &gt; 1YR","CONFIRMED: NO MODS &gt; 1YR","DO NOT DELETE — not defensibly confirmed"),IF($Q2036="HOLD","DO NOT DELETE — HOLD (Charlie review)",IF($Q2036="KEEP","DO NOT DELETE — KEEP",IF(ISNUMBER(SEARCH("REVIEW",$Q2036)),"DO NOT DELETE — REVIEW pending",$S2036))))</f>
        <v>REVIEW</v>
      </c>
      <c r="Q2036" t="str" cm="1">
        <f t="array" ref="Q2036">_xlfn.IFS(AND($A2036="thg-beauty",ISNUMBER(SEARCH("liveramp",$C2036))),"DELETE",$A2036="agile-bonbon-662",_xlfn.IFS(LEFT($G2036,9)="Tranche 1","DELETE",$C2036="Sessions_Level_1_All_Sites","KEEP",ISNUMBER(--$C2036),"REVIEW — UA raw logs",$C2036="Emag_Reporting","KEEP",$C2036="Nutrition_Data_Archived_Tables","KEEP",$C2036="EU_Data","KEEP",TRUE,"REVIEW"),OR($A2036="thg-influencer",$A2036="thg-ingenuity",$A2036="thg-central-marketing",$A2036="thg-seoclarity"),"HOLD",TRUE,"")</f>
        <v/>
      </c>
      <c r="R2036" t="str" cm="1">
        <f t="array" ref="R2036">_xlfn.IFS(AND($A2036="thg-beauty",ISNUMBER(SEARCH("liveramp",$C2036))),"thg-beauty Liveramp dataset — confirmed safe to delete",$A2036="agile-bonbon-662",_xlfn.IFS(LEFT($G2036,9)="Tranche 1","Tranche 1: cleared",$C2036="Sessions_Level_1_All_Sites","Downstream aggregation of UA raw logs — keep if raw tables go",ISNUMBER(--$C2036),"UA raw site logs (account ID) — keep pending audit-retention check",$C2036="Emag_Reporting","Legacy but likely needed",$C2036="Nutrition_Data_Archived_Tables","Worth keeping",$C2036="EU_Data","Static lookup tables — scripts still reference (smoke-test risk)",TRUE,"Review"),OR($A2036="thg-influencer",$A2036="thg-ingenuity",$A2036="thg-central-marketing",$A2036="thg-seoclarity"),"HOLD — Charlie Stringer to review before deletion",TRUE,"")</f>
        <v/>
      </c>
      <c r="S2036" t="s">
        <v>1631</v>
      </c>
    </row>
    <row r="2037" spans="1:19" hidden="1">
      <c r="A2037" t="s">
        <v>93</v>
      </c>
      <c r="B2037" t="s">
        <v>1619</v>
      </c>
      <c r="C2037" t="s">
        <v>4362</v>
      </c>
      <c r="D2037" s="2" t="s">
        <v>1621</v>
      </c>
      <c r="E2037">
        <v>2.35</v>
      </c>
      <c r="F2037">
        <v>0.05</v>
      </c>
      <c r="G2037" t="s">
        <v>78</v>
      </c>
      <c r="H2037" t="s">
        <v>4340</v>
      </c>
      <c r="I2037">
        <v>295</v>
      </c>
      <c r="J2037">
        <v>295</v>
      </c>
      <c r="M2037" s="2" t="s">
        <v>1715</v>
      </c>
      <c r="N2037" s="2" t="s">
        <v>1701</v>
      </c>
      <c r="O2037" s="5">
        <v>45902.446828206019</v>
      </c>
      <c r="P2037" t="str">
        <f>IF($Q2037="DELETE",IF($S2037="CONFIRMED: NO MODS &gt; 1YR","CONFIRMED: NO MODS &gt; 1YR","DO NOT DELETE — not defensibly confirmed"),IF($Q2037="HOLD","DO NOT DELETE — HOLD (Charlie review)",IF($Q2037="KEEP","DO NOT DELETE — KEEP",IF(ISNUMBER(SEARCH("REVIEW",$Q2037)),"DO NOT DELETE — REVIEW pending",$S2037))))</f>
        <v>REVIEW</v>
      </c>
      <c r="Q2037" t="str" cm="1">
        <f t="array" ref="Q2037">_xlfn.IFS(AND($A2037="thg-beauty",ISNUMBER(SEARCH("liveramp",$C2037))),"DELETE",$A2037="agile-bonbon-662",_xlfn.IFS(LEFT($G2037,9)="Tranche 1","DELETE",$C2037="Sessions_Level_1_All_Sites","KEEP",ISNUMBER(--$C2037),"REVIEW — UA raw logs",$C2037="Emag_Reporting","KEEP",$C2037="Nutrition_Data_Archived_Tables","KEEP",$C2037="EU_Data","KEEP",TRUE,"REVIEW"),OR($A2037="thg-influencer",$A2037="thg-ingenuity",$A2037="thg-central-marketing",$A2037="thg-seoclarity"),"HOLD",TRUE,"")</f>
        <v/>
      </c>
      <c r="R2037" t="str" cm="1">
        <f t="array" ref="R2037">_xlfn.IFS(AND($A2037="thg-beauty",ISNUMBER(SEARCH("liveramp",$C2037))),"thg-beauty Liveramp dataset — confirmed safe to delete",$A2037="agile-bonbon-662",_xlfn.IFS(LEFT($G2037,9)="Tranche 1","Tranche 1: cleared",$C2037="Sessions_Level_1_All_Sites","Downstream aggregation of UA raw logs — keep if raw tables go",ISNUMBER(--$C2037),"UA raw site logs (account ID) — keep pending audit-retention check",$C2037="Emag_Reporting","Legacy but likely needed",$C2037="Nutrition_Data_Archived_Tables","Worth keeping",$C2037="EU_Data","Static lookup tables — scripts still reference (smoke-test risk)",TRUE,"Review"),OR($A2037="thg-influencer",$A2037="thg-ingenuity",$A2037="thg-central-marketing",$A2037="thg-seoclarity"),"HOLD — Charlie Stringer to review before deletion",TRUE,"")</f>
        <v/>
      </c>
      <c r="S2037" t="s">
        <v>1631</v>
      </c>
    </row>
    <row r="2038" spans="1:19" hidden="1">
      <c r="A2038" t="s">
        <v>2389</v>
      </c>
      <c r="B2038" t="s">
        <v>1619</v>
      </c>
      <c r="C2038" t="s">
        <v>4363</v>
      </c>
      <c r="D2038" s="2" t="s">
        <v>1621</v>
      </c>
      <c r="E2038">
        <v>9.8000000000000007</v>
      </c>
      <c r="F2038">
        <v>0.2</v>
      </c>
      <c r="G2038" t="s">
        <v>78</v>
      </c>
      <c r="H2038" t="s">
        <v>4340</v>
      </c>
      <c r="I2038">
        <v>285</v>
      </c>
      <c r="J2038">
        <v>285</v>
      </c>
      <c r="M2038" s="2" t="s">
        <v>1715</v>
      </c>
      <c r="N2038" s="2" t="s">
        <v>1701</v>
      </c>
      <c r="O2038" s="5">
        <v>45911.624310370367</v>
      </c>
      <c r="P2038" t="str">
        <f>IF($Q2038="DELETE",IF($S2038="CONFIRMED: NO MODS &gt; 1YR","CONFIRMED: NO MODS &gt; 1YR","DO NOT DELETE — not defensibly confirmed"),IF($Q2038="HOLD","DO NOT DELETE — HOLD (Charlie review)",IF($Q2038="KEEP","DO NOT DELETE — KEEP",IF(ISNUMBER(SEARCH("REVIEW",$Q2038)),"DO NOT DELETE — REVIEW pending",$S2038))))</f>
        <v>REVIEW</v>
      </c>
      <c r="Q2038" t="str" cm="1">
        <f t="array" ref="Q2038">_xlfn.IFS(AND($A2038="thg-beauty",ISNUMBER(SEARCH("liveramp",$C2038))),"DELETE",$A2038="agile-bonbon-662",_xlfn.IFS(LEFT($G2038,9)="Tranche 1","DELETE",$C2038="Sessions_Level_1_All_Sites","KEEP",ISNUMBER(--$C2038),"REVIEW — UA raw logs",$C2038="Emag_Reporting","KEEP",$C2038="Nutrition_Data_Archived_Tables","KEEP",$C2038="EU_Data","KEEP",TRUE,"REVIEW"),OR($A2038="thg-influencer",$A2038="thg-ingenuity",$A2038="thg-central-marketing",$A2038="thg-seoclarity"),"HOLD",TRUE,"")</f>
        <v/>
      </c>
      <c r="R2038" t="str" cm="1">
        <f t="array" ref="R2038">_xlfn.IFS(AND($A2038="thg-beauty",ISNUMBER(SEARCH("liveramp",$C2038))),"thg-beauty Liveramp dataset — confirmed safe to delete",$A2038="agile-bonbon-662",_xlfn.IFS(LEFT($G2038,9)="Tranche 1","Tranche 1: cleared",$C2038="Sessions_Level_1_All_Sites","Downstream aggregation of UA raw logs — keep if raw tables go",ISNUMBER(--$C2038),"UA raw site logs (account ID) — keep pending audit-retention check",$C2038="Emag_Reporting","Legacy but likely needed",$C2038="Nutrition_Data_Archived_Tables","Worth keeping",$C2038="EU_Data","Static lookup tables — scripts still reference (smoke-test risk)",TRUE,"Review"),OR($A2038="thg-influencer",$A2038="thg-ingenuity",$A2038="thg-central-marketing",$A2038="thg-seoclarity"),"HOLD — Charlie Stringer to review before deletion",TRUE,"")</f>
        <v/>
      </c>
      <c r="S2038" t="s">
        <v>1631</v>
      </c>
    </row>
    <row r="2039" spans="1:19" hidden="1">
      <c r="A2039" t="s">
        <v>1768</v>
      </c>
      <c r="B2039" t="s">
        <v>1619</v>
      </c>
      <c r="C2039" t="s">
        <v>4364</v>
      </c>
      <c r="D2039" s="2" t="s">
        <v>1621</v>
      </c>
      <c r="E2039">
        <v>0</v>
      </c>
      <c r="F2039">
        <v>0</v>
      </c>
      <c r="G2039" t="s">
        <v>78</v>
      </c>
      <c r="H2039" t="s">
        <v>4340</v>
      </c>
      <c r="I2039">
        <v>268</v>
      </c>
      <c r="J2039">
        <v>268</v>
      </c>
      <c r="M2039" s="2" t="s">
        <v>1715</v>
      </c>
      <c r="N2039" s="2" t="s">
        <v>1701</v>
      </c>
      <c r="O2039" s="5">
        <v>45929.416115983797</v>
      </c>
      <c r="P2039" t="str">
        <f>IF($Q2039="DELETE",IF($S2039="CONFIRMED: NO MODS &gt; 1YR","CONFIRMED: NO MODS &gt; 1YR","DO NOT DELETE — not defensibly confirmed"),IF($Q2039="HOLD","DO NOT DELETE — HOLD (Charlie review)",IF($Q2039="KEEP","DO NOT DELETE — KEEP",IF(ISNUMBER(SEARCH("REVIEW",$Q2039)),"DO NOT DELETE — REVIEW pending",$S2039))))</f>
        <v>REVIEW</v>
      </c>
      <c r="Q2039" t="str" cm="1">
        <f t="array" ref="Q2039">_xlfn.IFS(AND($A2039="thg-beauty",ISNUMBER(SEARCH("liveramp",$C2039))),"DELETE",$A2039="agile-bonbon-662",_xlfn.IFS(LEFT($G2039,9)="Tranche 1","DELETE",$C2039="Sessions_Level_1_All_Sites","KEEP",ISNUMBER(--$C2039),"REVIEW — UA raw logs",$C2039="Emag_Reporting","KEEP",$C2039="Nutrition_Data_Archived_Tables","KEEP",$C2039="EU_Data","KEEP",TRUE,"REVIEW"),OR($A2039="thg-influencer",$A2039="thg-ingenuity",$A2039="thg-central-marketing",$A2039="thg-seoclarity"),"HOLD",TRUE,"")</f>
        <v/>
      </c>
      <c r="R2039" t="str" cm="1">
        <f t="array" ref="R2039">_xlfn.IFS(AND($A2039="thg-beauty",ISNUMBER(SEARCH("liveramp",$C2039))),"thg-beauty Liveramp dataset — confirmed safe to delete",$A2039="agile-bonbon-662",_xlfn.IFS(LEFT($G2039,9)="Tranche 1","Tranche 1: cleared",$C2039="Sessions_Level_1_All_Sites","Downstream aggregation of UA raw logs — keep if raw tables go",ISNUMBER(--$C2039),"UA raw site logs (account ID) — keep pending audit-retention check",$C2039="Emag_Reporting","Legacy but likely needed",$C2039="Nutrition_Data_Archived_Tables","Worth keeping",$C2039="EU_Data","Static lookup tables — scripts still reference (smoke-test risk)",TRUE,"Review"),OR($A2039="thg-influencer",$A2039="thg-ingenuity",$A2039="thg-central-marketing",$A2039="thg-seoclarity"),"HOLD — Charlie Stringer to review before deletion",TRUE,"")</f>
        <v/>
      </c>
      <c r="S2039" t="s">
        <v>1631</v>
      </c>
    </row>
    <row r="2040" spans="1:19" hidden="1">
      <c r="A2040" t="s">
        <v>93</v>
      </c>
      <c r="B2040" t="s">
        <v>1619</v>
      </c>
      <c r="C2040" t="s">
        <v>2196</v>
      </c>
      <c r="D2040" s="2" t="s">
        <v>1621</v>
      </c>
      <c r="E2040">
        <v>22.55</v>
      </c>
      <c r="F2040">
        <v>0.45</v>
      </c>
      <c r="G2040" t="s">
        <v>78</v>
      </c>
      <c r="H2040" t="s">
        <v>4340</v>
      </c>
      <c r="I2040">
        <v>249</v>
      </c>
      <c r="J2040">
        <v>249</v>
      </c>
      <c r="M2040" s="2" t="s">
        <v>1715</v>
      </c>
      <c r="N2040" s="2" t="s">
        <v>1701</v>
      </c>
      <c r="O2040" s="5">
        <v>45947.597706215267</v>
      </c>
      <c r="P2040" t="str">
        <f>IF($Q2040="DELETE",IF($S2040="CONFIRMED: NO MODS &gt; 1YR","CONFIRMED: NO MODS &gt; 1YR","DO NOT DELETE — not defensibly confirmed"),IF($Q2040="HOLD","DO NOT DELETE — HOLD (Charlie review)",IF($Q2040="KEEP","DO NOT DELETE — KEEP",IF(ISNUMBER(SEARCH("REVIEW",$Q2040)),"DO NOT DELETE — REVIEW pending",$S2040))))</f>
        <v>REVIEW</v>
      </c>
      <c r="Q2040" t="str" cm="1">
        <f t="array" ref="Q2040">_xlfn.IFS(AND($A2040="thg-beauty",ISNUMBER(SEARCH("liveramp",$C2040))),"DELETE",$A2040="agile-bonbon-662",_xlfn.IFS(LEFT($G2040,9)="Tranche 1","DELETE",$C2040="Sessions_Level_1_All_Sites","KEEP",ISNUMBER(--$C2040),"REVIEW — UA raw logs",$C2040="Emag_Reporting","KEEP",$C2040="Nutrition_Data_Archived_Tables","KEEP",$C2040="EU_Data","KEEP",TRUE,"REVIEW"),OR($A2040="thg-influencer",$A2040="thg-ingenuity",$A2040="thg-central-marketing",$A2040="thg-seoclarity"),"HOLD",TRUE,"")</f>
        <v/>
      </c>
      <c r="R2040" t="str" cm="1">
        <f t="array" ref="R2040">_xlfn.IFS(AND($A2040="thg-beauty",ISNUMBER(SEARCH("liveramp",$C2040))),"thg-beauty Liveramp dataset — confirmed safe to delete",$A2040="agile-bonbon-662",_xlfn.IFS(LEFT($G2040,9)="Tranche 1","Tranche 1: cleared",$C2040="Sessions_Level_1_All_Sites","Downstream aggregation of UA raw logs — keep if raw tables go",ISNUMBER(--$C2040),"UA raw site logs (account ID) — keep pending audit-retention check",$C2040="Emag_Reporting","Legacy but likely needed",$C2040="Nutrition_Data_Archived_Tables","Worth keeping",$C2040="EU_Data","Static lookup tables — scripts still reference (smoke-test risk)",TRUE,"Review"),OR($A2040="thg-influencer",$A2040="thg-ingenuity",$A2040="thg-central-marketing",$A2040="thg-seoclarity"),"HOLD — Charlie Stringer to review before deletion",TRUE,"")</f>
        <v/>
      </c>
      <c r="S2040" t="s">
        <v>1631</v>
      </c>
    </row>
    <row r="2041" spans="1:19" hidden="1">
      <c r="A2041" t="s">
        <v>93</v>
      </c>
      <c r="B2041" t="s">
        <v>1619</v>
      </c>
      <c r="C2041" t="s">
        <v>4365</v>
      </c>
      <c r="D2041" s="2" t="s">
        <v>1621</v>
      </c>
      <c r="E2041">
        <v>0.04</v>
      </c>
      <c r="F2041">
        <v>0</v>
      </c>
      <c r="G2041" t="s">
        <v>78</v>
      </c>
      <c r="H2041" t="s">
        <v>4340</v>
      </c>
      <c r="I2041">
        <v>230</v>
      </c>
      <c r="J2041">
        <v>230</v>
      </c>
      <c r="M2041" s="2" t="s">
        <v>1715</v>
      </c>
      <c r="N2041" s="2" t="s">
        <v>1701</v>
      </c>
      <c r="O2041" s="5">
        <v>45966.507616435178</v>
      </c>
      <c r="P2041" t="str">
        <f>IF($Q2041="DELETE",IF($S2041="CONFIRMED: NO MODS &gt; 1YR","CONFIRMED: NO MODS &gt; 1YR","DO NOT DELETE — not defensibly confirmed"),IF($Q2041="HOLD","DO NOT DELETE — HOLD (Charlie review)",IF($Q2041="KEEP","DO NOT DELETE — KEEP",IF(ISNUMBER(SEARCH("REVIEW",$Q2041)),"DO NOT DELETE — REVIEW pending",$S2041))))</f>
        <v>REVIEW</v>
      </c>
      <c r="Q2041" t="str" cm="1">
        <f t="array" ref="Q2041">_xlfn.IFS(AND($A2041="thg-beauty",ISNUMBER(SEARCH("liveramp",$C2041))),"DELETE",$A2041="agile-bonbon-662",_xlfn.IFS(LEFT($G2041,9)="Tranche 1","DELETE",$C2041="Sessions_Level_1_All_Sites","KEEP",ISNUMBER(--$C2041),"REVIEW — UA raw logs",$C2041="Emag_Reporting","KEEP",$C2041="Nutrition_Data_Archived_Tables","KEEP",$C2041="EU_Data","KEEP",TRUE,"REVIEW"),OR($A2041="thg-influencer",$A2041="thg-ingenuity",$A2041="thg-central-marketing",$A2041="thg-seoclarity"),"HOLD",TRUE,"")</f>
        <v/>
      </c>
      <c r="R2041" t="str" cm="1">
        <f t="array" ref="R2041">_xlfn.IFS(AND($A2041="thg-beauty",ISNUMBER(SEARCH("liveramp",$C2041))),"thg-beauty Liveramp dataset — confirmed safe to delete",$A2041="agile-bonbon-662",_xlfn.IFS(LEFT($G2041,9)="Tranche 1","Tranche 1: cleared",$C2041="Sessions_Level_1_All_Sites","Downstream aggregation of UA raw logs — keep if raw tables go",ISNUMBER(--$C2041),"UA raw site logs (account ID) — keep pending audit-retention check",$C2041="Emag_Reporting","Legacy but likely needed",$C2041="Nutrition_Data_Archived_Tables","Worth keeping",$C2041="EU_Data","Static lookup tables — scripts still reference (smoke-test risk)",TRUE,"Review"),OR($A2041="thg-influencer",$A2041="thg-ingenuity",$A2041="thg-central-marketing",$A2041="thg-seoclarity"),"HOLD — Charlie Stringer to review before deletion",TRUE,"")</f>
        <v/>
      </c>
      <c r="S2041" t="s">
        <v>1631</v>
      </c>
    </row>
    <row r="2042" spans="1:19" hidden="1">
      <c r="A2042" t="s">
        <v>93</v>
      </c>
      <c r="B2042" t="s">
        <v>1619</v>
      </c>
      <c r="C2042" t="s">
        <v>4366</v>
      </c>
      <c r="D2042" s="2" t="s">
        <v>1621</v>
      </c>
      <c r="E2042">
        <v>0</v>
      </c>
      <c r="F2042">
        <v>0</v>
      </c>
      <c r="G2042" t="s">
        <v>78</v>
      </c>
      <c r="H2042" t="s">
        <v>4340</v>
      </c>
      <c r="I2042">
        <v>221</v>
      </c>
      <c r="J2042">
        <v>221</v>
      </c>
      <c r="M2042" s="2" t="s">
        <v>1715</v>
      </c>
      <c r="N2042" s="2" t="s">
        <v>1701</v>
      </c>
      <c r="O2042" s="5">
        <v>45975.633221840268</v>
      </c>
      <c r="P2042" t="str">
        <f>IF($Q2042="DELETE",IF($S2042="CONFIRMED: NO MODS &gt; 1YR","CONFIRMED: NO MODS &gt; 1YR","DO NOT DELETE — not defensibly confirmed"),IF($Q2042="HOLD","DO NOT DELETE — HOLD (Charlie review)",IF($Q2042="KEEP","DO NOT DELETE — KEEP",IF(ISNUMBER(SEARCH("REVIEW",$Q2042)),"DO NOT DELETE — REVIEW pending",$S2042))))</f>
        <v>REVIEW</v>
      </c>
      <c r="Q2042" t="str" cm="1">
        <f t="array" ref="Q2042">_xlfn.IFS(AND($A2042="thg-beauty",ISNUMBER(SEARCH("liveramp",$C2042))),"DELETE",$A2042="agile-bonbon-662",_xlfn.IFS(LEFT($G2042,9)="Tranche 1","DELETE",$C2042="Sessions_Level_1_All_Sites","KEEP",ISNUMBER(--$C2042),"REVIEW — UA raw logs",$C2042="Emag_Reporting","KEEP",$C2042="Nutrition_Data_Archived_Tables","KEEP",$C2042="EU_Data","KEEP",TRUE,"REVIEW"),OR($A2042="thg-influencer",$A2042="thg-ingenuity",$A2042="thg-central-marketing",$A2042="thg-seoclarity"),"HOLD",TRUE,"")</f>
        <v/>
      </c>
      <c r="R2042" t="str" cm="1">
        <f t="array" ref="R2042">_xlfn.IFS(AND($A2042="thg-beauty",ISNUMBER(SEARCH("liveramp",$C2042))),"thg-beauty Liveramp dataset — confirmed safe to delete",$A2042="agile-bonbon-662",_xlfn.IFS(LEFT($G2042,9)="Tranche 1","Tranche 1: cleared",$C2042="Sessions_Level_1_All_Sites","Downstream aggregation of UA raw logs — keep if raw tables go",ISNUMBER(--$C2042),"UA raw site logs (account ID) — keep pending audit-retention check",$C2042="Emag_Reporting","Legacy but likely needed",$C2042="Nutrition_Data_Archived_Tables","Worth keeping",$C2042="EU_Data","Static lookup tables — scripts still reference (smoke-test risk)",TRUE,"Review"),OR($A2042="thg-influencer",$A2042="thg-ingenuity",$A2042="thg-central-marketing",$A2042="thg-seoclarity"),"HOLD — Charlie Stringer to review before deletion",TRUE,"")</f>
        <v/>
      </c>
      <c r="S2042" t="s">
        <v>1631</v>
      </c>
    </row>
    <row r="2043" spans="1:19" hidden="1">
      <c r="A2043" t="s">
        <v>1768</v>
      </c>
      <c r="B2043" t="s">
        <v>1724</v>
      </c>
      <c r="C2043" t="s">
        <v>4367</v>
      </c>
      <c r="D2043" s="2" t="s">
        <v>1621</v>
      </c>
      <c r="E2043">
        <v>2.69</v>
      </c>
      <c r="F2043">
        <v>0.05</v>
      </c>
      <c r="G2043" t="s">
        <v>78</v>
      </c>
      <c r="H2043" t="s">
        <v>4340</v>
      </c>
      <c r="I2043">
        <v>188</v>
      </c>
      <c r="J2043">
        <v>188</v>
      </c>
      <c r="M2043" s="2" t="s">
        <v>1715</v>
      </c>
      <c r="N2043" s="2" t="s">
        <v>1701</v>
      </c>
      <c r="O2043" s="5">
        <v>46008.619028958332</v>
      </c>
      <c r="P2043" t="str">
        <f>IF($Q2043="DELETE",IF($S2043="CONFIRMED: NO MODS &gt; 1YR","CONFIRMED: NO MODS &gt; 1YR","DO NOT DELETE — not defensibly confirmed"),IF($Q2043="HOLD","DO NOT DELETE — HOLD (Charlie review)",IF($Q2043="KEEP","DO NOT DELETE — KEEP",IF(ISNUMBER(SEARCH("REVIEW",$Q2043)),"DO NOT DELETE — REVIEW pending",$S2043))))</f>
        <v>REVIEW</v>
      </c>
      <c r="Q2043" t="str" cm="1">
        <f t="array" ref="Q2043">_xlfn.IFS(AND($A2043="thg-beauty",ISNUMBER(SEARCH("liveramp",$C2043))),"DELETE",$A2043="agile-bonbon-662",_xlfn.IFS(LEFT($G2043,9)="Tranche 1","DELETE",$C2043="Sessions_Level_1_All_Sites","KEEP",ISNUMBER(--$C2043),"REVIEW — UA raw logs",$C2043="Emag_Reporting","KEEP",$C2043="Nutrition_Data_Archived_Tables","KEEP",$C2043="EU_Data","KEEP",TRUE,"REVIEW"),OR($A2043="thg-influencer",$A2043="thg-ingenuity",$A2043="thg-central-marketing",$A2043="thg-seoclarity"),"HOLD",TRUE,"")</f>
        <v/>
      </c>
      <c r="R2043" t="str" cm="1">
        <f t="array" ref="R2043">_xlfn.IFS(AND($A2043="thg-beauty",ISNUMBER(SEARCH("liveramp",$C2043))),"thg-beauty Liveramp dataset — confirmed safe to delete",$A2043="agile-bonbon-662",_xlfn.IFS(LEFT($G2043,9)="Tranche 1","Tranche 1: cleared",$C2043="Sessions_Level_1_All_Sites","Downstream aggregation of UA raw logs — keep if raw tables go",ISNUMBER(--$C2043),"UA raw site logs (account ID) — keep pending audit-retention check",$C2043="Emag_Reporting","Legacy but likely needed",$C2043="Nutrition_Data_Archived_Tables","Worth keeping",$C2043="EU_Data","Static lookup tables — scripts still reference (smoke-test risk)",TRUE,"Review"),OR($A2043="thg-influencer",$A2043="thg-ingenuity",$A2043="thg-central-marketing",$A2043="thg-seoclarity"),"HOLD — Charlie Stringer to review before deletion",TRUE,"")</f>
        <v/>
      </c>
      <c r="S2043" t="s">
        <v>1631</v>
      </c>
    </row>
    <row r="2044" spans="1:19" hidden="1">
      <c r="A2044" t="s">
        <v>92</v>
      </c>
      <c r="B2044" t="s">
        <v>1619</v>
      </c>
      <c r="C2044" t="s">
        <v>4368</v>
      </c>
      <c r="D2044" s="2" t="s">
        <v>1621</v>
      </c>
      <c r="E2044">
        <v>116.9</v>
      </c>
      <c r="F2044">
        <v>2.34</v>
      </c>
      <c r="G2044" t="s">
        <v>78</v>
      </c>
      <c r="H2044" t="s">
        <v>4340</v>
      </c>
      <c r="I2044">
        <v>356</v>
      </c>
      <c r="J2044">
        <v>356</v>
      </c>
      <c r="M2044" s="2" t="s">
        <v>1715</v>
      </c>
      <c r="N2044" s="2" t="s">
        <v>1701</v>
      </c>
      <c r="O2044" s="5">
        <v>45841.104209780089</v>
      </c>
      <c r="P2044" t="str">
        <f>IF($Q2044="DELETE",IF($S2044="CONFIRMED: NO MODS &gt; 1YR","CONFIRMED: NO MODS &gt; 1YR","DO NOT DELETE — not defensibly confirmed"),IF($Q2044="HOLD","DO NOT DELETE — HOLD (Charlie review)",IF($Q2044="KEEP","DO NOT DELETE — KEEP",IF(ISNUMBER(SEARCH("REVIEW",$Q2044)),"DO NOT DELETE — REVIEW pending",$S2044))))</f>
        <v>REVIEW</v>
      </c>
      <c r="Q2044" t="str" cm="1">
        <f t="array" ref="Q2044">_xlfn.IFS(AND($A2044="thg-beauty",ISNUMBER(SEARCH("liveramp",$C2044))),"DELETE",$A2044="agile-bonbon-662",_xlfn.IFS(LEFT($G2044,9)="Tranche 1","DELETE",$C2044="Sessions_Level_1_All_Sites","KEEP",ISNUMBER(--$C2044),"REVIEW — UA raw logs",$C2044="Emag_Reporting","KEEP",$C2044="Nutrition_Data_Archived_Tables","KEEP",$C2044="EU_Data","KEEP",TRUE,"REVIEW"),OR($A2044="thg-influencer",$A2044="thg-ingenuity",$A2044="thg-central-marketing",$A2044="thg-seoclarity"),"HOLD",TRUE,"")</f>
        <v/>
      </c>
      <c r="R2044" t="str" cm="1">
        <f t="array" ref="R2044">_xlfn.IFS(AND($A2044="thg-beauty",ISNUMBER(SEARCH("liveramp",$C2044))),"thg-beauty Liveramp dataset — confirmed safe to delete",$A2044="agile-bonbon-662",_xlfn.IFS(LEFT($G2044,9)="Tranche 1","Tranche 1: cleared",$C2044="Sessions_Level_1_All_Sites","Downstream aggregation of UA raw logs — keep if raw tables go",ISNUMBER(--$C2044),"UA raw site logs (account ID) — keep pending audit-retention check",$C2044="Emag_Reporting","Legacy but likely needed",$C2044="Nutrition_Data_Archived_Tables","Worth keeping",$C2044="EU_Data","Static lookup tables — scripts still reference (smoke-test risk)",TRUE,"Review"),OR($A2044="thg-influencer",$A2044="thg-ingenuity",$A2044="thg-central-marketing",$A2044="thg-seoclarity"),"HOLD — Charlie Stringer to review before deletion",TRUE,"")</f>
        <v/>
      </c>
      <c r="S2044" t="s">
        <v>1631</v>
      </c>
    </row>
    <row r="2045" spans="1:19" hidden="1">
      <c r="A2045" t="s">
        <v>92</v>
      </c>
      <c r="B2045" t="s">
        <v>1619</v>
      </c>
      <c r="C2045" t="s">
        <v>4152</v>
      </c>
      <c r="D2045" s="2" t="s">
        <v>1621</v>
      </c>
      <c r="E2045">
        <v>17.61</v>
      </c>
      <c r="F2045">
        <v>0.35</v>
      </c>
      <c r="G2045" t="s">
        <v>78</v>
      </c>
      <c r="H2045" t="s">
        <v>4340</v>
      </c>
      <c r="I2045">
        <v>239</v>
      </c>
      <c r="J2045">
        <v>239</v>
      </c>
      <c r="M2045" s="2" t="s">
        <v>1715</v>
      </c>
      <c r="N2045" s="2" t="s">
        <v>1701</v>
      </c>
      <c r="O2045" s="5">
        <v>45958.452510914351</v>
      </c>
      <c r="P2045" t="str">
        <f>IF($Q2045="DELETE",IF($S2045="CONFIRMED: NO MODS &gt; 1YR","CONFIRMED: NO MODS &gt; 1YR","DO NOT DELETE — not defensibly confirmed"),IF($Q2045="HOLD","DO NOT DELETE — HOLD (Charlie review)",IF($Q2045="KEEP","DO NOT DELETE — KEEP",IF(ISNUMBER(SEARCH("REVIEW",$Q2045)),"DO NOT DELETE — REVIEW pending",$S2045))))</f>
        <v>REVIEW</v>
      </c>
      <c r="Q2045" t="str" cm="1">
        <f t="array" ref="Q2045">_xlfn.IFS(AND($A2045="thg-beauty",ISNUMBER(SEARCH("liveramp",$C2045))),"DELETE",$A2045="agile-bonbon-662",_xlfn.IFS(LEFT($G2045,9)="Tranche 1","DELETE",$C2045="Sessions_Level_1_All_Sites","KEEP",ISNUMBER(--$C2045),"REVIEW — UA raw logs",$C2045="Emag_Reporting","KEEP",$C2045="Nutrition_Data_Archived_Tables","KEEP",$C2045="EU_Data","KEEP",TRUE,"REVIEW"),OR($A2045="thg-influencer",$A2045="thg-ingenuity",$A2045="thg-central-marketing",$A2045="thg-seoclarity"),"HOLD",TRUE,"")</f>
        <v/>
      </c>
      <c r="R2045" t="str" cm="1">
        <f t="array" ref="R2045">_xlfn.IFS(AND($A2045="thg-beauty",ISNUMBER(SEARCH("liveramp",$C2045))),"thg-beauty Liveramp dataset — confirmed safe to delete",$A2045="agile-bonbon-662",_xlfn.IFS(LEFT($G2045,9)="Tranche 1","Tranche 1: cleared",$C2045="Sessions_Level_1_All_Sites","Downstream aggregation of UA raw logs — keep if raw tables go",ISNUMBER(--$C2045),"UA raw site logs (account ID) — keep pending audit-retention check",$C2045="Emag_Reporting","Legacy but likely needed",$C2045="Nutrition_Data_Archived_Tables","Worth keeping",$C2045="EU_Data","Static lookup tables — scripts still reference (smoke-test risk)",TRUE,"Review"),OR($A2045="thg-influencer",$A2045="thg-ingenuity",$A2045="thg-central-marketing",$A2045="thg-seoclarity"),"HOLD — Charlie Stringer to review before deletion",TRUE,"")</f>
        <v/>
      </c>
      <c r="S2045" t="s">
        <v>1631</v>
      </c>
    </row>
    <row r="2046" spans="1:19" hidden="1">
      <c r="A2046" t="s">
        <v>92</v>
      </c>
      <c r="B2046" t="s">
        <v>1619</v>
      </c>
      <c r="C2046" t="s">
        <v>4369</v>
      </c>
      <c r="D2046" s="2" t="s">
        <v>1621</v>
      </c>
      <c r="E2046">
        <v>3.78</v>
      </c>
      <c r="F2046">
        <v>0.08</v>
      </c>
      <c r="G2046" t="s">
        <v>78</v>
      </c>
      <c r="H2046" t="s">
        <v>4340</v>
      </c>
      <c r="I2046">
        <v>327</v>
      </c>
      <c r="J2046">
        <v>327</v>
      </c>
      <c r="M2046" s="2" t="s">
        <v>1715</v>
      </c>
      <c r="N2046" s="2" t="s">
        <v>1701</v>
      </c>
      <c r="O2046" s="5">
        <v>45870.366742824073</v>
      </c>
      <c r="P2046" t="str">
        <f>IF($Q2046="DELETE",IF($S2046="CONFIRMED: NO MODS &gt; 1YR","CONFIRMED: NO MODS &gt; 1YR","DO NOT DELETE — not defensibly confirmed"),IF($Q2046="HOLD","DO NOT DELETE — HOLD (Charlie review)",IF($Q2046="KEEP","DO NOT DELETE — KEEP",IF(ISNUMBER(SEARCH("REVIEW",$Q2046)),"DO NOT DELETE — REVIEW pending",$S2046))))</f>
        <v>REVIEW</v>
      </c>
      <c r="Q2046" t="str" cm="1">
        <f t="array" ref="Q2046">_xlfn.IFS(AND($A2046="thg-beauty",ISNUMBER(SEARCH("liveramp",$C2046))),"DELETE",$A2046="agile-bonbon-662",_xlfn.IFS(LEFT($G2046,9)="Tranche 1","DELETE",$C2046="Sessions_Level_1_All_Sites","KEEP",ISNUMBER(--$C2046),"REVIEW — UA raw logs",$C2046="Emag_Reporting","KEEP",$C2046="Nutrition_Data_Archived_Tables","KEEP",$C2046="EU_Data","KEEP",TRUE,"REVIEW"),OR($A2046="thg-influencer",$A2046="thg-ingenuity",$A2046="thg-central-marketing",$A2046="thg-seoclarity"),"HOLD",TRUE,"")</f>
        <v/>
      </c>
      <c r="R2046" t="str" cm="1">
        <f t="array" ref="R2046">_xlfn.IFS(AND($A2046="thg-beauty",ISNUMBER(SEARCH("liveramp",$C2046))),"thg-beauty Liveramp dataset — confirmed safe to delete",$A2046="agile-bonbon-662",_xlfn.IFS(LEFT($G2046,9)="Tranche 1","Tranche 1: cleared",$C2046="Sessions_Level_1_All_Sites","Downstream aggregation of UA raw logs — keep if raw tables go",ISNUMBER(--$C2046),"UA raw site logs (account ID) — keep pending audit-retention check",$C2046="Emag_Reporting","Legacy but likely needed",$C2046="Nutrition_Data_Archived_Tables","Worth keeping",$C2046="EU_Data","Static lookup tables — scripts still reference (smoke-test risk)",TRUE,"Review"),OR($A2046="thg-influencer",$A2046="thg-ingenuity",$A2046="thg-central-marketing",$A2046="thg-seoclarity"),"HOLD — Charlie Stringer to review before deletion",TRUE,"")</f>
        <v/>
      </c>
      <c r="S2046" t="s">
        <v>1631</v>
      </c>
    </row>
    <row r="2047" spans="1:19" hidden="1">
      <c r="A2047" t="s">
        <v>92</v>
      </c>
      <c r="B2047" t="s">
        <v>1619</v>
      </c>
      <c r="C2047" t="s">
        <v>4370</v>
      </c>
      <c r="D2047" s="2" t="s">
        <v>1621</v>
      </c>
      <c r="E2047">
        <v>2.54</v>
      </c>
      <c r="F2047">
        <v>0.05</v>
      </c>
      <c r="G2047" t="s">
        <v>78</v>
      </c>
      <c r="H2047" t="s">
        <v>4340</v>
      </c>
      <c r="I2047">
        <v>292</v>
      </c>
      <c r="J2047">
        <v>292</v>
      </c>
      <c r="M2047" s="2" t="s">
        <v>1715</v>
      </c>
      <c r="N2047" s="2" t="s">
        <v>1701</v>
      </c>
      <c r="O2047" s="5">
        <v>45904.636799548607</v>
      </c>
      <c r="P2047" t="str">
        <f>IF($Q2047="DELETE",IF($S2047="CONFIRMED: NO MODS &gt; 1YR","CONFIRMED: NO MODS &gt; 1YR","DO NOT DELETE — not defensibly confirmed"),IF($Q2047="HOLD","DO NOT DELETE — HOLD (Charlie review)",IF($Q2047="KEEP","DO NOT DELETE — KEEP",IF(ISNUMBER(SEARCH("REVIEW",$Q2047)),"DO NOT DELETE — REVIEW pending",$S2047))))</f>
        <v>REVIEW</v>
      </c>
      <c r="Q2047" t="str" cm="1">
        <f t="array" ref="Q2047">_xlfn.IFS(AND($A2047="thg-beauty",ISNUMBER(SEARCH("liveramp",$C2047))),"DELETE",$A2047="agile-bonbon-662",_xlfn.IFS(LEFT($G2047,9)="Tranche 1","DELETE",$C2047="Sessions_Level_1_All_Sites","KEEP",ISNUMBER(--$C2047),"REVIEW — UA raw logs",$C2047="Emag_Reporting","KEEP",$C2047="Nutrition_Data_Archived_Tables","KEEP",$C2047="EU_Data","KEEP",TRUE,"REVIEW"),OR($A2047="thg-influencer",$A2047="thg-ingenuity",$A2047="thg-central-marketing",$A2047="thg-seoclarity"),"HOLD",TRUE,"")</f>
        <v/>
      </c>
      <c r="R2047" t="str" cm="1">
        <f t="array" ref="R2047">_xlfn.IFS(AND($A2047="thg-beauty",ISNUMBER(SEARCH("liveramp",$C2047))),"thg-beauty Liveramp dataset — confirmed safe to delete",$A2047="agile-bonbon-662",_xlfn.IFS(LEFT($G2047,9)="Tranche 1","Tranche 1: cleared",$C2047="Sessions_Level_1_All_Sites","Downstream aggregation of UA raw logs — keep if raw tables go",ISNUMBER(--$C2047),"UA raw site logs (account ID) — keep pending audit-retention check",$C2047="Emag_Reporting","Legacy but likely needed",$C2047="Nutrition_Data_Archived_Tables","Worth keeping",$C2047="EU_Data","Static lookup tables — scripts still reference (smoke-test risk)",TRUE,"Review"),OR($A2047="thg-influencer",$A2047="thg-ingenuity",$A2047="thg-central-marketing",$A2047="thg-seoclarity"),"HOLD — Charlie Stringer to review before deletion",TRUE,"")</f>
        <v/>
      </c>
      <c r="S2047" t="s">
        <v>1631</v>
      </c>
    </row>
    <row r="2048" spans="1:19" hidden="1">
      <c r="A2048" t="s">
        <v>92</v>
      </c>
      <c r="B2048" t="s">
        <v>1619</v>
      </c>
      <c r="C2048" t="s">
        <v>4371</v>
      </c>
      <c r="D2048" s="2" t="s">
        <v>1621</v>
      </c>
      <c r="E2048">
        <v>0.35</v>
      </c>
      <c r="F2048">
        <v>0.01</v>
      </c>
      <c r="G2048" t="s">
        <v>78</v>
      </c>
      <c r="H2048" t="s">
        <v>4340</v>
      </c>
      <c r="I2048">
        <v>194</v>
      </c>
      <c r="J2048">
        <v>194</v>
      </c>
      <c r="M2048" s="2" t="s">
        <v>1715</v>
      </c>
      <c r="N2048" s="2" t="s">
        <v>1701</v>
      </c>
      <c r="O2048" s="5">
        <v>46002.590669583333</v>
      </c>
      <c r="P2048" t="str">
        <f>IF($Q2048="DELETE",IF($S2048="CONFIRMED: NO MODS &gt; 1YR","CONFIRMED: NO MODS &gt; 1YR","DO NOT DELETE — not defensibly confirmed"),IF($Q2048="HOLD","DO NOT DELETE — HOLD (Charlie review)",IF($Q2048="KEEP","DO NOT DELETE — KEEP",IF(ISNUMBER(SEARCH("REVIEW",$Q2048)),"DO NOT DELETE — REVIEW pending",$S2048))))</f>
        <v>REVIEW</v>
      </c>
      <c r="Q2048" t="str" cm="1">
        <f t="array" ref="Q2048">_xlfn.IFS(AND($A2048="thg-beauty",ISNUMBER(SEARCH("liveramp",$C2048))),"DELETE",$A2048="agile-bonbon-662",_xlfn.IFS(LEFT($G2048,9)="Tranche 1","DELETE",$C2048="Sessions_Level_1_All_Sites","KEEP",ISNUMBER(--$C2048),"REVIEW — UA raw logs",$C2048="Emag_Reporting","KEEP",$C2048="Nutrition_Data_Archived_Tables","KEEP",$C2048="EU_Data","KEEP",TRUE,"REVIEW"),OR($A2048="thg-influencer",$A2048="thg-ingenuity",$A2048="thg-central-marketing",$A2048="thg-seoclarity"),"HOLD",TRUE,"")</f>
        <v/>
      </c>
      <c r="R2048" t="str" cm="1">
        <f t="array" ref="R2048">_xlfn.IFS(AND($A2048="thg-beauty",ISNUMBER(SEARCH("liveramp",$C2048))),"thg-beauty Liveramp dataset — confirmed safe to delete",$A2048="agile-bonbon-662",_xlfn.IFS(LEFT($G2048,9)="Tranche 1","Tranche 1: cleared",$C2048="Sessions_Level_1_All_Sites","Downstream aggregation of UA raw logs — keep if raw tables go",ISNUMBER(--$C2048),"UA raw site logs (account ID) — keep pending audit-retention check",$C2048="Emag_Reporting","Legacy but likely needed",$C2048="Nutrition_Data_Archived_Tables","Worth keeping",$C2048="EU_Data","Static lookup tables — scripts still reference (smoke-test risk)",TRUE,"Review"),OR($A2048="thg-influencer",$A2048="thg-ingenuity",$A2048="thg-central-marketing",$A2048="thg-seoclarity"),"HOLD — Charlie Stringer to review before deletion",TRUE,"")</f>
        <v/>
      </c>
      <c r="S2048" t="s">
        <v>1631</v>
      </c>
    </row>
    <row r="2049" spans="1:19" hidden="1">
      <c r="A2049" t="s">
        <v>92</v>
      </c>
      <c r="B2049" t="s">
        <v>1619</v>
      </c>
      <c r="C2049" t="s">
        <v>4372</v>
      </c>
      <c r="D2049" s="2" t="s">
        <v>1621</v>
      </c>
      <c r="E2049">
        <v>0</v>
      </c>
      <c r="F2049">
        <v>0</v>
      </c>
      <c r="G2049" t="s">
        <v>78</v>
      </c>
      <c r="H2049" t="s">
        <v>4340</v>
      </c>
      <c r="I2049">
        <v>251</v>
      </c>
      <c r="J2049">
        <v>251</v>
      </c>
      <c r="M2049" s="2" t="s">
        <v>1715</v>
      </c>
      <c r="N2049" s="2" t="s">
        <v>1701</v>
      </c>
      <c r="O2049" s="5">
        <v>45946.2950528125</v>
      </c>
      <c r="P2049" t="str">
        <f>IF($Q2049="DELETE",IF($S2049="CONFIRMED: NO MODS &gt; 1YR","CONFIRMED: NO MODS &gt; 1YR","DO NOT DELETE — not defensibly confirmed"),IF($Q2049="HOLD","DO NOT DELETE — HOLD (Charlie review)",IF($Q2049="KEEP","DO NOT DELETE — KEEP",IF(ISNUMBER(SEARCH("REVIEW",$Q2049)),"DO NOT DELETE — REVIEW pending",$S2049))))</f>
        <v>REVIEW</v>
      </c>
      <c r="Q2049" t="str" cm="1">
        <f t="array" ref="Q2049">_xlfn.IFS(AND($A2049="thg-beauty",ISNUMBER(SEARCH("liveramp",$C2049))),"DELETE",$A2049="agile-bonbon-662",_xlfn.IFS(LEFT($G2049,9)="Tranche 1","DELETE",$C2049="Sessions_Level_1_All_Sites","KEEP",ISNUMBER(--$C2049),"REVIEW — UA raw logs",$C2049="Emag_Reporting","KEEP",$C2049="Nutrition_Data_Archived_Tables","KEEP",$C2049="EU_Data","KEEP",TRUE,"REVIEW"),OR($A2049="thg-influencer",$A2049="thg-ingenuity",$A2049="thg-central-marketing",$A2049="thg-seoclarity"),"HOLD",TRUE,"")</f>
        <v/>
      </c>
      <c r="R2049" t="str" cm="1">
        <f t="array" ref="R2049">_xlfn.IFS(AND($A2049="thg-beauty",ISNUMBER(SEARCH("liveramp",$C2049))),"thg-beauty Liveramp dataset — confirmed safe to delete",$A2049="agile-bonbon-662",_xlfn.IFS(LEFT($G2049,9)="Tranche 1","Tranche 1: cleared",$C2049="Sessions_Level_1_All_Sites","Downstream aggregation of UA raw logs — keep if raw tables go",ISNUMBER(--$C2049),"UA raw site logs (account ID) — keep pending audit-retention check",$C2049="Emag_Reporting","Legacy but likely needed",$C2049="Nutrition_Data_Archived_Tables","Worth keeping",$C2049="EU_Data","Static lookup tables — scripts still reference (smoke-test risk)",TRUE,"Review"),OR($A2049="thg-influencer",$A2049="thg-ingenuity",$A2049="thg-central-marketing",$A2049="thg-seoclarity"),"HOLD — Charlie Stringer to review before deletion",TRUE,"")</f>
        <v/>
      </c>
      <c r="S2049" t="s">
        <v>1631</v>
      </c>
    </row>
    <row r="2050" spans="1:19" ht="76.5" hidden="1">
      <c r="A2050" t="s">
        <v>39</v>
      </c>
      <c r="B2050" t="s">
        <v>1619</v>
      </c>
      <c r="C2050" t="s">
        <v>3499</v>
      </c>
      <c r="D2050" s="2" t="s">
        <v>1621</v>
      </c>
      <c r="E2050">
        <v>1150.45</v>
      </c>
      <c r="F2050">
        <v>23.01</v>
      </c>
      <c r="G2050" t="s">
        <v>4373</v>
      </c>
      <c r="H2050" t="s">
        <v>81</v>
      </c>
      <c r="I2050">
        <v>169</v>
      </c>
      <c r="J2050">
        <v>271</v>
      </c>
      <c r="K2050" s="5">
        <v>46027.531621655093</v>
      </c>
      <c r="M2050" s="2" t="s">
        <v>2431</v>
      </c>
      <c r="N2050" s="2" t="s">
        <v>1701</v>
      </c>
      <c r="O2050" s="5">
        <v>45925.585537430547</v>
      </c>
      <c r="P2050" t="str">
        <f>IF($Q2050="DELETE",IF($S2050="CONFIRMED: NO MODS &gt; 1YR","CONFIRMED: NO MODS &gt; 1YR","DO NOT DELETE — not defensibly confirmed"),IF($Q2050="HOLD","DO NOT DELETE — HOLD (Charlie review)",IF($Q2050="KEEP","DO NOT DELETE — KEEP",IF(ISNUMBER(SEARCH("REVIEW",$Q2050)),"DO NOT DELETE — REVIEW pending",$S2050))))</f>
        <v>DO NOT DELETE — HOLD (Charlie review)</v>
      </c>
      <c r="Q2050" t="str" cm="1">
        <f t="array" ref="Q2050">_xlfn.IFS(AND($A2050="thg-beauty",ISNUMBER(SEARCH("liveramp",$C2050))),"DELETE",$A2050="agile-bonbon-662",_xlfn.IFS(LEFT($G2050,9)="Tranche 1","DELETE",$C2050="Sessions_Level_1_All_Sites","KEEP",ISNUMBER(--$C2050),"REVIEW — UA raw logs",$C2050="Emag_Reporting","KEEP",$C2050="Nutrition_Data_Archived_Tables","KEEP",$C2050="EU_Data","KEEP",TRUE,"REVIEW"),OR($A2050="thg-influencer",$A2050="thg-ingenuity",$A2050="thg-central-marketing",$A2050="thg-seoclarity"),"HOLD",TRUE,"")</f>
        <v>HOLD</v>
      </c>
      <c r="R2050" t="str" cm="1">
        <f t="array" ref="R2050">_xlfn.IFS(AND($A2050="thg-beauty",ISNUMBER(SEARCH("liveramp",$C2050))),"thg-beauty Liveramp dataset — confirmed safe to delete",$A2050="agile-bonbon-662",_xlfn.IFS(LEFT($G2050,9)="Tranche 1","Tranche 1: cleared",$C2050="Sessions_Level_1_All_Sites","Downstream aggregation of UA raw logs — keep if raw tables go",ISNUMBER(--$C2050),"UA raw site logs (account ID) — keep pending audit-retention check",$C2050="Emag_Reporting","Legacy but likely needed",$C2050="Nutrition_Data_Archived_Tables","Worth keeping",$C2050="EU_Data","Static lookup tables — scripts still reference (smoke-test risk)",TRUE,"Review"),OR($A2050="thg-influencer",$A2050="thg-ingenuity",$A2050="thg-central-marketing",$A2050="thg-seoclarity"),"HOLD — Charlie Stringer to review before deletion",TRUE,"")</f>
        <v>HOLD — Charlie Stringer to review before deletion</v>
      </c>
      <c r="S2050" t="s">
        <v>1631</v>
      </c>
    </row>
    <row r="2051" spans="1:19" ht="76.5" hidden="1">
      <c r="A2051" t="s">
        <v>38</v>
      </c>
      <c r="B2051" t="s">
        <v>1619</v>
      </c>
      <c r="C2051" t="s">
        <v>4374</v>
      </c>
      <c r="D2051" s="2" t="s">
        <v>1621</v>
      </c>
      <c r="E2051">
        <v>586.61</v>
      </c>
      <c r="F2051">
        <v>11.73</v>
      </c>
      <c r="G2051" t="s">
        <v>4373</v>
      </c>
      <c r="H2051" t="s">
        <v>81</v>
      </c>
      <c r="I2051">
        <v>141</v>
      </c>
      <c r="J2051">
        <v>141</v>
      </c>
      <c r="L2051" s="5">
        <v>46056.0463766088</v>
      </c>
      <c r="M2051" s="2" t="s">
        <v>1715</v>
      </c>
      <c r="N2051" s="2" t="s">
        <v>4375</v>
      </c>
      <c r="O2051" s="5">
        <v>46056.046485601852</v>
      </c>
      <c r="P2051" t="str">
        <f>IF($Q2051="DELETE",IF($S2051="CONFIRMED: NO MODS &gt; 1YR","CONFIRMED: NO MODS &gt; 1YR","DO NOT DELETE — not defensibly confirmed"),IF($Q2051="HOLD","DO NOT DELETE — HOLD (Charlie review)",IF($Q2051="KEEP","DO NOT DELETE — KEEP",IF(ISNUMBER(SEARCH("REVIEW",$Q2051)),"DO NOT DELETE — REVIEW pending",$S2051))))</f>
        <v>DO NOT DELETE — HOLD (Charlie review)</v>
      </c>
      <c r="Q2051" t="str" cm="1">
        <f t="array" ref="Q2051">_xlfn.IFS(AND($A2051="thg-beauty",ISNUMBER(SEARCH("liveramp",$C2051))),"DELETE",$A2051="agile-bonbon-662",_xlfn.IFS(LEFT($G2051,9)="Tranche 1","DELETE",$C2051="Sessions_Level_1_All_Sites","KEEP",ISNUMBER(--$C2051),"REVIEW — UA raw logs",$C2051="Emag_Reporting","KEEP",$C2051="Nutrition_Data_Archived_Tables","KEEP",$C2051="EU_Data","KEEP",TRUE,"REVIEW"),OR($A2051="thg-influencer",$A2051="thg-ingenuity",$A2051="thg-central-marketing",$A2051="thg-seoclarity"),"HOLD",TRUE,"")</f>
        <v>HOLD</v>
      </c>
      <c r="R2051" t="str" cm="1">
        <f t="array" ref="R2051">_xlfn.IFS(AND($A2051="thg-beauty",ISNUMBER(SEARCH("liveramp",$C2051))),"thg-beauty Liveramp dataset — confirmed safe to delete",$A2051="agile-bonbon-662",_xlfn.IFS(LEFT($G2051,9)="Tranche 1","Tranche 1: cleared",$C2051="Sessions_Level_1_All_Sites","Downstream aggregation of UA raw logs — keep if raw tables go",ISNUMBER(--$C2051),"UA raw site logs (account ID) — keep pending audit-retention check",$C2051="Emag_Reporting","Legacy but likely needed",$C2051="Nutrition_Data_Archived_Tables","Worth keeping",$C2051="EU_Data","Static lookup tables — scripts still reference (smoke-test risk)",TRUE,"Review"),OR($A2051="thg-influencer",$A2051="thg-ingenuity",$A2051="thg-central-marketing",$A2051="thg-seoclarity"),"HOLD — Charlie Stringer to review before deletion",TRUE,"")</f>
        <v>HOLD — Charlie Stringer to review before deletion</v>
      </c>
      <c r="S2051" t="s">
        <v>1631</v>
      </c>
    </row>
    <row r="2052" spans="1:19" ht="76.5" hidden="1">
      <c r="A2052" t="s">
        <v>38</v>
      </c>
      <c r="B2052" t="s">
        <v>1619</v>
      </c>
      <c r="C2052" t="s">
        <v>4376</v>
      </c>
      <c r="D2052" s="2" t="s">
        <v>1621</v>
      </c>
      <c r="E2052">
        <v>53.97</v>
      </c>
      <c r="F2052">
        <v>1.08</v>
      </c>
      <c r="G2052" t="s">
        <v>4373</v>
      </c>
      <c r="H2052" t="s">
        <v>81</v>
      </c>
      <c r="I2052">
        <v>0</v>
      </c>
      <c r="J2052">
        <v>0</v>
      </c>
      <c r="K2052" s="5">
        <v>46197.45412584491</v>
      </c>
      <c r="L2052" s="5">
        <v>46197.436141828701</v>
      </c>
      <c r="M2052" s="2" t="s">
        <v>4377</v>
      </c>
      <c r="N2052" s="2" t="s">
        <v>4378</v>
      </c>
      <c r="O2052" s="5">
        <v>46197.436178483797</v>
      </c>
      <c r="P2052" t="str">
        <f>IF($Q2052="DELETE",IF($S2052="CONFIRMED: NO MODS &gt; 1YR","CONFIRMED: NO MODS &gt; 1YR","DO NOT DELETE — not defensibly confirmed"),IF($Q2052="HOLD","DO NOT DELETE — HOLD (Charlie review)",IF($Q2052="KEEP","DO NOT DELETE — KEEP",IF(ISNUMBER(SEARCH("REVIEW",$Q2052)),"DO NOT DELETE — REVIEW pending",$S2052))))</f>
        <v>DO NOT DELETE — HOLD (Charlie review)</v>
      </c>
      <c r="Q2052" t="str" cm="1">
        <f t="array" ref="Q2052">_xlfn.IFS(AND($A2052="thg-beauty",ISNUMBER(SEARCH("liveramp",$C2052))),"DELETE",$A2052="agile-bonbon-662",_xlfn.IFS(LEFT($G2052,9)="Tranche 1","DELETE",$C2052="Sessions_Level_1_All_Sites","KEEP",ISNUMBER(--$C2052),"REVIEW — UA raw logs",$C2052="Emag_Reporting","KEEP",$C2052="Nutrition_Data_Archived_Tables","KEEP",$C2052="EU_Data","KEEP",TRUE,"REVIEW"),OR($A2052="thg-influencer",$A2052="thg-ingenuity",$A2052="thg-central-marketing",$A2052="thg-seoclarity"),"HOLD",TRUE,"")</f>
        <v>HOLD</v>
      </c>
      <c r="R2052" t="str" cm="1">
        <f t="array" ref="R2052">_xlfn.IFS(AND($A2052="thg-beauty",ISNUMBER(SEARCH("liveramp",$C2052))),"thg-beauty Liveramp dataset — confirmed safe to delete",$A2052="agile-bonbon-662",_xlfn.IFS(LEFT($G2052,9)="Tranche 1","Tranche 1: cleared",$C2052="Sessions_Level_1_All_Sites","Downstream aggregation of UA raw logs — keep if raw tables go",ISNUMBER(--$C2052),"UA raw site logs (account ID) — keep pending audit-retention check",$C2052="Emag_Reporting","Legacy but likely needed",$C2052="Nutrition_Data_Archived_Tables","Worth keeping",$C2052="EU_Data","Static lookup tables — scripts still reference (smoke-test risk)",TRUE,"Review"),OR($A2052="thg-influencer",$A2052="thg-ingenuity",$A2052="thg-central-marketing",$A2052="thg-seoclarity"),"HOLD — Charlie Stringer to review before deletion",TRUE,"")</f>
        <v>HOLD — Charlie Stringer to review before deletion</v>
      </c>
      <c r="S2052" t="s">
        <v>1631</v>
      </c>
    </row>
    <row r="2053" spans="1:19" hidden="1">
      <c r="A2053" t="s">
        <v>38</v>
      </c>
      <c r="B2053" t="s">
        <v>1619</v>
      </c>
      <c r="C2053" t="s">
        <v>1300</v>
      </c>
      <c r="D2053" s="2" t="s">
        <v>1621</v>
      </c>
      <c r="E2053">
        <v>0</v>
      </c>
      <c r="F2053">
        <v>0</v>
      </c>
      <c r="G2053" t="s">
        <v>4373</v>
      </c>
      <c r="H2053" t="s">
        <v>81</v>
      </c>
      <c r="M2053" s="2" t="s">
        <v>1715</v>
      </c>
      <c r="N2053" s="2" t="s">
        <v>1701</v>
      </c>
      <c r="P2053" t="str">
        <f>IF($Q2053="DELETE",IF($S2053="CONFIRMED: NO MODS &gt; 1YR","CONFIRMED: NO MODS &gt; 1YR","DO NOT DELETE — not defensibly confirmed"),IF($Q2053="HOLD","DO NOT DELETE — HOLD (Charlie review)",IF($Q2053="KEEP","DO NOT DELETE — KEEP",IF(ISNUMBER(SEARCH("REVIEW",$Q2053)),"DO NOT DELETE — REVIEW pending",$S2053))))</f>
        <v>DO NOT DELETE — HOLD (Charlie review)</v>
      </c>
      <c r="Q2053" t="str" cm="1">
        <f t="array" ref="Q2053">_xlfn.IFS(AND($A2053="thg-beauty",ISNUMBER(SEARCH("liveramp",$C2053))),"DELETE",$A2053="agile-bonbon-662",_xlfn.IFS(LEFT($G2053,9)="Tranche 1","DELETE",$C2053="Sessions_Level_1_All_Sites","KEEP",ISNUMBER(--$C2053),"REVIEW — UA raw logs",$C2053="Emag_Reporting","KEEP",$C2053="Nutrition_Data_Archived_Tables","KEEP",$C2053="EU_Data","KEEP",TRUE,"REVIEW"),OR($A2053="thg-influencer",$A2053="thg-ingenuity",$A2053="thg-central-marketing",$A2053="thg-seoclarity"),"HOLD",TRUE,"")</f>
        <v>HOLD</v>
      </c>
      <c r="R2053" t="str" cm="1">
        <f t="array" ref="R2053">_xlfn.IFS(AND($A2053="thg-beauty",ISNUMBER(SEARCH("liveramp",$C2053))),"thg-beauty Liveramp dataset — confirmed safe to delete",$A2053="agile-bonbon-662",_xlfn.IFS(LEFT($G2053,9)="Tranche 1","Tranche 1: cleared",$C2053="Sessions_Level_1_All_Sites","Downstream aggregation of UA raw logs — keep if raw tables go",ISNUMBER(--$C2053),"UA raw site logs (account ID) — keep pending audit-retention check",$C2053="Emag_Reporting","Legacy but likely needed",$C2053="Nutrition_Data_Archived_Tables","Worth keeping",$C2053="EU_Data","Static lookup tables — scripts still reference (smoke-test risk)",TRUE,"Review"),OR($A2053="thg-influencer",$A2053="thg-ingenuity",$A2053="thg-central-marketing",$A2053="thg-seoclarity"),"HOLD — Charlie Stringer to review before deletion",TRUE,"")</f>
        <v>HOLD — Charlie Stringer to review before deletion</v>
      </c>
      <c r="S2053" t="s">
        <v>1631</v>
      </c>
    </row>
    <row r="2054" spans="1:19" hidden="1">
      <c r="A2054" t="s">
        <v>38</v>
      </c>
      <c r="B2054" t="s">
        <v>1619</v>
      </c>
      <c r="C2054" t="s">
        <v>4379</v>
      </c>
      <c r="D2054" s="2" t="s">
        <v>1621</v>
      </c>
      <c r="E2054">
        <v>0</v>
      </c>
      <c r="F2054">
        <v>0</v>
      </c>
      <c r="G2054" t="s">
        <v>4373</v>
      </c>
      <c r="H2054" t="s">
        <v>81</v>
      </c>
      <c r="M2054" s="2" t="s">
        <v>1715</v>
      </c>
      <c r="N2054" s="2" t="s">
        <v>1701</v>
      </c>
      <c r="P2054" t="str">
        <f>IF($Q2054="DELETE",IF($S2054="CONFIRMED: NO MODS &gt; 1YR","CONFIRMED: NO MODS &gt; 1YR","DO NOT DELETE — not defensibly confirmed"),IF($Q2054="HOLD","DO NOT DELETE — HOLD (Charlie review)",IF($Q2054="KEEP","DO NOT DELETE — KEEP",IF(ISNUMBER(SEARCH("REVIEW",$Q2054)),"DO NOT DELETE — REVIEW pending",$S2054))))</f>
        <v>DO NOT DELETE — HOLD (Charlie review)</v>
      </c>
      <c r="Q2054" t="str" cm="1">
        <f t="array" ref="Q2054">_xlfn.IFS(AND($A2054="thg-beauty",ISNUMBER(SEARCH("liveramp",$C2054))),"DELETE",$A2054="agile-bonbon-662",_xlfn.IFS(LEFT($G2054,9)="Tranche 1","DELETE",$C2054="Sessions_Level_1_All_Sites","KEEP",ISNUMBER(--$C2054),"REVIEW — UA raw logs",$C2054="Emag_Reporting","KEEP",$C2054="Nutrition_Data_Archived_Tables","KEEP",$C2054="EU_Data","KEEP",TRUE,"REVIEW"),OR($A2054="thg-influencer",$A2054="thg-ingenuity",$A2054="thg-central-marketing",$A2054="thg-seoclarity"),"HOLD",TRUE,"")</f>
        <v>HOLD</v>
      </c>
      <c r="R2054" t="str" cm="1">
        <f t="array" ref="R2054">_xlfn.IFS(AND($A2054="thg-beauty",ISNUMBER(SEARCH("liveramp",$C2054))),"thg-beauty Liveramp dataset — confirmed safe to delete",$A2054="agile-bonbon-662",_xlfn.IFS(LEFT($G2054,9)="Tranche 1","Tranche 1: cleared",$C2054="Sessions_Level_1_All_Sites","Downstream aggregation of UA raw logs — keep if raw tables go",ISNUMBER(--$C2054),"UA raw site logs (account ID) — keep pending audit-retention check",$C2054="Emag_Reporting","Legacy but likely needed",$C2054="Nutrition_Data_Archived_Tables","Worth keeping",$C2054="EU_Data","Static lookup tables — scripts still reference (smoke-test risk)",TRUE,"Review"),OR($A2054="thg-influencer",$A2054="thg-ingenuity",$A2054="thg-central-marketing",$A2054="thg-seoclarity"),"HOLD — Charlie Stringer to review before deletion",TRUE,"")</f>
        <v>HOLD — Charlie Stringer to review before deletion</v>
      </c>
      <c r="S2054" t="s">
        <v>1631</v>
      </c>
    </row>
    <row r="2055" spans="1:19" ht="60.75" hidden="1">
      <c r="A2055" t="s">
        <v>93</v>
      </c>
      <c r="B2055" t="s">
        <v>1619</v>
      </c>
      <c r="C2055" t="s">
        <v>4380</v>
      </c>
      <c r="D2055" s="2" t="s">
        <v>1621</v>
      </c>
      <c r="E2055">
        <v>0</v>
      </c>
      <c r="F2055">
        <v>0</v>
      </c>
      <c r="G2055" t="s">
        <v>83</v>
      </c>
      <c r="H2055" t="s">
        <v>81</v>
      </c>
      <c r="I2055">
        <v>170</v>
      </c>
      <c r="L2055" s="5">
        <v>46027.38142273148</v>
      </c>
      <c r="M2055" s="2" t="s">
        <v>1715</v>
      </c>
      <c r="N2055" s="2" t="s">
        <v>4381</v>
      </c>
      <c r="P2055" t="str">
        <f>IF($Q2055="DELETE",IF($S2055="CONFIRMED: NO MODS &gt; 1YR","CONFIRMED: NO MODS &gt; 1YR","DO NOT DELETE — not defensibly confirmed"),IF($Q2055="HOLD","DO NOT DELETE — HOLD (Charlie review)",IF($Q2055="KEEP","DO NOT DELETE — KEEP",IF(ISNUMBER(SEARCH("REVIEW",$Q2055)),"DO NOT DELETE — REVIEW pending",$S2055))))</f>
        <v>REVIEW</v>
      </c>
      <c r="Q2055" t="str" cm="1">
        <f t="array" ref="Q2055">_xlfn.IFS(AND($A2055="thg-beauty",ISNUMBER(SEARCH("liveramp",$C2055))),"DELETE",$A2055="agile-bonbon-662",_xlfn.IFS(LEFT($G2055,9)="Tranche 1","DELETE",$C2055="Sessions_Level_1_All_Sites","KEEP",ISNUMBER(--$C2055),"REVIEW — UA raw logs",$C2055="Emag_Reporting","KEEP",$C2055="Nutrition_Data_Archived_Tables","KEEP",$C2055="EU_Data","KEEP",TRUE,"REVIEW"),OR($A2055="thg-influencer",$A2055="thg-ingenuity",$A2055="thg-central-marketing",$A2055="thg-seoclarity"),"HOLD",TRUE,"")</f>
        <v/>
      </c>
      <c r="R2055" t="str" cm="1">
        <f t="array" ref="R2055">_xlfn.IFS(AND($A2055="thg-beauty",ISNUMBER(SEARCH("liveramp",$C2055))),"thg-beauty Liveramp dataset — confirmed safe to delete",$A2055="agile-bonbon-662",_xlfn.IFS(LEFT($G2055,9)="Tranche 1","Tranche 1: cleared",$C2055="Sessions_Level_1_All_Sites","Downstream aggregation of UA raw logs — keep if raw tables go",ISNUMBER(--$C2055),"UA raw site logs (account ID) — keep pending audit-retention check",$C2055="Emag_Reporting","Legacy but likely needed",$C2055="Nutrition_Data_Archived_Tables","Worth keeping",$C2055="EU_Data","Static lookup tables — scripts still reference (smoke-test risk)",TRUE,"Review"),OR($A2055="thg-influencer",$A2055="thg-ingenuity",$A2055="thg-central-marketing",$A2055="thg-seoclarity"),"HOLD — Charlie Stringer to review before deletion",TRUE,"")</f>
        <v/>
      </c>
      <c r="S2055" t="s">
        <v>1631</v>
      </c>
    </row>
    <row r="2056" spans="1:19" ht="76.5" hidden="1">
      <c r="A2056" t="s">
        <v>93</v>
      </c>
      <c r="B2056" t="s">
        <v>1619</v>
      </c>
      <c r="C2056" t="s">
        <v>4382</v>
      </c>
      <c r="D2056" s="2" t="s">
        <v>1621</v>
      </c>
      <c r="E2056">
        <v>0</v>
      </c>
      <c r="F2056">
        <v>0</v>
      </c>
      <c r="G2056" t="s">
        <v>83</v>
      </c>
      <c r="H2056" t="s">
        <v>81</v>
      </c>
      <c r="I2056">
        <v>88</v>
      </c>
      <c r="K2056" s="5">
        <v>46108.501500995371</v>
      </c>
      <c r="L2056" s="5">
        <v>46108.501108668977</v>
      </c>
      <c r="M2056" s="2" t="s">
        <v>4383</v>
      </c>
      <c r="N2056" s="2" t="s">
        <v>4384</v>
      </c>
      <c r="P2056" t="str">
        <f>IF($Q2056="DELETE",IF($S2056="CONFIRMED: NO MODS &gt; 1YR","CONFIRMED: NO MODS &gt; 1YR","DO NOT DELETE — not defensibly confirmed"),IF($Q2056="HOLD","DO NOT DELETE — HOLD (Charlie review)",IF($Q2056="KEEP","DO NOT DELETE — KEEP",IF(ISNUMBER(SEARCH("REVIEW",$Q2056)),"DO NOT DELETE — REVIEW pending",$S2056))))</f>
        <v>REVIEW</v>
      </c>
      <c r="Q2056" t="str" cm="1">
        <f t="array" ref="Q2056">_xlfn.IFS(AND($A2056="thg-beauty",ISNUMBER(SEARCH("liveramp",$C2056))),"DELETE",$A2056="agile-bonbon-662",_xlfn.IFS(LEFT($G2056,9)="Tranche 1","DELETE",$C2056="Sessions_Level_1_All_Sites","KEEP",ISNUMBER(--$C2056),"REVIEW — UA raw logs",$C2056="Emag_Reporting","KEEP",$C2056="Nutrition_Data_Archived_Tables","KEEP",$C2056="EU_Data","KEEP",TRUE,"REVIEW"),OR($A2056="thg-influencer",$A2056="thg-ingenuity",$A2056="thg-central-marketing",$A2056="thg-seoclarity"),"HOLD",TRUE,"")</f>
        <v/>
      </c>
      <c r="R2056" t="str" cm="1">
        <f t="array" ref="R2056">_xlfn.IFS(AND($A2056="thg-beauty",ISNUMBER(SEARCH("liveramp",$C2056))),"thg-beauty Liveramp dataset — confirmed safe to delete",$A2056="agile-bonbon-662",_xlfn.IFS(LEFT($G2056,9)="Tranche 1","Tranche 1: cleared",$C2056="Sessions_Level_1_All_Sites","Downstream aggregation of UA raw logs — keep if raw tables go",ISNUMBER(--$C2056),"UA raw site logs (account ID) — keep pending audit-retention check",$C2056="Emag_Reporting","Legacy but likely needed",$C2056="Nutrition_Data_Archived_Tables","Worth keeping",$C2056="EU_Data","Static lookup tables — scripts still reference (smoke-test risk)",TRUE,"Review"),OR($A2056="thg-influencer",$A2056="thg-ingenuity",$A2056="thg-central-marketing",$A2056="thg-seoclarity"),"HOLD — Charlie Stringer to review before deletion",TRUE,"")</f>
        <v/>
      </c>
      <c r="S2056" t="s">
        <v>1631</v>
      </c>
    </row>
    <row r="2057" spans="1:19" ht="76.5" hidden="1">
      <c r="A2057" t="s">
        <v>1738</v>
      </c>
      <c r="B2057" t="s">
        <v>1724</v>
      </c>
      <c r="C2057" t="s">
        <v>4385</v>
      </c>
      <c r="D2057" s="2" t="s">
        <v>1621</v>
      </c>
      <c r="E2057">
        <v>0</v>
      </c>
      <c r="F2057">
        <v>0</v>
      </c>
      <c r="G2057" t="s">
        <v>83</v>
      </c>
      <c r="H2057" t="s">
        <v>81</v>
      </c>
      <c r="I2057">
        <v>75</v>
      </c>
      <c r="L2057" s="5">
        <v>46121.632230405092</v>
      </c>
      <c r="M2057" s="2" t="s">
        <v>1715</v>
      </c>
      <c r="N2057" s="2" t="s">
        <v>4386</v>
      </c>
      <c r="P2057" t="str">
        <f>IF($Q2057="DELETE",IF($S2057="CONFIRMED: NO MODS &gt; 1YR","CONFIRMED: NO MODS &gt; 1YR","DO NOT DELETE — not defensibly confirmed"),IF($Q2057="HOLD","DO NOT DELETE — HOLD (Charlie review)",IF($Q2057="KEEP","DO NOT DELETE — KEEP",IF(ISNUMBER(SEARCH("REVIEW",$Q2057)),"DO NOT DELETE — REVIEW pending",$S2057))))</f>
        <v>REVIEW</v>
      </c>
      <c r="Q2057" t="str" cm="1">
        <f t="array" ref="Q2057">_xlfn.IFS(AND($A2057="thg-beauty",ISNUMBER(SEARCH("liveramp",$C2057))),"DELETE",$A2057="agile-bonbon-662",_xlfn.IFS(LEFT($G2057,9)="Tranche 1","DELETE",$C2057="Sessions_Level_1_All_Sites","KEEP",ISNUMBER(--$C2057),"REVIEW — UA raw logs",$C2057="Emag_Reporting","KEEP",$C2057="Nutrition_Data_Archived_Tables","KEEP",$C2057="EU_Data","KEEP",TRUE,"REVIEW"),OR($A2057="thg-influencer",$A2057="thg-ingenuity",$A2057="thg-central-marketing",$A2057="thg-seoclarity"),"HOLD",TRUE,"")</f>
        <v/>
      </c>
      <c r="R2057" t="str" cm="1">
        <f t="array" ref="R2057">_xlfn.IFS(AND($A2057="thg-beauty",ISNUMBER(SEARCH("liveramp",$C2057))),"thg-beauty Liveramp dataset — confirmed safe to delete",$A2057="agile-bonbon-662",_xlfn.IFS(LEFT($G2057,9)="Tranche 1","Tranche 1: cleared",$C2057="Sessions_Level_1_All_Sites","Downstream aggregation of UA raw logs — keep if raw tables go",ISNUMBER(--$C2057),"UA raw site logs (account ID) — keep pending audit-retention check",$C2057="Emag_Reporting","Legacy but likely needed",$C2057="Nutrition_Data_Archived_Tables","Worth keeping",$C2057="EU_Data","Static lookup tables — scripts still reference (smoke-test risk)",TRUE,"Review"),OR($A2057="thg-influencer",$A2057="thg-ingenuity",$A2057="thg-central-marketing",$A2057="thg-seoclarity"),"HOLD — Charlie Stringer to review before deletion",TRUE,"")</f>
        <v/>
      </c>
      <c r="S2057" t="s">
        <v>1631</v>
      </c>
    </row>
    <row r="2058" spans="1:19" ht="76.5" hidden="1">
      <c r="A2058" t="s">
        <v>90</v>
      </c>
      <c r="B2058" t="s">
        <v>1619</v>
      </c>
      <c r="C2058" t="s">
        <v>4387</v>
      </c>
      <c r="D2058" s="2" t="s">
        <v>1621</v>
      </c>
      <c r="E2058">
        <v>13.97</v>
      </c>
      <c r="F2058">
        <v>0.28000000000000003</v>
      </c>
      <c r="G2058" t="s">
        <v>83</v>
      </c>
      <c r="H2058" t="s">
        <v>81</v>
      </c>
      <c r="I2058">
        <v>56</v>
      </c>
      <c r="J2058">
        <v>116</v>
      </c>
      <c r="K2058" s="5">
        <v>46141.387137291669</v>
      </c>
      <c r="L2058" s="5">
        <v>46080.538205833327</v>
      </c>
      <c r="M2058" s="2" t="s">
        <v>4388</v>
      </c>
      <c r="N2058" s="2" t="s">
        <v>4389</v>
      </c>
      <c r="O2058" s="5">
        <v>46080.538225034717</v>
      </c>
      <c r="P2058" t="str">
        <f>IF($Q2058="DELETE",IF($S2058="CONFIRMED: NO MODS &gt; 1YR","CONFIRMED: NO MODS &gt; 1YR","DO NOT DELETE — not defensibly confirmed"),IF($Q2058="HOLD","DO NOT DELETE — HOLD (Charlie review)",IF($Q2058="KEEP","DO NOT DELETE — KEEP",IF(ISNUMBER(SEARCH("REVIEW",$Q2058)),"DO NOT DELETE — REVIEW pending",$S2058))))</f>
        <v>REVIEW</v>
      </c>
      <c r="Q2058" t="str" cm="1">
        <f t="array" ref="Q2058">_xlfn.IFS(AND($A2058="thg-beauty",ISNUMBER(SEARCH("liveramp",$C2058))),"DELETE",$A2058="agile-bonbon-662",_xlfn.IFS(LEFT($G2058,9)="Tranche 1","DELETE",$C2058="Sessions_Level_1_All_Sites","KEEP",ISNUMBER(--$C2058),"REVIEW — UA raw logs",$C2058="Emag_Reporting","KEEP",$C2058="Nutrition_Data_Archived_Tables","KEEP",$C2058="EU_Data","KEEP",TRUE,"REVIEW"),OR($A2058="thg-influencer",$A2058="thg-ingenuity",$A2058="thg-central-marketing",$A2058="thg-seoclarity"),"HOLD",TRUE,"")</f>
        <v/>
      </c>
      <c r="R2058" t="str" cm="1">
        <f t="array" ref="R2058">_xlfn.IFS(AND($A2058="thg-beauty",ISNUMBER(SEARCH("liveramp",$C2058))),"thg-beauty Liveramp dataset — confirmed safe to delete",$A2058="agile-bonbon-662",_xlfn.IFS(LEFT($G2058,9)="Tranche 1","Tranche 1: cleared",$C2058="Sessions_Level_1_All_Sites","Downstream aggregation of UA raw logs — keep if raw tables go",ISNUMBER(--$C2058),"UA raw site logs (account ID) — keep pending audit-retention check",$C2058="Emag_Reporting","Legacy but likely needed",$C2058="Nutrition_Data_Archived_Tables","Worth keeping",$C2058="EU_Data","Static lookup tables — scripts still reference (smoke-test risk)",TRUE,"Review"),OR($A2058="thg-influencer",$A2058="thg-ingenuity",$A2058="thg-central-marketing",$A2058="thg-seoclarity"),"HOLD — Charlie Stringer to review before deletion",TRUE,"")</f>
        <v/>
      </c>
      <c r="S2058" t="s">
        <v>1631</v>
      </c>
    </row>
    <row r="2059" spans="1:19" hidden="1">
      <c r="A2059" t="s">
        <v>91</v>
      </c>
      <c r="B2059" t="s">
        <v>1619</v>
      </c>
      <c r="C2059" t="s">
        <v>4390</v>
      </c>
      <c r="D2059" s="2" t="s">
        <v>1621</v>
      </c>
      <c r="E2059">
        <v>13.47</v>
      </c>
      <c r="F2059">
        <v>0.27</v>
      </c>
      <c r="G2059" t="s">
        <v>83</v>
      </c>
      <c r="H2059" t="s">
        <v>81</v>
      </c>
      <c r="I2059">
        <v>56</v>
      </c>
      <c r="J2059">
        <v>357</v>
      </c>
      <c r="K2059" s="5">
        <v>46141.41456297454</v>
      </c>
      <c r="M2059" s="2" t="s">
        <v>1815</v>
      </c>
      <c r="N2059" s="2" t="s">
        <v>1701</v>
      </c>
      <c r="O2059" s="5">
        <v>45840.417877025473</v>
      </c>
      <c r="P2059" t="str">
        <f>IF($Q2059="DELETE",IF($S2059="CONFIRMED: NO MODS &gt; 1YR","CONFIRMED: NO MODS &gt; 1YR","DO NOT DELETE — not defensibly confirmed"),IF($Q2059="HOLD","DO NOT DELETE — HOLD (Charlie review)",IF($Q2059="KEEP","DO NOT DELETE — KEEP",IF(ISNUMBER(SEARCH("REVIEW",$Q2059)),"DO NOT DELETE — REVIEW pending",$S2059))))</f>
        <v>REVIEW</v>
      </c>
      <c r="Q2059" t="str" cm="1">
        <f t="array" ref="Q2059">_xlfn.IFS(AND($A2059="thg-beauty",ISNUMBER(SEARCH("liveramp",$C2059))),"DELETE",$A2059="agile-bonbon-662",_xlfn.IFS(LEFT($G2059,9)="Tranche 1","DELETE",$C2059="Sessions_Level_1_All_Sites","KEEP",ISNUMBER(--$C2059),"REVIEW — UA raw logs",$C2059="Emag_Reporting","KEEP",$C2059="Nutrition_Data_Archived_Tables","KEEP",$C2059="EU_Data","KEEP",TRUE,"REVIEW"),OR($A2059="thg-influencer",$A2059="thg-ingenuity",$A2059="thg-central-marketing",$A2059="thg-seoclarity"),"HOLD",TRUE,"")</f>
        <v/>
      </c>
      <c r="R2059" t="str" cm="1">
        <f t="array" ref="R2059">_xlfn.IFS(AND($A2059="thg-beauty",ISNUMBER(SEARCH("liveramp",$C2059))),"thg-beauty Liveramp dataset — confirmed safe to delete",$A2059="agile-bonbon-662",_xlfn.IFS(LEFT($G2059,9)="Tranche 1","Tranche 1: cleared",$C2059="Sessions_Level_1_All_Sites","Downstream aggregation of UA raw logs — keep if raw tables go",ISNUMBER(--$C2059),"UA raw site logs (account ID) — keep pending audit-retention check",$C2059="Emag_Reporting","Legacy but likely needed",$C2059="Nutrition_Data_Archived_Tables","Worth keeping",$C2059="EU_Data","Static lookup tables — scripts still reference (smoke-test risk)",TRUE,"Review"),OR($A2059="thg-influencer",$A2059="thg-ingenuity",$A2059="thg-central-marketing",$A2059="thg-seoclarity"),"HOLD — Charlie Stringer to review before deletion",TRUE,"")</f>
        <v/>
      </c>
      <c r="S2059" t="s">
        <v>1631</v>
      </c>
    </row>
    <row r="2060" spans="1:19" hidden="1">
      <c r="A2060" t="s">
        <v>90</v>
      </c>
      <c r="B2060" t="s">
        <v>1724</v>
      </c>
      <c r="C2060" t="s">
        <v>4391</v>
      </c>
      <c r="D2060" s="2" t="s">
        <v>1621</v>
      </c>
      <c r="E2060">
        <v>0</v>
      </c>
      <c r="F2060">
        <v>0</v>
      </c>
      <c r="G2060" t="s">
        <v>83</v>
      </c>
      <c r="H2060" t="s">
        <v>81</v>
      </c>
      <c r="I2060">
        <v>56</v>
      </c>
      <c r="K2060" s="5">
        <v>46141.388011759263</v>
      </c>
      <c r="M2060" s="2" t="s">
        <v>1800</v>
      </c>
      <c r="N2060" s="2" t="s">
        <v>1701</v>
      </c>
      <c r="P2060" t="str">
        <f>IF($Q2060="DELETE",IF($S2060="CONFIRMED: NO MODS &gt; 1YR","CONFIRMED: NO MODS &gt; 1YR","DO NOT DELETE — not defensibly confirmed"),IF($Q2060="HOLD","DO NOT DELETE — HOLD (Charlie review)",IF($Q2060="KEEP","DO NOT DELETE — KEEP",IF(ISNUMBER(SEARCH("REVIEW",$Q2060)),"DO NOT DELETE — REVIEW pending",$S2060))))</f>
        <v>REVIEW</v>
      </c>
      <c r="Q2060" t="str" cm="1">
        <f t="array" ref="Q2060">_xlfn.IFS(AND($A2060="thg-beauty",ISNUMBER(SEARCH("liveramp",$C2060))),"DELETE",$A2060="agile-bonbon-662",_xlfn.IFS(LEFT($G2060,9)="Tranche 1","DELETE",$C2060="Sessions_Level_1_All_Sites","KEEP",ISNUMBER(--$C2060),"REVIEW — UA raw logs",$C2060="Emag_Reporting","KEEP",$C2060="Nutrition_Data_Archived_Tables","KEEP",$C2060="EU_Data","KEEP",TRUE,"REVIEW"),OR($A2060="thg-influencer",$A2060="thg-ingenuity",$A2060="thg-central-marketing",$A2060="thg-seoclarity"),"HOLD",TRUE,"")</f>
        <v/>
      </c>
      <c r="R2060" t="str" cm="1">
        <f t="array" ref="R2060">_xlfn.IFS(AND($A2060="thg-beauty",ISNUMBER(SEARCH("liveramp",$C2060))),"thg-beauty Liveramp dataset — confirmed safe to delete",$A2060="agile-bonbon-662",_xlfn.IFS(LEFT($G2060,9)="Tranche 1","Tranche 1: cleared",$C2060="Sessions_Level_1_All_Sites","Downstream aggregation of UA raw logs — keep if raw tables go",ISNUMBER(--$C2060),"UA raw site logs (account ID) — keep pending audit-retention check",$C2060="Emag_Reporting","Legacy but likely needed",$C2060="Nutrition_Data_Archived_Tables","Worth keeping",$C2060="EU_Data","Static lookup tables — scripts still reference (smoke-test risk)",TRUE,"Review"),OR($A2060="thg-influencer",$A2060="thg-ingenuity",$A2060="thg-central-marketing",$A2060="thg-seoclarity"),"HOLD — Charlie Stringer to review before deletion",TRUE,"")</f>
        <v/>
      </c>
      <c r="S2060" t="s">
        <v>1631</v>
      </c>
    </row>
    <row r="2061" spans="1:19" hidden="1">
      <c r="A2061" t="s">
        <v>90</v>
      </c>
      <c r="B2061" t="s">
        <v>1619</v>
      </c>
      <c r="C2061" t="s">
        <v>4392</v>
      </c>
      <c r="D2061" s="2" t="s">
        <v>1621</v>
      </c>
      <c r="E2061">
        <v>0</v>
      </c>
      <c r="F2061">
        <v>0</v>
      </c>
      <c r="G2061" t="s">
        <v>83</v>
      </c>
      <c r="H2061" t="s">
        <v>81</v>
      </c>
      <c r="I2061">
        <v>56</v>
      </c>
      <c r="K2061" s="5">
        <v>46141.387137303238</v>
      </c>
      <c r="M2061" s="2" t="s">
        <v>1807</v>
      </c>
      <c r="N2061" s="2" t="s">
        <v>1701</v>
      </c>
      <c r="P2061" t="str">
        <f>IF($Q2061="DELETE",IF($S2061="CONFIRMED: NO MODS &gt; 1YR","CONFIRMED: NO MODS &gt; 1YR","DO NOT DELETE — not defensibly confirmed"),IF($Q2061="HOLD","DO NOT DELETE — HOLD (Charlie review)",IF($Q2061="KEEP","DO NOT DELETE — KEEP",IF(ISNUMBER(SEARCH("REVIEW",$Q2061)),"DO NOT DELETE — REVIEW pending",$S2061))))</f>
        <v>REVIEW</v>
      </c>
      <c r="Q2061" t="str" cm="1">
        <f t="array" ref="Q2061">_xlfn.IFS(AND($A2061="thg-beauty",ISNUMBER(SEARCH("liveramp",$C2061))),"DELETE",$A2061="agile-bonbon-662",_xlfn.IFS(LEFT($G2061,9)="Tranche 1","DELETE",$C2061="Sessions_Level_1_All_Sites","KEEP",ISNUMBER(--$C2061),"REVIEW — UA raw logs",$C2061="Emag_Reporting","KEEP",$C2061="Nutrition_Data_Archived_Tables","KEEP",$C2061="EU_Data","KEEP",TRUE,"REVIEW"),OR($A2061="thg-influencer",$A2061="thg-ingenuity",$A2061="thg-central-marketing",$A2061="thg-seoclarity"),"HOLD",TRUE,"")</f>
        <v/>
      </c>
      <c r="R2061" t="str" cm="1">
        <f t="array" ref="R2061">_xlfn.IFS(AND($A2061="thg-beauty",ISNUMBER(SEARCH("liveramp",$C2061))),"thg-beauty Liveramp dataset — confirmed safe to delete",$A2061="agile-bonbon-662",_xlfn.IFS(LEFT($G2061,9)="Tranche 1","Tranche 1: cleared",$C2061="Sessions_Level_1_All_Sites","Downstream aggregation of UA raw logs — keep if raw tables go",ISNUMBER(--$C2061),"UA raw site logs (account ID) — keep pending audit-retention check",$C2061="Emag_Reporting","Legacy but likely needed",$C2061="Nutrition_Data_Archived_Tables","Worth keeping",$C2061="EU_Data","Static lookup tables — scripts still reference (smoke-test risk)",TRUE,"Review"),OR($A2061="thg-influencer",$A2061="thg-ingenuity",$A2061="thg-central-marketing",$A2061="thg-seoclarity"),"HOLD — Charlie Stringer to review before deletion",TRUE,"")</f>
        <v/>
      </c>
      <c r="S2061" t="s">
        <v>1631</v>
      </c>
    </row>
    <row r="2062" spans="1:19" hidden="1">
      <c r="A2062" t="s">
        <v>90</v>
      </c>
      <c r="B2062" t="s">
        <v>1619</v>
      </c>
      <c r="C2062" t="s">
        <v>4393</v>
      </c>
      <c r="D2062" s="2" t="s">
        <v>1621</v>
      </c>
      <c r="E2062">
        <v>0</v>
      </c>
      <c r="F2062">
        <v>0</v>
      </c>
      <c r="G2062" t="s">
        <v>83</v>
      </c>
      <c r="H2062" t="s">
        <v>81</v>
      </c>
      <c r="I2062">
        <v>56</v>
      </c>
      <c r="K2062" s="5">
        <v>46141.387775590279</v>
      </c>
      <c r="M2062" s="2" t="s">
        <v>1800</v>
      </c>
      <c r="N2062" s="2" t="s">
        <v>1701</v>
      </c>
      <c r="P2062" t="str">
        <f>IF($Q2062="DELETE",IF($S2062="CONFIRMED: NO MODS &gt; 1YR","CONFIRMED: NO MODS &gt; 1YR","DO NOT DELETE — not defensibly confirmed"),IF($Q2062="HOLD","DO NOT DELETE — HOLD (Charlie review)",IF($Q2062="KEEP","DO NOT DELETE — KEEP",IF(ISNUMBER(SEARCH("REVIEW",$Q2062)),"DO NOT DELETE — REVIEW pending",$S2062))))</f>
        <v>REVIEW</v>
      </c>
      <c r="Q2062" t="str" cm="1">
        <f t="array" ref="Q2062">_xlfn.IFS(AND($A2062="thg-beauty",ISNUMBER(SEARCH("liveramp",$C2062))),"DELETE",$A2062="agile-bonbon-662",_xlfn.IFS(LEFT($G2062,9)="Tranche 1","DELETE",$C2062="Sessions_Level_1_All_Sites","KEEP",ISNUMBER(--$C2062),"REVIEW — UA raw logs",$C2062="Emag_Reporting","KEEP",$C2062="Nutrition_Data_Archived_Tables","KEEP",$C2062="EU_Data","KEEP",TRUE,"REVIEW"),OR($A2062="thg-influencer",$A2062="thg-ingenuity",$A2062="thg-central-marketing",$A2062="thg-seoclarity"),"HOLD",TRUE,"")</f>
        <v/>
      </c>
      <c r="R2062" t="str" cm="1">
        <f t="array" ref="R2062">_xlfn.IFS(AND($A2062="thg-beauty",ISNUMBER(SEARCH("liveramp",$C2062))),"thg-beauty Liveramp dataset — confirmed safe to delete",$A2062="agile-bonbon-662",_xlfn.IFS(LEFT($G2062,9)="Tranche 1","Tranche 1: cleared",$C2062="Sessions_Level_1_All_Sites","Downstream aggregation of UA raw logs — keep if raw tables go",ISNUMBER(--$C2062),"UA raw site logs (account ID) — keep pending audit-retention check",$C2062="Emag_Reporting","Legacy but likely needed",$C2062="Nutrition_Data_Archived_Tables","Worth keeping",$C2062="EU_Data","Static lookup tables — scripts still reference (smoke-test risk)",TRUE,"Review"),OR($A2062="thg-influencer",$A2062="thg-ingenuity",$A2062="thg-central-marketing",$A2062="thg-seoclarity"),"HOLD — Charlie Stringer to review before deletion",TRUE,"")</f>
        <v/>
      </c>
      <c r="S2062" t="s">
        <v>1631</v>
      </c>
    </row>
    <row r="2063" spans="1:19" hidden="1">
      <c r="A2063" t="s">
        <v>90</v>
      </c>
      <c r="B2063" t="s">
        <v>1619</v>
      </c>
      <c r="C2063" t="s">
        <v>4394</v>
      </c>
      <c r="D2063" s="2" t="s">
        <v>1621</v>
      </c>
      <c r="E2063">
        <v>0</v>
      </c>
      <c r="F2063">
        <v>0</v>
      </c>
      <c r="G2063" t="s">
        <v>83</v>
      </c>
      <c r="H2063" t="s">
        <v>81</v>
      </c>
      <c r="I2063">
        <v>56</v>
      </c>
      <c r="K2063" s="5">
        <v>46141.387560196759</v>
      </c>
      <c r="M2063" s="2" t="s">
        <v>1800</v>
      </c>
      <c r="N2063" s="2" t="s">
        <v>1701</v>
      </c>
      <c r="P2063" t="str">
        <f>IF($Q2063="DELETE",IF($S2063="CONFIRMED: NO MODS &gt; 1YR","CONFIRMED: NO MODS &gt; 1YR","DO NOT DELETE — not defensibly confirmed"),IF($Q2063="HOLD","DO NOT DELETE — HOLD (Charlie review)",IF($Q2063="KEEP","DO NOT DELETE — KEEP",IF(ISNUMBER(SEARCH("REVIEW",$Q2063)),"DO NOT DELETE — REVIEW pending",$S2063))))</f>
        <v>REVIEW</v>
      </c>
      <c r="Q2063" t="str" cm="1">
        <f t="array" ref="Q2063">_xlfn.IFS(AND($A2063="thg-beauty",ISNUMBER(SEARCH("liveramp",$C2063))),"DELETE",$A2063="agile-bonbon-662",_xlfn.IFS(LEFT($G2063,9)="Tranche 1","DELETE",$C2063="Sessions_Level_1_All_Sites","KEEP",ISNUMBER(--$C2063),"REVIEW — UA raw logs",$C2063="Emag_Reporting","KEEP",$C2063="Nutrition_Data_Archived_Tables","KEEP",$C2063="EU_Data","KEEP",TRUE,"REVIEW"),OR($A2063="thg-influencer",$A2063="thg-ingenuity",$A2063="thg-central-marketing",$A2063="thg-seoclarity"),"HOLD",TRUE,"")</f>
        <v/>
      </c>
      <c r="R2063" t="str" cm="1">
        <f t="array" ref="R2063">_xlfn.IFS(AND($A2063="thg-beauty",ISNUMBER(SEARCH("liveramp",$C2063))),"thg-beauty Liveramp dataset — confirmed safe to delete",$A2063="agile-bonbon-662",_xlfn.IFS(LEFT($G2063,9)="Tranche 1","Tranche 1: cleared",$C2063="Sessions_Level_1_All_Sites","Downstream aggregation of UA raw logs — keep if raw tables go",ISNUMBER(--$C2063),"UA raw site logs (account ID) — keep pending audit-retention check",$C2063="Emag_Reporting","Legacy but likely needed",$C2063="Nutrition_Data_Archived_Tables","Worth keeping",$C2063="EU_Data","Static lookup tables — scripts still reference (smoke-test risk)",TRUE,"Review"),OR($A2063="thg-influencer",$A2063="thg-ingenuity",$A2063="thg-central-marketing",$A2063="thg-seoclarity"),"HOLD — Charlie Stringer to review before deletion",TRUE,"")</f>
        <v/>
      </c>
      <c r="S2063" t="s">
        <v>1631</v>
      </c>
    </row>
    <row r="2064" spans="1:19" hidden="1">
      <c r="A2064" t="s">
        <v>90</v>
      </c>
      <c r="B2064" t="s">
        <v>1619</v>
      </c>
      <c r="C2064" t="s">
        <v>4395</v>
      </c>
      <c r="D2064" s="2" t="s">
        <v>1621</v>
      </c>
      <c r="E2064">
        <v>0</v>
      </c>
      <c r="F2064">
        <v>0</v>
      </c>
      <c r="G2064" t="s">
        <v>83</v>
      </c>
      <c r="H2064" t="s">
        <v>81</v>
      </c>
      <c r="I2064">
        <v>56</v>
      </c>
      <c r="K2064" s="5">
        <v>46141.388055601848</v>
      </c>
      <c r="M2064" s="2" t="s">
        <v>1800</v>
      </c>
      <c r="N2064" s="2" t="s">
        <v>1701</v>
      </c>
      <c r="P2064" t="str">
        <f>IF($Q2064="DELETE",IF($S2064="CONFIRMED: NO MODS &gt; 1YR","CONFIRMED: NO MODS &gt; 1YR","DO NOT DELETE — not defensibly confirmed"),IF($Q2064="HOLD","DO NOT DELETE — HOLD (Charlie review)",IF($Q2064="KEEP","DO NOT DELETE — KEEP",IF(ISNUMBER(SEARCH("REVIEW",$Q2064)),"DO NOT DELETE — REVIEW pending",$S2064))))</f>
        <v>REVIEW</v>
      </c>
      <c r="Q2064" t="str" cm="1">
        <f t="array" ref="Q2064">_xlfn.IFS(AND($A2064="thg-beauty",ISNUMBER(SEARCH("liveramp",$C2064))),"DELETE",$A2064="agile-bonbon-662",_xlfn.IFS(LEFT($G2064,9)="Tranche 1","DELETE",$C2064="Sessions_Level_1_All_Sites","KEEP",ISNUMBER(--$C2064),"REVIEW — UA raw logs",$C2064="Emag_Reporting","KEEP",$C2064="Nutrition_Data_Archived_Tables","KEEP",$C2064="EU_Data","KEEP",TRUE,"REVIEW"),OR($A2064="thg-influencer",$A2064="thg-ingenuity",$A2064="thg-central-marketing",$A2064="thg-seoclarity"),"HOLD",TRUE,"")</f>
        <v/>
      </c>
      <c r="R2064" t="str" cm="1">
        <f t="array" ref="R2064">_xlfn.IFS(AND($A2064="thg-beauty",ISNUMBER(SEARCH("liveramp",$C2064))),"thg-beauty Liveramp dataset — confirmed safe to delete",$A2064="agile-bonbon-662",_xlfn.IFS(LEFT($G2064,9)="Tranche 1","Tranche 1: cleared",$C2064="Sessions_Level_1_All_Sites","Downstream aggregation of UA raw logs — keep if raw tables go",ISNUMBER(--$C2064),"UA raw site logs (account ID) — keep pending audit-retention check",$C2064="Emag_Reporting","Legacy but likely needed",$C2064="Nutrition_Data_Archived_Tables","Worth keeping",$C2064="EU_Data","Static lookup tables — scripts still reference (smoke-test risk)",TRUE,"Review"),OR($A2064="thg-influencer",$A2064="thg-ingenuity",$A2064="thg-central-marketing",$A2064="thg-seoclarity"),"HOLD — Charlie Stringer to review before deletion",TRUE,"")</f>
        <v/>
      </c>
      <c r="S2064" t="s">
        <v>1631</v>
      </c>
    </row>
    <row r="2065" spans="1:19" hidden="1">
      <c r="A2065" t="s">
        <v>90</v>
      </c>
      <c r="B2065" t="s">
        <v>1619</v>
      </c>
      <c r="C2065" t="s">
        <v>722</v>
      </c>
      <c r="D2065" s="2" t="s">
        <v>1621</v>
      </c>
      <c r="E2065">
        <v>0</v>
      </c>
      <c r="F2065">
        <v>0</v>
      </c>
      <c r="G2065" t="s">
        <v>83</v>
      </c>
      <c r="H2065" t="s">
        <v>81</v>
      </c>
      <c r="I2065">
        <v>56</v>
      </c>
      <c r="K2065" s="5">
        <v>46141.388312256953</v>
      </c>
      <c r="M2065" s="2" t="s">
        <v>1832</v>
      </c>
      <c r="N2065" s="2" t="s">
        <v>1701</v>
      </c>
      <c r="P2065" t="str">
        <f>IF($Q2065="DELETE",IF($S2065="CONFIRMED: NO MODS &gt; 1YR","CONFIRMED: NO MODS &gt; 1YR","DO NOT DELETE — not defensibly confirmed"),IF($Q2065="HOLD","DO NOT DELETE — HOLD (Charlie review)",IF($Q2065="KEEP","DO NOT DELETE — KEEP",IF(ISNUMBER(SEARCH("REVIEW",$Q2065)),"DO NOT DELETE — REVIEW pending",$S2065))))</f>
        <v>REVIEW</v>
      </c>
      <c r="Q2065" t="str" cm="1">
        <f t="array" ref="Q2065">_xlfn.IFS(AND($A2065="thg-beauty",ISNUMBER(SEARCH("liveramp",$C2065))),"DELETE",$A2065="agile-bonbon-662",_xlfn.IFS(LEFT($G2065,9)="Tranche 1","DELETE",$C2065="Sessions_Level_1_All_Sites","KEEP",ISNUMBER(--$C2065),"REVIEW — UA raw logs",$C2065="Emag_Reporting","KEEP",$C2065="Nutrition_Data_Archived_Tables","KEEP",$C2065="EU_Data","KEEP",TRUE,"REVIEW"),OR($A2065="thg-influencer",$A2065="thg-ingenuity",$A2065="thg-central-marketing",$A2065="thg-seoclarity"),"HOLD",TRUE,"")</f>
        <v/>
      </c>
      <c r="R2065" t="str" cm="1">
        <f t="array" ref="R2065">_xlfn.IFS(AND($A2065="thg-beauty",ISNUMBER(SEARCH("liveramp",$C2065))),"thg-beauty Liveramp dataset — confirmed safe to delete",$A2065="agile-bonbon-662",_xlfn.IFS(LEFT($G2065,9)="Tranche 1","Tranche 1: cleared",$C2065="Sessions_Level_1_All_Sites","Downstream aggregation of UA raw logs — keep if raw tables go",ISNUMBER(--$C2065),"UA raw site logs (account ID) — keep pending audit-retention check",$C2065="Emag_Reporting","Legacy but likely needed",$C2065="Nutrition_Data_Archived_Tables","Worth keeping",$C2065="EU_Data","Static lookup tables — scripts still reference (smoke-test risk)",TRUE,"Review"),OR($A2065="thg-influencer",$A2065="thg-ingenuity",$A2065="thg-central-marketing",$A2065="thg-seoclarity"),"HOLD — Charlie Stringer to review before deletion",TRUE,"")</f>
        <v/>
      </c>
      <c r="S2065" t="s">
        <v>1631</v>
      </c>
    </row>
    <row r="2066" spans="1:19" hidden="1">
      <c r="A2066" t="s">
        <v>90</v>
      </c>
      <c r="B2066" t="s">
        <v>1619</v>
      </c>
      <c r="C2066" t="s">
        <v>4396</v>
      </c>
      <c r="D2066" s="2" t="s">
        <v>1621</v>
      </c>
      <c r="E2066">
        <v>0</v>
      </c>
      <c r="F2066">
        <v>0</v>
      </c>
      <c r="G2066" t="s">
        <v>83</v>
      </c>
      <c r="H2066" t="s">
        <v>81</v>
      </c>
      <c r="I2066">
        <v>56</v>
      </c>
      <c r="K2066" s="5">
        <v>46141.387309895843</v>
      </c>
      <c r="M2066" s="2" t="s">
        <v>1807</v>
      </c>
      <c r="N2066" s="2" t="s">
        <v>1701</v>
      </c>
      <c r="P2066" t="str">
        <f>IF($Q2066="DELETE",IF($S2066="CONFIRMED: NO MODS &gt; 1YR","CONFIRMED: NO MODS &gt; 1YR","DO NOT DELETE — not defensibly confirmed"),IF($Q2066="HOLD","DO NOT DELETE — HOLD (Charlie review)",IF($Q2066="KEEP","DO NOT DELETE — KEEP",IF(ISNUMBER(SEARCH("REVIEW",$Q2066)),"DO NOT DELETE — REVIEW pending",$S2066))))</f>
        <v>REVIEW</v>
      </c>
      <c r="Q2066" t="str" cm="1">
        <f t="array" ref="Q2066">_xlfn.IFS(AND($A2066="thg-beauty",ISNUMBER(SEARCH("liveramp",$C2066))),"DELETE",$A2066="agile-bonbon-662",_xlfn.IFS(LEFT($G2066,9)="Tranche 1","DELETE",$C2066="Sessions_Level_1_All_Sites","KEEP",ISNUMBER(--$C2066),"REVIEW — UA raw logs",$C2066="Emag_Reporting","KEEP",$C2066="Nutrition_Data_Archived_Tables","KEEP",$C2066="EU_Data","KEEP",TRUE,"REVIEW"),OR($A2066="thg-influencer",$A2066="thg-ingenuity",$A2066="thg-central-marketing",$A2066="thg-seoclarity"),"HOLD",TRUE,"")</f>
        <v/>
      </c>
      <c r="R2066" t="str" cm="1">
        <f t="array" ref="R2066">_xlfn.IFS(AND($A2066="thg-beauty",ISNUMBER(SEARCH("liveramp",$C2066))),"thg-beauty Liveramp dataset — confirmed safe to delete",$A2066="agile-bonbon-662",_xlfn.IFS(LEFT($G2066,9)="Tranche 1","Tranche 1: cleared",$C2066="Sessions_Level_1_All_Sites","Downstream aggregation of UA raw logs — keep if raw tables go",ISNUMBER(--$C2066),"UA raw site logs (account ID) — keep pending audit-retention check",$C2066="Emag_Reporting","Legacy but likely needed",$C2066="Nutrition_Data_Archived_Tables","Worth keeping",$C2066="EU_Data","Static lookup tables — scripts still reference (smoke-test risk)",TRUE,"Review"),OR($A2066="thg-influencer",$A2066="thg-ingenuity",$A2066="thg-central-marketing",$A2066="thg-seoclarity"),"HOLD — Charlie Stringer to review before deletion",TRUE,"")</f>
        <v/>
      </c>
      <c r="S2066" t="s">
        <v>1631</v>
      </c>
    </row>
    <row r="2067" spans="1:19" hidden="1">
      <c r="A2067" t="s">
        <v>90</v>
      </c>
      <c r="B2067" t="s">
        <v>1619</v>
      </c>
      <c r="C2067" t="s">
        <v>4397</v>
      </c>
      <c r="D2067" s="2" t="s">
        <v>1621</v>
      </c>
      <c r="E2067">
        <v>0</v>
      </c>
      <c r="F2067">
        <v>0</v>
      </c>
      <c r="G2067" t="s">
        <v>83</v>
      </c>
      <c r="H2067" t="s">
        <v>81</v>
      </c>
      <c r="I2067">
        <v>56</v>
      </c>
      <c r="K2067" s="5">
        <v>46141.387873622683</v>
      </c>
      <c r="M2067" s="2" t="s">
        <v>1800</v>
      </c>
      <c r="N2067" s="2" t="s">
        <v>1701</v>
      </c>
      <c r="P2067" t="str">
        <f>IF($Q2067="DELETE",IF($S2067="CONFIRMED: NO MODS &gt; 1YR","CONFIRMED: NO MODS &gt; 1YR","DO NOT DELETE — not defensibly confirmed"),IF($Q2067="HOLD","DO NOT DELETE — HOLD (Charlie review)",IF($Q2067="KEEP","DO NOT DELETE — KEEP",IF(ISNUMBER(SEARCH("REVIEW",$Q2067)),"DO NOT DELETE — REVIEW pending",$S2067))))</f>
        <v>REVIEW</v>
      </c>
      <c r="Q2067" t="str" cm="1">
        <f t="array" ref="Q2067">_xlfn.IFS(AND($A2067="thg-beauty",ISNUMBER(SEARCH("liveramp",$C2067))),"DELETE",$A2067="agile-bonbon-662",_xlfn.IFS(LEFT($G2067,9)="Tranche 1","DELETE",$C2067="Sessions_Level_1_All_Sites","KEEP",ISNUMBER(--$C2067),"REVIEW — UA raw logs",$C2067="Emag_Reporting","KEEP",$C2067="Nutrition_Data_Archived_Tables","KEEP",$C2067="EU_Data","KEEP",TRUE,"REVIEW"),OR($A2067="thg-influencer",$A2067="thg-ingenuity",$A2067="thg-central-marketing",$A2067="thg-seoclarity"),"HOLD",TRUE,"")</f>
        <v/>
      </c>
      <c r="R2067" t="str" cm="1">
        <f t="array" ref="R2067">_xlfn.IFS(AND($A2067="thg-beauty",ISNUMBER(SEARCH("liveramp",$C2067))),"thg-beauty Liveramp dataset — confirmed safe to delete",$A2067="agile-bonbon-662",_xlfn.IFS(LEFT($G2067,9)="Tranche 1","Tranche 1: cleared",$C2067="Sessions_Level_1_All_Sites","Downstream aggregation of UA raw logs — keep if raw tables go",ISNUMBER(--$C2067),"UA raw site logs (account ID) — keep pending audit-retention check",$C2067="Emag_Reporting","Legacy but likely needed",$C2067="Nutrition_Data_Archived_Tables","Worth keeping",$C2067="EU_Data","Static lookup tables — scripts still reference (smoke-test risk)",TRUE,"Review"),OR($A2067="thg-influencer",$A2067="thg-ingenuity",$A2067="thg-central-marketing",$A2067="thg-seoclarity"),"HOLD — Charlie Stringer to review before deletion",TRUE,"")</f>
        <v/>
      </c>
      <c r="S2067" t="s">
        <v>1631</v>
      </c>
    </row>
    <row r="2068" spans="1:19" hidden="1">
      <c r="A2068" t="s">
        <v>90</v>
      </c>
      <c r="B2068" t="s">
        <v>1619</v>
      </c>
      <c r="C2068" t="s">
        <v>4398</v>
      </c>
      <c r="D2068" s="2" t="s">
        <v>1621</v>
      </c>
      <c r="E2068">
        <v>0</v>
      </c>
      <c r="F2068">
        <v>0</v>
      </c>
      <c r="G2068" t="s">
        <v>83</v>
      </c>
      <c r="H2068" t="s">
        <v>81</v>
      </c>
      <c r="I2068">
        <v>56</v>
      </c>
      <c r="K2068" s="5">
        <v>46141.38730991898</v>
      </c>
      <c r="M2068" s="2" t="s">
        <v>1807</v>
      </c>
      <c r="N2068" s="2" t="s">
        <v>1701</v>
      </c>
      <c r="P2068" t="str">
        <f>IF($Q2068="DELETE",IF($S2068="CONFIRMED: NO MODS &gt; 1YR","CONFIRMED: NO MODS &gt; 1YR","DO NOT DELETE — not defensibly confirmed"),IF($Q2068="HOLD","DO NOT DELETE — HOLD (Charlie review)",IF($Q2068="KEEP","DO NOT DELETE — KEEP",IF(ISNUMBER(SEARCH("REVIEW",$Q2068)),"DO NOT DELETE — REVIEW pending",$S2068))))</f>
        <v>REVIEW</v>
      </c>
      <c r="Q2068" t="str" cm="1">
        <f t="array" ref="Q2068">_xlfn.IFS(AND($A2068="thg-beauty",ISNUMBER(SEARCH("liveramp",$C2068))),"DELETE",$A2068="agile-bonbon-662",_xlfn.IFS(LEFT($G2068,9)="Tranche 1","DELETE",$C2068="Sessions_Level_1_All_Sites","KEEP",ISNUMBER(--$C2068),"REVIEW — UA raw logs",$C2068="Emag_Reporting","KEEP",$C2068="Nutrition_Data_Archived_Tables","KEEP",$C2068="EU_Data","KEEP",TRUE,"REVIEW"),OR($A2068="thg-influencer",$A2068="thg-ingenuity",$A2068="thg-central-marketing",$A2068="thg-seoclarity"),"HOLD",TRUE,"")</f>
        <v/>
      </c>
      <c r="R2068" t="str" cm="1">
        <f t="array" ref="R2068">_xlfn.IFS(AND($A2068="thg-beauty",ISNUMBER(SEARCH("liveramp",$C2068))),"thg-beauty Liveramp dataset — confirmed safe to delete",$A2068="agile-bonbon-662",_xlfn.IFS(LEFT($G2068,9)="Tranche 1","Tranche 1: cleared",$C2068="Sessions_Level_1_All_Sites","Downstream aggregation of UA raw logs — keep if raw tables go",ISNUMBER(--$C2068),"UA raw site logs (account ID) — keep pending audit-retention check",$C2068="Emag_Reporting","Legacy but likely needed",$C2068="Nutrition_Data_Archived_Tables","Worth keeping",$C2068="EU_Data","Static lookup tables — scripts still reference (smoke-test risk)",TRUE,"Review"),OR($A2068="thg-influencer",$A2068="thg-ingenuity",$A2068="thg-central-marketing",$A2068="thg-seoclarity"),"HOLD — Charlie Stringer to review before deletion",TRUE,"")</f>
        <v/>
      </c>
      <c r="S2068" t="s">
        <v>1631</v>
      </c>
    </row>
    <row r="2069" spans="1:19" hidden="1">
      <c r="A2069" t="s">
        <v>90</v>
      </c>
      <c r="B2069" t="s">
        <v>1619</v>
      </c>
      <c r="C2069" t="s">
        <v>4399</v>
      </c>
      <c r="D2069" s="2" t="s">
        <v>1621</v>
      </c>
      <c r="E2069">
        <v>0</v>
      </c>
      <c r="F2069">
        <v>0</v>
      </c>
      <c r="G2069" t="s">
        <v>83</v>
      </c>
      <c r="H2069" t="s">
        <v>81</v>
      </c>
      <c r="I2069">
        <v>56</v>
      </c>
      <c r="K2069" s="5">
        <v>46141.387308969897</v>
      </c>
      <c r="M2069" s="2" t="s">
        <v>1807</v>
      </c>
      <c r="N2069" s="2" t="s">
        <v>1701</v>
      </c>
      <c r="P2069" t="str">
        <f>IF($Q2069="DELETE",IF($S2069="CONFIRMED: NO MODS &gt; 1YR","CONFIRMED: NO MODS &gt; 1YR","DO NOT DELETE — not defensibly confirmed"),IF($Q2069="HOLD","DO NOT DELETE — HOLD (Charlie review)",IF($Q2069="KEEP","DO NOT DELETE — KEEP",IF(ISNUMBER(SEARCH("REVIEW",$Q2069)),"DO NOT DELETE — REVIEW pending",$S2069))))</f>
        <v>REVIEW</v>
      </c>
      <c r="Q2069" t="str" cm="1">
        <f t="array" ref="Q2069">_xlfn.IFS(AND($A2069="thg-beauty",ISNUMBER(SEARCH("liveramp",$C2069))),"DELETE",$A2069="agile-bonbon-662",_xlfn.IFS(LEFT($G2069,9)="Tranche 1","DELETE",$C2069="Sessions_Level_1_All_Sites","KEEP",ISNUMBER(--$C2069),"REVIEW — UA raw logs",$C2069="Emag_Reporting","KEEP",$C2069="Nutrition_Data_Archived_Tables","KEEP",$C2069="EU_Data","KEEP",TRUE,"REVIEW"),OR($A2069="thg-influencer",$A2069="thg-ingenuity",$A2069="thg-central-marketing",$A2069="thg-seoclarity"),"HOLD",TRUE,"")</f>
        <v/>
      </c>
      <c r="R2069" t="str" cm="1">
        <f t="array" ref="R2069">_xlfn.IFS(AND($A2069="thg-beauty",ISNUMBER(SEARCH("liveramp",$C2069))),"thg-beauty Liveramp dataset — confirmed safe to delete",$A2069="agile-bonbon-662",_xlfn.IFS(LEFT($G2069,9)="Tranche 1","Tranche 1: cleared",$C2069="Sessions_Level_1_All_Sites","Downstream aggregation of UA raw logs — keep if raw tables go",ISNUMBER(--$C2069),"UA raw site logs (account ID) — keep pending audit-retention check",$C2069="Emag_Reporting","Legacy but likely needed",$C2069="Nutrition_Data_Archived_Tables","Worth keeping",$C2069="EU_Data","Static lookup tables — scripts still reference (smoke-test risk)",TRUE,"Review"),OR($A2069="thg-influencer",$A2069="thg-ingenuity",$A2069="thg-central-marketing",$A2069="thg-seoclarity"),"HOLD — Charlie Stringer to review before deletion",TRUE,"")</f>
        <v/>
      </c>
      <c r="S2069" t="s">
        <v>1631</v>
      </c>
    </row>
    <row r="2070" spans="1:19" hidden="1">
      <c r="A2070" t="s">
        <v>89</v>
      </c>
      <c r="B2070" t="s">
        <v>1619</v>
      </c>
      <c r="C2070" t="s">
        <v>4400</v>
      </c>
      <c r="D2070" s="2" t="s">
        <v>1621</v>
      </c>
      <c r="E2070">
        <v>0</v>
      </c>
      <c r="F2070">
        <v>0</v>
      </c>
      <c r="G2070" t="s">
        <v>83</v>
      </c>
      <c r="H2070" t="s">
        <v>81</v>
      </c>
      <c r="I2070">
        <v>56</v>
      </c>
      <c r="K2070" s="5">
        <v>46141.423303333337</v>
      </c>
      <c r="M2070" s="2" t="s">
        <v>1851</v>
      </c>
      <c r="N2070" s="2" t="s">
        <v>1701</v>
      </c>
      <c r="P2070" t="str">
        <f>IF($Q2070="DELETE",IF($S2070="CONFIRMED: NO MODS &gt; 1YR","CONFIRMED: NO MODS &gt; 1YR","DO NOT DELETE — not defensibly confirmed"),IF($Q2070="HOLD","DO NOT DELETE — HOLD (Charlie review)",IF($Q2070="KEEP","DO NOT DELETE — KEEP",IF(ISNUMBER(SEARCH("REVIEW",$Q2070)),"DO NOT DELETE — REVIEW pending",$S2070))))</f>
        <v>DO NOT DELETE — REVIEW pending</v>
      </c>
      <c r="Q2070" t="str" cm="1">
        <f t="array" ref="Q2070">_xlfn.IFS(AND($A2070="thg-beauty",ISNUMBER(SEARCH("liveramp",$C2070))),"DELETE",$A2070="agile-bonbon-662",_xlfn.IFS(LEFT($G2070,9)="Tranche 1","DELETE",$C2070="Sessions_Level_1_All_Sites","KEEP",ISNUMBER(--$C2070),"REVIEW — UA raw logs",$C2070="Emag_Reporting","KEEP",$C2070="Nutrition_Data_Archived_Tables","KEEP",$C2070="EU_Data","KEEP",TRUE,"REVIEW"),OR($A2070="thg-influencer",$A2070="thg-ingenuity",$A2070="thg-central-marketing",$A2070="thg-seoclarity"),"HOLD",TRUE,"")</f>
        <v>REVIEW</v>
      </c>
      <c r="R2070" t="str" cm="1">
        <f t="array" ref="R2070">_xlfn.IFS(AND($A2070="thg-beauty",ISNUMBER(SEARCH("liveramp",$C2070))),"thg-beauty Liveramp dataset — confirmed safe to delete",$A2070="agile-bonbon-662",_xlfn.IFS(LEFT($G2070,9)="Tranche 1","Tranche 1: cleared",$C2070="Sessions_Level_1_All_Sites","Downstream aggregation of UA raw logs — keep if raw tables go",ISNUMBER(--$C2070),"UA raw site logs (account ID) — keep pending audit-retention check",$C2070="Emag_Reporting","Legacy but likely needed",$C2070="Nutrition_Data_Archived_Tables","Worth keeping",$C2070="EU_Data","Static lookup tables — scripts still reference (smoke-test risk)",TRUE,"Review"),OR($A2070="thg-influencer",$A2070="thg-ingenuity",$A2070="thg-central-marketing",$A2070="thg-seoclarity"),"HOLD — Charlie Stringer to review before deletion",TRUE,"")</f>
        <v>Review</v>
      </c>
      <c r="S2070" t="s">
        <v>1631</v>
      </c>
    </row>
    <row r="2071" spans="1:19" hidden="1">
      <c r="A2071" t="s">
        <v>89</v>
      </c>
      <c r="B2071" t="s">
        <v>1619</v>
      </c>
      <c r="C2071" t="s">
        <v>4401</v>
      </c>
      <c r="D2071" s="2" t="s">
        <v>1621</v>
      </c>
      <c r="E2071">
        <v>0</v>
      </c>
      <c r="F2071">
        <v>0</v>
      </c>
      <c r="G2071" t="s">
        <v>83</v>
      </c>
      <c r="H2071" t="s">
        <v>81</v>
      </c>
      <c r="I2071">
        <v>56</v>
      </c>
      <c r="K2071" s="5">
        <v>46141.415711643524</v>
      </c>
      <c r="M2071" s="2" t="s">
        <v>1834</v>
      </c>
      <c r="N2071" s="2" t="s">
        <v>1701</v>
      </c>
      <c r="P2071" t="str">
        <f>IF($Q2071="DELETE",IF($S2071="CONFIRMED: NO MODS &gt; 1YR","CONFIRMED: NO MODS &gt; 1YR","DO NOT DELETE — not defensibly confirmed"),IF($Q2071="HOLD","DO NOT DELETE — HOLD (Charlie review)",IF($Q2071="KEEP","DO NOT DELETE — KEEP",IF(ISNUMBER(SEARCH("REVIEW",$Q2071)),"DO NOT DELETE — REVIEW pending",$S2071))))</f>
        <v>DO NOT DELETE — REVIEW pending</v>
      </c>
      <c r="Q2071" t="str" cm="1">
        <f t="array" ref="Q2071">_xlfn.IFS(AND($A2071="thg-beauty",ISNUMBER(SEARCH("liveramp",$C2071))),"DELETE",$A2071="agile-bonbon-662",_xlfn.IFS(LEFT($G2071,9)="Tranche 1","DELETE",$C2071="Sessions_Level_1_All_Sites","KEEP",ISNUMBER(--$C2071),"REVIEW — UA raw logs",$C2071="Emag_Reporting","KEEP",$C2071="Nutrition_Data_Archived_Tables","KEEP",$C2071="EU_Data","KEEP",TRUE,"REVIEW"),OR($A2071="thg-influencer",$A2071="thg-ingenuity",$A2071="thg-central-marketing",$A2071="thg-seoclarity"),"HOLD",TRUE,"")</f>
        <v>REVIEW</v>
      </c>
      <c r="R2071" t="str" cm="1">
        <f t="array" ref="R2071">_xlfn.IFS(AND($A2071="thg-beauty",ISNUMBER(SEARCH("liveramp",$C2071))),"thg-beauty Liveramp dataset — confirmed safe to delete",$A2071="agile-bonbon-662",_xlfn.IFS(LEFT($G2071,9)="Tranche 1","Tranche 1: cleared",$C2071="Sessions_Level_1_All_Sites","Downstream aggregation of UA raw logs — keep if raw tables go",ISNUMBER(--$C2071),"UA raw site logs (account ID) — keep pending audit-retention check",$C2071="Emag_Reporting","Legacy but likely needed",$C2071="Nutrition_Data_Archived_Tables","Worth keeping",$C2071="EU_Data","Static lookup tables — scripts still reference (smoke-test risk)",TRUE,"Review"),OR($A2071="thg-influencer",$A2071="thg-ingenuity",$A2071="thg-central-marketing",$A2071="thg-seoclarity"),"HOLD — Charlie Stringer to review before deletion",TRUE,"")</f>
        <v>Review</v>
      </c>
      <c r="S2071" t="s">
        <v>1631</v>
      </c>
    </row>
    <row r="2072" spans="1:19" hidden="1">
      <c r="A2072" t="s">
        <v>91</v>
      </c>
      <c r="B2072" t="s">
        <v>1619</v>
      </c>
      <c r="C2072" t="s">
        <v>4402</v>
      </c>
      <c r="D2072" s="2" t="s">
        <v>1621</v>
      </c>
      <c r="E2072">
        <v>0</v>
      </c>
      <c r="F2072">
        <v>0</v>
      </c>
      <c r="G2072" t="s">
        <v>83</v>
      </c>
      <c r="H2072" t="s">
        <v>81</v>
      </c>
      <c r="I2072">
        <v>56</v>
      </c>
      <c r="K2072" s="5">
        <v>46141.414697511573</v>
      </c>
      <c r="M2072" s="2" t="s">
        <v>1802</v>
      </c>
      <c r="N2072" s="2" t="s">
        <v>1701</v>
      </c>
      <c r="P2072" t="str">
        <f>IF($Q2072="DELETE",IF($S2072="CONFIRMED: NO MODS &gt; 1YR","CONFIRMED: NO MODS &gt; 1YR","DO NOT DELETE — not defensibly confirmed"),IF($Q2072="HOLD","DO NOT DELETE — HOLD (Charlie review)",IF($Q2072="KEEP","DO NOT DELETE — KEEP",IF(ISNUMBER(SEARCH("REVIEW",$Q2072)),"DO NOT DELETE — REVIEW pending",$S2072))))</f>
        <v>REVIEW</v>
      </c>
      <c r="Q2072" t="str" cm="1">
        <f t="array" ref="Q2072">_xlfn.IFS(AND($A2072="thg-beauty",ISNUMBER(SEARCH("liveramp",$C2072))),"DELETE",$A2072="agile-bonbon-662",_xlfn.IFS(LEFT($G2072,9)="Tranche 1","DELETE",$C2072="Sessions_Level_1_All_Sites","KEEP",ISNUMBER(--$C2072),"REVIEW — UA raw logs",$C2072="Emag_Reporting","KEEP",$C2072="Nutrition_Data_Archived_Tables","KEEP",$C2072="EU_Data","KEEP",TRUE,"REVIEW"),OR($A2072="thg-influencer",$A2072="thg-ingenuity",$A2072="thg-central-marketing",$A2072="thg-seoclarity"),"HOLD",TRUE,"")</f>
        <v/>
      </c>
      <c r="R2072" t="str" cm="1">
        <f t="array" ref="R2072">_xlfn.IFS(AND($A2072="thg-beauty",ISNUMBER(SEARCH("liveramp",$C2072))),"thg-beauty Liveramp dataset — confirmed safe to delete",$A2072="agile-bonbon-662",_xlfn.IFS(LEFT($G2072,9)="Tranche 1","Tranche 1: cleared",$C2072="Sessions_Level_1_All_Sites","Downstream aggregation of UA raw logs — keep if raw tables go",ISNUMBER(--$C2072),"UA raw site logs (account ID) — keep pending audit-retention check",$C2072="Emag_Reporting","Legacy but likely needed",$C2072="Nutrition_Data_Archived_Tables","Worth keeping",$C2072="EU_Data","Static lookup tables — scripts still reference (smoke-test risk)",TRUE,"Review"),OR($A2072="thg-influencer",$A2072="thg-ingenuity",$A2072="thg-central-marketing",$A2072="thg-seoclarity"),"HOLD — Charlie Stringer to review before deletion",TRUE,"")</f>
        <v/>
      </c>
      <c r="S2072" t="s">
        <v>1631</v>
      </c>
    </row>
    <row r="2073" spans="1:19" ht="76.5" hidden="1">
      <c r="A2073" t="s">
        <v>2389</v>
      </c>
      <c r="B2073" t="s">
        <v>1619</v>
      </c>
      <c r="C2073" t="s">
        <v>4403</v>
      </c>
      <c r="D2073" s="2" t="s">
        <v>1621</v>
      </c>
      <c r="E2073">
        <v>37.65</v>
      </c>
      <c r="F2073">
        <v>0.75</v>
      </c>
      <c r="G2073" t="s">
        <v>83</v>
      </c>
      <c r="H2073" t="s">
        <v>81</v>
      </c>
      <c r="I2073">
        <v>43</v>
      </c>
      <c r="J2073">
        <v>116</v>
      </c>
      <c r="K2073" s="5">
        <v>46153.932943622684</v>
      </c>
      <c r="L2073" s="5">
        <v>46080.724439363417</v>
      </c>
      <c r="M2073" s="2" t="s">
        <v>4404</v>
      </c>
      <c r="N2073" s="2" t="s">
        <v>4405</v>
      </c>
      <c r="O2073" s="5">
        <v>46080.724479166667</v>
      </c>
      <c r="P2073" t="str">
        <f>IF($Q2073="DELETE",IF($S2073="CONFIRMED: NO MODS &gt; 1YR","CONFIRMED: NO MODS &gt; 1YR","DO NOT DELETE — not defensibly confirmed"),IF($Q2073="HOLD","DO NOT DELETE — HOLD (Charlie review)",IF($Q2073="KEEP","DO NOT DELETE — KEEP",IF(ISNUMBER(SEARCH("REVIEW",$Q2073)),"DO NOT DELETE — REVIEW pending",$S2073))))</f>
        <v>REVIEW</v>
      </c>
      <c r="Q2073" t="str" cm="1">
        <f t="array" ref="Q2073">_xlfn.IFS(AND($A2073="thg-beauty",ISNUMBER(SEARCH("liveramp",$C2073))),"DELETE",$A2073="agile-bonbon-662",_xlfn.IFS(LEFT($G2073,9)="Tranche 1","DELETE",$C2073="Sessions_Level_1_All_Sites","KEEP",ISNUMBER(--$C2073),"REVIEW — UA raw logs",$C2073="Emag_Reporting","KEEP",$C2073="Nutrition_Data_Archived_Tables","KEEP",$C2073="EU_Data","KEEP",TRUE,"REVIEW"),OR($A2073="thg-influencer",$A2073="thg-ingenuity",$A2073="thg-central-marketing",$A2073="thg-seoclarity"),"HOLD",TRUE,"")</f>
        <v/>
      </c>
      <c r="R2073" t="str" cm="1">
        <f t="array" ref="R2073">_xlfn.IFS(AND($A2073="thg-beauty",ISNUMBER(SEARCH("liveramp",$C2073))),"thg-beauty Liveramp dataset — confirmed safe to delete",$A2073="agile-bonbon-662",_xlfn.IFS(LEFT($G2073,9)="Tranche 1","Tranche 1: cleared",$C2073="Sessions_Level_1_All_Sites","Downstream aggregation of UA raw logs — keep if raw tables go",ISNUMBER(--$C2073),"UA raw site logs (account ID) — keep pending audit-retention check",$C2073="Emag_Reporting","Legacy but likely needed",$C2073="Nutrition_Data_Archived_Tables","Worth keeping",$C2073="EU_Data","Static lookup tables — scripts still reference (smoke-test risk)",TRUE,"Review"),OR($A2073="thg-influencer",$A2073="thg-ingenuity",$A2073="thg-central-marketing",$A2073="thg-seoclarity"),"HOLD — Charlie Stringer to review before deletion",TRUE,"")</f>
        <v/>
      </c>
      <c r="S2073" t="s">
        <v>1631</v>
      </c>
    </row>
    <row r="2074" spans="1:19" ht="76.5" hidden="1">
      <c r="A2074" t="s">
        <v>90</v>
      </c>
      <c r="B2074" t="s">
        <v>1619</v>
      </c>
      <c r="C2074" t="s">
        <v>4406</v>
      </c>
      <c r="D2074" s="2" t="s">
        <v>1621</v>
      </c>
      <c r="E2074">
        <v>0</v>
      </c>
      <c r="F2074">
        <v>0</v>
      </c>
      <c r="G2074" t="s">
        <v>83</v>
      </c>
      <c r="H2074" t="s">
        <v>81</v>
      </c>
      <c r="I2074">
        <v>35</v>
      </c>
      <c r="J2074">
        <v>35</v>
      </c>
      <c r="K2074" s="5">
        <v>46161.61416675926</v>
      </c>
      <c r="L2074" s="5">
        <v>46161.613140613423</v>
      </c>
      <c r="M2074" s="2" t="s">
        <v>4407</v>
      </c>
      <c r="N2074" s="2" t="s">
        <v>4408</v>
      </c>
      <c r="O2074" s="5">
        <v>46161.614107245368</v>
      </c>
      <c r="P2074" t="str">
        <f>IF($Q2074="DELETE",IF($S2074="CONFIRMED: NO MODS &gt; 1YR","CONFIRMED: NO MODS &gt; 1YR","DO NOT DELETE — not defensibly confirmed"),IF($Q2074="HOLD","DO NOT DELETE — HOLD (Charlie review)",IF($Q2074="KEEP","DO NOT DELETE — KEEP",IF(ISNUMBER(SEARCH("REVIEW",$Q2074)),"DO NOT DELETE — REVIEW pending",$S2074))))</f>
        <v>REVIEW</v>
      </c>
      <c r="Q2074" t="str" cm="1">
        <f t="array" ref="Q2074">_xlfn.IFS(AND($A2074="thg-beauty",ISNUMBER(SEARCH("liveramp",$C2074))),"DELETE",$A2074="agile-bonbon-662",_xlfn.IFS(LEFT($G2074,9)="Tranche 1","DELETE",$C2074="Sessions_Level_1_All_Sites","KEEP",ISNUMBER(--$C2074),"REVIEW — UA raw logs",$C2074="Emag_Reporting","KEEP",$C2074="Nutrition_Data_Archived_Tables","KEEP",$C2074="EU_Data","KEEP",TRUE,"REVIEW"),OR($A2074="thg-influencer",$A2074="thg-ingenuity",$A2074="thg-central-marketing",$A2074="thg-seoclarity"),"HOLD",TRUE,"")</f>
        <v/>
      </c>
      <c r="R2074" t="str" cm="1">
        <f t="array" ref="R2074">_xlfn.IFS(AND($A2074="thg-beauty",ISNUMBER(SEARCH("liveramp",$C2074))),"thg-beauty Liveramp dataset — confirmed safe to delete",$A2074="agile-bonbon-662",_xlfn.IFS(LEFT($G2074,9)="Tranche 1","Tranche 1: cleared",$C2074="Sessions_Level_1_All_Sites","Downstream aggregation of UA raw logs — keep if raw tables go",ISNUMBER(--$C2074),"UA raw site logs (account ID) — keep pending audit-retention check",$C2074="Emag_Reporting","Legacy but likely needed",$C2074="Nutrition_Data_Archived_Tables","Worth keeping",$C2074="EU_Data","Static lookup tables — scripts still reference (smoke-test risk)",TRUE,"Review"),OR($A2074="thg-influencer",$A2074="thg-ingenuity",$A2074="thg-central-marketing",$A2074="thg-seoclarity"),"HOLD — Charlie Stringer to review before deletion",TRUE,"")</f>
        <v/>
      </c>
      <c r="S2074" t="s">
        <v>1631</v>
      </c>
    </row>
    <row r="2075" spans="1:19" ht="76.5" hidden="1">
      <c r="A2075" t="s">
        <v>90</v>
      </c>
      <c r="B2075" t="s">
        <v>1619</v>
      </c>
      <c r="C2075" t="s">
        <v>1300</v>
      </c>
      <c r="D2075" s="2" t="s">
        <v>4409</v>
      </c>
      <c r="E2075">
        <v>18.88</v>
      </c>
      <c r="F2075">
        <v>0.38</v>
      </c>
      <c r="G2075" t="s">
        <v>83</v>
      </c>
      <c r="H2075" t="s">
        <v>81</v>
      </c>
      <c r="I2075">
        <v>33</v>
      </c>
      <c r="J2075">
        <v>365</v>
      </c>
      <c r="K2075" s="5">
        <v>46153.942484375002</v>
      </c>
      <c r="L2075" s="5">
        <v>46164.275994479169</v>
      </c>
      <c r="M2075" s="2" t="s">
        <v>4410</v>
      </c>
      <c r="N2075" s="2" t="s">
        <v>4411</v>
      </c>
      <c r="O2075" s="5">
        <v>45831.481929328707</v>
      </c>
      <c r="P2075" t="str">
        <f>IF($Q2075="DELETE",IF($S2075="CONFIRMED: NO MODS &gt; 1YR","CONFIRMED: NO MODS &gt; 1YR","DO NOT DELETE — not defensibly confirmed"),IF($Q2075="HOLD","DO NOT DELETE — HOLD (Charlie review)",IF($Q2075="KEEP","DO NOT DELETE — KEEP",IF(ISNUMBER(SEARCH("REVIEW",$Q2075)),"DO NOT DELETE — REVIEW pending",$S2075))))</f>
        <v>REVIEW</v>
      </c>
      <c r="Q2075" t="str" cm="1">
        <f t="array" ref="Q2075">_xlfn.IFS(AND($A2075="thg-beauty",ISNUMBER(SEARCH("liveramp",$C2075))),"DELETE",$A2075="agile-bonbon-662",_xlfn.IFS(LEFT($G2075,9)="Tranche 1","DELETE",$C2075="Sessions_Level_1_All_Sites","KEEP",ISNUMBER(--$C2075),"REVIEW — UA raw logs",$C2075="Emag_Reporting","KEEP",$C2075="Nutrition_Data_Archived_Tables","KEEP",$C2075="EU_Data","KEEP",TRUE,"REVIEW"),OR($A2075="thg-influencer",$A2075="thg-ingenuity",$A2075="thg-central-marketing",$A2075="thg-seoclarity"),"HOLD",TRUE,"")</f>
        <v/>
      </c>
      <c r="R2075" t="str" cm="1">
        <f t="array" ref="R2075">_xlfn.IFS(AND($A2075="thg-beauty",ISNUMBER(SEARCH("liveramp",$C2075))),"thg-beauty Liveramp dataset — confirmed safe to delete",$A2075="agile-bonbon-662",_xlfn.IFS(LEFT($G2075,9)="Tranche 1","Tranche 1: cleared",$C2075="Sessions_Level_1_All_Sites","Downstream aggregation of UA raw logs — keep if raw tables go",ISNUMBER(--$C2075),"UA raw site logs (account ID) — keep pending audit-retention check",$C2075="Emag_Reporting","Legacy but likely needed",$C2075="Nutrition_Data_Archived_Tables","Worth keeping",$C2075="EU_Data","Static lookup tables — scripts still reference (smoke-test risk)",TRUE,"Review"),OR($A2075="thg-influencer",$A2075="thg-ingenuity",$A2075="thg-central-marketing",$A2075="thg-seoclarity"),"HOLD — Charlie Stringer to review before deletion",TRUE,"")</f>
        <v/>
      </c>
      <c r="S2075" t="s">
        <v>1631</v>
      </c>
    </row>
    <row r="2076" spans="1:19" ht="76.5" hidden="1">
      <c r="A2076" t="s">
        <v>91</v>
      </c>
      <c r="B2076" t="s">
        <v>1619</v>
      </c>
      <c r="C2076" t="s">
        <v>1300</v>
      </c>
      <c r="D2076" s="2" t="s">
        <v>1621</v>
      </c>
      <c r="E2076">
        <v>0</v>
      </c>
      <c r="F2076">
        <v>0</v>
      </c>
      <c r="G2076" t="s">
        <v>83</v>
      </c>
      <c r="H2076" t="s">
        <v>81</v>
      </c>
      <c r="I2076">
        <v>28</v>
      </c>
      <c r="K2076" s="5">
        <v>46169.125194571759</v>
      </c>
      <c r="L2076" s="5">
        <v>46169.166784803238</v>
      </c>
      <c r="M2076" s="2" t="s">
        <v>4412</v>
      </c>
      <c r="N2076" s="2" t="s">
        <v>4413</v>
      </c>
      <c r="P2076" t="str">
        <f>IF($Q2076="DELETE",IF($S2076="CONFIRMED: NO MODS &gt; 1YR","CONFIRMED: NO MODS &gt; 1YR","DO NOT DELETE — not defensibly confirmed"),IF($Q2076="HOLD","DO NOT DELETE — HOLD (Charlie review)",IF($Q2076="KEEP","DO NOT DELETE — KEEP",IF(ISNUMBER(SEARCH("REVIEW",$Q2076)),"DO NOT DELETE — REVIEW pending",$S2076))))</f>
        <v>REVIEW</v>
      </c>
      <c r="Q2076" t="str" cm="1">
        <f t="array" ref="Q2076">_xlfn.IFS(AND($A2076="thg-beauty",ISNUMBER(SEARCH("liveramp",$C2076))),"DELETE",$A2076="agile-bonbon-662",_xlfn.IFS(LEFT($G2076,9)="Tranche 1","DELETE",$C2076="Sessions_Level_1_All_Sites","KEEP",ISNUMBER(--$C2076),"REVIEW — UA raw logs",$C2076="Emag_Reporting","KEEP",$C2076="Nutrition_Data_Archived_Tables","KEEP",$C2076="EU_Data","KEEP",TRUE,"REVIEW"),OR($A2076="thg-influencer",$A2076="thg-ingenuity",$A2076="thg-central-marketing",$A2076="thg-seoclarity"),"HOLD",TRUE,"")</f>
        <v/>
      </c>
      <c r="R2076" t="str" cm="1">
        <f t="array" ref="R2076">_xlfn.IFS(AND($A2076="thg-beauty",ISNUMBER(SEARCH("liveramp",$C2076))),"thg-beauty Liveramp dataset — confirmed safe to delete",$A2076="agile-bonbon-662",_xlfn.IFS(LEFT($G2076,9)="Tranche 1","Tranche 1: cleared",$C2076="Sessions_Level_1_All_Sites","Downstream aggregation of UA raw logs — keep if raw tables go",ISNUMBER(--$C2076),"UA raw site logs (account ID) — keep pending audit-retention check",$C2076="Emag_Reporting","Legacy but likely needed",$C2076="Nutrition_Data_Archived_Tables","Worth keeping",$C2076="EU_Data","Static lookup tables — scripts still reference (smoke-test risk)",TRUE,"Review"),OR($A2076="thg-influencer",$A2076="thg-ingenuity",$A2076="thg-central-marketing",$A2076="thg-seoclarity"),"HOLD — Charlie Stringer to review before deletion",TRUE,"")</f>
        <v/>
      </c>
      <c r="S2076" t="s">
        <v>1631</v>
      </c>
    </row>
    <row r="2077" spans="1:19" ht="45.75" hidden="1">
      <c r="A2077" t="s">
        <v>89</v>
      </c>
      <c r="B2077" t="s">
        <v>1619</v>
      </c>
      <c r="C2077" t="s">
        <v>1300</v>
      </c>
      <c r="E2077">
        <v>38.08</v>
      </c>
      <c r="F2077">
        <v>0.76</v>
      </c>
      <c r="G2077" t="s">
        <v>83</v>
      </c>
      <c r="H2077" t="s">
        <v>81</v>
      </c>
      <c r="I2077">
        <v>13</v>
      </c>
      <c r="J2077">
        <v>13</v>
      </c>
      <c r="K2077" s="5">
        <v>46161.623449525461</v>
      </c>
      <c r="M2077" s="2" t="s">
        <v>1933</v>
      </c>
      <c r="N2077" s="2" t="s">
        <v>1701</v>
      </c>
      <c r="O2077" s="5">
        <v>46183.470907418981</v>
      </c>
      <c r="P2077" t="str">
        <f>IF($Q2077="DELETE",IF($S2077="CONFIRMED: NO MODS &gt; 1YR","CONFIRMED: NO MODS &gt; 1YR","DO NOT DELETE — not defensibly confirmed"),IF($Q2077="HOLD","DO NOT DELETE — HOLD (Charlie review)",IF($Q2077="KEEP","DO NOT DELETE — KEEP",IF(ISNUMBER(SEARCH("REVIEW",$Q2077)),"DO NOT DELETE — REVIEW pending",$S2077))))</f>
        <v>DO NOT DELETE — REVIEW pending</v>
      </c>
      <c r="Q2077" t="str" cm="1">
        <f t="array" ref="Q2077">_xlfn.IFS(AND($A2077="thg-beauty",ISNUMBER(SEARCH("liveramp",$C2077))),"DELETE",$A2077="agile-bonbon-662",_xlfn.IFS(LEFT($G2077,9)="Tranche 1","DELETE",$C2077="Sessions_Level_1_All_Sites","KEEP",ISNUMBER(--$C2077),"REVIEW — UA raw logs",$C2077="Emag_Reporting","KEEP",$C2077="Nutrition_Data_Archived_Tables","KEEP",$C2077="EU_Data","KEEP",TRUE,"REVIEW"),OR($A2077="thg-influencer",$A2077="thg-ingenuity",$A2077="thg-central-marketing",$A2077="thg-seoclarity"),"HOLD",TRUE,"")</f>
        <v>REVIEW</v>
      </c>
      <c r="R2077" t="str" cm="1">
        <f t="array" ref="R2077">_xlfn.IFS(AND($A2077="thg-beauty",ISNUMBER(SEARCH("liveramp",$C2077))),"thg-beauty Liveramp dataset — confirmed safe to delete",$A2077="agile-bonbon-662",_xlfn.IFS(LEFT($G2077,9)="Tranche 1","Tranche 1: cleared",$C2077="Sessions_Level_1_All_Sites","Downstream aggregation of UA raw logs — keep if raw tables go",ISNUMBER(--$C2077),"UA raw site logs (account ID) — keep pending audit-retention check",$C2077="Emag_Reporting","Legacy but likely needed",$C2077="Nutrition_Data_Archived_Tables","Worth keeping",$C2077="EU_Data","Static lookup tables — scripts still reference (smoke-test risk)",TRUE,"Review"),OR($A2077="thg-influencer",$A2077="thg-ingenuity",$A2077="thg-central-marketing",$A2077="thg-seoclarity"),"HOLD — Charlie Stringer to review before deletion",TRUE,"")</f>
        <v>Review</v>
      </c>
      <c r="S2077" t="s">
        <v>1631</v>
      </c>
    </row>
    <row r="2078" spans="1:19" ht="76.5" hidden="1">
      <c r="A2078" t="s">
        <v>93</v>
      </c>
      <c r="B2078" t="s">
        <v>1619</v>
      </c>
      <c r="C2078" t="s">
        <v>4414</v>
      </c>
      <c r="E2078">
        <v>1.2</v>
      </c>
      <c r="F2078">
        <v>0.02</v>
      </c>
      <c r="G2078" t="s">
        <v>83</v>
      </c>
      <c r="H2078" t="s">
        <v>81</v>
      </c>
      <c r="I2078">
        <v>11</v>
      </c>
      <c r="J2078">
        <v>11</v>
      </c>
      <c r="K2078" s="5">
        <v>46170.598973101849</v>
      </c>
      <c r="L2078" s="5">
        <v>46170.598964652767</v>
      </c>
      <c r="M2078" s="2" t="s">
        <v>4415</v>
      </c>
      <c r="N2078" s="2" t="s">
        <v>4415</v>
      </c>
      <c r="O2078" s="5">
        <v>46185.454738715278</v>
      </c>
      <c r="P2078" t="str">
        <f>IF($Q2078="DELETE",IF($S2078="CONFIRMED: NO MODS &gt; 1YR","CONFIRMED: NO MODS &gt; 1YR","DO NOT DELETE — not defensibly confirmed"),IF($Q2078="HOLD","DO NOT DELETE — HOLD (Charlie review)",IF($Q2078="KEEP","DO NOT DELETE — KEEP",IF(ISNUMBER(SEARCH("REVIEW",$Q2078)),"DO NOT DELETE — REVIEW pending",$S2078))))</f>
        <v>REVIEW</v>
      </c>
      <c r="Q2078" t="str" cm="1">
        <f t="array" ref="Q2078">_xlfn.IFS(AND($A2078="thg-beauty",ISNUMBER(SEARCH("liveramp",$C2078))),"DELETE",$A2078="agile-bonbon-662",_xlfn.IFS(LEFT($G2078,9)="Tranche 1","DELETE",$C2078="Sessions_Level_1_All_Sites","KEEP",ISNUMBER(--$C2078),"REVIEW — UA raw logs",$C2078="Emag_Reporting","KEEP",$C2078="Nutrition_Data_Archived_Tables","KEEP",$C2078="EU_Data","KEEP",TRUE,"REVIEW"),OR($A2078="thg-influencer",$A2078="thg-ingenuity",$A2078="thg-central-marketing",$A2078="thg-seoclarity"),"HOLD",TRUE,"")</f>
        <v/>
      </c>
      <c r="R2078" t="str" cm="1">
        <f t="array" ref="R2078">_xlfn.IFS(AND($A2078="thg-beauty",ISNUMBER(SEARCH("liveramp",$C2078))),"thg-beauty Liveramp dataset — confirmed safe to delete",$A2078="agile-bonbon-662",_xlfn.IFS(LEFT($G2078,9)="Tranche 1","Tranche 1: cleared",$C2078="Sessions_Level_1_All_Sites","Downstream aggregation of UA raw logs — keep if raw tables go",ISNUMBER(--$C2078),"UA raw site logs (account ID) — keep pending audit-retention check",$C2078="Emag_Reporting","Legacy but likely needed",$C2078="Nutrition_Data_Archived_Tables","Worth keeping",$C2078="EU_Data","Static lookup tables — scripts still reference (smoke-test risk)",TRUE,"Review"),OR($A2078="thg-influencer",$A2078="thg-ingenuity",$A2078="thg-central-marketing",$A2078="thg-seoclarity"),"HOLD — Charlie Stringer to review before deletion",TRUE,"")</f>
        <v/>
      </c>
      <c r="S2078" t="s">
        <v>1631</v>
      </c>
    </row>
    <row r="2079" spans="1:19" ht="76.5" hidden="1">
      <c r="A2079" t="s">
        <v>90</v>
      </c>
      <c r="B2079" t="s">
        <v>1619</v>
      </c>
      <c r="C2079" t="s">
        <v>4376</v>
      </c>
      <c r="D2079" s="2" t="s">
        <v>1621</v>
      </c>
      <c r="E2079">
        <v>200.51</v>
      </c>
      <c r="F2079">
        <v>4.01</v>
      </c>
      <c r="G2079" t="s">
        <v>83</v>
      </c>
      <c r="H2079" t="s">
        <v>81</v>
      </c>
      <c r="I2079">
        <v>5</v>
      </c>
      <c r="J2079">
        <v>5</v>
      </c>
      <c r="K2079" s="5">
        <v>46192.315001331022</v>
      </c>
      <c r="L2079" s="5">
        <v>46192.314870023147</v>
      </c>
      <c r="M2079" s="2" t="s">
        <v>4416</v>
      </c>
      <c r="N2079" s="2" t="s">
        <v>4417</v>
      </c>
      <c r="O2079" s="5">
        <v>46192.314988020837</v>
      </c>
      <c r="P2079" t="str">
        <f>IF($Q2079="DELETE",IF($S2079="CONFIRMED: NO MODS &gt; 1YR","CONFIRMED: NO MODS &gt; 1YR","DO NOT DELETE — not defensibly confirmed"),IF($Q2079="HOLD","DO NOT DELETE — HOLD (Charlie review)",IF($Q2079="KEEP","DO NOT DELETE — KEEP",IF(ISNUMBER(SEARCH("REVIEW",$Q2079)),"DO NOT DELETE — REVIEW pending",$S2079))))</f>
        <v>REVIEW</v>
      </c>
      <c r="Q2079" t="str" cm="1">
        <f t="array" ref="Q2079">_xlfn.IFS(AND($A2079="thg-beauty",ISNUMBER(SEARCH("liveramp",$C2079))),"DELETE",$A2079="agile-bonbon-662",_xlfn.IFS(LEFT($G2079,9)="Tranche 1","DELETE",$C2079="Sessions_Level_1_All_Sites","KEEP",ISNUMBER(--$C2079),"REVIEW — UA raw logs",$C2079="Emag_Reporting","KEEP",$C2079="Nutrition_Data_Archived_Tables","KEEP",$C2079="EU_Data","KEEP",TRUE,"REVIEW"),OR($A2079="thg-influencer",$A2079="thg-ingenuity",$A2079="thg-central-marketing",$A2079="thg-seoclarity"),"HOLD",TRUE,"")</f>
        <v/>
      </c>
      <c r="R2079" t="str" cm="1">
        <f t="array" ref="R2079">_xlfn.IFS(AND($A2079="thg-beauty",ISNUMBER(SEARCH("liveramp",$C2079))),"thg-beauty Liveramp dataset — confirmed safe to delete",$A2079="agile-bonbon-662",_xlfn.IFS(LEFT($G2079,9)="Tranche 1","Tranche 1: cleared",$C2079="Sessions_Level_1_All_Sites","Downstream aggregation of UA raw logs — keep if raw tables go",ISNUMBER(--$C2079),"UA raw site logs (account ID) — keep pending audit-retention check",$C2079="Emag_Reporting","Legacy but likely needed",$C2079="Nutrition_Data_Archived_Tables","Worth keeping",$C2079="EU_Data","Static lookup tables — scripts still reference (smoke-test risk)",TRUE,"Review"),OR($A2079="thg-influencer",$A2079="thg-ingenuity",$A2079="thg-central-marketing",$A2079="thg-seoclarity"),"HOLD — Charlie Stringer to review before deletion",TRUE,"")</f>
        <v/>
      </c>
      <c r="S2079" t="s">
        <v>1631</v>
      </c>
    </row>
    <row r="2080" spans="1:19" ht="76.5" hidden="1">
      <c r="A2080" t="s">
        <v>90</v>
      </c>
      <c r="B2080" t="s">
        <v>1724</v>
      </c>
      <c r="C2080" t="s">
        <v>4418</v>
      </c>
      <c r="D2080" s="2" t="s">
        <v>1621</v>
      </c>
      <c r="E2080">
        <v>0</v>
      </c>
      <c r="F2080">
        <v>0</v>
      </c>
      <c r="G2080" t="s">
        <v>83</v>
      </c>
      <c r="H2080" t="s">
        <v>81</v>
      </c>
      <c r="I2080">
        <v>5</v>
      </c>
      <c r="J2080">
        <v>5</v>
      </c>
      <c r="K2080" s="5">
        <v>46192.004122488433</v>
      </c>
      <c r="L2080" s="5">
        <v>46192.000622326392</v>
      </c>
      <c r="M2080" s="2" t="s">
        <v>4419</v>
      </c>
      <c r="N2080" s="2" t="s">
        <v>4420</v>
      </c>
      <c r="O2080" s="5">
        <v>46192.000642789353</v>
      </c>
      <c r="P2080" t="str">
        <f>IF($Q2080="DELETE",IF($S2080="CONFIRMED: NO MODS &gt; 1YR","CONFIRMED: NO MODS &gt; 1YR","DO NOT DELETE — not defensibly confirmed"),IF($Q2080="HOLD","DO NOT DELETE — HOLD (Charlie review)",IF($Q2080="KEEP","DO NOT DELETE — KEEP",IF(ISNUMBER(SEARCH("REVIEW",$Q2080)),"DO NOT DELETE — REVIEW pending",$S2080))))</f>
        <v>REVIEW</v>
      </c>
      <c r="Q2080" t="str" cm="1">
        <f t="array" ref="Q2080">_xlfn.IFS(AND($A2080="thg-beauty",ISNUMBER(SEARCH("liveramp",$C2080))),"DELETE",$A2080="agile-bonbon-662",_xlfn.IFS(LEFT($G2080,9)="Tranche 1","DELETE",$C2080="Sessions_Level_1_All_Sites","KEEP",ISNUMBER(--$C2080),"REVIEW — UA raw logs",$C2080="Emag_Reporting","KEEP",$C2080="Nutrition_Data_Archived_Tables","KEEP",$C2080="EU_Data","KEEP",TRUE,"REVIEW"),OR($A2080="thg-influencer",$A2080="thg-ingenuity",$A2080="thg-central-marketing",$A2080="thg-seoclarity"),"HOLD",TRUE,"")</f>
        <v/>
      </c>
      <c r="R2080" t="str" cm="1">
        <f t="array" ref="R2080">_xlfn.IFS(AND($A2080="thg-beauty",ISNUMBER(SEARCH("liveramp",$C2080))),"thg-beauty Liveramp dataset — confirmed safe to delete",$A2080="agile-bonbon-662",_xlfn.IFS(LEFT($G2080,9)="Tranche 1","Tranche 1: cleared",$C2080="Sessions_Level_1_All_Sites","Downstream aggregation of UA raw logs — keep if raw tables go",ISNUMBER(--$C2080),"UA raw site logs (account ID) — keep pending audit-retention check",$C2080="Emag_Reporting","Legacy but likely needed",$C2080="Nutrition_Data_Archived_Tables","Worth keeping",$C2080="EU_Data","Static lookup tables — scripts still reference (smoke-test risk)",TRUE,"Review"),OR($A2080="thg-influencer",$A2080="thg-ingenuity",$A2080="thg-central-marketing",$A2080="thg-seoclarity"),"HOLD — Charlie Stringer to review before deletion",TRUE,"")</f>
        <v/>
      </c>
      <c r="S2080" t="s">
        <v>1631</v>
      </c>
    </row>
    <row r="2081" spans="1:19" ht="76.5" hidden="1">
      <c r="A2081" t="s">
        <v>1702</v>
      </c>
      <c r="B2081" t="s">
        <v>1619</v>
      </c>
      <c r="C2081" t="s">
        <v>4380</v>
      </c>
      <c r="D2081" s="2" t="s">
        <v>1621</v>
      </c>
      <c r="E2081">
        <v>0</v>
      </c>
      <c r="F2081">
        <v>0</v>
      </c>
      <c r="G2081" t="s">
        <v>83</v>
      </c>
      <c r="H2081" t="s">
        <v>81</v>
      </c>
      <c r="I2081">
        <v>2</v>
      </c>
      <c r="J2081">
        <v>2</v>
      </c>
      <c r="L2081" s="5">
        <v>46195.126421898152</v>
      </c>
      <c r="M2081" s="2" t="s">
        <v>1715</v>
      </c>
      <c r="N2081" s="2" t="s">
        <v>4421</v>
      </c>
      <c r="O2081" s="5">
        <v>46195.126459328712</v>
      </c>
      <c r="P2081" t="str">
        <f>IF($Q2081="DELETE",IF($S2081="CONFIRMED: NO MODS &gt; 1YR","CONFIRMED: NO MODS &gt; 1YR","DO NOT DELETE — not defensibly confirmed"),IF($Q2081="HOLD","DO NOT DELETE — HOLD (Charlie review)",IF($Q2081="KEEP","DO NOT DELETE — KEEP",IF(ISNUMBER(SEARCH("REVIEW",$Q2081)),"DO NOT DELETE — REVIEW pending",$S2081))))</f>
        <v>REVIEW</v>
      </c>
      <c r="Q2081" t="str" cm="1">
        <f t="array" ref="Q2081">_xlfn.IFS(AND($A2081="thg-beauty",ISNUMBER(SEARCH("liveramp",$C2081))),"DELETE",$A2081="agile-bonbon-662",_xlfn.IFS(LEFT($G2081,9)="Tranche 1","DELETE",$C2081="Sessions_Level_1_All_Sites","KEEP",ISNUMBER(--$C2081),"REVIEW — UA raw logs",$C2081="Emag_Reporting","KEEP",$C2081="Nutrition_Data_Archived_Tables","KEEP",$C2081="EU_Data","KEEP",TRUE,"REVIEW"),OR($A2081="thg-influencer",$A2081="thg-ingenuity",$A2081="thg-central-marketing",$A2081="thg-seoclarity"),"HOLD",TRUE,"")</f>
        <v/>
      </c>
      <c r="R2081" t="str" cm="1">
        <f t="array" ref="R2081">_xlfn.IFS(AND($A2081="thg-beauty",ISNUMBER(SEARCH("liveramp",$C2081))),"thg-beauty Liveramp dataset — confirmed safe to delete",$A2081="agile-bonbon-662",_xlfn.IFS(LEFT($G2081,9)="Tranche 1","Tranche 1: cleared",$C2081="Sessions_Level_1_All_Sites","Downstream aggregation of UA raw logs — keep if raw tables go",ISNUMBER(--$C2081),"UA raw site logs (account ID) — keep pending audit-retention check",$C2081="Emag_Reporting","Legacy but likely needed",$C2081="Nutrition_Data_Archived_Tables","Worth keeping",$C2081="EU_Data","Static lookup tables — scripts still reference (smoke-test risk)",TRUE,"Review"),OR($A2081="thg-influencer",$A2081="thg-ingenuity",$A2081="thg-central-marketing",$A2081="thg-seoclarity"),"HOLD — Charlie Stringer to review before deletion",TRUE,"")</f>
        <v/>
      </c>
      <c r="S2081" t="s">
        <v>1631</v>
      </c>
    </row>
    <row r="2082" spans="1:19" ht="76.5" hidden="1">
      <c r="A2082" t="s">
        <v>1738</v>
      </c>
      <c r="B2082" t="s">
        <v>1724</v>
      </c>
      <c r="C2082" t="s">
        <v>4422</v>
      </c>
      <c r="D2082" s="2" t="s">
        <v>4423</v>
      </c>
      <c r="E2082">
        <v>0</v>
      </c>
      <c r="F2082">
        <v>0</v>
      </c>
      <c r="G2082" t="s">
        <v>83</v>
      </c>
      <c r="H2082" t="s">
        <v>81</v>
      </c>
      <c r="I2082">
        <v>1</v>
      </c>
      <c r="J2082">
        <v>1</v>
      </c>
      <c r="L2082" s="5">
        <v>46196.411867499999</v>
      </c>
      <c r="M2082" s="2" t="s">
        <v>1715</v>
      </c>
      <c r="N2082" s="2" t="s">
        <v>4424</v>
      </c>
      <c r="O2082" s="5">
        <v>46196.412053946762</v>
      </c>
      <c r="P2082" t="str">
        <f>IF($Q2082="DELETE",IF($S2082="CONFIRMED: NO MODS &gt; 1YR","CONFIRMED: NO MODS &gt; 1YR","DO NOT DELETE — not defensibly confirmed"),IF($Q2082="HOLD","DO NOT DELETE — HOLD (Charlie review)",IF($Q2082="KEEP","DO NOT DELETE — KEEP",IF(ISNUMBER(SEARCH("REVIEW",$Q2082)),"DO NOT DELETE — REVIEW pending",$S2082))))</f>
        <v>REVIEW</v>
      </c>
      <c r="Q2082" t="str" cm="1">
        <f t="array" ref="Q2082">_xlfn.IFS(AND($A2082="thg-beauty",ISNUMBER(SEARCH("liveramp",$C2082))),"DELETE",$A2082="agile-bonbon-662",_xlfn.IFS(LEFT($G2082,9)="Tranche 1","DELETE",$C2082="Sessions_Level_1_All_Sites","KEEP",ISNUMBER(--$C2082),"REVIEW — UA raw logs",$C2082="Emag_Reporting","KEEP",$C2082="Nutrition_Data_Archived_Tables","KEEP",$C2082="EU_Data","KEEP",TRUE,"REVIEW"),OR($A2082="thg-influencer",$A2082="thg-ingenuity",$A2082="thg-central-marketing",$A2082="thg-seoclarity"),"HOLD",TRUE,"")</f>
        <v/>
      </c>
      <c r="R2082" t="str" cm="1">
        <f t="array" ref="R2082">_xlfn.IFS(AND($A2082="thg-beauty",ISNUMBER(SEARCH("liveramp",$C2082))),"thg-beauty Liveramp dataset — confirmed safe to delete",$A2082="agile-bonbon-662",_xlfn.IFS(LEFT($G2082,9)="Tranche 1","Tranche 1: cleared",$C2082="Sessions_Level_1_All_Sites","Downstream aggregation of UA raw logs — keep if raw tables go",ISNUMBER(--$C2082),"UA raw site logs (account ID) — keep pending audit-retention check",$C2082="Emag_Reporting","Legacy but likely needed",$C2082="Nutrition_Data_Archived_Tables","Worth keeping",$C2082="EU_Data","Static lookup tables — scripts still reference (smoke-test risk)",TRUE,"Review"),OR($A2082="thg-influencer",$A2082="thg-ingenuity",$A2082="thg-central-marketing",$A2082="thg-seoclarity"),"HOLD — Charlie Stringer to review before deletion",TRUE,"")</f>
        <v/>
      </c>
      <c r="S2082" t="s">
        <v>1631</v>
      </c>
    </row>
    <row r="2083" spans="1:19" ht="76.5" hidden="1">
      <c r="A2083" t="s">
        <v>1738</v>
      </c>
      <c r="B2083" t="s">
        <v>1724</v>
      </c>
      <c r="C2083" t="s">
        <v>3499</v>
      </c>
      <c r="D2083" s="2" t="s">
        <v>1621</v>
      </c>
      <c r="E2083">
        <v>15416.86</v>
      </c>
      <c r="F2083">
        <v>308.33999999999997</v>
      </c>
      <c r="G2083" t="s">
        <v>83</v>
      </c>
      <c r="H2083" t="s">
        <v>81</v>
      </c>
      <c r="I2083">
        <v>0</v>
      </c>
      <c r="J2083">
        <v>0</v>
      </c>
      <c r="K2083" s="5">
        <v>46192.417279548608</v>
      </c>
      <c r="L2083" s="5">
        <v>46080.690834803238</v>
      </c>
      <c r="M2083" s="2" t="s">
        <v>4425</v>
      </c>
      <c r="N2083" s="2" t="s">
        <v>4426</v>
      </c>
      <c r="O2083" s="5">
        <v>46197.44366769676</v>
      </c>
      <c r="P2083" t="str">
        <f>IF($Q2083="DELETE",IF($S2083="CONFIRMED: NO MODS &gt; 1YR","CONFIRMED: NO MODS &gt; 1YR","DO NOT DELETE — not defensibly confirmed"),IF($Q2083="HOLD","DO NOT DELETE — HOLD (Charlie review)",IF($Q2083="KEEP","DO NOT DELETE — KEEP",IF(ISNUMBER(SEARCH("REVIEW",$Q2083)),"DO NOT DELETE — REVIEW pending",$S2083))))</f>
        <v>REVIEW</v>
      </c>
      <c r="Q2083" t="str" cm="1">
        <f t="array" ref="Q2083">_xlfn.IFS(AND($A2083="thg-beauty",ISNUMBER(SEARCH("liveramp",$C2083))),"DELETE",$A2083="agile-bonbon-662",_xlfn.IFS(LEFT($G2083,9)="Tranche 1","DELETE",$C2083="Sessions_Level_1_All_Sites","KEEP",ISNUMBER(--$C2083),"REVIEW — UA raw logs",$C2083="Emag_Reporting","KEEP",$C2083="Nutrition_Data_Archived_Tables","KEEP",$C2083="EU_Data","KEEP",TRUE,"REVIEW"),OR($A2083="thg-influencer",$A2083="thg-ingenuity",$A2083="thg-central-marketing",$A2083="thg-seoclarity"),"HOLD",TRUE,"")</f>
        <v/>
      </c>
      <c r="R2083" t="str" cm="1">
        <f t="array" ref="R2083">_xlfn.IFS(AND($A2083="thg-beauty",ISNUMBER(SEARCH("liveramp",$C2083))),"thg-beauty Liveramp dataset — confirmed safe to delete",$A2083="agile-bonbon-662",_xlfn.IFS(LEFT($G2083,9)="Tranche 1","Tranche 1: cleared",$C2083="Sessions_Level_1_All_Sites","Downstream aggregation of UA raw logs — keep if raw tables go",ISNUMBER(--$C2083),"UA raw site logs (account ID) — keep pending audit-retention check",$C2083="Emag_Reporting","Legacy but likely needed",$C2083="Nutrition_Data_Archived_Tables","Worth keeping",$C2083="EU_Data","Static lookup tables — scripts still reference (smoke-test risk)",TRUE,"Review"),OR($A2083="thg-influencer",$A2083="thg-ingenuity",$A2083="thg-central-marketing",$A2083="thg-seoclarity"),"HOLD — Charlie Stringer to review before deletion",TRUE,"")</f>
        <v/>
      </c>
      <c r="S2083" t="s">
        <v>1631</v>
      </c>
    </row>
    <row r="2084" spans="1:19" ht="76.5" hidden="1">
      <c r="A2084" t="s">
        <v>1768</v>
      </c>
      <c r="B2084" t="s">
        <v>1619</v>
      </c>
      <c r="C2084" t="s">
        <v>4414</v>
      </c>
      <c r="D2084" s="2" t="s">
        <v>1621</v>
      </c>
      <c r="E2084">
        <v>8990.17</v>
      </c>
      <c r="F2084">
        <v>179.8</v>
      </c>
      <c r="G2084" t="s">
        <v>83</v>
      </c>
      <c r="H2084" t="s">
        <v>81</v>
      </c>
      <c r="I2084">
        <v>0</v>
      </c>
      <c r="J2084">
        <v>0</v>
      </c>
      <c r="K2084" s="5">
        <v>46197.126308784733</v>
      </c>
      <c r="L2084" s="5">
        <v>46197.214721307872</v>
      </c>
      <c r="M2084" s="2" t="s">
        <v>4427</v>
      </c>
      <c r="N2084" s="2" t="s">
        <v>4428</v>
      </c>
      <c r="O2084" s="5">
        <v>46197.214757766204</v>
      </c>
      <c r="P2084" t="str">
        <f>IF($Q2084="DELETE",IF($S2084="CONFIRMED: NO MODS &gt; 1YR","CONFIRMED: NO MODS &gt; 1YR","DO NOT DELETE — not defensibly confirmed"),IF($Q2084="HOLD","DO NOT DELETE — HOLD (Charlie review)",IF($Q2084="KEEP","DO NOT DELETE — KEEP",IF(ISNUMBER(SEARCH("REVIEW",$Q2084)),"DO NOT DELETE — REVIEW pending",$S2084))))</f>
        <v>REVIEW</v>
      </c>
      <c r="Q2084" t="str" cm="1">
        <f t="array" ref="Q2084">_xlfn.IFS(AND($A2084="thg-beauty",ISNUMBER(SEARCH("liveramp",$C2084))),"DELETE",$A2084="agile-bonbon-662",_xlfn.IFS(LEFT($G2084,9)="Tranche 1","DELETE",$C2084="Sessions_Level_1_All_Sites","KEEP",ISNUMBER(--$C2084),"REVIEW — UA raw logs",$C2084="Emag_Reporting","KEEP",$C2084="Nutrition_Data_Archived_Tables","KEEP",$C2084="EU_Data","KEEP",TRUE,"REVIEW"),OR($A2084="thg-influencer",$A2084="thg-ingenuity",$A2084="thg-central-marketing",$A2084="thg-seoclarity"),"HOLD",TRUE,"")</f>
        <v/>
      </c>
      <c r="R2084" t="str" cm="1">
        <f t="array" ref="R2084">_xlfn.IFS(AND($A2084="thg-beauty",ISNUMBER(SEARCH("liveramp",$C2084))),"thg-beauty Liveramp dataset — confirmed safe to delete",$A2084="agile-bonbon-662",_xlfn.IFS(LEFT($G2084,9)="Tranche 1","Tranche 1: cleared",$C2084="Sessions_Level_1_All_Sites","Downstream aggregation of UA raw logs — keep if raw tables go",ISNUMBER(--$C2084),"UA raw site logs (account ID) — keep pending audit-retention check",$C2084="Emag_Reporting","Legacy but likely needed",$C2084="Nutrition_Data_Archived_Tables","Worth keeping",$C2084="EU_Data","Static lookup tables — scripts still reference (smoke-test risk)",TRUE,"Review"),OR($A2084="thg-influencer",$A2084="thg-ingenuity",$A2084="thg-central-marketing",$A2084="thg-seoclarity"),"HOLD — Charlie Stringer to review before deletion",TRUE,"")</f>
        <v/>
      </c>
      <c r="S2084" t="s">
        <v>1631</v>
      </c>
    </row>
    <row r="2085" spans="1:19" ht="76.5" hidden="1">
      <c r="A2085" t="s">
        <v>1702</v>
      </c>
      <c r="B2085" t="s">
        <v>1619</v>
      </c>
      <c r="C2085" t="s">
        <v>4414</v>
      </c>
      <c r="D2085" s="2" t="s">
        <v>1621</v>
      </c>
      <c r="E2085">
        <v>2531.94</v>
      </c>
      <c r="F2085">
        <v>50.64</v>
      </c>
      <c r="G2085" t="s">
        <v>83</v>
      </c>
      <c r="H2085" t="s">
        <v>81</v>
      </c>
      <c r="I2085">
        <v>0</v>
      </c>
      <c r="J2085">
        <v>0</v>
      </c>
      <c r="K2085" s="5">
        <v>46194.126209363429</v>
      </c>
      <c r="L2085" s="5">
        <v>46197.04269253472</v>
      </c>
      <c r="M2085" s="2" t="s">
        <v>4429</v>
      </c>
      <c r="N2085" s="2" t="s">
        <v>4430</v>
      </c>
      <c r="O2085" s="5">
        <v>46197.042711759263</v>
      </c>
      <c r="P2085" t="str">
        <f>IF($Q2085="DELETE",IF($S2085="CONFIRMED: NO MODS &gt; 1YR","CONFIRMED: NO MODS &gt; 1YR","DO NOT DELETE — not defensibly confirmed"),IF($Q2085="HOLD","DO NOT DELETE — HOLD (Charlie review)",IF($Q2085="KEEP","DO NOT DELETE — KEEP",IF(ISNUMBER(SEARCH("REVIEW",$Q2085)),"DO NOT DELETE — REVIEW pending",$S2085))))</f>
        <v>REVIEW</v>
      </c>
      <c r="Q2085" t="str" cm="1">
        <f t="array" ref="Q2085">_xlfn.IFS(AND($A2085="thg-beauty",ISNUMBER(SEARCH("liveramp",$C2085))),"DELETE",$A2085="agile-bonbon-662",_xlfn.IFS(LEFT($G2085,9)="Tranche 1","DELETE",$C2085="Sessions_Level_1_All_Sites","KEEP",ISNUMBER(--$C2085),"REVIEW — UA raw logs",$C2085="Emag_Reporting","KEEP",$C2085="Nutrition_Data_Archived_Tables","KEEP",$C2085="EU_Data","KEEP",TRUE,"REVIEW"),OR($A2085="thg-influencer",$A2085="thg-ingenuity",$A2085="thg-central-marketing",$A2085="thg-seoclarity"),"HOLD",TRUE,"")</f>
        <v/>
      </c>
      <c r="R2085" t="str" cm="1">
        <f t="array" ref="R2085">_xlfn.IFS(AND($A2085="thg-beauty",ISNUMBER(SEARCH("liveramp",$C2085))),"thg-beauty Liveramp dataset — confirmed safe to delete",$A2085="agile-bonbon-662",_xlfn.IFS(LEFT($G2085,9)="Tranche 1","Tranche 1: cleared",$C2085="Sessions_Level_1_All_Sites","Downstream aggregation of UA raw logs — keep if raw tables go",ISNUMBER(--$C2085),"UA raw site logs (account ID) — keep pending audit-retention check",$C2085="Emag_Reporting","Legacy but likely needed",$C2085="Nutrition_Data_Archived_Tables","Worth keeping",$C2085="EU_Data","Static lookup tables — scripts still reference (smoke-test risk)",TRUE,"Review"),OR($A2085="thg-influencer",$A2085="thg-ingenuity",$A2085="thg-central-marketing",$A2085="thg-seoclarity"),"HOLD — Charlie Stringer to review before deletion",TRUE,"")</f>
        <v/>
      </c>
      <c r="S2085" t="s">
        <v>1631</v>
      </c>
    </row>
    <row r="2086" spans="1:19" ht="76.5" hidden="1">
      <c r="A2086" t="s">
        <v>90</v>
      </c>
      <c r="B2086" t="s">
        <v>1619</v>
      </c>
      <c r="C2086" t="s">
        <v>4431</v>
      </c>
      <c r="D2086" s="2" t="s">
        <v>1621</v>
      </c>
      <c r="E2086">
        <v>0</v>
      </c>
      <c r="F2086">
        <v>0</v>
      </c>
      <c r="G2086" t="s">
        <v>83</v>
      </c>
      <c r="H2086" t="s">
        <v>81</v>
      </c>
      <c r="I2086">
        <v>0</v>
      </c>
      <c r="J2086">
        <v>0</v>
      </c>
      <c r="K2086" s="5">
        <v>46197.381699421298</v>
      </c>
      <c r="M2086" s="2" t="s">
        <v>4432</v>
      </c>
      <c r="N2086" s="2" t="s">
        <v>1701</v>
      </c>
      <c r="O2086" s="5">
        <v>46197.418465740739</v>
      </c>
      <c r="P2086" t="str">
        <f>IF($Q2086="DELETE",IF($S2086="CONFIRMED: NO MODS &gt; 1YR","CONFIRMED: NO MODS &gt; 1YR","DO NOT DELETE — not defensibly confirmed"),IF($Q2086="HOLD","DO NOT DELETE — HOLD (Charlie review)",IF($Q2086="KEEP","DO NOT DELETE — KEEP",IF(ISNUMBER(SEARCH("REVIEW",$Q2086)),"DO NOT DELETE — REVIEW pending",$S2086))))</f>
        <v>REVIEW</v>
      </c>
      <c r="Q2086" t="str" cm="1">
        <f t="array" ref="Q2086">_xlfn.IFS(AND($A2086="thg-beauty",ISNUMBER(SEARCH("liveramp",$C2086))),"DELETE",$A2086="agile-bonbon-662",_xlfn.IFS(LEFT($G2086,9)="Tranche 1","DELETE",$C2086="Sessions_Level_1_All_Sites","KEEP",ISNUMBER(--$C2086),"REVIEW — UA raw logs",$C2086="Emag_Reporting","KEEP",$C2086="Nutrition_Data_Archived_Tables","KEEP",$C2086="EU_Data","KEEP",TRUE,"REVIEW"),OR($A2086="thg-influencer",$A2086="thg-ingenuity",$A2086="thg-central-marketing",$A2086="thg-seoclarity"),"HOLD",TRUE,"")</f>
        <v/>
      </c>
      <c r="R2086" t="str" cm="1">
        <f t="array" ref="R2086">_xlfn.IFS(AND($A2086="thg-beauty",ISNUMBER(SEARCH("liveramp",$C2086))),"thg-beauty Liveramp dataset — confirmed safe to delete",$A2086="agile-bonbon-662",_xlfn.IFS(LEFT($G2086,9)="Tranche 1","Tranche 1: cleared",$C2086="Sessions_Level_1_All_Sites","Downstream aggregation of UA raw logs — keep if raw tables go",ISNUMBER(--$C2086),"UA raw site logs (account ID) — keep pending audit-retention check",$C2086="Emag_Reporting","Legacy but likely needed",$C2086="Nutrition_Data_Archived_Tables","Worth keeping",$C2086="EU_Data","Static lookup tables — scripts still reference (smoke-test risk)",TRUE,"Review"),OR($A2086="thg-influencer",$A2086="thg-ingenuity",$A2086="thg-central-marketing",$A2086="thg-seoclarity"),"HOLD — Charlie Stringer to review before deletion",TRUE,"")</f>
        <v/>
      </c>
      <c r="S2086" t="s">
        <v>1631</v>
      </c>
    </row>
    <row r="2087" spans="1:19" ht="76.5" hidden="1">
      <c r="A2087" t="s">
        <v>1768</v>
      </c>
      <c r="B2087" t="s">
        <v>1619</v>
      </c>
      <c r="C2087" t="s">
        <v>4380</v>
      </c>
      <c r="D2087" s="2" t="s">
        <v>1621</v>
      </c>
      <c r="E2087">
        <v>0</v>
      </c>
      <c r="F2087">
        <v>0</v>
      </c>
      <c r="G2087" t="s">
        <v>83</v>
      </c>
      <c r="H2087" t="s">
        <v>81</v>
      </c>
      <c r="I2087">
        <v>0</v>
      </c>
      <c r="J2087">
        <v>0</v>
      </c>
      <c r="L2087" s="5">
        <v>46197.126285902777</v>
      </c>
      <c r="M2087" s="2" t="s">
        <v>1715</v>
      </c>
      <c r="N2087" s="2" t="s">
        <v>4433</v>
      </c>
      <c r="O2087" s="5">
        <v>46197.126359965281</v>
      </c>
      <c r="P2087" t="str">
        <f>IF($Q2087="DELETE",IF($S2087="CONFIRMED: NO MODS &gt; 1YR","CONFIRMED: NO MODS &gt; 1YR","DO NOT DELETE — not defensibly confirmed"),IF($Q2087="HOLD","DO NOT DELETE — HOLD (Charlie review)",IF($Q2087="KEEP","DO NOT DELETE — KEEP",IF(ISNUMBER(SEARCH("REVIEW",$Q2087)),"DO NOT DELETE — REVIEW pending",$S2087))))</f>
        <v>REVIEW</v>
      </c>
      <c r="Q2087" t="str" cm="1">
        <f t="array" ref="Q2087">_xlfn.IFS(AND($A2087="thg-beauty",ISNUMBER(SEARCH("liveramp",$C2087))),"DELETE",$A2087="agile-bonbon-662",_xlfn.IFS(LEFT($G2087,9)="Tranche 1","DELETE",$C2087="Sessions_Level_1_All_Sites","KEEP",ISNUMBER(--$C2087),"REVIEW — UA raw logs",$C2087="Emag_Reporting","KEEP",$C2087="Nutrition_Data_Archived_Tables","KEEP",$C2087="EU_Data","KEEP",TRUE,"REVIEW"),OR($A2087="thg-influencer",$A2087="thg-ingenuity",$A2087="thg-central-marketing",$A2087="thg-seoclarity"),"HOLD",TRUE,"")</f>
        <v/>
      </c>
      <c r="R2087" t="str" cm="1">
        <f t="array" ref="R2087">_xlfn.IFS(AND($A2087="thg-beauty",ISNUMBER(SEARCH("liveramp",$C2087))),"thg-beauty Liveramp dataset — confirmed safe to delete",$A2087="agile-bonbon-662",_xlfn.IFS(LEFT($G2087,9)="Tranche 1","Tranche 1: cleared",$C2087="Sessions_Level_1_All_Sites","Downstream aggregation of UA raw logs — keep if raw tables go",ISNUMBER(--$C2087),"UA raw site logs (account ID) — keep pending audit-retention check",$C2087="Emag_Reporting","Legacy but likely needed",$C2087="Nutrition_Data_Archived_Tables","Worth keeping",$C2087="EU_Data","Static lookup tables — scripts still reference (smoke-test risk)",TRUE,"Review"),OR($A2087="thg-influencer",$A2087="thg-ingenuity",$A2087="thg-central-marketing",$A2087="thg-seoclarity"),"HOLD — Charlie Stringer to review before deletion",TRUE,"")</f>
        <v/>
      </c>
      <c r="S2087" t="s">
        <v>1631</v>
      </c>
    </row>
    <row r="2088" spans="1:19" ht="76.5" hidden="1">
      <c r="A2088" t="s">
        <v>92</v>
      </c>
      <c r="B2088" t="s">
        <v>1619</v>
      </c>
      <c r="C2088" t="s">
        <v>4434</v>
      </c>
      <c r="D2088" s="2" t="s">
        <v>1621</v>
      </c>
      <c r="E2088">
        <v>0</v>
      </c>
      <c r="F2088">
        <v>0</v>
      </c>
      <c r="G2088" t="s">
        <v>83</v>
      </c>
      <c r="H2088" t="s">
        <v>81</v>
      </c>
      <c r="I2088">
        <v>116</v>
      </c>
      <c r="K2088" s="5">
        <v>46080.778398854163</v>
      </c>
      <c r="M2088" s="2" t="s">
        <v>4435</v>
      </c>
      <c r="N2088" s="2" t="s">
        <v>1701</v>
      </c>
      <c r="P2088" t="str">
        <f>IF($Q2088="DELETE",IF($S2088="CONFIRMED: NO MODS &gt; 1YR","CONFIRMED: NO MODS &gt; 1YR","DO NOT DELETE — not defensibly confirmed"),IF($Q2088="HOLD","DO NOT DELETE — HOLD (Charlie review)",IF($Q2088="KEEP","DO NOT DELETE — KEEP",IF(ISNUMBER(SEARCH("REVIEW",$Q2088)),"DO NOT DELETE — REVIEW pending",$S2088))))</f>
        <v>REVIEW</v>
      </c>
      <c r="Q2088" t="str" cm="1">
        <f t="array" ref="Q2088">_xlfn.IFS(AND($A2088="thg-beauty",ISNUMBER(SEARCH("liveramp",$C2088))),"DELETE",$A2088="agile-bonbon-662",_xlfn.IFS(LEFT($G2088,9)="Tranche 1","DELETE",$C2088="Sessions_Level_1_All_Sites","KEEP",ISNUMBER(--$C2088),"REVIEW — UA raw logs",$C2088="Emag_Reporting","KEEP",$C2088="Nutrition_Data_Archived_Tables","KEEP",$C2088="EU_Data","KEEP",TRUE,"REVIEW"),OR($A2088="thg-influencer",$A2088="thg-ingenuity",$A2088="thg-central-marketing",$A2088="thg-seoclarity"),"HOLD",TRUE,"")</f>
        <v/>
      </c>
      <c r="R2088" t="str" cm="1">
        <f t="array" ref="R2088">_xlfn.IFS(AND($A2088="thg-beauty",ISNUMBER(SEARCH("liveramp",$C2088))),"thg-beauty Liveramp dataset — confirmed safe to delete",$A2088="agile-bonbon-662",_xlfn.IFS(LEFT($G2088,9)="Tranche 1","Tranche 1: cleared",$C2088="Sessions_Level_1_All_Sites","Downstream aggregation of UA raw logs — keep if raw tables go",ISNUMBER(--$C2088),"UA raw site logs (account ID) — keep pending audit-retention check",$C2088="Emag_Reporting","Legacy but likely needed",$C2088="Nutrition_Data_Archived_Tables","Worth keeping",$C2088="EU_Data","Static lookup tables — scripts still reference (smoke-test risk)",TRUE,"Review"),OR($A2088="thg-influencer",$A2088="thg-ingenuity",$A2088="thg-central-marketing",$A2088="thg-seoclarity"),"HOLD — Charlie Stringer to review before deletion",TRUE,"")</f>
        <v/>
      </c>
      <c r="S2088" t="s">
        <v>1631</v>
      </c>
    </row>
    <row r="2089" spans="1:19" hidden="1">
      <c r="A2089" t="s">
        <v>91</v>
      </c>
      <c r="B2089" t="s">
        <v>1724</v>
      </c>
      <c r="C2089" t="s">
        <v>1300</v>
      </c>
      <c r="D2089" s="2" t="s">
        <v>1621</v>
      </c>
      <c r="E2089">
        <v>0</v>
      </c>
      <c r="F2089">
        <v>0</v>
      </c>
      <c r="G2089" t="s">
        <v>83</v>
      </c>
      <c r="H2089" t="s">
        <v>81</v>
      </c>
      <c r="M2089" s="2" t="s">
        <v>1715</v>
      </c>
      <c r="N2089" s="2" t="s">
        <v>1701</v>
      </c>
      <c r="P2089" t="str">
        <f>IF($Q2089="DELETE",IF($S2089="CONFIRMED: NO MODS &gt; 1YR","CONFIRMED: NO MODS &gt; 1YR","DO NOT DELETE — not defensibly confirmed"),IF($Q2089="HOLD","DO NOT DELETE — HOLD (Charlie review)",IF($Q2089="KEEP","DO NOT DELETE — KEEP",IF(ISNUMBER(SEARCH("REVIEW",$Q2089)),"DO NOT DELETE — REVIEW pending",$S2089))))</f>
        <v>REVIEW</v>
      </c>
      <c r="Q2089" t="str" cm="1">
        <f t="array" ref="Q2089">_xlfn.IFS(AND($A2089="thg-beauty",ISNUMBER(SEARCH("liveramp",$C2089))),"DELETE",$A2089="agile-bonbon-662",_xlfn.IFS(LEFT($G2089,9)="Tranche 1","DELETE",$C2089="Sessions_Level_1_All_Sites","KEEP",ISNUMBER(--$C2089),"REVIEW — UA raw logs",$C2089="Emag_Reporting","KEEP",$C2089="Nutrition_Data_Archived_Tables","KEEP",$C2089="EU_Data","KEEP",TRUE,"REVIEW"),OR($A2089="thg-influencer",$A2089="thg-ingenuity",$A2089="thg-central-marketing",$A2089="thg-seoclarity"),"HOLD",TRUE,"")</f>
        <v/>
      </c>
      <c r="R2089" t="str" cm="1">
        <f t="array" ref="R2089">_xlfn.IFS(AND($A2089="thg-beauty",ISNUMBER(SEARCH("liveramp",$C2089))),"thg-beauty Liveramp dataset — confirmed safe to delete",$A2089="agile-bonbon-662",_xlfn.IFS(LEFT($G2089,9)="Tranche 1","Tranche 1: cleared",$C2089="Sessions_Level_1_All_Sites","Downstream aggregation of UA raw logs — keep if raw tables go",ISNUMBER(--$C2089),"UA raw site logs (account ID) — keep pending audit-retention check",$C2089="Emag_Reporting","Legacy but likely needed",$C2089="Nutrition_Data_Archived_Tables","Worth keeping",$C2089="EU_Data","Static lookup tables — scripts still reference (smoke-test risk)",TRUE,"Review"),OR($A2089="thg-influencer",$A2089="thg-ingenuity",$A2089="thg-central-marketing",$A2089="thg-seoclarity"),"HOLD — Charlie Stringer to review before deletion",TRUE,"")</f>
        <v/>
      </c>
      <c r="S2089" t="s">
        <v>1631</v>
      </c>
    </row>
    <row r="2090" spans="1:19" hidden="1">
      <c r="A2090" t="s">
        <v>1471</v>
      </c>
      <c r="B2090" t="s">
        <v>1619</v>
      </c>
      <c r="C2090" t="s">
        <v>4348</v>
      </c>
      <c r="D2090" s="2" t="s">
        <v>1621</v>
      </c>
      <c r="E2090">
        <v>0</v>
      </c>
      <c r="F2090">
        <v>0</v>
      </c>
      <c r="G2090" t="s">
        <v>83</v>
      </c>
      <c r="H2090" t="s">
        <v>81</v>
      </c>
      <c r="M2090" s="2" t="s">
        <v>1715</v>
      </c>
      <c r="N2090" s="2" t="s">
        <v>1701</v>
      </c>
      <c r="P2090" t="str">
        <f>IF($Q2090="DELETE",IF($S2090="CONFIRMED: NO MODS &gt; 1YR","CONFIRMED: NO MODS &gt; 1YR","DO NOT DELETE — not defensibly confirmed"),IF($Q2090="HOLD","DO NOT DELETE — HOLD (Charlie review)",IF($Q2090="KEEP","DO NOT DELETE — KEEP",IF(ISNUMBER(SEARCH("REVIEW",$Q2090)),"DO NOT DELETE — REVIEW pending",$S2090))))</f>
        <v>REVIEW</v>
      </c>
      <c r="Q2090" t="str" cm="1">
        <f t="array" ref="Q2090">_xlfn.IFS(AND($A2090="thg-beauty",ISNUMBER(SEARCH("liveramp",$C2090))),"DELETE",$A2090="agile-bonbon-662",_xlfn.IFS(LEFT($G2090,9)="Tranche 1","DELETE",$C2090="Sessions_Level_1_All_Sites","KEEP",ISNUMBER(--$C2090),"REVIEW — UA raw logs",$C2090="Emag_Reporting","KEEP",$C2090="Nutrition_Data_Archived_Tables","KEEP",$C2090="EU_Data","KEEP",TRUE,"REVIEW"),OR($A2090="thg-influencer",$A2090="thg-ingenuity",$A2090="thg-central-marketing",$A2090="thg-seoclarity"),"HOLD",TRUE,"")</f>
        <v/>
      </c>
      <c r="R2090" t="str" cm="1">
        <f t="array" ref="R2090">_xlfn.IFS(AND($A2090="thg-beauty",ISNUMBER(SEARCH("liveramp",$C2090))),"thg-beauty Liveramp dataset — confirmed safe to delete",$A2090="agile-bonbon-662",_xlfn.IFS(LEFT($G2090,9)="Tranche 1","Tranche 1: cleared",$C2090="Sessions_Level_1_All_Sites","Downstream aggregation of UA raw logs — keep if raw tables go",ISNUMBER(--$C2090),"UA raw site logs (account ID) — keep pending audit-retention check",$C2090="Emag_Reporting","Legacy but likely needed",$C2090="Nutrition_Data_Archived_Tables","Worth keeping",$C2090="EU_Data","Static lookup tables — scripts still reference (smoke-test risk)",TRUE,"Review"),OR($A2090="thg-influencer",$A2090="thg-ingenuity",$A2090="thg-central-marketing",$A2090="thg-seoclarity"),"HOLD — Charlie Stringer to review before deletion",TRUE,"")</f>
        <v/>
      </c>
      <c r="S2090" t="s">
        <v>1631</v>
      </c>
    </row>
    <row r="2091" spans="1:19" hidden="1">
      <c r="A2091" t="s">
        <v>1738</v>
      </c>
      <c r="B2091" t="s">
        <v>1724</v>
      </c>
      <c r="C2091" t="s">
        <v>4436</v>
      </c>
      <c r="D2091" s="2" t="s">
        <v>1621</v>
      </c>
      <c r="E2091">
        <v>0</v>
      </c>
      <c r="F2091">
        <v>0</v>
      </c>
      <c r="G2091" t="s">
        <v>83</v>
      </c>
      <c r="H2091" t="s">
        <v>81</v>
      </c>
      <c r="M2091" s="2" t="s">
        <v>1715</v>
      </c>
      <c r="N2091" s="2" t="s">
        <v>1701</v>
      </c>
      <c r="P2091" t="str">
        <f>IF($Q2091="DELETE",IF($S2091="CONFIRMED: NO MODS &gt; 1YR","CONFIRMED: NO MODS &gt; 1YR","DO NOT DELETE — not defensibly confirmed"),IF($Q2091="HOLD","DO NOT DELETE — HOLD (Charlie review)",IF($Q2091="KEEP","DO NOT DELETE — KEEP",IF(ISNUMBER(SEARCH("REVIEW",$Q2091)),"DO NOT DELETE — REVIEW pending",$S2091))))</f>
        <v>REVIEW</v>
      </c>
      <c r="Q2091" t="str" cm="1">
        <f t="array" ref="Q2091">_xlfn.IFS(AND($A2091="thg-beauty",ISNUMBER(SEARCH("liveramp",$C2091))),"DELETE",$A2091="agile-bonbon-662",_xlfn.IFS(LEFT($G2091,9)="Tranche 1","DELETE",$C2091="Sessions_Level_1_All_Sites","KEEP",ISNUMBER(--$C2091),"REVIEW — UA raw logs",$C2091="Emag_Reporting","KEEP",$C2091="Nutrition_Data_Archived_Tables","KEEP",$C2091="EU_Data","KEEP",TRUE,"REVIEW"),OR($A2091="thg-influencer",$A2091="thg-ingenuity",$A2091="thg-central-marketing",$A2091="thg-seoclarity"),"HOLD",TRUE,"")</f>
        <v/>
      </c>
      <c r="R2091" t="str" cm="1">
        <f t="array" ref="R2091">_xlfn.IFS(AND($A2091="thg-beauty",ISNUMBER(SEARCH("liveramp",$C2091))),"thg-beauty Liveramp dataset — confirmed safe to delete",$A2091="agile-bonbon-662",_xlfn.IFS(LEFT($G2091,9)="Tranche 1","Tranche 1: cleared",$C2091="Sessions_Level_1_All_Sites","Downstream aggregation of UA raw logs — keep if raw tables go",ISNUMBER(--$C2091),"UA raw site logs (account ID) — keep pending audit-retention check",$C2091="Emag_Reporting","Legacy but likely needed",$C2091="Nutrition_Data_Archived_Tables","Worth keeping",$C2091="EU_Data","Static lookup tables — scripts still reference (smoke-test risk)",TRUE,"Review"),OR($A2091="thg-influencer",$A2091="thg-ingenuity",$A2091="thg-central-marketing",$A2091="thg-seoclarity"),"HOLD — Charlie Stringer to review before deletion",TRUE,"")</f>
        <v/>
      </c>
      <c r="S2091" t="s">
        <v>1631</v>
      </c>
    </row>
    <row r="2092" spans="1:19" hidden="1">
      <c r="A2092" t="s">
        <v>1738</v>
      </c>
      <c r="B2092" t="s">
        <v>1724</v>
      </c>
      <c r="C2092" t="s">
        <v>4437</v>
      </c>
      <c r="D2092" s="2" t="s">
        <v>1621</v>
      </c>
      <c r="E2092">
        <v>0</v>
      </c>
      <c r="F2092">
        <v>0</v>
      </c>
      <c r="G2092" t="s">
        <v>83</v>
      </c>
      <c r="H2092" t="s">
        <v>81</v>
      </c>
      <c r="M2092" s="2" t="s">
        <v>1715</v>
      </c>
      <c r="N2092" s="2" t="s">
        <v>1701</v>
      </c>
      <c r="P2092" t="str">
        <f>IF($Q2092="DELETE",IF($S2092="CONFIRMED: NO MODS &gt; 1YR","CONFIRMED: NO MODS &gt; 1YR","DO NOT DELETE — not defensibly confirmed"),IF($Q2092="HOLD","DO NOT DELETE — HOLD (Charlie review)",IF($Q2092="KEEP","DO NOT DELETE — KEEP",IF(ISNUMBER(SEARCH("REVIEW",$Q2092)),"DO NOT DELETE — REVIEW pending",$S2092))))</f>
        <v>REVIEW</v>
      </c>
      <c r="Q2092" t="str" cm="1">
        <f t="array" ref="Q2092">_xlfn.IFS(AND($A2092="thg-beauty",ISNUMBER(SEARCH("liveramp",$C2092))),"DELETE",$A2092="agile-bonbon-662",_xlfn.IFS(LEFT($G2092,9)="Tranche 1","DELETE",$C2092="Sessions_Level_1_All_Sites","KEEP",ISNUMBER(--$C2092),"REVIEW — UA raw logs",$C2092="Emag_Reporting","KEEP",$C2092="Nutrition_Data_Archived_Tables","KEEP",$C2092="EU_Data","KEEP",TRUE,"REVIEW"),OR($A2092="thg-influencer",$A2092="thg-ingenuity",$A2092="thg-central-marketing",$A2092="thg-seoclarity"),"HOLD",TRUE,"")</f>
        <v/>
      </c>
      <c r="R2092" t="str" cm="1">
        <f t="array" ref="R2092">_xlfn.IFS(AND($A2092="thg-beauty",ISNUMBER(SEARCH("liveramp",$C2092))),"thg-beauty Liveramp dataset — confirmed safe to delete",$A2092="agile-bonbon-662",_xlfn.IFS(LEFT($G2092,9)="Tranche 1","Tranche 1: cleared",$C2092="Sessions_Level_1_All_Sites","Downstream aggregation of UA raw logs — keep if raw tables go",ISNUMBER(--$C2092),"UA raw site logs (account ID) — keep pending audit-retention check",$C2092="Emag_Reporting","Legacy but likely needed",$C2092="Nutrition_Data_Archived_Tables","Worth keeping",$C2092="EU_Data","Static lookup tables — scripts still reference (smoke-test risk)",TRUE,"Review"),OR($A2092="thg-influencer",$A2092="thg-ingenuity",$A2092="thg-central-marketing",$A2092="thg-seoclarity"),"HOLD — Charlie Stringer to review before deletion",TRUE,"")</f>
        <v/>
      </c>
      <c r="S2092" t="s">
        <v>1631</v>
      </c>
    </row>
    <row r="2093" spans="1:19" hidden="1">
      <c r="A2093" t="s">
        <v>1738</v>
      </c>
      <c r="B2093" t="s">
        <v>1724</v>
      </c>
      <c r="C2093" t="s">
        <v>4438</v>
      </c>
      <c r="D2093" s="2" t="s">
        <v>1621</v>
      </c>
      <c r="E2093">
        <v>0</v>
      </c>
      <c r="F2093">
        <v>0</v>
      </c>
      <c r="G2093" t="s">
        <v>83</v>
      </c>
      <c r="H2093" t="s">
        <v>81</v>
      </c>
      <c r="M2093" s="2" t="s">
        <v>1715</v>
      </c>
      <c r="N2093" s="2" t="s">
        <v>1701</v>
      </c>
      <c r="P2093" t="str">
        <f>IF($Q2093="DELETE",IF($S2093="CONFIRMED: NO MODS &gt; 1YR","CONFIRMED: NO MODS &gt; 1YR","DO NOT DELETE — not defensibly confirmed"),IF($Q2093="HOLD","DO NOT DELETE — HOLD (Charlie review)",IF($Q2093="KEEP","DO NOT DELETE — KEEP",IF(ISNUMBER(SEARCH("REVIEW",$Q2093)),"DO NOT DELETE — REVIEW pending",$S2093))))</f>
        <v>REVIEW</v>
      </c>
      <c r="Q2093" t="str" cm="1">
        <f t="array" ref="Q2093">_xlfn.IFS(AND($A2093="thg-beauty",ISNUMBER(SEARCH("liveramp",$C2093))),"DELETE",$A2093="agile-bonbon-662",_xlfn.IFS(LEFT($G2093,9)="Tranche 1","DELETE",$C2093="Sessions_Level_1_All_Sites","KEEP",ISNUMBER(--$C2093),"REVIEW — UA raw logs",$C2093="Emag_Reporting","KEEP",$C2093="Nutrition_Data_Archived_Tables","KEEP",$C2093="EU_Data","KEEP",TRUE,"REVIEW"),OR($A2093="thg-influencer",$A2093="thg-ingenuity",$A2093="thg-central-marketing",$A2093="thg-seoclarity"),"HOLD",TRUE,"")</f>
        <v/>
      </c>
      <c r="R2093" t="str" cm="1">
        <f t="array" ref="R2093">_xlfn.IFS(AND($A2093="thg-beauty",ISNUMBER(SEARCH("liveramp",$C2093))),"thg-beauty Liveramp dataset — confirmed safe to delete",$A2093="agile-bonbon-662",_xlfn.IFS(LEFT($G2093,9)="Tranche 1","Tranche 1: cleared",$C2093="Sessions_Level_1_All_Sites","Downstream aggregation of UA raw logs — keep if raw tables go",ISNUMBER(--$C2093),"UA raw site logs (account ID) — keep pending audit-retention check",$C2093="Emag_Reporting","Legacy but likely needed",$C2093="Nutrition_Data_Archived_Tables","Worth keeping",$C2093="EU_Data","Static lookup tables — scripts still reference (smoke-test risk)",TRUE,"Review"),OR($A2093="thg-influencer",$A2093="thg-ingenuity",$A2093="thg-central-marketing",$A2093="thg-seoclarity"),"HOLD — Charlie Stringer to review before deletion",TRUE,"")</f>
        <v/>
      </c>
      <c r="S2093" t="s">
        <v>1631</v>
      </c>
    </row>
    <row r="2094" spans="1:19" hidden="1">
      <c r="A2094" t="s">
        <v>1768</v>
      </c>
      <c r="B2094" t="s">
        <v>1619</v>
      </c>
      <c r="C2094" t="s">
        <v>4439</v>
      </c>
      <c r="D2094" s="2" t="s">
        <v>1621</v>
      </c>
      <c r="E2094">
        <v>0</v>
      </c>
      <c r="F2094">
        <v>0</v>
      </c>
      <c r="G2094" t="s">
        <v>83</v>
      </c>
      <c r="H2094" t="s">
        <v>81</v>
      </c>
      <c r="M2094" s="2" t="s">
        <v>1715</v>
      </c>
      <c r="N2094" s="2" t="s">
        <v>1701</v>
      </c>
      <c r="P2094" t="str">
        <f>IF($Q2094="DELETE",IF($S2094="CONFIRMED: NO MODS &gt; 1YR","CONFIRMED: NO MODS &gt; 1YR","DO NOT DELETE — not defensibly confirmed"),IF($Q2094="HOLD","DO NOT DELETE — HOLD (Charlie review)",IF($Q2094="KEEP","DO NOT DELETE — KEEP",IF(ISNUMBER(SEARCH("REVIEW",$Q2094)),"DO NOT DELETE — REVIEW pending",$S2094))))</f>
        <v>REVIEW</v>
      </c>
      <c r="Q2094" t="str" cm="1">
        <f t="array" ref="Q2094">_xlfn.IFS(AND($A2094="thg-beauty",ISNUMBER(SEARCH("liveramp",$C2094))),"DELETE",$A2094="agile-bonbon-662",_xlfn.IFS(LEFT($G2094,9)="Tranche 1","DELETE",$C2094="Sessions_Level_1_All_Sites","KEEP",ISNUMBER(--$C2094),"REVIEW — UA raw logs",$C2094="Emag_Reporting","KEEP",$C2094="Nutrition_Data_Archived_Tables","KEEP",$C2094="EU_Data","KEEP",TRUE,"REVIEW"),OR($A2094="thg-influencer",$A2094="thg-ingenuity",$A2094="thg-central-marketing",$A2094="thg-seoclarity"),"HOLD",TRUE,"")</f>
        <v/>
      </c>
      <c r="R2094" t="str" cm="1">
        <f t="array" ref="R2094">_xlfn.IFS(AND($A2094="thg-beauty",ISNUMBER(SEARCH("liveramp",$C2094))),"thg-beauty Liveramp dataset — confirmed safe to delete",$A2094="agile-bonbon-662",_xlfn.IFS(LEFT($G2094,9)="Tranche 1","Tranche 1: cleared",$C2094="Sessions_Level_1_All_Sites","Downstream aggregation of UA raw logs — keep if raw tables go",ISNUMBER(--$C2094),"UA raw site logs (account ID) — keep pending audit-retention check",$C2094="Emag_Reporting","Legacy but likely needed",$C2094="Nutrition_Data_Archived_Tables","Worth keeping",$C2094="EU_Data","Static lookup tables — scripts still reference (smoke-test risk)",TRUE,"Review"),OR($A2094="thg-influencer",$A2094="thg-ingenuity",$A2094="thg-central-marketing",$A2094="thg-seoclarity"),"HOLD — Charlie Stringer to review before deletion",TRUE,"")</f>
        <v/>
      </c>
      <c r="S2094" t="s">
        <v>1631</v>
      </c>
    </row>
    <row r="2095" spans="1:19" hidden="1">
      <c r="A2095" t="s">
        <v>1702</v>
      </c>
      <c r="B2095" t="s">
        <v>1619</v>
      </c>
      <c r="C2095" t="s">
        <v>4439</v>
      </c>
      <c r="D2095" s="2" t="s">
        <v>1621</v>
      </c>
      <c r="E2095">
        <v>0</v>
      </c>
      <c r="F2095">
        <v>0</v>
      </c>
      <c r="G2095" t="s">
        <v>83</v>
      </c>
      <c r="H2095" t="s">
        <v>81</v>
      </c>
      <c r="M2095" s="2" t="s">
        <v>1715</v>
      </c>
      <c r="N2095" s="2" t="s">
        <v>1701</v>
      </c>
      <c r="P2095" t="str">
        <f>IF($Q2095="DELETE",IF($S2095="CONFIRMED: NO MODS &gt; 1YR","CONFIRMED: NO MODS &gt; 1YR","DO NOT DELETE — not defensibly confirmed"),IF($Q2095="HOLD","DO NOT DELETE — HOLD (Charlie review)",IF($Q2095="KEEP","DO NOT DELETE — KEEP",IF(ISNUMBER(SEARCH("REVIEW",$Q2095)),"DO NOT DELETE — REVIEW pending",$S2095))))</f>
        <v>REVIEW</v>
      </c>
      <c r="Q2095" t="str" cm="1">
        <f t="array" ref="Q2095">_xlfn.IFS(AND($A2095="thg-beauty",ISNUMBER(SEARCH("liveramp",$C2095))),"DELETE",$A2095="agile-bonbon-662",_xlfn.IFS(LEFT($G2095,9)="Tranche 1","DELETE",$C2095="Sessions_Level_1_All_Sites","KEEP",ISNUMBER(--$C2095),"REVIEW — UA raw logs",$C2095="Emag_Reporting","KEEP",$C2095="Nutrition_Data_Archived_Tables","KEEP",$C2095="EU_Data","KEEP",TRUE,"REVIEW"),OR($A2095="thg-influencer",$A2095="thg-ingenuity",$A2095="thg-central-marketing",$A2095="thg-seoclarity"),"HOLD",TRUE,"")</f>
        <v/>
      </c>
      <c r="R2095" t="str" cm="1">
        <f t="array" ref="R2095">_xlfn.IFS(AND($A2095="thg-beauty",ISNUMBER(SEARCH("liveramp",$C2095))),"thg-beauty Liveramp dataset — confirmed safe to delete",$A2095="agile-bonbon-662",_xlfn.IFS(LEFT($G2095,9)="Tranche 1","Tranche 1: cleared",$C2095="Sessions_Level_1_All_Sites","Downstream aggregation of UA raw logs — keep if raw tables go",ISNUMBER(--$C2095),"UA raw site logs (account ID) — keep pending audit-retention check",$C2095="Emag_Reporting","Legacy but likely needed",$C2095="Nutrition_Data_Archived_Tables","Worth keeping",$C2095="EU_Data","Static lookup tables — scripts still reference (smoke-test risk)",TRUE,"Review"),OR($A2095="thg-influencer",$A2095="thg-ingenuity",$A2095="thg-central-marketing",$A2095="thg-seoclarity"),"HOLD — Charlie Stringer to review before deletion",TRUE,"")</f>
        <v/>
      </c>
      <c r="S2095" t="s">
        <v>1631</v>
      </c>
    </row>
    <row r="2096" spans="1:19" hidden="1">
      <c r="A2096" t="s">
        <v>93</v>
      </c>
      <c r="B2096" t="s">
        <v>1619</v>
      </c>
      <c r="C2096" t="s">
        <v>4440</v>
      </c>
      <c r="D2096" s="2" t="s">
        <v>1621</v>
      </c>
      <c r="E2096">
        <v>0</v>
      </c>
      <c r="F2096">
        <v>0</v>
      </c>
      <c r="G2096" t="s">
        <v>83</v>
      </c>
      <c r="H2096" t="s">
        <v>81</v>
      </c>
      <c r="M2096" s="2" t="s">
        <v>1715</v>
      </c>
      <c r="N2096" s="2" t="s">
        <v>1701</v>
      </c>
      <c r="P2096" t="str">
        <f>IF($Q2096="DELETE",IF($S2096="CONFIRMED: NO MODS &gt; 1YR","CONFIRMED: NO MODS &gt; 1YR","DO NOT DELETE — not defensibly confirmed"),IF($Q2096="HOLD","DO NOT DELETE — HOLD (Charlie review)",IF($Q2096="KEEP","DO NOT DELETE — KEEP",IF(ISNUMBER(SEARCH("REVIEW",$Q2096)),"DO NOT DELETE — REVIEW pending",$S2096))))</f>
        <v>REVIEW</v>
      </c>
      <c r="Q2096" t="str" cm="1">
        <f t="array" ref="Q2096">_xlfn.IFS(AND($A2096="thg-beauty",ISNUMBER(SEARCH("liveramp",$C2096))),"DELETE",$A2096="agile-bonbon-662",_xlfn.IFS(LEFT($G2096,9)="Tranche 1","DELETE",$C2096="Sessions_Level_1_All_Sites","KEEP",ISNUMBER(--$C2096),"REVIEW — UA raw logs",$C2096="Emag_Reporting","KEEP",$C2096="Nutrition_Data_Archived_Tables","KEEP",$C2096="EU_Data","KEEP",TRUE,"REVIEW"),OR($A2096="thg-influencer",$A2096="thg-ingenuity",$A2096="thg-central-marketing",$A2096="thg-seoclarity"),"HOLD",TRUE,"")</f>
        <v/>
      </c>
      <c r="R2096" t="str" cm="1">
        <f t="array" ref="R2096">_xlfn.IFS(AND($A2096="thg-beauty",ISNUMBER(SEARCH("liveramp",$C2096))),"thg-beauty Liveramp dataset — confirmed safe to delete",$A2096="agile-bonbon-662",_xlfn.IFS(LEFT($G2096,9)="Tranche 1","Tranche 1: cleared",$C2096="Sessions_Level_1_All_Sites","Downstream aggregation of UA raw logs — keep if raw tables go",ISNUMBER(--$C2096),"UA raw site logs (account ID) — keep pending audit-retention check",$C2096="Emag_Reporting","Legacy but likely needed",$C2096="Nutrition_Data_Archived_Tables","Worth keeping",$C2096="EU_Data","Static lookup tables — scripts still reference (smoke-test risk)",TRUE,"Review"),OR($A2096="thg-influencer",$A2096="thg-ingenuity",$A2096="thg-central-marketing",$A2096="thg-seoclarity"),"HOLD — Charlie Stringer to review before deletion",TRUE,"")</f>
        <v/>
      </c>
      <c r="S2096" t="s">
        <v>1631</v>
      </c>
    </row>
    <row r="2097" spans="1:19" hidden="1">
      <c r="A2097" t="s">
        <v>93</v>
      </c>
      <c r="B2097" t="s">
        <v>1619</v>
      </c>
      <c r="C2097" t="s">
        <v>4441</v>
      </c>
      <c r="D2097" s="2" t="s">
        <v>1621</v>
      </c>
      <c r="E2097">
        <v>0</v>
      </c>
      <c r="F2097">
        <v>0</v>
      </c>
      <c r="G2097" t="s">
        <v>83</v>
      </c>
      <c r="H2097" t="s">
        <v>81</v>
      </c>
      <c r="M2097" s="2" t="s">
        <v>1715</v>
      </c>
      <c r="N2097" s="2" t="s">
        <v>1701</v>
      </c>
      <c r="P2097" t="str">
        <f>IF($Q2097="DELETE",IF($S2097="CONFIRMED: NO MODS &gt; 1YR","CONFIRMED: NO MODS &gt; 1YR","DO NOT DELETE — not defensibly confirmed"),IF($Q2097="HOLD","DO NOT DELETE — HOLD (Charlie review)",IF($Q2097="KEEP","DO NOT DELETE — KEEP",IF(ISNUMBER(SEARCH("REVIEW",$Q2097)),"DO NOT DELETE — REVIEW pending",$S2097))))</f>
        <v>REVIEW</v>
      </c>
      <c r="Q2097" t="str" cm="1">
        <f t="array" ref="Q2097">_xlfn.IFS(AND($A2097="thg-beauty",ISNUMBER(SEARCH("liveramp",$C2097))),"DELETE",$A2097="agile-bonbon-662",_xlfn.IFS(LEFT($G2097,9)="Tranche 1","DELETE",$C2097="Sessions_Level_1_All_Sites","KEEP",ISNUMBER(--$C2097),"REVIEW — UA raw logs",$C2097="Emag_Reporting","KEEP",$C2097="Nutrition_Data_Archived_Tables","KEEP",$C2097="EU_Data","KEEP",TRUE,"REVIEW"),OR($A2097="thg-influencer",$A2097="thg-ingenuity",$A2097="thg-central-marketing",$A2097="thg-seoclarity"),"HOLD",TRUE,"")</f>
        <v/>
      </c>
      <c r="R2097" t="str" cm="1">
        <f t="array" ref="R2097">_xlfn.IFS(AND($A2097="thg-beauty",ISNUMBER(SEARCH("liveramp",$C2097))),"thg-beauty Liveramp dataset — confirmed safe to delete",$A2097="agile-bonbon-662",_xlfn.IFS(LEFT($G2097,9)="Tranche 1","Tranche 1: cleared",$C2097="Sessions_Level_1_All_Sites","Downstream aggregation of UA raw logs — keep if raw tables go",ISNUMBER(--$C2097),"UA raw site logs (account ID) — keep pending audit-retention check",$C2097="Emag_Reporting","Legacy but likely needed",$C2097="Nutrition_Data_Archived_Tables","Worth keeping",$C2097="EU_Data","Static lookup tables — scripts still reference (smoke-test risk)",TRUE,"Review"),OR($A2097="thg-influencer",$A2097="thg-ingenuity",$A2097="thg-central-marketing",$A2097="thg-seoclarity"),"HOLD — Charlie Stringer to review before deletion",TRUE,"")</f>
        <v/>
      </c>
      <c r="S2097" t="s">
        <v>1631</v>
      </c>
    </row>
    <row r="2098" spans="1:19" hidden="1">
      <c r="A2098" t="s">
        <v>93</v>
      </c>
      <c r="B2098" t="s">
        <v>1619</v>
      </c>
      <c r="C2098" t="s">
        <v>4439</v>
      </c>
      <c r="D2098" s="2" t="s">
        <v>1621</v>
      </c>
      <c r="E2098">
        <v>0</v>
      </c>
      <c r="F2098">
        <v>0</v>
      </c>
      <c r="G2098" t="s">
        <v>83</v>
      </c>
      <c r="H2098" t="s">
        <v>81</v>
      </c>
      <c r="M2098" s="2" t="s">
        <v>1715</v>
      </c>
      <c r="N2098" s="2" t="s">
        <v>1701</v>
      </c>
      <c r="P2098" t="str">
        <f>IF($Q2098="DELETE",IF($S2098="CONFIRMED: NO MODS &gt; 1YR","CONFIRMED: NO MODS &gt; 1YR","DO NOT DELETE — not defensibly confirmed"),IF($Q2098="HOLD","DO NOT DELETE — HOLD (Charlie review)",IF($Q2098="KEEP","DO NOT DELETE — KEEP",IF(ISNUMBER(SEARCH("REVIEW",$Q2098)),"DO NOT DELETE — REVIEW pending",$S2098))))</f>
        <v>REVIEW</v>
      </c>
      <c r="Q2098" t="str" cm="1">
        <f t="array" ref="Q2098">_xlfn.IFS(AND($A2098="thg-beauty",ISNUMBER(SEARCH("liveramp",$C2098))),"DELETE",$A2098="agile-bonbon-662",_xlfn.IFS(LEFT($G2098,9)="Tranche 1","DELETE",$C2098="Sessions_Level_1_All_Sites","KEEP",ISNUMBER(--$C2098),"REVIEW — UA raw logs",$C2098="Emag_Reporting","KEEP",$C2098="Nutrition_Data_Archived_Tables","KEEP",$C2098="EU_Data","KEEP",TRUE,"REVIEW"),OR($A2098="thg-influencer",$A2098="thg-ingenuity",$A2098="thg-central-marketing",$A2098="thg-seoclarity"),"HOLD",TRUE,"")</f>
        <v/>
      </c>
      <c r="R2098" t="str" cm="1">
        <f t="array" ref="R2098">_xlfn.IFS(AND($A2098="thg-beauty",ISNUMBER(SEARCH("liveramp",$C2098))),"thg-beauty Liveramp dataset — confirmed safe to delete",$A2098="agile-bonbon-662",_xlfn.IFS(LEFT($G2098,9)="Tranche 1","Tranche 1: cleared",$C2098="Sessions_Level_1_All_Sites","Downstream aggregation of UA raw logs — keep if raw tables go",ISNUMBER(--$C2098),"UA raw site logs (account ID) — keep pending audit-retention check",$C2098="Emag_Reporting","Legacy but likely needed",$C2098="Nutrition_Data_Archived_Tables","Worth keeping",$C2098="EU_Data","Static lookup tables — scripts still reference (smoke-test risk)",TRUE,"Review"),OR($A2098="thg-influencer",$A2098="thg-ingenuity",$A2098="thg-central-marketing",$A2098="thg-seoclarity"),"HOLD — Charlie Stringer to review before deletion",TRUE,"")</f>
        <v/>
      </c>
      <c r="S2098" t="s">
        <v>1631</v>
      </c>
    </row>
  </sheetData>
  <autoFilter ref="A1:P2098" xr:uid="{00000000-0001-0000-0200-000000000000}">
    <filterColumn colId="6">
      <filters>
        <filter val="Tranche 1: Abandoned Test/Temp (&gt;1yr)"/>
      </filters>
    </filterColumn>
    <sortState xmlns:xlrd2="http://schemas.microsoft.com/office/spreadsheetml/2017/richdata2" ref="A2:P2098">
      <sortCondition ref="G1:G2098"/>
    </sortState>
  </autoFilter>
  <conditionalFormatting sqref="A2:S2098">
    <cfRule type="expression" dxfId="4" priority="1">
      <formula>UPPER($P2)="ACTIONED"</formula>
    </cfRule>
  </conditionalFormatting>
  <conditionalFormatting sqref="A2:S2098">
    <cfRule type="expression" dxfId="3" priority="2">
      <formula>ISNUMBER(SEARCH("DO NOT DELETE",$P2))</formula>
    </cfRule>
  </conditionalFormatting>
  <conditionalFormatting sqref="A2:S2098">
    <cfRule type="expression" dxfId="2" priority="3">
      <formula>$P2="REVIEW"</formula>
    </cfRule>
  </conditionalFormatting>
  <conditionalFormatting sqref="A2:S2098">
    <cfRule type="expression" dxfId="1" priority="4">
      <formula>$P2="CONFIRMED: NO MODS &gt; 1YR"</formula>
    </cfRule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3"/>
  <sheetViews>
    <sheetView workbookViewId="0">
      <selection activeCell="J15" sqref="J15"/>
    </sheetView>
  </sheetViews>
  <sheetFormatPr defaultRowHeight="15"/>
  <cols>
    <col min="1" max="1" width="20.5703125" bestFit="1" customWidth="1"/>
    <col min="2" max="2" width="67.7109375" bestFit="1" customWidth="1"/>
    <col min="3" max="3" width="16.5703125" bestFit="1" customWidth="1"/>
    <col min="4" max="4" width="17.140625" bestFit="1" customWidth="1"/>
    <col min="5" max="5" width="10.5703125" bestFit="1" customWidth="1"/>
    <col min="6" max="6" width="12.42578125" bestFit="1" customWidth="1"/>
    <col min="7" max="7" width="27" bestFit="1" customWidth="1"/>
    <col min="8" max="8" width="21.140625" bestFit="1" customWidth="1"/>
  </cols>
  <sheetData>
    <row r="1" spans="1:8">
      <c r="A1" s="46" t="s">
        <v>84</v>
      </c>
      <c r="B1" s="46" t="s">
        <v>4442</v>
      </c>
      <c r="C1" s="46" t="s">
        <v>4443</v>
      </c>
      <c r="D1" s="46" t="s">
        <v>4444</v>
      </c>
      <c r="E1" s="46" t="s">
        <v>4445</v>
      </c>
      <c r="F1" s="46" t="s">
        <v>4446</v>
      </c>
      <c r="G1" s="46" t="s">
        <v>122</v>
      </c>
      <c r="H1" s="46" t="s">
        <v>4447</v>
      </c>
    </row>
    <row r="2" spans="1:8">
      <c r="A2" t="s">
        <v>90</v>
      </c>
      <c r="B2" t="s">
        <v>4448</v>
      </c>
      <c r="C2" t="s">
        <v>4449</v>
      </c>
      <c r="D2" t="s">
        <v>4450</v>
      </c>
      <c r="E2" t="b">
        <v>0</v>
      </c>
      <c r="F2" t="b">
        <v>0</v>
      </c>
      <c r="G2" t="s">
        <v>4451</v>
      </c>
      <c r="H2" t="s">
        <v>4452</v>
      </c>
    </row>
    <row r="3" spans="1:8">
      <c r="A3" t="s">
        <v>90</v>
      </c>
      <c r="B3" t="s">
        <v>4453</v>
      </c>
      <c r="C3" t="s">
        <v>4454</v>
      </c>
      <c r="D3" t="s">
        <v>4450</v>
      </c>
      <c r="E3" t="b">
        <v>0</v>
      </c>
      <c r="F3" t="b">
        <v>0</v>
      </c>
      <c r="G3" t="s">
        <v>4451</v>
      </c>
      <c r="H3" t="s">
        <v>4452</v>
      </c>
    </row>
    <row r="4" spans="1:8">
      <c r="A4" t="s">
        <v>90</v>
      </c>
      <c r="B4" t="s">
        <v>4455</v>
      </c>
      <c r="C4" t="s">
        <v>4456</v>
      </c>
      <c r="D4" t="s">
        <v>4450</v>
      </c>
      <c r="E4" t="b">
        <v>0</v>
      </c>
      <c r="F4" t="b">
        <v>0</v>
      </c>
      <c r="G4" t="s">
        <v>4451</v>
      </c>
      <c r="H4" t="s">
        <v>4452</v>
      </c>
    </row>
    <row r="5" spans="1:8">
      <c r="A5" t="s">
        <v>90</v>
      </c>
      <c r="B5" t="s">
        <v>4457</v>
      </c>
      <c r="C5" t="s">
        <v>4456</v>
      </c>
      <c r="D5" t="s">
        <v>4450</v>
      </c>
      <c r="E5" t="b">
        <v>0</v>
      </c>
      <c r="F5" t="b">
        <v>0</v>
      </c>
      <c r="G5" t="s">
        <v>4451</v>
      </c>
      <c r="H5" t="s">
        <v>4452</v>
      </c>
    </row>
    <row r="6" spans="1:8">
      <c r="A6" t="s">
        <v>90</v>
      </c>
      <c r="B6" t="s">
        <v>4458</v>
      </c>
      <c r="C6" t="s">
        <v>4459</v>
      </c>
      <c r="D6" t="s">
        <v>4460</v>
      </c>
      <c r="E6" t="b">
        <v>0</v>
      </c>
      <c r="F6" t="b">
        <v>0</v>
      </c>
      <c r="G6" t="s">
        <v>4451</v>
      </c>
      <c r="H6" t="s">
        <v>4452</v>
      </c>
    </row>
    <row r="7" spans="1:8">
      <c r="A7" t="s">
        <v>90</v>
      </c>
      <c r="B7" t="s">
        <v>4461</v>
      </c>
      <c r="C7" t="s">
        <v>4456</v>
      </c>
      <c r="D7" t="s">
        <v>4450</v>
      </c>
      <c r="E7" t="b">
        <v>0</v>
      </c>
      <c r="F7" t="b">
        <v>0</v>
      </c>
      <c r="G7" t="s">
        <v>4451</v>
      </c>
      <c r="H7" t="s">
        <v>4452</v>
      </c>
    </row>
    <row r="8" spans="1:8">
      <c r="A8" t="s">
        <v>90</v>
      </c>
      <c r="B8" t="s">
        <v>4462</v>
      </c>
      <c r="C8" t="s">
        <v>4456</v>
      </c>
      <c r="D8" t="s">
        <v>4463</v>
      </c>
      <c r="E8" t="b">
        <v>0</v>
      </c>
      <c r="F8" t="b">
        <v>0</v>
      </c>
      <c r="G8" t="s">
        <v>4451</v>
      </c>
      <c r="H8" t="s">
        <v>4452</v>
      </c>
    </row>
    <row r="9" spans="1:8">
      <c r="A9" t="s">
        <v>90</v>
      </c>
      <c r="B9" t="s">
        <v>4464</v>
      </c>
      <c r="C9" t="s">
        <v>4459</v>
      </c>
      <c r="D9" t="s">
        <v>4450</v>
      </c>
      <c r="E9" t="b">
        <v>0</v>
      </c>
      <c r="F9" t="b">
        <v>0</v>
      </c>
      <c r="G9" t="s">
        <v>4451</v>
      </c>
      <c r="H9" t="s">
        <v>4452</v>
      </c>
    </row>
    <row r="10" spans="1:8">
      <c r="A10" t="s">
        <v>90</v>
      </c>
      <c r="B10" t="s">
        <v>4465</v>
      </c>
      <c r="C10" t="s">
        <v>4459</v>
      </c>
      <c r="D10" t="s">
        <v>4450</v>
      </c>
      <c r="E10" t="b">
        <v>0</v>
      </c>
      <c r="F10" t="b">
        <v>0</v>
      </c>
      <c r="G10" t="s">
        <v>4451</v>
      </c>
      <c r="H10" t="s">
        <v>4452</v>
      </c>
    </row>
    <row r="11" spans="1:8">
      <c r="A11" t="s">
        <v>90</v>
      </c>
      <c r="B11" t="s">
        <v>4466</v>
      </c>
      <c r="C11" t="s">
        <v>4467</v>
      </c>
      <c r="D11" t="s">
        <v>4450</v>
      </c>
      <c r="E11" t="b">
        <v>0</v>
      </c>
      <c r="F11" t="b">
        <v>0</v>
      </c>
      <c r="G11" t="s">
        <v>4451</v>
      </c>
      <c r="H11" t="s">
        <v>4452</v>
      </c>
    </row>
    <row r="12" spans="1:8">
      <c r="A12" t="s">
        <v>90</v>
      </c>
      <c r="B12" t="s">
        <v>4468</v>
      </c>
      <c r="C12" t="s">
        <v>4449</v>
      </c>
      <c r="D12" t="s">
        <v>4450</v>
      </c>
      <c r="E12" t="b">
        <v>0</v>
      </c>
      <c r="F12" t="b">
        <v>0</v>
      </c>
      <c r="G12" t="s">
        <v>4451</v>
      </c>
      <c r="H12" t="s">
        <v>4452</v>
      </c>
    </row>
    <row r="13" spans="1:8">
      <c r="A13" t="s">
        <v>90</v>
      </c>
      <c r="B13" t="s">
        <v>4469</v>
      </c>
      <c r="C13" t="s">
        <v>4456</v>
      </c>
      <c r="D13" t="s">
        <v>4450</v>
      </c>
      <c r="E13" t="b">
        <v>0</v>
      </c>
      <c r="F13" t="b">
        <v>0</v>
      </c>
      <c r="G13" t="s">
        <v>4451</v>
      </c>
      <c r="H13" t="s">
        <v>4452</v>
      </c>
    </row>
    <row r="14" spans="1:8">
      <c r="A14" t="s">
        <v>90</v>
      </c>
      <c r="B14" t="s">
        <v>4470</v>
      </c>
      <c r="C14" t="s">
        <v>4456</v>
      </c>
      <c r="D14" t="s">
        <v>4450</v>
      </c>
      <c r="E14" t="b">
        <v>0</v>
      </c>
      <c r="F14" t="b">
        <v>0</v>
      </c>
      <c r="G14" t="s">
        <v>4451</v>
      </c>
      <c r="H14" t="s">
        <v>4452</v>
      </c>
    </row>
    <row r="15" spans="1:8">
      <c r="A15" t="s">
        <v>90</v>
      </c>
      <c r="B15" t="s">
        <v>4471</v>
      </c>
      <c r="C15" t="s">
        <v>4454</v>
      </c>
      <c r="D15" t="s">
        <v>4450</v>
      </c>
      <c r="E15" t="b">
        <v>0</v>
      </c>
      <c r="F15" t="b">
        <v>0</v>
      </c>
      <c r="G15" t="s">
        <v>4451</v>
      </c>
      <c r="H15" t="s">
        <v>4452</v>
      </c>
    </row>
    <row r="16" spans="1:8">
      <c r="A16" t="s">
        <v>90</v>
      </c>
      <c r="B16" t="s">
        <v>4472</v>
      </c>
      <c r="C16" t="s">
        <v>4454</v>
      </c>
      <c r="D16" t="s">
        <v>4450</v>
      </c>
      <c r="E16" t="b">
        <v>1</v>
      </c>
      <c r="F16" t="b">
        <v>1</v>
      </c>
      <c r="G16" t="s">
        <v>4473</v>
      </c>
      <c r="H16" t="s">
        <v>4474</v>
      </c>
    </row>
    <row r="17" spans="1:8">
      <c r="A17" t="s">
        <v>90</v>
      </c>
      <c r="B17" t="s">
        <v>4475</v>
      </c>
      <c r="C17" t="s">
        <v>4454</v>
      </c>
      <c r="D17" t="s">
        <v>4450</v>
      </c>
      <c r="E17" t="b">
        <v>0</v>
      </c>
      <c r="F17" t="b">
        <v>1</v>
      </c>
      <c r="G17" t="s">
        <v>4476</v>
      </c>
      <c r="H17" t="s">
        <v>4477</v>
      </c>
    </row>
    <row r="18" spans="1:8">
      <c r="A18" t="s">
        <v>90</v>
      </c>
      <c r="B18" t="s">
        <v>4478</v>
      </c>
      <c r="C18" t="s">
        <v>4467</v>
      </c>
      <c r="D18" t="s">
        <v>4460</v>
      </c>
      <c r="E18" t="b">
        <v>0</v>
      </c>
      <c r="F18" t="b">
        <v>0</v>
      </c>
      <c r="G18" t="s">
        <v>4451</v>
      </c>
      <c r="H18" t="s">
        <v>4452</v>
      </c>
    </row>
    <row r="19" spans="1:8">
      <c r="A19" t="s">
        <v>90</v>
      </c>
      <c r="B19" t="s">
        <v>4479</v>
      </c>
      <c r="C19" t="s">
        <v>4456</v>
      </c>
      <c r="D19" t="s">
        <v>4463</v>
      </c>
      <c r="E19" t="b">
        <v>0</v>
      </c>
      <c r="F19" t="b">
        <v>0</v>
      </c>
      <c r="G19" t="s">
        <v>4451</v>
      </c>
      <c r="H19" t="s">
        <v>4452</v>
      </c>
    </row>
    <row r="20" spans="1:8">
      <c r="A20" t="s">
        <v>90</v>
      </c>
      <c r="B20" t="s">
        <v>4480</v>
      </c>
      <c r="C20" t="s">
        <v>4456</v>
      </c>
      <c r="D20" t="s">
        <v>4463</v>
      </c>
      <c r="E20" t="b">
        <v>0</v>
      </c>
      <c r="F20" t="b">
        <v>0</v>
      </c>
      <c r="G20" t="s">
        <v>4451</v>
      </c>
      <c r="H20" t="s">
        <v>4452</v>
      </c>
    </row>
    <row r="21" spans="1:8">
      <c r="A21" t="s">
        <v>90</v>
      </c>
      <c r="B21" t="s">
        <v>4481</v>
      </c>
      <c r="C21" t="s">
        <v>4456</v>
      </c>
      <c r="D21" t="s">
        <v>4463</v>
      </c>
      <c r="E21" t="b">
        <v>0</v>
      </c>
      <c r="F21" t="b">
        <v>0</v>
      </c>
      <c r="G21" t="s">
        <v>4451</v>
      </c>
      <c r="H21" t="s">
        <v>4452</v>
      </c>
    </row>
    <row r="22" spans="1:8">
      <c r="A22" t="s">
        <v>90</v>
      </c>
      <c r="B22" t="s">
        <v>4482</v>
      </c>
      <c r="C22" t="s">
        <v>4454</v>
      </c>
      <c r="D22" t="s">
        <v>4450</v>
      </c>
      <c r="E22" t="b">
        <v>0</v>
      </c>
      <c r="F22" t="b">
        <v>0</v>
      </c>
      <c r="G22" t="s">
        <v>4451</v>
      </c>
      <c r="H22" t="s">
        <v>4452</v>
      </c>
    </row>
    <row r="23" spans="1:8">
      <c r="A23" t="s">
        <v>90</v>
      </c>
      <c r="B23" t="s">
        <v>4483</v>
      </c>
      <c r="C23" t="s">
        <v>4456</v>
      </c>
      <c r="D23" t="s">
        <v>4484</v>
      </c>
      <c r="E23" t="b">
        <v>0</v>
      </c>
      <c r="F23" t="b">
        <v>0</v>
      </c>
      <c r="G23" t="s">
        <v>4451</v>
      </c>
      <c r="H23" t="s">
        <v>4452</v>
      </c>
    </row>
    <row r="24" spans="1:8">
      <c r="A24" t="s">
        <v>90</v>
      </c>
      <c r="B24" t="s">
        <v>4485</v>
      </c>
      <c r="C24" t="s">
        <v>4456</v>
      </c>
      <c r="D24" t="s">
        <v>4450</v>
      </c>
      <c r="E24" t="b">
        <v>0</v>
      </c>
      <c r="F24" t="b">
        <v>1</v>
      </c>
      <c r="G24" t="s">
        <v>4476</v>
      </c>
      <c r="H24" t="s">
        <v>4477</v>
      </c>
    </row>
    <row r="25" spans="1:8">
      <c r="A25" t="s">
        <v>90</v>
      </c>
      <c r="B25" t="s">
        <v>4486</v>
      </c>
      <c r="C25" t="s">
        <v>4456</v>
      </c>
      <c r="D25" t="s">
        <v>4463</v>
      </c>
      <c r="E25" t="b">
        <v>0</v>
      </c>
      <c r="F25" t="b">
        <v>0</v>
      </c>
      <c r="G25" t="s">
        <v>4451</v>
      </c>
      <c r="H25" t="s">
        <v>4452</v>
      </c>
    </row>
    <row r="26" spans="1:8">
      <c r="A26" t="s">
        <v>90</v>
      </c>
      <c r="B26" t="s">
        <v>90</v>
      </c>
      <c r="C26" t="s">
        <v>4456</v>
      </c>
      <c r="D26" t="s">
        <v>4450</v>
      </c>
      <c r="E26" t="b">
        <v>0</v>
      </c>
      <c r="F26" t="b">
        <v>0</v>
      </c>
      <c r="G26" t="s">
        <v>4451</v>
      </c>
      <c r="H26" t="s">
        <v>4452</v>
      </c>
    </row>
    <row r="27" spans="1:8">
      <c r="A27" t="s">
        <v>90</v>
      </c>
      <c r="B27" t="s">
        <v>4487</v>
      </c>
      <c r="C27" t="s">
        <v>4456</v>
      </c>
      <c r="D27" t="s">
        <v>4484</v>
      </c>
      <c r="E27" t="b">
        <v>0</v>
      </c>
      <c r="F27" t="b">
        <v>0</v>
      </c>
      <c r="G27" t="s">
        <v>4451</v>
      </c>
      <c r="H27" t="s">
        <v>4452</v>
      </c>
    </row>
    <row r="28" spans="1:8">
      <c r="A28" t="s">
        <v>90</v>
      </c>
      <c r="B28" t="s">
        <v>4488</v>
      </c>
      <c r="C28" t="s">
        <v>4449</v>
      </c>
      <c r="D28" t="s">
        <v>4450</v>
      </c>
      <c r="E28" t="b">
        <v>0</v>
      </c>
      <c r="F28" t="b">
        <v>0</v>
      </c>
      <c r="G28" t="s">
        <v>4451</v>
      </c>
      <c r="H28" t="s">
        <v>4452</v>
      </c>
    </row>
    <row r="29" spans="1:8">
      <c r="A29" t="s">
        <v>90</v>
      </c>
      <c r="B29" t="s">
        <v>4489</v>
      </c>
      <c r="C29" t="s">
        <v>4456</v>
      </c>
      <c r="D29" t="s">
        <v>4463</v>
      </c>
      <c r="E29" t="b">
        <v>0</v>
      </c>
      <c r="F29" t="b">
        <v>0</v>
      </c>
      <c r="G29" t="s">
        <v>4451</v>
      </c>
      <c r="H29" t="s">
        <v>4452</v>
      </c>
    </row>
    <row r="30" spans="1:8">
      <c r="A30" t="s">
        <v>90</v>
      </c>
      <c r="B30" t="s">
        <v>4490</v>
      </c>
      <c r="C30" t="s">
        <v>4456</v>
      </c>
      <c r="D30" t="s">
        <v>4463</v>
      </c>
      <c r="E30" t="b">
        <v>0</v>
      </c>
      <c r="F30" t="b">
        <v>0</v>
      </c>
      <c r="G30" t="s">
        <v>4451</v>
      </c>
      <c r="H30" t="s">
        <v>4452</v>
      </c>
    </row>
    <row r="31" spans="1:8">
      <c r="A31" t="s">
        <v>90</v>
      </c>
      <c r="B31" t="s">
        <v>4491</v>
      </c>
      <c r="C31" t="s">
        <v>4456</v>
      </c>
      <c r="D31" t="s">
        <v>4484</v>
      </c>
      <c r="E31" t="b">
        <v>0</v>
      </c>
      <c r="F31" t="b">
        <v>0</v>
      </c>
      <c r="G31" t="s">
        <v>4451</v>
      </c>
      <c r="H31" t="s">
        <v>4452</v>
      </c>
    </row>
    <row r="32" spans="1:8">
      <c r="A32" t="s">
        <v>90</v>
      </c>
      <c r="B32" t="s">
        <v>4492</v>
      </c>
      <c r="C32" t="s">
        <v>4456</v>
      </c>
      <c r="D32" t="s">
        <v>4484</v>
      </c>
      <c r="E32" t="b">
        <v>0</v>
      </c>
      <c r="F32" t="b">
        <v>0</v>
      </c>
      <c r="G32" t="s">
        <v>4451</v>
      </c>
      <c r="H32" t="s">
        <v>4452</v>
      </c>
    </row>
    <row r="33" spans="1:8">
      <c r="A33" t="s">
        <v>90</v>
      </c>
      <c r="B33" t="s">
        <v>4493</v>
      </c>
      <c r="C33" t="s">
        <v>4456</v>
      </c>
      <c r="D33" t="s">
        <v>4463</v>
      </c>
      <c r="E33" t="b">
        <v>0</v>
      </c>
      <c r="F33" t="b">
        <v>1</v>
      </c>
      <c r="G33" t="s">
        <v>4476</v>
      </c>
      <c r="H33" t="s">
        <v>4477</v>
      </c>
    </row>
    <row r="34" spans="1:8">
      <c r="A34" t="s">
        <v>90</v>
      </c>
      <c r="B34" t="s">
        <v>4494</v>
      </c>
      <c r="C34" t="s">
        <v>4456</v>
      </c>
      <c r="D34" t="s">
        <v>4450</v>
      </c>
      <c r="E34" t="b">
        <v>0</v>
      </c>
      <c r="F34" t="b">
        <v>0</v>
      </c>
      <c r="G34" t="s">
        <v>4451</v>
      </c>
      <c r="H34" t="s">
        <v>4452</v>
      </c>
    </row>
    <row r="35" spans="1:8">
      <c r="A35" t="s">
        <v>90</v>
      </c>
      <c r="B35" t="s">
        <v>4495</v>
      </c>
      <c r="C35" t="s">
        <v>4456</v>
      </c>
      <c r="D35" t="s">
        <v>4450</v>
      </c>
      <c r="E35" t="b">
        <v>0</v>
      </c>
      <c r="F35" t="b">
        <v>0</v>
      </c>
      <c r="G35" t="s">
        <v>4451</v>
      </c>
      <c r="H35" t="s">
        <v>4452</v>
      </c>
    </row>
    <row r="36" spans="1:8">
      <c r="A36" t="s">
        <v>90</v>
      </c>
      <c r="B36" t="s">
        <v>4496</v>
      </c>
      <c r="C36" t="s">
        <v>4449</v>
      </c>
      <c r="D36" t="s">
        <v>4450</v>
      </c>
      <c r="E36" t="b">
        <v>0</v>
      </c>
      <c r="F36" t="b">
        <v>0</v>
      </c>
      <c r="G36" t="s">
        <v>4451</v>
      </c>
      <c r="H36" t="s">
        <v>4452</v>
      </c>
    </row>
    <row r="37" spans="1:8">
      <c r="A37" t="s">
        <v>90</v>
      </c>
      <c r="B37" t="s">
        <v>4497</v>
      </c>
      <c r="C37" t="s">
        <v>4449</v>
      </c>
      <c r="D37" t="s">
        <v>4450</v>
      </c>
      <c r="E37" t="b">
        <v>0</v>
      </c>
      <c r="F37" t="b">
        <v>0</v>
      </c>
      <c r="G37" t="s">
        <v>4451</v>
      </c>
      <c r="H37" t="s">
        <v>4452</v>
      </c>
    </row>
    <row r="38" spans="1:8">
      <c r="A38" t="s">
        <v>90</v>
      </c>
      <c r="B38" t="s">
        <v>4498</v>
      </c>
      <c r="C38" t="s">
        <v>4456</v>
      </c>
      <c r="D38" t="s">
        <v>4499</v>
      </c>
      <c r="E38" t="b">
        <v>0</v>
      </c>
      <c r="F38" t="b">
        <v>0</v>
      </c>
      <c r="G38" t="s">
        <v>4451</v>
      </c>
      <c r="H38" t="s">
        <v>4452</v>
      </c>
    </row>
    <row r="39" spans="1:8">
      <c r="A39" t="s">
        <v>90</v>
      </c>
      <c r="B39" t="s">
        <v>4500</v>
      </c>
      <c r="C39" t="s">
        <v>4456</v>
      </c>
      <c r="D39" t="s">
        <v>4450</v>
      </c>
      <c r="E39" t="b">
        <v>0</v>
      </c>
      <c r="F39" t="b">
        <v>0</v>
      </c>
      <c r="G39" t="s">
        <v>4451</v>
      </c>
      <c r="H39" t="s">
        <v>4452</v>
      </c>
    </row>
    <row r="40" spans="1:8">
      <c r="A40" t="s">
        <v>90</v>
      </c>
      <c r="B40" t="s">
        <v>4501</v>
      </c>
      <c r="C40" t="s">
        <v>4456</v>
      </c>
      <c r="D40" t="s">
        <v>4450</v>
      </c>
      <c r="E40" t="b">
        <v>0</v>
      </c>
      <c r="F40" t="b">
        <v>0</v>
      </c>
      <c r="G40" t="s">
        <v>4451</v>
      </c>
      <c r="H40" t="s">
        <v>4452</v>
      </c>
    </row>
    <row r="41" spans="1:8">
      <c r="A41" t="s">
        <v>90</v>
      </c>
      <c r="B41" t="s">
        <v>4502</v>
      </c>
      <c r="C41" t="s">
        <v>4456</v>
      </c>
      <c r="D41" t="s">
        <v>4450</v>
      </c>
      <c r="E41" t="b">
        <v>0</v>
      </c>
      <c r="F41" t="b">
        <v>1</v>
      </c>
      <c r="G41" t="s">
        <v>4476</v>
      </c>
      <c r="H41" t="s">
        <v>4477</v>
      </c>
    </row>
    <row r="42" spans="1:8">
      <c r="A42" t="s">
        <v>90</v>
      </c>
      <c r="B42" t="s">
        <v>4503</v>
      </c>
      <c r="C42" t="s">
        <v>4459</v>
      </c>
      <c r="D42" t="s">
        <v>4450</v>
      </c>
      <c r="E42" t="b">
        <v>0</v>
      </c>
      <c r="F42" t="b">
        <v>1</v>
      </c>
      <c r="G42" t="s">
        <v>4476</v>
      </c>
      <c r="H42" t="s">
        <v>4477</v>
      </c>
    </row>
    <row r="43" spans="1:8">
      <c r="A43" t="s">
        <v>90</v>
      </c>
      <c r="B43" t="s">
        <v>4504</v>
      </c>
      <c r="C43" t="s">
        <v>4454</v>
      </c>
      <c r="D43" t="s">
        <v>4450</v>
      </c>
      <c r="E43" t="b">
        <v>0</v>
      </c>
      <c r="F43" t="b">
        <v>1</v>
      </c>
      <c r="G43" t="s">
        <v>4476</v>
      </c>
      <c r="H43" t="s">
        <v>4477</v>
      </c>
    </row>
    <row r="44" spans="1:8">
      <c r="A44" t="s">
        <v>90</v>
      </c>
      <c r="B44" t="s">
        <v>4505</v>
      </c>
      <c r="C44" t="s">
        <v>4449</v>
      </c>
      <c r="D44" t="s">
        <v>4450</v>
      </c>
      <c r="E44" t="b">
        <v>0</v>
      </c>
      <c r="F44" t="b">
        <v>1</v>
      </c>
      <c r="G44" t="s">
        <v>4476</v>
      </c>
      <c r="H44" t="s">
        <v>4477</v>
      </c>
    </row>
    <row r="45" spans="1:8">
      <c r="A45" t="s">
        <v>90</v>
      </c>
      <c r="B45" t="s">
        <v>4506</v>
      </c>
      <c r="C45" t="s">
        <v>4467</v>
      </c>
      <c r="D45" t="s">
        <v>4450</v>
      </c>
      <c r="E45" t="b">
        <v>0</v>
      </c>
      <c r="F45" t="b">
        <v>1</v>
      </c>
      <c r="G45" t="s">
        <v>4476</v>
      </c>
      <c r="H45" t="s">
        <v>4477</v>
      </c>
    </row>
    <row r="46" spans="1:8">
      <c r="A46" t="s">
        <v>89</v>
      </c>
      <c r="B46" t="s">
        <v>4507</v>
      </c>
      <c r="C46" t="s">
        <v>4456</v>
      </c>
      <c r="D46" t="s">
        <v>4463</v>
      </c>
      <c r="E46" t="b">
        <v>0</v>
      </c>
      <c r="F46" t="b">
        <v>0</v>
      </c>
      <c r="G46" t="s">
        <v>4451</v>
      </c>
      <c r="H46" t="s">
        <v>4452</v>
      </c>
    </row>
    <row r="47" spans="1:8">
      <c r="A47" t="s">
        <v>89</v>
      </c>
      <c r="B47" t="s">
        <v>4508</v>
      </c>
      <c r="C47" t="s">
        <v>4509</v>
      </c>
      <c r="D47" t="s">
        <v>4450</v>
      </c>
      <c r="E47" t="b">
        <v>0</v>
      </c>
      <c r="F47" t="b">
        <v>0</v>
      </c>
      <c r="G47" t="s">
        <v>4451</v>
      </c>
      <c r="H47" t="s">
        <v>4452</v>
      </c>
    </row>
    <row r="48" spans="1:8">
      <c r="A48" t="s">
        <v>89</v>
      </c>
      <c r="B48" t="s">
        <v>4510</v>
      </c>
      <c r="C48" t="s">
        <v>4456</v>
      </c>
      <c r="D48" t="s">
        <v>4450</v>
      </c>
      <c r="E48" t="b">
        <v>0</v>
      </c>
      <c r="F48" t="b">
        <v>0</v>
      </c>
      <c r="G48" t="s">
        <v>4451</v>
      </c>
      <c r="H48" t="s">
        <v>4452</v>
      </c>
    </row>
    <row r="49" spans="1:8">
      <c r="A49" t="s">
        <v>89</v>
      </c>
      <c r="B49" t="s">
        <v>4511</v>
      </c>
      <c r="C49" t="s">
        <v>4459</v>
      </c>
      <c r="D49" t="s">
        <v>4460</v>
      </c>
      <c r="E49" t="b">
        <v>0</v>
      </c>
      <c r="F49" t="b">
        <v>1</v>
      </c>
      <c r="G49" t="s">
        <v>4476</v>
      </c>
      <c r="H49" t="s">
        <v>4477</v>
      </c>
    </row>
    <row r="50" spans="1:8">
      <c r="A50" t="s">
        <v>89</v>
      </c>
      <c r="B50" t="s">
        <v>4512</v>
      </c>
      <c r="C50" t="s">
        <v>4456</v>
      </c>
      <c r="D50" t="s">
        <v>4463</v>
      </c>
      <c r="E50" t="b">
        <v>0</v>
      </c>
      <c r="F50" t="b">
        <v>0</v>
      </c>
      <c r="G50" t="s">
        <v>4451</v>
      </c>
      <c r="H50" t="s">
        <v>4452</v>
      </c>
    </row>
    <row r="51" spans="1:8">
      <c r="A51" t="s">
        <v>89</v>
      </c>
      <c r="B51" t="s">
        <v>4513</v>
      </c>
      <c r="C51" t="s">
        <v>4449</v>
      </c>
      <c r="D51" t="s">
        <v>4463</v>
      </c>
      <c r="E51" t="b">
        <v>0</v>
      </c>
      <c r="F51" t="b">
        <v>0</v>
      </c>
      <c r="G51" t="s">
        <v>4451</v>
      </c>
      <c r="H51" t="s">
        <v>4452</v>
      </c>
    </row>
    <row r="52" spans="1:8">
      <c r="A52" t="s">
        <v>89</v>
      </c>
      <c r="B52" t="s">
        <v>4514</v>
      </c>
      <c r="C52" t="s">
        <v>4449</v>
      </c>
      <c r="D52" t="s">
        <v>4450</v>
      </c>
      <c r="E52" t="b">
        <v>0</v>
      </c>
      <c r="F52" t="b">
        <v>0</v>
      </c>
      <c r="G52" t="s">
        <v>4451</v>
      </c>
      <c r="H52" t="s">
        <v>4452</v>
      </c>
    </row>
    <row r="53" spans="1:8">
      <c r="A53" t="s">
        <v>89</v>
      </c>
      <c r="B53" t="s">
        <v>4515</v>
      </c>
      <c r="C53" t="s">
        <v>4456</v>
      </c>
      <c r="D53" t="s">
        <v>4463</v>
      </c>
      <c r="E53" t="b">
        <v>0</v>
      </c>
      <c r="F53" t="b">
        <v>0</v>
      </c>
      <c r="G53" t="s">
        <v>4451</v>
      </c>
      <c r="H53" t="s">
        <v>4452</v>
      </c>
    </row>
    <row r="54" spans="1:8">
      <c r="A54" t="s">
        <v>89</v>
      </c>
      <c r="B54" t="s">
        <v>4516</v>
      </c>
      <c r="C54" t="s">
        <v>4454</v>
      </c>
      <c r="D54" t="s">
        <v>4450</v>
      </c>
      <c r="E54" t="b">
        <v>0</v>
      </c>
      <c r="F54" t="b">
        <v>0</v>
      </c>
      <c r="G54" t="s">
        <v>4451</v>
      </c>
      <c r="H54" t="s">
        <v>4452</v>
      </c>
    </row>
    <row r="55" spans="1:8">
      <c r="A55" t="s">
        <v>89</v>
      </c>
      <c r="B55" t="s">
        <v>4517</v>
      </c>
      <c r="C55" t="s">
        <v>4449</v>
      </c>
      <c r="D55" t="s">
        <v>4450</v>
      </c>
      <c r="E55" t="b">
        <v>0</v>
      </c>
      <c r="F55" t="b">
        <v>0</v>
      </c>
      <c r="G55" t="s">
        <v>4451</v>
      </c>
      <c r="H55" t="s">
        <v>4452</v>
      </c>
    </row>
    <row r="56" spans="1:8">
      <c r="A56" t="s">
        <v>89</v>
      </c>
      <c r="B56" t="s">
        <v>4518</v>
      </c>
      <c r="C56" t="s">
        <v>4449</v>
      </c>
      <c r="D56" t="s">
        <v>4450</v>
      </c>
      <c r="E56" t="b">
        <v>0</v>
      </c>
      <c r="F56" t="b">
        <v>0</v>
      </c>
      <c r="G56" t="s">
        <v>4451</v>
      </c>
      <c r="H56" t="s">
        <v>4452</v>
      </c>
    </row>
    <row r="57" spans="1:8">
      <c r="A57" t="s">
        <v>89</v>
      </c>
      <c r="B57" t="s">
        <v>4519</v>
      </c>
      <c r="C57" t="s">
        <v>4449</v>
      </c>
      <c r="D57" t="s">
        <v>4463</v>
      </c>
      <c r="E57" t="b">
        <v>0</v>
      </c>
      <c r="F57" t="b">
        <v>0</v>
      </c>
      <c r="G57" t="s">
        <v>4451</v>
      </c>
      <c r="H57" t="s">
        <v>4452</v>
      </c>
    </row>
    <row r="58" spans="1:8">
      <c r="A58" t="s">
        <v>89</v>
      </c>
      <c r="B58" t="s">
        <v>4520</v>
      </c>
      <c r="C58" t="s">
        <v>4459</v>
      </c>
      <c r="D58" t="s">
        <v>4460</v>
      </c>
      <c r="E58" t="b">
        <v>0</v>
      </c>
      <c r="F58" t="b">
        <v>0</v>
      </c>
      <c r="G58" t="s">
        <v>4451</v>
      </c>
      <c r="H58" t="s">
        <v>4452</v>
      </c>
    </row>
    <row r="59" spans="1:8">
      <c r="A59" t="s">
        <v>89</v>
      </c>
      <c r="B59" t="s">
        <v>4521</v>
      </c>
      <c r="C59" t="s">
        <v>4522</v>
      </c>
      <c r="D59" t="s">
        <v>4450</v>
      </c>
      <c r="E59" t="b">
        <v>1</v>
      </c>
      <c r="F59" t="b">
        <v>1</v>
      </c>
      <c r="G59" t="s">
        <v>4473</v>
      </c>
      <c r="H59" t="s">
        <v>4474</v>
      </c>
    </row>
    <row r="60" spans="1:8">
      <c r="A60" t="s">
        <v>89</v>
      </c>
      <c r="B60" t="s">
        <v>4523</v>
      </c>
      <c r="C60" t="s">
        <v>4459</v>
      </c>
      <c r="D60" t="s">
        <v>4460</v>
      </c>
      <c r="E60" t="b">
        <v>0</v>
      </c>
      <c r="F60" t="b">
        <v>0</v>
      </c>
      <c r="G60" t="s">
        <v>4451</v>
      </c>
      <c r="H60" t="s">
        <v>4452</v>
      </c>
    </row>
    <row r="61" spans="1:8">
      <c r="A61" t="s">
        <v>89</v>
      </c>
      <c r="B61" t="s">
        <v>4524</v>
      </c>
      <c r="C61" t="s">
        <v>4456</v>
      </c>
      <c r="D61" t="s">
        <v>4450</v>
      </c>
      <c r="E61" t="b">
        <v>0</v>
      </c>
      <c r="F61" t="b">
        <v>0</v>
      </c>
      <c r="G61" t="s">
        <v>4451</v>
      </c>
      <c r="H61" t="s">
        <v>4452</v>
      </c>
    </row>
    <row r="62" spans="1:8">
      <c r="A62" t="s">
        <v>89</v>
      </c>
      <c r="B62" t="s">
        <v>4525</v>
      </c>
      <c r="C62" t="s">
        <v>4522</v>
      </c>
      <c r="D62" t="s">
        <v>4460</v>
      </c>
      <c r="E62" t="b">
        <v>0</v>
      </c>
      <c r="F62" t="b">
        <v>0</v>
      </c>
      <c r="G62" t="s">
        <v>4451</v>
      </c>
      <c r="H62" t="s">
        <v>4452</v>
      </c>
    </row>
    <row r="63" spans="1:8">
      <c r="A63" t="s">
        <v>89</v>
      </c>
      <c r="B63" t="s">
        <v>4526</v>
      </c>
      <c r="C63" t="s">
        <v>4456</v>
      </c>
      <c r="D63" t="s">
        <v>4450</v>
      </c>
      <c r="E63" t="b">
        <v>0</v>
      </c>
      <c r="F63" t="b">
        <v>0</v>
      </c>
      <c r="G63" t="s">
        <v>4451</v>
      </c>
      <c r="H63" t="s">
        <v>4452</v>
      </c>
    </row>
    <row r="64" spans="1:8">
      <c r="A64" t="s">
        <v>89</v>
      </c>
      <c r="B64" t="s">
        <v>4527</v>
      </c>
      <c r="C64" t="s">
        <v>4449</v>
      </c>
      <c r="D64" t="s">
        <v>4463</v>
      </c>
      <c r="E64" t="b">
        <v>0</v>
      </c>
      <c r="F64" t="b">
        <v>0</v>
      </c>
      <c r="G64" t="s">
        <v>4451</v>
      </c>
      <c r="H64" t="s">
        <v>4452</v>
      </c>
    </row>
    <row r="65" spans="1:8">
      <c r="A65" t="s">
        <v>89</v>
      </c>
      <c r="B65" t="s">
        <v>4528</v>
      </c>
      <c r="C65" t="s">
        <v>4449</v>
      </c>
      <c r="D65" t="s">
        <v>4450</v>
      </c>
      <c r="E65" t="b">
        <v>0</v>
      </c>
      <c r="F65" t="b">
        <v>0</v>
      </c>
      <c r="G65" t="s">
        <v>4451</v>
      </c>
      <c r="H65" t="s">
        <v>4452</v>
      </c>
    </row>
    <row r="66" spans="1:8">
      <c r="A66" t="s">
        <v>89</v>
      </c>
      <c r="B66" t="s">
        <v>2456</v>
      </c>
      <c r="C66" t="s">
        <v>4456</v>
      </c>
      <c r="D66" t="s">
        <v>4450</v>
      </c>
      <c r="E66" t="b">
        <v>0</v>
      </c>
      <c r="F66" t="b">
        <v>0</v>
      </c>
      <c r="G66" t="s">
        <v>4451</v>
      </c>
      <c r="H66" t="s">
        <v>4452</v>
      </c>
    </row>
    <row r="67" spans="1:8">
      <c r="A67" t="s">
        <v>89</v>
      </c>
      <c r="B67" t="s">
        <v>4529</v>
      </c>
      <c r="C67" t="s">
        <v>4449</v>
      </c>
      <c r="D67" t="s">
        <v>4463</v>
      </c>
      <c r="E67" t="b">
        <v>0</v>
      </c>
      <c r="F67" t="b">
        <v>0</v>
      </c>
      <c r="G67" t="s">
        <v>4451</v>
      </c>
      <c r="H67" t="s">
        <v>4452</v>
      </c>
    </row>
    <row r="68" spans="1:8">
      <c r="A68" t="s">
        <v>89</v>
      </c>
      <c r="B68" t="s">
        <v>4530</v>
      </c>
      <c r="C68" t="s">
        <v>4449</v>
      </c>
      <c r="D68" t="s">
        <v>4463</v>
      </c>
      <c r="E68" t="b">
        <v>0</v>
      </c>
      <c r="F68" t="b">
        <v>0</v>
      </c>
      <c r="G68" t="s">
        <v>4451</v>
      </c>
      <c r="H68" t="s">
        <v>4452</v>
      </c>
    </row>
    <row r="69" spans="1:8">
      <c r="A69" t="s">
        <v>89</v>
      </c>
      <c r="B69" t="s">
        <v>4531</v>
      </c>
      <c r="C69" t="s">
        <v>4456</v>
      </c>
      <c r="D69" t="s">
        <v>4463</v>
      </c>
      <c r="E69" t="b">
        <v>0</v>
      </c>
      <c r="F69" t="b">
        <v>0</v>
      </c>
      <c r="G69" t="s">
        <v>4451</v>
      </c>
      <c r="H69" t="s">
        <v>4452</v>
      </c>
    </row>
    <row r="70" spans="1:8">
      <c r="A70" t="s">
        <v>89</v>
      </c>
      <c r="B70" t="s">
        <v>4532</v>
      </c>
      <c r="C70" t="s">
        <v>4459</v>
      </c>
      <c r="D70" t="s">
        <v>4460</v>
      </c>
      <c r="E70" t="b">
        <v>0</v>
      </c>
      <c r="F70" t="b">
        <v>0</v>
      </c>
      <c r="G70" t="s">
        <v>4451</v>
      </c>
      <c r="H70" t="s">
        <v>4452</v>
      </c>
    </row>
    <row r="71" spans="1:8">
      <c r="A71" t="s">
        <v>89</v>
      </c>
      <c r="B71" t="s">
        <v>4533</v>
      </c>
      <c r="C71" t="s">
        <v>4459</v>
      </c>
      <c r="D71" t="s">
        <v>4460</v>
      </c>
      <c r="E71" t="b">
        <v>0</v>
      </c>
      <c r="F71" t="b">
        <v>0</v>
      </c>
      <c r="G71" t="s">
        <v>4451</v>
      </c>
      <c r="H71" t="s">
        <v>4452</v>
      </c>
    </row>
    <row r="72" spans="1:8">
      <c r="A72" t="s">
        <v>89</v>
      </c>
      <c r="B72" t="s">
        <v>4534</v>
      </c>
      <c r="C72" t="s">
        <v>4467</v>
      </c>
      <c r="D72" t="s">
        <v>4460</v>
      </c>
      <c r="E72" t="b">
        <v>0</v>
      </c>
      <c r="F72" t="b">
        <v>0</v>
      </c>
      <c r="G72" t="s">
        <v>4451</v>
      </c>
      <c r="H72" t="s">
        <v>4452</v>
      </c>
    </row>
    <row r="73" spans="1:8">
      <c r="A73" t="s">
        <v>89</v>
      </c>
      <c r="B73" t="s">
        <v>4535</v>
      </c>
      <c r="C73" t="s">
        <v>4454</v>
      </c>
      <c r="D73" t="s">
        <v>4450</v>
      </c>
      <c r="E73" t="b">
        <v>0</v>
      </c>
      <c r="F73" t="b">
        <v>0</v>
      </c>
      <c r="G73" t="s">
        <v>4451</v>
      </c>
      <c r="H73" t="s">
        <v>4452</v>
      </c>
    </row>
    <row r="74" spans="1:8">
      <c r="A74" t="s">
        <v>89</v>
      </c>
      <c r="B74" t="s">
        <v>4536</v>
      </c>
      <c r="C74" t="s">
        <v>4449</v>
      </c>
      <c r="D74" t="s">
        <v>4463</v>
      </c>
      <c r="E74" t="b">
        <v>0</v>
      </c>
      <c r="F74" t="b">
        <v>0</v>
      </c>
      <c r="G74" t="s">
        <v>4451</v>
      </c>
      <c r="H74" t="s">
        <v>4452</v>
      </c>
    </row>
    <row r="75" spans="1:8">
      <c r="A75" t="s">
        <v>89</v>
      </c>
      <c r="B75" t="s">
        <v>4537</v>
      </c>
      <c r="C75" t="s">
        <v>4449</v>
      </c>
      <c r="D75" t="s">
        <v>4450</v>
      </c>
      <c r="E75" t="b">
        <v>0</v>
      </c>
      <c r="F75" t="b">
        <v>0</v>
      </c>
      <c r="G75" t="s">
        <v>4451</v>
      </c>
      <c r="H75" t="s">
        <v>4452</v>
      </c>
    </row>
    <row r="76" spans="1:8">
      <c r="A76" t="s">
        <v>89</v>
      </c>
      <c r="B76" t="s">
        <v>4538</v>
      </c>
      <c r="C76" t="s">
        <v>4456</v>
      </c>
      <c r="D76" t="s">
        <v>4450</v>
      </c>
      <c r="E76" t="b">
        <v>0</v>
      </c>
      <c r="F76" t="b">
        <v>0</v>
      </c>
      <c r="G76" t="s">
        <v>4451</v>
      </c>
      <c r="H76" t="s">
        <v>4452</v>
      </c>
    </row>
    <row r="77" spans="1:8">
      <c r="A77" t="s">
        <v>89</v>
      </c>
      <c r="B77" t="s">
        <v>4539</v>
      </c>
      <c r="C77" t="s">
        <v>4449</v>
      </c>
      <c r="D77" t="s">
        <v>4450</v>
      </c>
      <c r="E77" t="b">
        <v>0</v>
      </c>
      <c r="F77" t="b">
        <v>0</v>
      </c>
      <c r="G77" t="s">
        <v>4451</v>
      </c>
      <c r="H77" t="s">
        <v>4452</v>
      </c>
    </row>
    <row r="78" spans="1:8">
      <c r="A78" t="s">
        <v>89</v>
      </c>
      <c r="B78" t="s">
        <v>4540</v>
      </c>
      <c r="C78" t="s">
        <v>4449</v>
      </c>
      <c r="D78" t="s">
        <v>4484</v>
      </c>
      <c r="E78" t="b">
        <v>0</v>
      </c>
      <c r="F78" t="b">
        <v>0</v>
      </c>
      <c r="G78" t="s">
        <v>4451</v>
      </c>
      <c r="H78" t="s">
        <v>4452</v>
      </c>
    </row>
    <row r="79" spans="1:8">
      <c r="A79" t="s">
        <v>89</v>
      </c>
      <c r="B79" t="s">
        <v>4541</v>
      </c>
      <c r="C79" t="s">
        <v>4449</v>
      </c>
      <c r="D79" t="s">
        <v>4463</v>
      </c>
      <c r="E79" t="b">
        <v>0</v>
      </c>
      <c r="F79" t="b">
        <v>0</v>
      </c>
      <c r="G79" t="s">
        <v>4451</v>
      </c>
      <c r="H79" t="s">
        <v>4452</v>
      </c>
    </row>
    <row r="80" spans="1:8">
      <c r="A80" t="s">
        <v>89</v>
      </c>
      <c r="B80" t="s">
        <v>4542</v>
      </c>
      <c r="C80" t="s">
        <v>4456</v>
      </c>
      <c r="D80" t="s">
        <v>4463</v>
      </c>
      <c r="E80" t="b">
        <v>0</v>
      </c>
      <c r="F80" t="b">
        <v>0</v>
      </c>
      <c r="G80" t="s">
        <v>4451</v>
      </c>
      <c r="H80" t="s">
        <v>4452</v>
      </c>
    </row>
    <row r="81" spans="1:8">
      <c r="A81" t="s">
        <v>89</v>
      </c>
      <c r="B81" t="s">
        <v>4543</v>
      </c>
      <c r="C81" t="s">
        <v>4454</v>
      </c>
      <c r="D81" t="s">
        <v>4460</v>
      </c>
      <c r="E81" t="b">
        <v>0</v>
      </c>
      <c r="F81" t="b">
        <v>0</v>
      </c>
      <c r="G81" t="s">
        <v>4451</v>
      </c>
      <c r="H81" t="s">
        <v>4452</v>
      </c>
    </row>
    <row r="82" spans="1:8">
      <c r="A82" t="s">
        <v>89</v>
      </c>
      <c r="B82" t="s">
        <v>4544</v>
      </c>
      <c r="C82" t="s">
        <v>4456</v>
      </c>
      <c r="D82" t="s">
        <v>4463</v>
      </c>
      <c r="E82" t="b">
        <v>0</v>
      </c>
      <c r="F82" t="b">
        <v>0</v>
      </c>
      <c r="G82" t="s">
        <v>4451</v>
      </c>
      <c r="H82" t="s">
        <v>4452</v>
      </c>
    </row>
    <row r="83" spans="1:8">
      <c r="A83" t="s">
        <v>89</v>
      </c>
      <c r="B83" t="s">
        <v>4545</v>
      </c>
      <c r="C83" t="s">
        <v>4454</v>
      </c>
      <c r="D83" t="s">
        <v>4450</v>
      </c>
      <c r="E83" t="b">
        <v>0</v>
      </c>
      <c r="F83" t="b">
        <v>0</v>
      </c>
      <c r="G83" t="s">
        <v>4451</v>
      </c>
      <c r="H83" t="s">
        <v>4452</v>
      </c>
    </row>
    <row r="84" spans="1:8">
      <c r="A84" t="s">
        <v>89</v>
      </c>
      <c r="B84" t="s">
        <v>4546</v>
      </c>
      <c r="C84" t="s">
        <v>4459</v>
      </c>
      <c r="D84" t="s">
        <v>4460</v>
      </c>
      <c r="E84" t="b">
        <v>0</v>
      </c>
      <c r="F84" t="b">
        <v>0</v>
      </c>
      <c r="G84" t="s">
        <v>4451</v>
      </c>
      <c r="H84" t="s">
        <v>4452</v>
      </c>
    </row>
    <row r="85" spans="1:8">
      <c r="A85" t="s">
        <v>89</v>
      </c>
      <c r="B85" t="s">
        <v>4547</v>
      </c>
      <c r="C85" t="s">
        <v>4449</v>
      </c>
      <c r="D85" t="s">
        <v>4450</v>
      </c>
      <c r="E85" t="b">
        <v>0</v>
      </c>
      <c r="F85" t="b">
        <v>0</v>
      </c>
      <c r="G85" t="s">
        <v>4451</v>
      </c>
      <c r="H85" t="s">
        <v>4452</v>
      </c>
    </row>
    <row r="86" spans="1:8">
      <c r="A86" t="s">
        <v>89</v>
      </c>
      <c r="B86" t="s">
        <v>4548</v>
      </c>
      <c r="C86" t="s">
        <v>4456</v>
      </c>
      <c r="D86" t="s">
        <v>4463</v>
      </c>
      <c r="E86" t="b">
        <v>0</v>
      </c>
      <c r="F86" t="b">
        <v>0</v>
      </c>
      <c r="G86" t="s">
        <v>4451</v>
      </c>
      <c r="H86" t="s">
        <v>4452</v>
      </c>
    </row>
    <row r="87" spans="1:8">
      <c r="A87" t="s">
        <v>89</v>
      </c>
      <c r="B87" t="s">
        <v>4549</v>
      </c>
      <c r="C87" t="s">
        <v>4456</v>
      </c>
      <c r="D87" t="s">
        <v>4450</v>
      </c>
      <c r="E87" t="b">
        <v>0</v>
      </c>
      <c r="F87" t="b">
        <v>0</v>
      </c>
      <c r="G87" t="s">
        <v>4451</v>
      </c>
      <c r="H87" t="s">
        <v>4452</v>
      </c>
    </row>
    <row r="88" spans="1:8">
      <c r="A88" t="s">
        <v>89</v>
      </c>
      <c r="B88" t="s">
        <v>4550</v>
      </c>
      <c r="C88" t="s">
        <v>4449</v>
      </c>
      <c r="D88" t="s">
        <v>4450</v>
      </c>
      <c r="E88" t="b">
        <v>0</v>
      </c>
      <c r="F88" t="b">
        <v>0</v>
      </c>
      <c r="G88" t="s">
        <v>4451</v>
      </c>
      <c r="H88" t="s">
        <v>4452</v>
      </c>
    </row>
    <row r="89" spans="1:8">
      <c r="A89" t="s">
        <v>89</v>
      </c>
      <c r="B89" t="s">
        <v>4551</v>
      </c>
      <c r="C89" t="s">
        <v>4456</v>
      </c>
      <c r="D89" t="s">
        <v>4450</v>
      </c>
      <c r="E89" t="b">
        <v>0</v>
      </c>
      <c r="F89" t="b">
        <v>0</v>
      </c>
      <c r="G89" t="s">
        <v>4451</v>
      </c>
      <c r="H89" t="s">
        <v>4452</v>
      </c>
    </row>
    <row r="90" spans="1:8">
      <c r="A90" t="s">
        <v>89</v>
      </c>
      <c r="B90" t="s">
        <v>4552</v>
      </c>
      <c r="C90" t="s">
        <v>4449</v>
      </c>
      <c r="D90" t="s">
        <v>4450</v>
      </c>
      <c r="E90" t="b">
        <v>0</v>
      </c>
      <c r="F90" t="b">
        <v>0</v>
      </c>
      <c r="G90" t="s">
        <v>4451</v>
      </c>
      <c r="H90" t="s">
        <v>4452</v>
      </c>
    </row>
    <row r="91" spans="1:8">
      <c r="A91" t="s">
        <v>89</v>
      </c>
      <c r="B91" t="s">
        <v>4553</v>
      </c>
      <c r="C91" t="s">
        <v>4449</v>
      </c>
      <c r="D91" t="s">
        <v>4450</v>
      </c>
      <c r="E91" t="b">
        <v>0</v>
      </c>
      <c r="F91" t="b">
        <v>0</v>
      </c>
      <c r="G91" t="s">
        <v>4451</v>
      </c>
      <c r="H91" t="s">
        <v>4452</v>
      </c>
    </row>
    <row r="92" spans="1:8">
      <c r="A92" t="s">
        <v>89</v>
      </c>
      <c r="B92" t="s">
        <v>4554</v>
      </c>
      <c r="C92" t="s">
        <v>4449</v>
      </c>
      <c r="D92" t="s">
        <v>4450</v>
      </c>
      <c r="E92" t="b">
        <v>0</v>
      </c>
      <c r="F92" t="b">
        <v>0</v>
      </c>
      <c r="G92" t="s">
        <v>4451</v>
      </c>
      <c r="H92" t="s">
        <v>4452</v>
      </c>
    </row>
    <row r="93" spans="1:8">
      <c r="A93" t="s">
        <v>89</v>
      </c>
      <c r="B93" t="s">
        <v>4555</v>
      </c>
      <c r="C93" t="s">
        <v>4449</v>
      </c>
      <c r="D93" t="s">
        <v>4450</v>
      </c>
      <c r="E93" t="b">
        <v>0</v>
      </c>
      <c r="F93" t="b">
        <v>0</v>
      </c>
      <c r="G93" t="s">
        <v>4451</v>
      </c>
      <c r="H93" t="s">
        <v>4452</v>
      </c>
    </row>
    <row r="94" spans="1:8">
      <c r="A94" t="s">
        <v>89</v>
      </c>
      <c r="B94" t="s">
        <v>4556</v>
      </c>
      <c r="C94" t="s">
        <v>4449</v>
      </c>
      <c r="D94" t="s">
        <v>4450</v>
      </c>
      <c r="E94" t="b">
        <v>0</v>
      </c>
      <c r="F94" t="b">
        <v>0</v>
      </c>
      <c r="G94" t="s">
        <v>4451</v>
      </c>
      <c r="H94" t="s">
        <v>4452</v>
      </c>
    </row>
    <row r="95" spans="1:8">
      <c r="A95" t="s">
        <v>89</v>
      </c>
      <c r="B95" t="s">
        <v>4557</v>
      </c>
      <c r="C95" t="s">
        <v>4449</v>
      </c>
      <c r="D95" t="s">
        <v>4450</v>
      </c>
      <c r="E95" t="b">
        <v>0</v>
      </c>
      <c r="F95" t="b">
        <v>0</v>
      </c>
      <c r="G95" t="s">
        <v>4451</v>
      </c>
      <c r="H95" t="s">
        <v>4452</v>
      </c>
    </row>
    <row r="96" spans="1:8">
      <c r="A96" t="s">
        <v>89</v>
      </c>
      <c r="B96" t="s">
        <v>4558</v>
      </c>
      <c r="C96" t="s">
        <v>4449</v>
      </c>
      <c r="D96" t="s">
        <v>4450</v>
      </c>
      <c r="E96" t="b">
        <v>0</v>
      </c>
      <c r="F96" t="b">
        <v>0</v>
      </c>
      <c r="G96" t="s">
        <v>4451</v>
      </c>
      <c r="H96" t="s">
        <v>4452</v>
      </c>
    </row>
    <row r="97" spans="1:8">
      <c r="A97" t="s">
        <v>89</v>
      </c>
      <c r="B97" t="s">
        <v>4559</v>
      </c>
      <c r="C97" t="s">
        <v>4449</v>
      </c>
      <c r="D97" t="s">
        <v>4450</v>
      </c>
      <c r="E97" t="b">
        <v>0</v>
      </c>
      <c r="F97" t="b">
        <v>0</v>
      </c>
      <c r="G97" t="s">
        <v>4451</v>
      </c>
      <c r="H97" t="s">
        <v>4452</v>
      </c>
    </row>
    <row r="98" spans="1:8">
      <c r="A98" t="s">
        <v>89</v>
      </c>
      <c r="B98" t="s">
        <v>4560</v>
      </c>
      <c r="C98" t="s">
        <v>4449</v>
      </c>
      <c r="D98" t="s">
        <v>4450</v>
      </c>
      <c r="E98" t="b">
        <v>0</v>
      </c>
      <c r="F98" t="b">
        <v>0</v>
      </c>
      <c r="G98" t="s">
        <v>4451</v>
      </c>
      <c r="H98" t="s">
        <v>4452</v>
      </c>
    </row>
    <row r="99" spans="1:8">
      <c r="A99" t="s">
        <v>89</v>
      </c>
      <c r="B99" t="s">
        <v>4561</v>
      </c>
      <c r="C99" t="s">
        <v>4456</v>
      </c>
      <c r="D99" t="s">
        <v>4463</v>
      </c>
      <c r="E99" t="b">
        <v>0</v>
      </c>
      <c r="F99" t="b">
        <v>0</v>
      </c>
      <c r="G99" t="s">
        <v>4451</v>
      </c>
      <c r="H99" t="s">
        <v>4452</v>
      </c>
    </row>
    <row r="100" spans="1:8">
      <c r="A100" t="s">
        <v>89</v>
      </c>
      <c r="B100" t="s">
        <v>4562</v>
      </c>
      <c r="C100" t="s">
        <v>4522</v>
      </c>
      <c r="D100" t="s">
        <v>4460</v>
      </c>
      <c r="E100" t="b">
        <v>0</v>
      </c>
      <c r="F100" t="b">
        <v>0</v>
      </c>
      <c r="G100" t="s">
        <v>4451</v>
      </c>
      <c r="H100" t="s">
        <v>4452</v>
      </c>
    </row>
    <row r="101" spans="1:8">
      <c r="A101" t="s">
        <v>89</v>
      </c>
      <c r="B101" t="s">
        <v>4563</v>
      </c>
      <c r="C101" t="s">
        <v>4456</v>
      </c>
      <c r="D101" t="s">
        <v>4463</v>
      </c>
      <c r="E101" t="b">
        <v>0</v>
      </c>
      <c r="F101" t="b">
        <v>0</v>
      </c>
      <c r="G101" t="s">
        <v>4451</v>
      </c>
      <c r="H101" t="s">
        <v>4452</v>
      </c>
    </row>
    <row r="102" spans="1:8">
      <c r="A102" t="s">
        <v>89</v>
      </c>
      <c r="B102" t="s">
        <v>4564</v>
      </c>
      <c r="C102" t="s">
        <v>4456</v>
      </c>
      <c r="D102" t="s">
        <v>4450</v>
      </c>
      <c r="E102" t="b">
        <v>0</v>
      </c>
      <c r="F102" t="b">
        <v>0</v>
      </c>
      <c r="G102" t="s">
        <v>4451</v>
      </c>
      <c r="H102" t="s">
        <v>4452</v>
      </c>
    </row>
    <row r="103" spans="1:8">
      <c r="A103" t="s">
        <v>89</v>
      </c>
      <c r="B103" t="s">
        <v>4565</v>
      </c>
      <c r="C103" t="s">
        <v>4456</v>
      </c>
      <c r="D103" t="s">
        <v>4463</v>
      </c>
      <c r="E103" t="b">
        <v>0</v>
      </c>
      <c r="F103" t="b">
        <v>0</v>
      </c>
      <c r="G103" t="s">
        <v>4451</v>
      </c>
      <c r="H103" t="s">
        <v>4452</v>
      </c>
    </row>
    <row r="104" spans="1:8">
      <c r="A104" t="s">
        <v>89</v>
      </c>
      <c r="B104" t="s">
        <v>4566</v>
      </c>
      <c r="C104" t="s">
        <v>4454</v>
      </c>
      <c r="D104" t="s">
        <v>4499</v>
      </c>
      <c r="E104" t="b">
        <v>0</v>
      </c>
      <c r="F104" t="b">
        <v>0</v>
      </c>
      <c r="G104" t="s">
        <v>4451</v>
      </c>
      <c r="H104" t="s">
        <v>4452</v>
      </c>
    </row>
    <row r="105" spans="1:8">
      <c r="A105" t="s">
        <v>89</v>
      </c>
      <c r="B105" t="s">
        <v>4567</v>
      </c>
      <c r="C105" t="s">
        <v>4454</v>
      </c>
      <c r="D105" t="s">
        <v>4450</v>
      </c>
      <c r="E105" t="b">
        <v>0</v>
      </c>
      <c r="F105" t="b">
        <v>0</v>
      </c>
      <c r="G105" t="s">
        <v>4451</v>
      </c>
      <c r="H105" t="s">
        <v>4452</v>
      </c>
    </row>
    <row r="106" spans="1:8">
      <c r="A106" t="s">
        <v>89</v>
      </c>
      <c r="B106" t="s">
        <v>4568</v>
      </c>
      <c r="C106" t="s">
        <v>4454</v>
      </c>
      <c r="D106" t="s">
        <v>4450</v>
      </c>
      <c r="E106" t="b">
        <v>0</v>
      </c>
      <c r="F106" t="b">
        <v>0</v>
      </c>
      <c r="G106" t="s">
        <v>4451</v>
      </c>
      <c r="H106" t="s">
        <v>4452</v>
      </c>
    </row>
    <row r="107" spans="1:8">
      <c r="A107" t="s">
        <v>89</v>
      </c>
      <c r="B107" t="s">
        <v>4569</v>
      </c>
      <c r="C107" t="s">
        <v>4456</v>
      </c>
      <c r="D107" t="s">
        <v>4450</v>
      </c>
      <c r="E107" t="b">
        <v>0</v>
      </c>
      <c r="F107" t="b">
        <v>0</v>
      </c>
      <c r="G107" t="s">
        <v>4451</v>
      </c>
      <c r="H107" t="s">
        <v>4452</v>
      </c>
    </row>
    <row r="108" spans="1:8">
      <c r="A108" t="s">
        <v>89</v>
      </c>
      <c r="B108" t="s">
        <v>4570</v>
      </c>
      <c r="C108" t="s">
        <v>4449</v>
      </c>
      <c r="D108" t="s">
        <v>4463</v>
      </c>
      <c r="E108" t="b">
        <v>0</v>
      </c>
      <c r="F108" t="b">
        <v>0</v>
      </c>
      <c r="G108" t="s">
        <v>4451</v>
      </c>
      <c r="H108" t="s">
        <v>4452</v>
      </c>
    </row>
    <row r="109" spans="1:8">
      <c r="A109" t="s">
        <v>89</v>
      </c>
      <c r="B109" t="s">
        <v>4571</v>
      </c>
      <c r="C109" t="s">
        <v>4522</v>
      </c>
      <c r="D109" t="s">
        <v>4460</v>
      </c>
      <c r="E109" t="b">
        <v>0</v>
      </c>
      <c r="F109" t="b">
        <v>0</v>
      </c>
      <c r="G109" t="s">
        <v>4451</v>
      </c>
      <c r="H109" t="s">
        <v>4452</v>
      </c>
    </row>
    <row r="110" spans="1:8">
      <c r="A110" t="s">
        <v>89</v>
      </c>
      <c r="B110" t="s">
        <v>4572</v>
      </c>
      <c r="C110" t="s">
        <v>4449</v>
      </c>
      <c r="D110" t="s">
        <v>4450</v>
      </c>
      <c r="E110" t="b">
        <v>0</v>
      </c>
      <c r="F110" t="b">
        <v>0</v>
      </c>
      <c r="G110" t="s">
        <v>4451</v>
      </c>
      <c r="H110" t="s">
        <v>4452</v>
      </c>
    </row>
    <row r="111" spans="1:8">
      <c r="A111" t="s">
        <v>89</v>
      </c>
      <c r="B111" t="s">
        <v>4573</v>
      </c>
      <c r="C111" t="s">
        <v>4449</v>
      </c>
      <c r="D111" t="s">
        <v>4450</v>
      </c>
      <c r="E111" t="b">
        <v>0</v>
      </c>
      <c r="F111" t="b">
        <v>0</v>
      </c>
      <c r="G111" t="s">
        <v>4451</v>
      </c>
      <c r="H111" t="s">
        <v>4452</v>
      </c>
    </row>
    <row r="112" spans="1:8">
      <c r="A112" t="s">
        <v>89</v>
      </c>
      <c r="B112" t="s">
        <v>4574</v>
      </c>
      <c r="C112" t="s">
        <v>4456</v>
      </c>
      <c r="D112" t="s">
        <v>4450</v>
      </c>
      <c r="E112" t="b">
        <v>0</v>
      </c>
      <c r="F112" t="b">
        <v>1</v>
      </c>
      <c r="G112" t="s">
        <v>4476</v>
      </c>
      <c r="H112" t="s">
        <v>4477</v>
      </c>
    </row>
    <row r="113" spans="1:8">
      <c r="A113" t="s">
        <v>89</v>
      </c>
      <c r="B113" t="s">
        <v>4575</v>
      </c>
      <c r="C113" t="s">
        <v>4509</v>
      </c>
      <c r="D113" t="s">
        <v>4450</v>
      </c>
      <c r="E113" t="b">
        <v>0</v>
      </c>
      <c r="F113" t="b">
        <v>1</v>
      </c>
      <c r="G113" t="s">
        <v>4476</v>
      </c>
      <c r="H113" t="s">
        <v>4477</v>
      </c>
    </row>
    <row r="114" spans="1:8">
      <c r="A114" t="s">
        <v>89</v>
      </c>
      <c r="B114" t="s">
        <v>4576</v>
      </c>
      <c r="C114" t="s">
        <v>4522</v>
      </c>
      <c r="D114" t="s">
        <v>4450</v>
      </c>
      <c r="E114" t="b">
        <v>0</v>
      </c>
      <c r="F114" t="b">
        <v>1</v>
      </c>
      <c r="G114" t="s">
        <v>4476</v>
      </c>
      <c r="H114" t="s">
        <v>4477</v>
      </c>
    </row>
    <row r="115" spans="1:8">
      <c r="A115" t="s">
        <v>89</v>
      </c>
      <c r="B115" t="s">
        <v>4577</v>
      </c>
      <c r="C115" t="s">
        <v>4459</v>
      </c>
      <c r="D115" t="s">
        <v>4450</v>
      </c>
      <c r="E115" t="b">
        <v>0</v>
      </c>
      <c r="F115" t="b">
        <v>1</v>
      </c>
      <c r="G115" t="s">
        <v>4476</v>
      </c>
      <c r="H115" t="s">
        <v>4477</v>
      </c>
    </row>
    <row r="116" spans="1:8">
      <c r="A116" t="s">
        <v>89</v>
      </c>
      <c r="B116" t="s">
        <v>4578</v>
      </c>
      <c r="C116" t="s">
        <v>4454</v>
      </c>
      <c r="D116" t="s">
        <v>4450</v>
      </c>
      <c r="E116" t="b">
        <v>0</v>
      </c>
      <c r="F116" t="b">
        <v>1</v>
      </c>
      <c r="G116" t="s">
        <v>4476</v>
      </c>
      <c r="H116" t="s">
        <v>4477</v>
      </c>
    </row>
    <row r="117" spans="1:8">
      <c r="A117" t="s">
        <v>89</v>
      </c>
      <c r="B117" t="s">
        <v>4579</v>
      </c>
      <c r="C117" t="s">
        <v>4449</v>
      </c>
      <c r="D117" t="s">
        <v>4450</v>
      </c>
      <c r="E117" t="b">
        <v>0</v>
      </c>
      <c r="F117" t="b">
        <v>1</v>
      </c>
      <c r="G117" t="s">
        <v>4476</v>
      </c>
      <c r="H117" t="s">
        <v>4477</v>
      </c>
    </row>
    <row r="118" spans="1:8">
      <c r="A118" t="s">
        <v>89</v>
      </c>
      <c r="B118" t="s">
        <v>4580</v>
      </c>
      <c r="C118" t="s">
        <v>4467</v>
      </c>
      <c r="D118" t="s">
        <v>4450</v>
      </c>
      <c r="E118" t="b">
        <v>0</v>
      </c>
      <c r="F118" t="b">
        <v>1</v>
      </c>
      <c r="G118" t="s">
        <v>4476</v>
      </c>
      <c r="H118" t="s">
        <v>4477</v>
      </c>
    </row>
    <row r="119" spans="1:8">
      <c r="A119" t="s">
        <v>91</v>
      </c>
      <c r="B119" t="s">
        <v>4581</v>
      </c>
      <c r="C119" t="s">
        <v>4449</v>
      </c>
      <c r="D119" t="s">
        <v>4450</v>
      </c>
      <c r="E119" t="b">
        <v>0</v>
      </c>
      <c r="F119" t="b">
        <v>0</v>
      </c>
      <c r="G119" t="s">
        <v>4451</v>
      </c>
      <c r="H119" t="s">
        <v>4452</v>
      </c>
    </row>
    <row r="120" spans="1:8">
      <c r="A120" t="s">
        <v>91</v>
      </c>
      <c r="B120" t="s">
        <v>4582</v>
      </c>
      <c r="C120" t="s">
        <v>4456</v>
      </c>
      <c r="D120" t="s">
        <v>4450</v>
      </c>
      <c r="E120" t="b">
        <v>0</v>
      </c>
      <c r="F120" t="b">
        <v>0</v>
      </c>
      <c r="G120" t="s">
        <v>4451</v>
      </c>
      <c r="H120" t="s">
        <v>4452</v>
      </c>
    </row>
    <row r="121" spans="1:8">
      <c r="A121" t="s">
        <v>91</v>
      </c>
      <c r="B121" t="s">
        <v>4583</v>
      </c>
      <c r="C121" t="s">
        <v>4456</v>
      </c>
      <c r="D121" t="s">
        <v>4450</v>
      </c>
      <c r="E121" t="b">
        <v>0</v>
      </c>
      <c r="F121" t="b">
        <v>0</v>
      </c>
      <c r="G121" t="s">
        <v>4451</v>
      </c>
      <c r="H121" t="s">
        <v>4452</v>
      </c>
    </row>
    <row r="122" spans="1:8">
      <c r="A122" t="s">
        <v>91</v>
      </c>
      <c r="B122" t="s">
        <v>4584</v>
      </c>
      <c r="C122" t="s">
        <v>4456</v>
      </c>
      <c r="D122" t="s">
        <v>4450</v>
      </c>
      <c r="E122" t="b">
        <v>0</v>
      </c>
      <c r="F122" t="b">
        <v>0</v>
      </c>
      <c r="G122" t="s">
        <v>4451</v>
      </c>
      <c r="H122" t="s">
        <v>4452</v>
      </c>
    </row>
    <row r="123" spans="1:8">
      <c r="A123" t="s">
        <v>91</v>
      </c>
      <c r="B123" t="s">
        <v>4585</v>
      </c>
      <c r="C123" t="s">
        <v>4456</v>
      </c>
      <c r="D123" t="s">
        <v>4450</v>
      </c>
      <c r="E123" t="b">
        <v>0</v>
      </c>
      <c r="F123" t="b">
        <v>0</v>
      </c>
      <c r="G123" t="s">
        <v>4451</v>
      </c>
      <c r="H123" t="s">
        <v>4452</v>
      </c>
    </row>
    <row r="124" spans="1:8">
      <c r="A124" t="s">
        <v>91</v>
      </c>
      <c r="B124" t="s">
        <v>4586</v>
      </c>
      <c r="C124" t="s">
        <v>4459</v>
      </c>
      <c r="D124" t="s">
        <v>4460</v>
      </c>
      <c r="E124" t="b">
        <v>0</v>
      </c>
      <c r="F124" t="b">
        <v>0</v>
      </c>
      <c r="G124" t="s">
        <v>4451</v>
      </c>
      <c r="H124" t="s">
        <v>4452</v>
      </c>
    </row>
    <row r="125" spans="1:8">
      <c r="A125" t="s">
        <v>91</v>
      </c>
      <c r="B125" t="s">
        <v>4587</v>
      </c>
      <c r="C125" t="s">
        <v>4459</v>
      </c>
      <c r="D125" t="s">
        <v>4460</v>
      </c>
      <c r="E125" t="b">
        <v>0</v>
      </c>
      <c r="F125" t="b">
        <v>0</v>
      </c>
      <c r="G125" t="s">
        <v>4451</v>
      </c>
      <c r="H125" t="s">
        <v>4452</v>
      </c>
    </row>
    <row r="126" spans="1:8">
      <c r="A126" t="s">
        <v>91</v>
      </c>
      <c r="B126" t="s">
        <v>4588</v>
      </c>
      <c r="C126" t="s">
        <v>4456</v>
      </c>
      <c r="D126" t="s">
        <v>4450</v>
      </c>
      <c r="E126" t="b">
        <v>0</v>
      </c>
      <c r="F126" t="b">
        <v>0</v>
      </c>
      <c r="G126" t="s">
        <v>4451</v>
      </c>
      <c r="H126" t="s">
        <v>4452</v>
      </c>
    </row>
    <row r="127" spans="1:8">
      <c r="A127" t="s">
        <v>91</v>
      </c>
      <c r="B127" t="s">
        <v>4589</v>
      </c>
      <c r="C127" t="s">
        <v>4456</v>
      </c>
      <c r="D127" t="s">
        <v>4450</v>
      </c>
      <c r="E127" t="b">
        <v>0</v>
      </c>
      <c r="F127" t="b">
        <v>0</v>
      </c>
      <c r="G127" t="s">
        <v>4451</v>
      </c>
      <c r="H127" t="s">
        <v>4452</v>
      </c>
    </row>
    <row r="128" spans="1:8">
      <c r="A128" t="s">
        <v>91</v>
      </c>
      <c r="B128" t="s">
        <v>4590</v>
      </c>
      <c r="C128" t="s">
        <v>4456</v>
      </c>
      <c r="D128" t="s">
        <v>4450</v>
      </c>
      <c r="E128" t="b">
        <v>0</v>
      </c>
      <c r="F128" t="b">
        <v>0</v>
      </c>
      <c r="G128" t="s">
        <v>4451</v>
      </c>
      <c r="H128" t="s">
        <v>4452</v>
      </c>
    </row>
    <row r="129" spans="1:8">
      <c r="A129" t="s">
        <v>91</v>
      </c>
      <c r="B129" t="s">
        <v>4591</v>
      </c>
      <c r="C129" t="s">
        <v>4459</v>
      </c>
      <c r="D129" t="s">
        <v>4450</v>
      </c>
      <c r="E129" t="b">
        <v>0</v>
      </c>
      <c r="F129" t="b">
        <v>0</v>
      </c>
      <c r="G129" t="s">
        <v>4451</v>
      </c>
      <c r="H129" t="s">
        <v>4452</v>
      </c>
    </row>
    <row r="130" spans="1:8">
      <c r="A130" t="s">
        <v>91</v>
      </c>
      <c r="B130" t="s">
        <v>4592</v>
      </c>
      <c r="C130" t="s">
        <v>4459</v>
      </c>
      <c r="D130" t="s">
        <v>4450</v>
      </c>
      <c r="E130" t="b">
        <v>0</v>
      </c>
      <c r="F130" t="b">
        <v>0</v>
      </c>
      <c r="G130" t="s">
        <v>4451</v>
      </c>
      <c r="H130" t="s">
        <v>4452</v>
      </c>
    </row>
    <row r="131" spans="1:8">
      <c r="A131" t="s">
        <v>91</v>
      </c>
      <c r="B131" t="s">
        <v>4593</v>
      </c>
      <c r="C131" t="s">
        <v>4454</v>
      </c>
      <c r="D131" t="s">
        <v>4450</v>
      </c>
      <c r="E131" t="b">
        <v>0</v>
      </c>
      <c r="F131" t="b">
        <v>0</v>
      </c>
      <c r="G131" t="s">
        <v>4451</v>
      </c>
      <c r="H131" t="s">
        <v>4452</v>
      </c>
    </row>
    <row r="132" spans="1:8">
      <c r="A132" t="s">
        <v>91</v>
      </c>
      <c r="B132" t="s">
        <v>4594</v>
      </c>
      <c r="C132" t="s">
        <v>4467</v>
      </c>
      <c r="D132" t="s">
        <v>4450</v>
      </c>
      <c r="E132" t="b">
        <v>0</v>
      </c>
      <c r="F132" t="b">
        <v>0</v>
      </c>
      <c r="G132" t="s">
        <v>4451</v>
      </c>
      <c r="H132" t="s">
        <v>4452</v>
      </c>
    </row>
    <row r="133" spans="1:8">
      <c r="A133" t="s">
        <v>91</v>
      </c>
      <c r="B133" t="s">
        <v>4595</v>
      </c>
      <c r="C133" t="s">
        <v>4449</v>
      </c>
      <c r="D133" t="s">
        <v>4450</v>
      </c>
      <c r="E133" t="b">
        <v>0</v>
      </c>
      <c r="F133" t="b">
        <v>0</v>
      </c>
      <c r="G133" t="s">
        <v>4451</v>
      </c>
      <c r="H133" t="s">
        <v>4452</v>
      </c>
    </row>
    <row r="134" spans="1:8">
      <c r="A134" t="s">
        <v>91</v>
      </c>
      <c r="B134" t="s">
        <v>4596</v>
      </c>
      <c r="C134" t="s">
        <v>4454</v>
      </c>
      <c r="D134" t="s">
        <v>4450</v>
      </c>
      <c r="E134" t="b">
        <v>0</v>
      </c>
      <c r="F134" t="b">
        <v>0</v>
      </c>
      <c r="G134" t="s">
        <v>4451</v>
      </c>
      <c r="H134" t="s">
        <v>4452</v>
      </c>
    </row>
    <row r="135" spans="1:8">
      <c r="A135" t="s">
        <v>91</v>
      </c>
      <c r="B135" t="s">
        <v>4597</v>
      </c>
      <c r="C135" t="s">
        <v>4454</v>
      </c>
      <c r="D135" t="s">
        <v>4450</v>
      </c>
      <c r="E135" t="b">
        <v>0</v>
      </c>
      <c r="F135" t="b">
        <v>1</v>
      </c>
      <c r="G135" t="s">
        <v>4476</v>
      </c>
      <c r="H135" t="s">
        <v>4477</v>
      </c>
    </row>
    <row r="136" spans="1:8">
      <c r="A136" t="s">
        <v>91</v>
      </c>
      <c r="B136" t="s">
        <v>4598</v>
      </c>
      <c r="C136" t="s">
        <v>4456</v>
      </c>
      <c r="D136" t="s">
        <v>4450</v>
      </c>
      <c r="E136" t="b">
        <v>0</v>
      </c>
      <c r="F136" t="b">
        <v>0</v>
      </c>
      <c r="G136" t="s">
        <v>4451</v>
      </c>
      <c r="H136" t="s">
        <v>4452</v>
      </c>
    </row>
    <row r="137" spans="1:8">
      <c r="A137" t="s">
        <v>91</v>
      </c>
      <c r="B137" t="s">
        <v>4599</v>
      </c>
      <c r="C137" t="s">
        <v>4456</v>
      </c>
      <c r="D137" t="s">
        <v>4450</v>
      </c>
      <c r="E137" t="b">
        <v>0</v>
      </c>
      <c r="F137" t="b">
        <v>0</v>
      </c>
      <c r="G137" t="s">
        <v>4451</v>
      </c>
      <c r="H137" t="s">
        <v>4452</v>
      </c>
    </row>
    <row r="138" spans="1:8">
      <c r="A138" t="s">
        <v>91</v>
      </c>
      <c r="B138" t="s">
        <v>4600</v>
      </c>
      <c r="C138" t="s">
        <v>4454</v>
      </c>
      <c r="D138" t="s">
        <v>4450</v>
      </c>
      <c r="E138" t="b">
        <v>0</v>
      </c>
      <c r="F138" t="b">
        <v>0</v>
      </c>
      <c r="G138" t="s">
        <v>4451</v>
      </c>
      <c r="H138" t="s">
        <v>4452</v>
      </c>
    </row>
    <row r="139" spans="1:8">
      <c r="A139" t="s">
        <v>91</v>
      </c>
      <c r="B139" t="s">
        <v>4601</v>
      </c>
      <c r="C139" t="s">
        <v>4454</v>
      </c>
      <c r="D139" t="s">
        <v>4450</v>
      </c>
      <c r="E139" t="b">
        <v>0</v>
      </c>
      <c r="F139" t="b">
        <v>0</v>
      </c>
      <c r="G139" t="s">
        <v>4451</v>
      </c>
      <c r="H139" t="s">
        <v>4452</v>
      </c>
    </row>
    <row r="140" spans="1:8">
      <c r="A140" t="s">
        <v>91</v>
      </c>
      <c r="B140" t="s">
        <v>4602</v>
      </c>
      <c r="C140" t="s">
        <v>4467</v>
      </c>
      <c r="D140" t="s">
        <v>4450</v>
      </c>
      <c r="E140" t="b">
        <v>0</v>
      </c>
      <c r="F140" t="b">
        <v>0</v>
      </c>
      <c r="G140" t="s">
        <v>4451</v>
      </c>
      <c r="H140" t="s">
        <v>4452</v>
      </c>
    </row>
    <row r="141" spans="1:8">
      <c r="A141" t="s">
        <v>91</v>
      </c>
      <c r="B141" t="s">
        <v>4603</v>
      </c>
      <c r="C141" t="s">
        <v>4454</v>
      </c>
      <c r="D141" t="s">
        <v>4450</v>
      </c>
      <c r="E141" t="b">
        <v>1</v>
      </c>
      <c r="F141" t="b">
        <v>1</v>
      </c>
      <c r="G141" t="s">
        <v>4473</v>
      </c>
      <c r="H141" t="s">
        <v>4474</v>
      </c>
    </row>
    <row r="142" spans="1:8">
      <c r="A142" t="s">
        <v>91</v>
      </c>
      <c r="B142" t="s">
        <v>4604</v>
      </c>
      <c r="C142" t="s">
        <v>4467</v>
      </c>
      <c r="D142" t="s">
        <v>4450</v>
      </c>
      <c r="E142" t="b">
        <v>1</v>
      </c>
      <c r="F142" t="b">
        <v>1</v>
      </c>
      <c r="G142" t="s">
        <v>4473</v>
      </c>
      <c r="H142" t="s">
        <v>4474</v>
      </c>
    </row>
    <row r="143" spans="1:8">
      <c r="A143" t="s">
        <v>91</v>
      </c>
      <c r="B143" t="s">
        <v>4605</v>
      </c>
      <c r="C143" t="s">
        <v>4454</v>
      </c>
      <c r="D143" t="s">
        <v>4450</v>
      </c>
      <c r="E143" t="b">
        <v>0</v>
      </c>
      <c r="F143" t="b">
        <v>1</v>
      </c>
      <c r="G143" t="s">
        <v>4476</v>
      </c>
      <c r="H143" t="s">
        <v>4477</v>
      </c>
    </row>
    <row r="144" spans="1:8">
      <c r="A144" t="s">
        <v>91</v>
      </c>
      <c r="B144" t="s">
        <v>4606</v>
      </c>
      <c r="C144" t="s">
        <v>4467</v>
      </c>
      <c r="D144" t="s">
        <v>4450</v>
      </c>
      <c r="E144" t="b">
        <v>0</v>
      </c>
      <c r="F144" t="b">
        <v>1</v>
      </c>
      <c r="G144" t="s">
        <v>4476</v>
      </c>
      <c r="H144" t="s">
        <v>4477</v>
      </c>
    </row>
    <row r="145" spans="1:8">
      <c r="A145" t="s">
        <v>91</v>
      </c>
      <c r="B145" t="s">
        <v>4607</v>
      </c>
      <c r="C145" t="s">
        <v>4467</v>
      </c>
      <c r="D145" t="s">
        <v>4450</v>
      </c>
      <c r="E145" t="b">
        <v>0</v>
      </c>
      <c r="F145" t="b">
        <v>1</v>
      </c>
      <c r="G145" t="s">
        <v>4476</v>
      </c>
      <c r="H145" t="s">
        <v>4477</v>
      </c>
    </row>
    <row r="146" spans="1:8">
      <c r="A146" t="s">
        <v>91</v>
      </c>
      <c r="B146" t="s">
        <v>4608</v>
      </c>
      <c r="C146" t="s">
        <v>4454</v>
      </c>
      <c r="D146" t="s">
        <v>4460</v>
      </c>
      <c r="E146" t="b">
        <v>0</v>
      </c>
      <c r="F146" t="b">
        <v>0</v>
      </c>
      <c r="G146" t="s">
        <v>4451</v>
      </c>
      <c r="H146" t="s">
        <v>4452</v>
      </c>
    </row>
    <row r="147" spans="1:8">
      <c r="A147" t="s">
        <v>91</v>
      </c>
      <c r="B147" t="s">
        <v>4609</v>
      </c>
      <c r="C147" t="s">
        <v>4456</v>
      </c>
      <c r="D147" t="s">
        <v>4463</v>
      </c>
      <c r="E147" t="b">
        <v>0</v>
      </c>
      <c r="F147" t="b">
        <v>0</v>
      </c>
      <c r="G147" t="s">
        <v>4451</v>
      </c>
      <c r="H147" t="s">
        <v>4452</v>
      </c>
    </row>
    <row r="148" spans="1:8">
      <c r="A148" t="s">
        <v>91</v>
      </c>
      <c r="B148" t="s">
        <v>4610</v>
      </c>
      <c r="C148" t="s">
        <v>4456</v>
      </c>
      <c r="D148" t="s">
        <v>4463</v>
      </c>
      <c r="E148" t="b">
        <v>0</v>
      </c>
      <c r="F148" t="b">
        <v>0</v>
      </c>
      <c r="G148" t="s">
        <v>4451</v>
      </c>
      <c r="H148" t="s">
        <v>4452</v>
      </c>
    </row>
    <row r="149" spans="1:8">
      <c r="A149" t="s">
        <v>91</v>
      </c>
      <c r="B149" t="s">
        <v>4611</v>
      </c>
      <c r="C149" t="s">
        <v>4456</v>
      </c>
      <c r="D149" t="s">
        <v>4450</v>
      </c>
      <c r="E149" t="b">
        <v>0</v>
      </c>
      <c r="F149" t="b">
        <v>0</v>
      </c>
      <c r="G149" t="s">
        <v>4451</v>
      </c>
      <c r="H149" t="s">
        <v>4452</v>
      </c>
    </row>
    <row r="150" spans="1:8">
      <c r="A150" t="s">
        <v>91</v>
      </c>
      <c r="B150" t="s">
        <v>4612</v>
      </c>
      <c r="C150" t="s">
        <v>4459</v>
      </c>
      <c r="D150" t="s">
        <v>4450</v>
      </c>
      <c r="E150" t="b">
        <v>0</v>
      </c>
      <c r="F150" t="b">
        <v>0</v>
      </c>
      <c r="G150" t="s">
        <v>4451</v>
      </c>
      <c r="H150" t="s">
        <v>4452</v>
      </c>
    </row>
    <row r="151" spans="1:8">
      <c r="A151" t="s">
        <v>91</v>
      </c>
      <c r="B151" t="s">
        <v>4613</v>
      </c>
      <c r="C151" t="s">
        <v>4459</v>
      </c>
      <c r="D151" t="s">
        <v>4460</v>
      </c>
      <c r="E151" t="b">
        <v>0</v>
      </c>
      <c r="F151" t="b">
        <v>0</v>
      </c>
      <c r="G151" t="s">
        <v>4451</v>
      </c>
      <c r="H151" t="s">
        <v>4452</v>
      </c>
    </row>
    <row r="152" spans="1:8">
      <c r="A152" t="s">
        <v>91</v>
      </c>
      <c r="B152" t="s">
        <v>4614</v>
      </c>
      <c r="C152" t="s">
        <v>4459</v>
      </c>
      <c r="D152" t="s">
        <v>4450</v>
      </c>
      <c r="E152" t="b">
        <v>1</v>
      </c>
      <c r="F152" t="b">
        <v>0</v>
      </c>
      <c r="G152" t="s">
        <v>4473</v>
      </c>
      <c r="H152" t="s">
        <v>4474</v>
      </c>
    </row>
    <row r="153" spans="1:8">
      <c r="A153" t="s">
        <v>91</v>
      </c>
      <c r="B153" t="s">
        <v>4615</v>
      </c>
      <c r="C153" t="s">
        <v>4454</v>
      </c>
      <c r="D153" t="s">
        <v>4450</v>
      </c>
      <c r="E153" t="b">
        <v>0</v>
      </c>
      <c r="F153" t="b">
        <v>0</v>
      </c>
      <c r="G153" t="s">
        <v>4451</v>
      </c>
      <c r="H153" t="s">
        <v>4452</v>
      </c>
    </row>
    <row r="154" spans="1:8">
      <c r="A154" t="s">
        <v>91</v>
      </c>
      <c r="B154" t="s">
        <v>4616</v>
      </c>
      <c r="C154" t="s">
        <v>4456</v>
      </c>
      <c r="D154" t="s">
        <v>4450</v>
      </c>
      <c r="E154" t="b">
        <v>0</v>
      </c>
      <c r="F154" t="b">
        <v>0</v>
      </c>
      <c r="G154" t="s">
        <v>4451</v>
      </c>
      <c r="H154" t="s">
        <v>4452</v>
      </c>
    </row>
    <row r="155" spans="1:8">
      <c r="A155" t="s">
        <v>91</v>
      </c>
      <c r="B155" t="s">
        <v>4617</v>
      </c>
      <c r="C155" t="s">
        <v>4459</v>
      </c>
      <c r="D155" t="s">
        <v>4450</v>
      </c>
      <c r="E155" t="b">
        <v>1</v>
      </c>
      <c r="F155" t="b">
        <v>0</v>
      </c>
      <c r="G155" t="s">
        <v>4473</v>
      </c>
      <c r="H155" t="s">
        <v>4474</v>
      </c>
    </row>
    <row r="156" spans="1:8">
      <c r="A156" t="s">
        <v>91</v>
      </c>
      <c r="B156" t="s">
        <v>4618</v>
      </c>
      <c r="C156" t="s">
        <v>4456</v>
      </c>
      <c r="D156" t="s">
        <v>4463</v>
      </c>
      <c r="E156" t="b">
        <v>0</v>
      </c>
      <c r="F156" t="b">
        <v>0</v>
      </c>
      <c r="G156" t="s">
        <v>4451</v>
      </c>
      <c r="H156" t="s">
        <v>4452</v>
      </c>
    </row>
    <row r="157" spans="1:8">
      <c r="A157" t="s">
        <v>91</v>
      </c>
      <c r="B157" t="s">
        <v>4619</v>
      </c>
      <c r="C157" t="s">
        <v>4449</v>
      </c>
      <c r="D157" t="s">
        <v>4450</v>
      </c>
      <c r="E157" t="b">
        <v>0</v>
      </c>
      <c r="F157" t="b">
        <v>1</v>
      </c>
      <c r="G157" t="s">
        <v>4476</v>
      </c>
      <c r="H157" t="s">
        <v>4477</v>
      </c>
    </row>
    <row r="158" spans="1:8">
      <c r="A158" t="s">
        <v>91</v>
      </c>
      <c r="B158" t="s">
        <v>4620</v>
      </c>
      <c r="C158" t="s">
        <v>4456</v>
      </c>
      <c r="D158" t="s">
        <v>4450</v>
      </c>
      <c r="E158" t="b">
        <v>0</v>
      </c>
      <c r="F158" t="b">
        <v>0</v>
      </c>
      <c r="G158" t="s">
        <v>4451</v>
      </c>
      <c r="H158" t="s">
        <v>4452</v>
      </c>
    </row>
    <row r="159" spans="1:8">
      <c r="A159" t="s">
        <v>91</v>
      </c>
      <c r="B159" t="s">
        <v>4621</v>
      </c>
      <c r="C159" t="s">
        <v>4456</v>
      </c>
      <c r="D159" t="s">
        <v>4450</v>
      </c>
      <c r="E159" t="b">
        <v>0</v>
      </c>
      <c r="F159" t="b">
        <v>0</v>
      </c>
      <c r="G159" t="s">
        <v>4451</v>
      </c>
      <c r="H159" t="s">
        <v>4452</v>
      </c>
    </row>
    <row r="160" spans="1:8">
      <c r="A160" t="s">
        <v>91</v>
      </c>
      <c r="B160" t="s">
        <v>4622</v>
      </c>
      <c r="C160" t="s">
        <v>4456</v>
      </c>
      <c r="D160" t="s">
        <v>4450</v>
      </c>
      <c r="E160" t="b">
        <v>0</v>
      </c>
      <c r="F160" t="b">
        <v>0</v>
      </c>
      <c r="G160" t="s">
        <v>4451</v>
      </c>
      <c r="H160" t="s">
        <v>4452</v>
      </c>
    </row>
    <row r="161" spans="1:8">
      <c r="A161" t="s">
        <v>91</v>
      </c>
      <c r="B161" t="s">
        <v>4623</v>
      </c>
      <c r="C161" t="s">
        <v>4456</v>
      </c>
      <c r="D161" t="s">
        <v>4463</v>
      </c>
      <c r="E161" t="b">
        <v>0</v>
      </c>
      <c r="F161" t="b">
        <v>1</v>
      </c>
      <c r="G161" t="s">
        <v>4476</v>
      </c>
      <c r="H161" t="s">
        <v>4477</v>
      </c>
    </row>
    <row r="162" spans="1:8">
      <c r="A162" t="s">
        <v>91</v>
      </c>
      <c r="B162" t="s">
        <v>4624</v>
      </c>
      <c r="C162" t="s">
        <v>4459</v>
      </c>
      <c r="D162" t="s">
        <v>4460</v>
      </c>
      <c r="E162" t="b">
        <v>0</v>
      </c>
      <c r="F162" t="b">
        <v>0</v>
      </c>
      <c r="G162" t="s">
        <v>4451</v>
      </c>
      <c r="H162" t="s">
        <v>4452</v>
      </c>
    </row>
    <row r="163" spans="1:8">
      <c r="A163" t="s">
        <v>91</v>
      </c>
      <c r="B163" t="s">
        <v>4625</v>
      </c>
      <c r="C163" t="s">
        <v>4449</v>
      </c>
      <c r="D163" t="s">
        <v>4450</v>
      </c>
      <c r="E163" t="b">
        <v>0</v>
      </c>
      <c r="F163" t="b">
        <v>0</v>
      </c>
      <c r="G163" t="s">
        <v>4451</v>
      </c>
      <c r="H163" t="s">
        <v>4452</v>
      </c>
    </row>
    <row r="164" spans="1:8">
      <c r="A164" t="s">
        <v>91</v>
      </c>
      <c r="B164" t="s">
        <v>4626</v>
      </c>
      <c r="C164" t="s">
        <v>4459</v>
      </c>
      <c r="D164" t="s">
        <v>4460</v>
      </c>
      <c r="E164" t="b">
        <v>0</v>
      </c>
      <c r="F164" t="b">
        <v>0</v>
      </c>
      <c r="G164" t="s">
        <v>4451</v>
      </c>
      <c r="H164" t="s">
        <v>4452</v>
      </c>
    </row>
    <row r="165" spans="1:8">
      <c r="A165" t="s">
        <v>91</v>
      </c>
      <c r="B165" t="s">
        <v>4627</v>
      </c>
      <c r="C165" t="s">
        <v>4459</v>
      </c>
      <c r="D165" t="s">
        <v>4460</v>
      </c>
      <c r="E165" t="b">
        <v>0</v>
      </c>
      <c r="F165" t="b">
        <v>0</v>
      </c>
      <c r="G165" t="s">
        <v>4451</v>
      </c>
      <c r="H165" t="s">
        <v>4452</v>
      </c>
    </row>
    <row r="166" spans="1:8">
      <c r="A166" t="s">
        <v>91</v>
      </c>
      <c r="B166" t="s">
        <v>4628</v>
      </c>
      <c r="C166" t="s">
        <v>4456</v>
      </c>
      <c r="D166" t="s">
        <v>4450</v>
      </c>
      <c r="E166" t="b">
        <v>0</v>
      </c>
      <c r="F166" t="b">
        <v>0</v>
      </c>
      <c r="G166" t="s">
        <v>4451</v>
      </c>
      <c r="H166" t="s">
        <v>4452</v>
      </c>
    </row>
    <row r="167" spans="1:8">
      <c r="A167" t="s">
        <v>91</v>
      </c>
      <c r="B167" t="s">
        <v>91</v>
      </c>
      <c r="C167" t="s">
        <v>4456</v>
      </c>
      <c r="D167" t="s">
        <v>4463</v>
      </c>
      <c r="E167" t="b">
        <v>0</v>
      </c>
      <c r="F167" t="b">
        <v>0</v>
      </c>
      <c r="G167" t="s">
        <v>4451</v>
      </c>
      <c r="H167" t="s">
        <v>4452</v>
      </c>
    </row>
    <row r="168" spans="1:8">
      <c r="A168" t="s">
        <v>91</v>
      </c>
      <c r="B168" t="s">
        <v>4629</v>
      </c>
      <c r="C168" t="s">
        <v>4522</v>
      </c>
      <c r="D168" t="s">
        <v>4460</v>
      </c>
      <c r="E168" t="b">
        <v>0</v>
      </c>
      <c r="F168" t="b">
        <v>0</v>
      </c>
      <c r="G168" t="s">
        <v>4451</v>
      </c>
      <c r="H168" t="s">
        <v>4452</v>
      </c>
    </row>
    <row r="169" spans="1:8">
      <c r="A169" t="s">
        <v>91</v>
      </c>
      <c r="B169" t="s">
        <v>4630</v>
      </c>
      <c r="C169" t="s">
        <v>4449</v>
      </c>
      <c r="D169" t="s">
        <v>4450</v>
      </c>
      <c r="E169" t="b">
        <v>0</v>
      </c>
      <c r="F169" t="b">
        <v>0</v>
      </c>
      <c r="G169" t="s">
        <v>4451</v>
      </c>
      <c r="H169" t="s">
        <v>4452</v>
      </c>
    </row>
    <row r="170" spans="1:8">
      <c r="A170" t="s">
        <v>91</v>
      </c>
      <c r="B170" t="s">
        <v>4631</v>
      </c>
      <c r="C170" t="s">
        <v>4449</v>
      </c>
      <c r="D170" t="s">
        <v>4450</v>
      </c>
      <c r="E170" t="b">
        <v>0</v>
      </c>
      <c r="F170" t="b">
        <v>0</v>
      </c>
      <c r="G170" t="s">
        <v>4451</v>
      </c>
      <c r="H170" t="s">
        <v>4452</v>
      </c>
    </row>
    <row r="171" spans="1:8">
      <c r="A171" t="s">
        <v>91</v>
      </c>
      <c r="B171" t="s">
        <v>4632</v>
      </c>
      <c r="C171" t="s">
        <v>4456</v>
      </c>
      <c r="D171" t="s">
        <v>4463</v>
      </c>
      <c r="E171" t="b">
        <v>0</v>
      </c>
      <c r="F171" t="b">
        <v>0</v>
      </c>
      <c r="G171" t="s">
        <v>4451</v>
      </c>
      <c r="H171" t="s">
        <v>4452</v>
      </c>
    </row>
    <row r="172" spans="1:8">
      <c r="A172" t="s">
        <v>91</v>
      </c>
      <c r="B172" t="s">
        <v>4633</v>
      </c>
      <c r="C172" t="s">
        <v>4456</v>
      </c>
      <c r="D172" t="s">
        <v>4463</v>
      </c>
      <c r="E172" t="b">
        <v>0</v>
      </c>
      <c r="F172" t="b">
        <v>0</v>
      </c>
      <c r="G172" t="s">
        <v>4451</v>
      </c>
      <c r="H172" t="s">
        <v>4452</v>
      </c>
    </row>
    <row r="173" spans="1:8">
      <c r="A173" t="s">
        <v>91</v>
      </c>
      <c r="B173" t="s">
        <v>4634</v>
      </c>
      <c r="C173" t="s">
        <v>4456</v>
      </c>
      <c r="D173" t="s">
        <v>4463</v>
      </c>
      <c r="E173" t="b">
        <v>0</v>
      </c>
      <c r="F173" t="b">
        <v>0</v>
      </c>
      <c r="G173" t="s">
        <v>4451</v>
      </c>
      <c r="H173" t="s">
        <v>4452</v>
      </c>
    </row>
    <row r="174" spans="1:8">
      <c r="A174" t="s">
        <v>91</v>
      </c>
      <c r="B174" t="s">
        <v>4635</v>
      </c>
      <c r="C174" t="s">
        <v>4449</v>
      </c>
      <c r="D174" t="s">
        <v>4450</v>
      </c>
      <c r="E174" t="b">
        <v>0</v>
      </c>
      <c r="F174" t="b">
        <v>0</v>
      </c>
      <c r="G174" t="s">
        <v>4451</v>
      </c>
      <c r="H174" t="s">
        <v>4452</v>
      </c>
    </row>
    <row r="175" spans="1:8">
      <c r="A175" t="s">
        <v>91</v>
      </c>
      <c r="B175" t="s">
        <v>4636</v>
      </c>
      <c r="C175" t="s">
        <v>4449</v>
      </c>
      <c r="D175" t="s">
        <v>4450</v>
      </c>
      <c r="E175" t="b">
        <v>0</v>
      </c>
      <c r="F175" t="b">
        <v>0</v>
      </c>
      <c r="G175" t="s">
        <v>4451</v>
      </c>
      <c r="H175" t="s">
        <v>4452</v>
      </c>
    </row>
    <row r="176" spans="1:8">
      <c r="A176" t="s">
        <v>91</v>
      </c>
      <c r="B176" t="s">
        <v>4637</v>
      </c>
      <c r="C176" t="s">
        <v>4456</v>
      </c>
      <c r="D176" t="s">
        <v>4450</v>
      </c>
      <c r="E176" t="b">
        <v>0</v>
      </c>
      <c r="F176" t="b">
        <v>1</v>
      </c>
      <c r="G176" t="s">
        <v>4476</v>
      </c>
      <c r="H176" t="s">
        <v>4477</v>
      </c>
    </row>
    <row r="177" spans="1:8">
      <c r="A177" t="s">
        <v>91</v>
      </c>
      <c r="B177" t="s">
        <v>4638</v>
      </c>
      <c r="C177" t="s">
        <v>4522</v>
      </c>
      <c r="D177" t="s">
        <v>4450</v>
      </c>
      <c r="E177" t="b">
        <v>0</v>
      </c>
      <c r="F177" t="b">
        <v>1</v>
      </c>
      <c r="G177" t="s">
        <v>4476</v>
      </c>
      <c r="H177" t="s">
        <v>4477</v>
      </c>
    </row>
    <row r="178" spans="1:8">
      <c r="A178" t="s">
        <v>91</v>
      </c>
      <c r="B178" t="s">
        <v>4639</v>
      </c>
      <c r="C178" t="s">
        <v>4459</v>
      </c>
      <c r="D178" t="s">
        <v>4450</v>
      </c>
      <c r="E178" t="b">
        <v>0</v>
      </c>
      <c r="F178" t="b">
        <v>1</v>
      </c>
      <c r="G178" t="s">
        <v>4476</v>
      </c>
      <c r="H178" t="s">
        <v>4477</v>
      </c>
    </row>
    <row r="179" spans="1:8">
      <c r="A179" t="s">
        <v>91</v>
      </c>
      <c r="B179" t="s">
        <v>4640</v>
      </c>
      <c r="C179" t="s">
        <v>4454</v>
      </c>
      <c r="D179" t="s">
        <v>4450</v>
      </c>
      <c r="E179" t="b">
        <v>0</v>
      </c>
      <c r="F179" t="b">
        <v>1</v>
      </c>
      <c r="G179" t="s">
        <v>4476</v>
      </c>
      <c r="H179" t="s">
        <v>4477</v>
      </c>
    </row>
    <row r="180" spans="1:8">
      <c r="A180" t="s">
        <v>91</v>
      </c>
      <c r="B180" t="s">
        <v>4641</v>
      </c>
      <c r="C180" t="s">
        <v>4449</v>
      </c>
      <c r="D180" t="s">
        <v>4450</v>
      </c>
      <c r="E180" t="b">
        <v>0</v>
      </c>
      <c r="F180" t="b">
        <v>1</v>
      </c>
      <c r="G180" t="s">
        <v>4476</v>
      </c>
      <c r="H180" t="s">
        <v>4477</v>
      </c>
    </row>
    <row r="181" spans="1:8">
      <c r="A181" t="s">
        <v>91</v>
      </c>
      <c r="B181" t="s">
        <v>4642</v>
      </c>
      <c r="C181" t="s">
        <v>4467</v>
      </c>
      <c r="D181" t="s">
        <v>4450</v>
      </c>
      <c r="E181" t="b">
        <v>0</v>
      </c>
      <c r="F181" t="b">
        <v>1</v>
      </c>
      <c r="G181" t="s">
        <v>4476</v>
      </c>
      <c r="H181" t="s">
        <v>4477</v>
      </c>
    </row>
    <row r="182" spans="1:8">
      <c r="A182" t="s">
        <v>1471</v>
      </c>
      <c r="B182" t="s">
        <v>1711</v>
      </c>
      <c r="C182" t="s">
        <v>4456</v>
      </c>
      <c r="D182" t="s">
        <v>4450</v>
      </c>
      <c r="E182" t="b">
        <v>0</v>
      </c>
      <c r="F182" t="b">
        <v>0</v>
      </c>
      <c r="G182" t="s">
        <v>4451</v>
      </c>
      <c r="H182" t="s">
        <v>4452</v>
      </c>
    </row>
    <row r="183" spans="1:8">
      <c r="A183" t="s">
        <v>1471</v>
      </c>
      <c r="B183" t="s">
        <v>4643</v>
      </c>
      <c r="C183" t="s">
        <v>4454</v>
      </c>
      <c r="D183" t="s">
        <v>4450</v>
      </c>
      <c r="E183" t="b">
        <v>0</v>
      </c>
      <c r="F183" t="b">
        <v>0</v>
      </c>
      <c r="G183" t="s">
        <v>4451</v>
      </c>
      <c r="H183" t="s">
        <v>4452</v>
      </c>
    </row>
    <row r="184" spans="1:8">
      <c r="A184" t="s">
        <v>1471</v>
      </c>
      <c r="B184" t="s">
        <v>4644</v>
      </c>
      <c r="C184" t="s">
        <v>4456</v>
      </c>
      <c r="D184" t="s">
        <v>4450</v>
      </c>
      <c r="E184" t="b">
        <v>0</v>
      </c>
      <c r="F184" t="b">
        <v>0</v>
      </c>
      <c r="G184" t="s">
        <v>4451</v>
      </c>
      <c r="H184" t="s">
        <v>4452</v>
      </c>
    </row>
    <row r="185" spans="1:8">
      <c r="A185" t="s">
        <v>1471</v>
      </c>
      <c r="B185" t="s">
        <v>4645</v>
      </c>
      <c r="C185" t="s">
        <v>4449</v>
      </c>
      <c r="D185" t="s">
        <v>4450</v>
      </c>
      <c r="E185" t="b">
        <v>0</v>
      </c>
      <c r="F185" t="b">
        <v>0</v>
      </c>
      <c r="G185" t="s">
        <v>4451</v>
      </c>
      <c r="H185" t="s">
        <v>4452</v>
      </c>
    </row>
    <row r="186" spans="1:8">
      <c r="A186" t="s">
        <v>1471</v>
      </c>
      <c r="B186" t="s">
        <v>4646</v>
      </c>
      <c r="C186" t="s">
        <v>4456</v>
      </c>
      <c r="D186" t="s">
        <v>4450</v>
      </c>
      <c r="E186" t="b">
        <v>0</v>
      </c>
      <c r="F186" t="b">
        <v>0</v>
      </c>
      <c r="G186" t="s">
        <v>4451</v>
      </c>
      <c r="H186" t="s">
        <v>4452</v>
      </c>
    </row>
    <row r="187" spans="1:8">
      <c r="A187" t="s">
        <v>1471</v>
      </c>
      <c r="B187" t="s">
        <v>4647</v>
      </c>
      <c r="C187" t="s">
        <v>4456</v>
      </c>
      <c r="D187" t="s">
        <v>4450</v>
      </c>
      <c r="E187" t="b">
        <v>0</v>
      </c>
      <c r="F187" t="b">
        <v>0</v>
      </c>
      <c r="G187" t="s">
        <v>4451</v>
      </c>
      <c r="H187" t="s">
        <v>4452</v>
      </c>
    </row>
    <row r="188" spans="1:8">
      <c r="A188" t="s">
        <v>1471</v>
      </c>
      <c r="B188" t="s">
        <v>4648</v>
      </c>
      <c r="C188" t="s">
        <v>4456</v>
      </c>
      <c r="D188" t="s">
        <v>4450</v>
      </c>
      <c r="E188" t="b">
        <v>0</v>
      </c>
      <c r="F188" t="b">
        <v>1</v>
      </c>
      <c r="G188" t="s">
        <v>4476</v>
      </c>
      <c r="H188" t="s">
        <v>4477</v>
      </c>
    </row>
    <row r="189" spans="1:8">
      <c r="A189" t="s">
        <v>1471</v>
      </c>
      <c r="B189" t="s">
        <v>4649</v>
      </c>
      <c r="C189" t="s">
        <v>4454</v>
      </c>
      <c r="D189" t="s">
        <v>4450</v>
      </c>
      <c r="E189" t="b">
        <v>0</v>
      </c>
      <c r="F189" t="b">
        <v>1</v>
      </c>
      <c r="G189" t="s">
        <v>4476</v>
      </c>
      <c r="H189" t="s">
        <v>4477</v>
      </c>
    </row>
    <row r="190" spans="1:8">
      <c r="A190" t="s">
        <v>1471</v>
      </c>
      <c r="B190" t="s">
        <v>4650</v>
      </c>
      <c r="C190" t="s">
        <v>4449</v>
      </c>
      <c r="D190" t="s">
        <v>4450</v>
      </c>
      <c r="E190" t="b">
        <v>0</v>
      </c>
      <c r="F190" t="b">
        <v>1</v>
      </c>
      <c r="G190" t="s">
        <v>4476</v>
      </c>
      <c r="H190" t="s">
        <v>4477</v>
      </c>
    </row>
    <row r="191" spans="1:8">
      <c r="A191" t="s">
        <v>39</v>
      </c>
      <c r="B191" t="s">
        <v>4651</v>
      </c>
      <c r="C191" t="s">
        <v>4456</v>
      </c>
      <c r="D191" t="s">
        <v>4450</v>
      </c>
      <c r="E191" t="b">
        <v>0</v>
      </c>
      <c r="F191" t="b">
        <v>0</v>
      </c>
      <c r="G191" t="s">
        <v>4451</v>
      </c>
      <c r="H191" t="s">
        <v>4452</v>
      </c>
    </row>
    <row r="192" spans="1:8">
      <c r="A192" t="s">
        <v>39</v>
      </c>
      <c r="B192" t="s">
        <v>4652</v>
      </c>
      <c r="C192" t="s">
        <v>4456</v>
      </c>
      <c r="D192" t="s">
        <v>4450</v>
      </c>
      <c r="E192" t="b">
        <v>0</v>
      </c>
      <c r="F192" t="b">
        <v>0</v>
      </c>
      <c r="G192" t="s">
        <v>4451</v>
      </c>
      <c r="H192" t="s">
        <v>4452</v>
      </c>
    </row>
    <row r="193" spans="1:8">
      <c r="A193" t="s">
        <v>39</v>
      </c>
      <c r="B193" t="s">
        <v>4653</v>
      </c>
      <c r="C193" t="s">
        <v>4456</v>
      </c>
      <c r="D193" t="s">
        <v>4450</v>
      </c>
      <c r="E193" t="b">
        <v>0</v>
      </c>
      <c r="F193" t="b">
        <v>1</v>
      </c>
      <c r="G193" t="s">
        <v>4476</v>
      </c>
      <c r="H193" t="s">
        <v>4477</v>
      </c>
    </row>
  </sheetData>
  <conditionalFormatting sqref="F1:F1048576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5"/>
  <sheetViews>
    <sheetView workbookViewId="0">
      <selection activeCell="I10" sqref="I10"/>
    </sheetView>
  </sheetViews>
  <sheetFormatPr defaultRowHeight="15"/>
  <cols>
    <col min="1" max="1" width="19.28515625" bestFit="1" customWidth="1"/>
    <col min="2" max="2" width="69.42578125" bestFit="1" customWidth="1"/>
    <col min="3" max="3" width="50" bestFit="1" customWidth="1"/>
    <col min="4" max="4" width="19" bestFit="1" customWidth="1"/>
    <col min="5" max="5" width="27.42578125" bestFit="1" customWidth="1"/>
  </cols>
  <sheetData>
    <row r="1" spans="1:5">
      <c r="A1" s="46" t="s">
        <v>84</v>
      </c>
      <c r="B1" s="46" t="s">
        <v>4654</v>
      </c>
      <c r="C1" s="46" t="s">
        <v>4655</v>
      </c>
      <c r="D1" s="46" t="s">
        <v>122</v>
      </c>
      <c r="E1" s="46" t="s">
        <v>131</v>
      </c>
    </row>
    <row r="2" spans="1:5">
      <c r="A2" t="s">
        <v>90</v>
      </c>
      <c r="B2" t="s">
        <v>4656</v>
      </c>
      <c r="C2" t="s">
        <v>4657</v>
      </c>
      <c r="D2" t="s">
        <v>4658</v>
      </c>
      <c r="E2" t="s">
        <v>4659</v>
      </c>
    </row>
    <row r="3" spans="1:5">
      <c r="A3" t="s">
        <v>90</v>
      </c>
      <c r="B3" t="s">
        <v>4660</v>
      </c>
      <c r="C3" t="s">
        <v>4661</v>
      </c>
      <c r="D3" t="s">
        <v>4658</v>
      </c>
      <c r="E3" t="s">
        <v>4659</v>
      </c>
    </row>
    <row r="4" spans="1:5">
      <c r="A4" t="s">
        <v>90</v>
      </c>
      <c r="B4" t="s">
        <v>4662</v>
      </c>
      <c r="C4" t="s">
        <v>4663</v>
      </c>
      <c r="D4" t="s">
        <v>4658</v>
      </c>
      <c r="E4" t="s">
        <v>4659</v>
      </c>
    </row>
    <row r="5" spans="1:5">
      <c r="A5" t="s">
        <v>90</v>
      </c>
      <c r="B5" t="s">
        <v>4664</v>
      </c>
      <c r="C5" t="s">
        <v>4665</v>
      </c>
      <c r="D5" t="s">
        <v>4658</v>
      </c>
      <c r="E5" t="s">
        <v>4659</v>
      </c>
    </row>
    <row r="6" spans="1:5">
      <c r="A6" t="s">
        <v>90</v>
      </c>
      <c r="B6" t="s">
        <v>4666</v>
      </c>
      <c r="C6" t="s">
        <v>4667</v>
      </c>
      <c r="D6" t="s">
        <v>4658</v>
      </c>
      <c r="E6" t="s">
        <v>4659</v>
      </c>
    </row>
    <row r="7" spans="1:5">
      <c r="A7" t="s">
        <v>90</v>
      </c>
      <c r="B7" t="s">
        <v>4668</v>
      </c>
      <c r="C7" t="s">
        <v>4669</v>
      </c>
      <c r="D7" t="s">
        <v>4658</v>
      </c>
      <c r="E7" t="s">
        <v>4659</v>
      </c>
    </row>
    <row r="8" spans="1:5">
      <c r="A8" t="s">
        <v>90</v>
      </c>
      <c r="B8" t="s">
        <v>4670</v>
      </c>
      <c r="C8" t="s">
        <v>4671</v>
      </c>
      <c r="D8" t="s">
        <v>4658</v>
      </c>
      <c r="E8" t="s">
        <v>4659</v>
      </c>
    </row>
    <row r="9" spans="1:5">
      <c r="A9" t="s">
        <v>90</v>
      </c>
      <c r="B9" t="s">
        <v>4672</v>
      </c>
      <c r="C9" t="s">
        <v>4673</v>
      </c>
      <c r="D9" t="s">
        <v>4658</v>
      </c>
      <c r="E9" t="s">
        <v>4659</v>
      </c>
    </row>
    <row r="10" spans="1:5">
      <c r="A10" t="s">
        <v>90</v>
      </c>
      <c r="B10" t="s">
        <v>4674</v>
      </c>
      <c r="C10" t="s">
        <v>4675</v>
      </c>
      <c r="D10" t="s">
        <v>4658</v>
      </c>
      <c r="E10" t="s">
        <v>4659</v>
      </c>
    </row>
    <row r="11" spans="1:5">
      <c r="A11" t="s">
        <v>90</v>
      </c>
      <c r="B11" t="s">
        <v>4676</v>
      </c>
      <c r="C11" t="s">
        <v>4675</v>
      </c>
      <c r="D11" t="s">
        <v>4658</v>
      </c>
      <c r="E11" t="s">
        <v>4659</v>
      </c>
    </row>
    <row r="12" spans="1:5">
      <c r="A12" t="s">
        <v>90</v>
      </c>
      <c r="B12" t="s">
        <v>4677</v>
      </c>
      <c r="C12" t="s">
        <v>4675</v>
      </c>
      <c r="D12" t="s">
        <v>4658</v>
      </c>
      <c r="E12" t="s">
        <v>4659</v>
      </c>
    </row>
    <row r="13" spans="1:5">
      <c r="A13" t="s">
        <v>90</v>
      </c>
      <c r="B13" t="s">
        <v>4678</v>
      </c>
      <c r="C13" t="s">
        <v>4679</v>
      </c>
      <c r="D13" t="s">
        <v>4658</v>
      </c>
      <c r="E13" t="s">
        <v>4659</v>
      </c>
    </row>
    <row r="14" spans="1:5">
      <c r="A14" t="s">
        <v>90</v>
      </c>
      <c r="B14" t="s">
        <v>4680</v>
      </c>
      <c r="C14" t="s">
        <v>4681</v>
      </c>
      <c r="D14" t="s">
        <v>4658</v>
      </c>
      <c r="E14" t="s">
        <v>4659</v>
      </c>
    </row>
    <row r="15" spans="1:5">
      <c r="A15" t="s">
        <v>90</v>
      </c>
      <c r="B15" t="s">
        <v>4682</v>
      </c>
      <c r="C15" t="s">
        <v>4683</v>
      </c>
      <c r="D15" t="s">
        <v>4658</v>
      </c>
      <c r="E15" t="s">
        <v>4659</v>
      </c>
    </row>
    <row r="16" spans="1:5">
      <c r="A16" t="s">
        <v>90</v>
      </c>
      <c r="B16" t="s">
        <v>4684</v>
      </c>
      <c r="C16" t="s">
        <v>4685</v>
      </c>
      <c r="D16" t="s">
        <v>4658</v>
      </c>
      <c r="E16" t="s">
        <v>4659</v>
      </c>
    </row>
    <row r="17" spans="1:5">
      <c r="A17" t="s">
        <v>90</v>
      </c>
      <c r="B17" t="s">
        <v>4686</v>
      </c>
      <c r="C17" t="s">
        <v>4686</v>
      </c>
      <c r="D17" t="s">
        <v>4658</v>
      </c>
      <c r="E17" t="s">
        <v>4659</v>
      </c>
    </row>
    <row r="18" spans="1:5">
      <c r="A18" t="s">
        <v>90</v>
      </c>
      <c r="B18" t="s">
        <v>4687</v>
      </c>
      <c r="C18" t="s">
        <v>4688</v>
      </c>
      <c r="D18" t="s">
        <v>4658</v>
      </c>
      <c r="E18" t="s">
        <v>4659</v>
      </c>
    </row>
    <row r="19" spans="1:5">
      <c r="A19" t="s">
        <v>90</v>
      </c>
      <c r="B19" t="s">
        <v>4689</v>
      </c>
      <c r="C19" t="s">
        <v>4690</v>
      </c>
      <c r="D19" t="s">
        <v>4658</v>
      </c>
      <c r="E19" t="s">
        <v>4659</v>
      </c>
    </row>
    <row r="20" spans="1:5">
      <c r="A20" t="s">
        <v>90</v>
      </c>
      <c r="B20" t="s">
        <v>4691</v>
      </c>
      <c r="C20" t="s">
        <v>4679</v>
      </c>
      <c r="D20" t="s">
        <v>4658</v>
      </c>
      <c r="E20" t="s">
        <v>4659</v>
      </c>
    </row>
    <row r="21" spans="1:5">
      <c r="A21" t="s">
        <v>90</v>
      </c>
      <c r="B21" t="s">
        <v>4692</v>
      </c>
      <c r="C21" t="s">
        <v>4681</v>
      </c>
      <c r="D21" t="s">
        <v>4658</v>
      </c>
      <c r="E21" t="s">
        <v>4659</v>
      </c>
    </row>
    <row r="22" spans="1:5">
      <c r="A22" t="s">
        <v>90</v>
      </c>
      <c r="B22" t="s">
        <v>4693</v>
      </c>
      <c r="C22" t="s">
        <v>4661</v>
      </c>
      <c r="D22" t="s">
        <v>4658</v>
      </c>
      <c r="E22" t="s">
        <v>4659</v>
      </c>
    </row>
    <row r="23" spans="1:5">
      <c r="A23" t="s">
        <v>90</v>
      </c>
      <c r="B23" t="s">
        <v>4694</v>
      </c>
      <c r="C23" t="s">
        <v>4695</v>
      </c>
      <c r="D23" t="s">
        <v>4658</v>
      </c>
      <c r="E23" t="s">
        <v>4659</v>
      </c>
    </row>
    <row r="24" spans="1:5">
      <c r="A24" t="s">
        <v>90</v>
      </c>
      <c r="B24" t="s">
        <v>4696</v>
      </c>
      <c r="C24" t="s">
        <v>4697</v>
      </c>
      <c r="D24" t="s">
        <v>4658</v>
      </c>
      <c r="E24" t="s">
        <v>4659</v>
      </c>
    </row>
    <row r="25" spans="1:5">
      <c r="A25" t="s">
        <v>90</v>
      </c>
      <c r="B25" t="s">
        <v>4698</v>
      </c>
      <c r="C25" t="s">
        <v>4699</v>
      </c>
      <c r="D25" t="s">
        <v>4658</v>
      </c>
      <c r="E25" t="s">
        <v>4659</v>
      </c>
    </row>
    <row r="26" spans="1:5">
      <c r="A26" t="s">
        <v>90</v>
      </c>
      <c r="B26" t="s">
        <v>4700</v>
      </c>
      <c r="C26" t="s">
        <v>4701</v>
      </c>
      <c r="D26" t="s">
        <v>4658</v>
      </c>
      <c r="E26" t="s">
        <v>4659</v>
      </c>
    </row>
    <row r="27" spans="1:5">
      <c r="A27" t="s">
        <v>90</v>
      </c>
      <c r="B27" t="s">
        <v>4702</v>
      </c>
      <c r="C27" t="s">
        <v>4667</v>
      </c>
      <c r="D27" t="s">
        <v>4658</v>
      </c>
      <c r="E27" t="s">
        <v>4659</v>
      </c>
    </row>
    <row r="28" spans="1:5">
      <c r="A28" t="s">
        <v>90</v>
      </c>
      <c r="B28" t="s">
        <v>4703</v>
      </c>
      <c r="C28" t="s">
        <v>4665</v>
      </c>
      <c r="D28" t="s">
        <v>4658</v>
      </c>
      <c r="E28" t="s">
        <v>4659</v>
      </c>
    </row>
    <row r="29" spans="1:5">
      <c r="A29" t="s">
        <v>90</v>
      </c>
      <c r="B29" t="s">
        <v>4704</v>
      </c>
      <c r="C29" t="s">
        <v>4705</v>
      </c>
      <c r="D29" t="s">
        <v>4658</v>
      </c>
      <c r="E29" t="s">
        <v>4659</v>
      </c>
    </row>
    <row r="30" spans="1:5">
      <c r="A30" t="s">
        <v>90</v>
      </c>
      <c r="B30" t="s">
        <v>4706</v>
      </c>
      <c r="C30" t="s">
        <v>4707</v>
      </c>
      <c r="D30" t="s">
        <v>4658</v>
      </c>
      <c r="E30" t="s">
        <v>4659</v>
      </c>
    </row>
    <row r="31" spans="1:5">
      <c r="A31" t="s">
        <v>90</v>
      </c>
      <c r="B31" t="s">
        <v>4708</v>
      </c>
      <c r="C31" t="s">
        <v>4709</v>
      </c>
      <c r="D31" t="s">
        <v>4658</v>
      </c>
      <c r="E31" t="s">
        <v>4659</v>
      </c>
    </row>
    <row r="32" spans="1:5">
      <c r="A32" t="s">
        <v>90</v>
      </c>
      <c r="B32" t="s">
        <v>4710</v>
      </c>
      <c r="C32" t="s">
        <v>4657</v>
      </c>
      <c r="D32" t="s">
        <v>1631</v>
      </c>
      <c r="E32" t="s">
        <v>4711</v>
      </c>
    </row>
    <row r="33" spans="1:5">
      <c r="A33" t="s">
        <v>90</v>
      </c>
      <c r="B33" t="s">
        <v>4712</v>
      </c>
      <c r="C33" t="s">
        <v>4667</v>
      </c>
      <c r="D33" t="s">
        <v>1631</v>
      </c>
      <c r="E33" t="s">
        <v>4711</v>
      </c>
    </row>
    <row r="34" spans="1:5">
      <c r="A34" t="s">
        <v>90</v>
      </c>
      <c r="B34" t="s">
        <v>4713</v>
      </c>
      <c r="C34" t="s">
        <v>4667</v>
      </c>
      <c r="D34" t="s">
        <v>4658</v>
      </c>
      <c r="E34" t="s">
        <v>4659</v>
      </c>
    </row>
    <row r="35" spans="1:5">
      <c r="A35" t="s">
        <v>90</v>
      </c>
      <c r="B35" t="s">
        <v>4714</v>
      </c>
      <c r="C35" t="s">
        <v>4714</v>
      </c>
      <c r="D35" t="s">
        <v>4658</v>
      </c>
      <c r="E35" t="s">
        <v>4659</v>
      </c>
    </row>
    <row r="36" spans="1:5">
      <c r="A36" t="s">
        <v>90</v>
      </c>
      <c r="B36" t="s">
        <v>4715</v>
      </c>
      <c r="C36" t="s">
        <v>4709</v>
      </c>
      <c r="D36" t="s">
        <v>4658</v>
      </c>
      <c r="E36" t="s">
        <v>4659</v>
      </c>
    </row>
    <row r="37" spans="1:5">
      <c r="A37" t="s">
        <v>90</v>
      </c>
      <c r="B37" t="s">
        <v>4716</v>
      </c>
      <c r="C37" t="s">
        <v>4661</v>
      </c>
      <c r="D37" t="s">
        <v>4658</v>
      </c>
      <c r="E37" t="s">
        <v>4659</v>
      </c>
    </row>
    <row r="38" spans="1:5">
      <c r="A38" t="s">
        <v>90</v>
      </c>
      <c r="B38" t="s">
        <v>4717</v>
      </c>
      <c r="C38" t="s">
        <v>4671</v>
      </c>
      <c r="D38" t="s">
        <v>4658</v>
      </c>
      <c r="E38" t="s">
        <v>4659</v>
      </c>
    </row>
    <row r="39" spans="1:5">
      <c r="A39" t="s">
        <v>90</v>
      </c>
      <c r="B39" t="s">
        <v>4718</v>
      </c>
      <c r="C39" t="s">
        <v>4669</v>
      </c>
      <c r="D39" t="s">
        <v>4658</v>
      </c>
      <c r="E39" t="s">
        <v>4659</v>
      </c>
    </row>
    <row r="40" spans="1:5">
      <c r="A40" t="s">
        <v>90</v>
      </c>
      <c r="B40" t="s">
        <v>4719</v>
      </c>
      <c r="C40" t="s">
        <v>4720</v>
      </c>
      <c r="D40" t="s">
        <v>4658</v>
      </c>
      <c r="E40" t="s">
        <v>4659</v>
      </c>
    </row>
    <row r="41" spans="1:5">
      <c r="A41" t="s">
        <v>90</v>
      </c>
      <c r="B41" t="s">
        <v>4721</v>
      </c>
      <c r="C41" t="s">
        <v>4722</v>
      </c>
      <c r="D41" t="s">
        <v>4658</v>
      </c>
      <c r="E41" t="s">
        <v>4659</v>
      </c>
    </row>
    <row r="42" spans="1:5">
      <c r="A42" t="s">
        <v>90</v>
      </c>
      <c r="B42" t="s">
        <v>4723</v>
      </c>
      <c r="C42" t="s">
        <v>4661</v>
      </c>
      <c r="D42" t="s">
        <v>4658</v>
      </c>
      <c r="E42" t="s">
        <v>4659</v>
      </c>
    </row>
    <row r="43" spans="1:5">
      <c r="A43" t="s">
        <v>90</v>
      </c>
      <c r="B43" t="s">
        <v>4724</v>
      </c>
      <c r="C43" t="s">
        <v>4725</v>
      </c>
      <c r="D43" t="s">
        <v>4658</v>
      </c>
      <c r="E43" t="s">
        <v>4659</v>
      </c>
    </row>
    <row r="44" spans="1:5">
      <c r="A44" t="s">
        <v>90</v>
      </c>
      <c r="B44" t="s">
        <v>4726</v>
      </c>
      <c r="C44" t="s">
        <v>4727</v>
      </c>
      <c r="D44" t="s">
        <v>4658</v>
      </c>
      <c r="E44" t="s">
        <v>4659</v>
      </c>
    </row>
    <row r="45" spans="1:5">
      <c r="A45" t="s">
        <v>90</v>
      </c>
      <c r="B45" t="s">
        <v>4728</v>
      </c>
      <c r="C45" t="s">
        <v>4690</v>
      </c>
      <c r="D45" t="s">
        <v>4658</v>
      </c>
      <c r="E45" t="s">
        <v>4659</v>
      </c>
    </row>
    <row r="46" spans="1:5">
      <c r="A46" t="s">
        <v>90</v>
      </c>
      <c r="B46" t="s">
        <v>4729</v>
      </c>
      <c r="C46" t="s">
        <v>4665</v>
      </c>
      <c r="D46" t="s">
        <v>4658</v>
      </c>
      <c r="E46" t="s">
        <v>4659</v>
      </c>
    </row>
    <row r="47" spans="1:5">
      <c r="A47" t="s">
        <v>90</v>
      </c>
      <c r="B47" t="s">
        <v>4730</v>
      </c>
      <c r="C47" t="s">
        <v>4681</v>
      </c>
      <c r="D47" t="s">
        <v>4658</v>
      </c>
      <c r="E47" t="s">
        <v>4659</v>
      </c>
    </row>
    <row r="48" spans="1:5">
      <c r="A48" t="s">
        <v>90</v>
      </c>
      <c r="B48" t="s">
        <v>4731</v>
      </c>
      <c r="C48" t="s">
        <v>4657</v>
      </c>
      <c r="D48" t="s">
        <v>4658</v>
      </c>
      <c r="E48" t="s">
        <v>4659</v>
      </c>
    </row>
    <row r="49" spans="1:5">
      <c r="A49" t="s">
        <v>90</v>
      </c>
      <c r="B49" t="s">
        <v>4732</v>
      </c>
      <c r="C49" t="s">
        <v>4679</v>
      </c>
      <c r="D49" t="s">
        <v>4658</v>
      </c>
      <c r="E49" t="s">
        <v>4659</v>
      </c>
    </row>
    <row r="50" spans="1:5">
      <c r="A50" t="s">
        <v>90</v>
      </c>
      <c r="B50" t="s">
        <v>4733</v>
      </c>
      <c r="C50" t="s">
        <v>4665</v>
      </c>
      <c r="D50" t="s">
        <v>4658</v>
      </c>
      <c r="E50" t="s">
        <v>4659</v>
      </c>
    </row>
    <row r="51" spans="1:5">
      <c r="A51" t="s">
        <v>90</v>
      </c>
      <c r="B51" t="s">
        <v>4734</v>
      </c>
      <c r="C51" t="s">
        <v>4695</v>
      </c>
      <c r="D51" t="s">
        <v>4658</v>
      </c>
      <c r="E51" t="s">
        <v>4659</v>
      </c>
    </row>
    <row r="52" spans="1:5">
      <c r="A52" t="s">
        <v>90</v>
      </c>
      <c r="B52" t="s">
        <v>4735</v>
      </c>
      <c r="C52" t="s">
        <v>4709</v>
      </c>
      <c r="D52" t="s">
        <v>4658</v>
      </c>
      <c r="E52" t="s">
        <v>4659</v>
      </c>
    </row>
    <row r="53" spans="1:5">
      <c r="A53" t="s">
        <v>90</v>
      </c>
      <c r="B53" t="s">
        <v>4736</v>
      </c>
      <c r="C53" t="s">
        <v>4657</v>
      </c>
      <c r="D53" t="s">
        <v>4658</v>
      </c>
      <c r="E53" t="s">
        <v>4659</v>
      </c>
    </row>
    <row r="54" spans="1:5">
      <c r="A54" t="s">
        <v>90</v>
      </c>
      <c r="B54" t="s">
        <v>4737</v>
      </c>
      <c r="C54" t="s">
        <v>4681</v>
      </c>
      <c r="D54" t="s">
        <v>4658</v>
      </c>
      <c r="E54" t="s">
        <v>4659</v>
      </c>
    </row>
    <row r="55" spans="1:5">
      <c r="A55" t="s">
        <v>90</v>
      </c>
      <c r="B55" t="s">
        <v>4738</v>
      </c>
      <c r="C55" t="s">
        <v>4697</v>
      </c>
      <c r="D55" t="s">
        <v>4658</v>
      </c>
      <c r="E55" t="s">
        <v>4659</v>
      </c>
    </row>
    <row r="56" spans="1:5">
      <c r="A56" t="s">
        <v>90</v>
      </c>
      <c r="B56" t="s">
        <v>4739</v>
      </c>
      <c r="C56" t="s">
        <v>4661</v>
      </c>
      <c r="D56" t="s">
        <v>4658</v>
      </c>
      <c r="E56" t="s">
        <v>4659</v>
      </c>
    </row>
    <row r="57" spans="1:5">
      <c r="A57" t="s">
        <v>90</v>
      </c>
      <c r="B57" t="s">
        <v>4740</v>
      </c>
      <c r="C57" t="s">
        <v>4679</v>
      </c>
      <c r="D57" t="s">
        <v>4658</v>
      </c>
      <c r="E57" t="s">
        <v>4659</v>
      </c>
    </row>
    <row r="58" spans="1:5">
      <c r="A58" t="s">
        <v>90</v>
      </c>
      <c r="B58" t="s">
        <v>4741</v>
      </c>
      <c r="C58" t="s">
        <v>4661</v>
      </c>
      <c r="D58" t="s">
        <v>4658</v>
      </c>
      <c r="E58" t="s">
        <v>4659</v>
      </c>
    </row>
    <row r="59" spans="1:5">
      <c r="A59" t="s">
        <v>90</v>
      </c>
      <c r="B59" t="s">
        <v>4742</v>
      </c>
      <c r="C59" t="s">
        <v>4661</v>
      </c>
      <c r="D59" t="s">
        <v>4658</v>
      </c>
      <c r="E59" t="s">
        <v>4659</v>
      </c>
    </row>
    <row r="60" spans="1:5">
      <c r="A60" t="s">
        <v>90</v>
      </c>
      <c r="B60" t="s">
        <v>4743</v>
      </c>
      <c r="C60" t="s">
        <v>4661</v>
      </c>
      <c r="D60" t="s">
        <v>4658</v>
      </c>
      <c r="E60" t="s">
        <v>4659</v>
      </c>
    </row>
    <row r="61" spans="1:5">
      <c r="A61" t="s">
        <v>90</v>
      </c>
      <c r="B61" t="s">
        <v>4744</v>
      </c>
      <c r="C61" t="s">
        <v>4661</v>
      </c>
      <c r="D61" t="s">
        <v>4658</v>
      </c>
      <c r="E61" t="s">
        <v>4659</v>
      </c>
    </row>
    <row r="62" spans="1:5">
      <c r="A62" t="s">
        <v>90</v>
      </c>
      <c r="B62" t="s">
        <v>4745</v>
      </c>
      <c r="C62" t="s">
        <v>4661</v>
      </c>
      <c r="D62" t="s">
        <v>4658</v>
      </c>
      <c r="E62" t="s">
        <v>4659</v>
      </c>
    </row>
    <row r="63" spans="1:5">
      <c r="A63" t="s">
        <v>90</v>
      </c>
      <c r="B63" t="s">
        <v>4746</v>
      </c>
      <c r="C63" t="s">
        <v>4661</v>
      </c>
      <c r="D63" t="s">
        <v>4658</v>
      </c>
      <c r="E63" t="s">
        <v>4659</v>
      </c>
    </row>
    <row r="64" spans="1:5">
      <c r="A64" t="s">
        <v>90</v>
      </c>
      <c r="B64" t="s">
        <v>4747</v>
      </c>
      <c r="C64" t="s">
        <v>4661</v>
      </c>
      <c r="D64" t="s">
        <v>4658</v>
      </c>
      <c r="E64" t="s">
        <v>4659</v>
      </c>
    </row>
    <row r="65" spans="1:5">
      <c r="A65" t="s">
        <v>90</v>
      </c>
      <c r="B65" t="s">
        <v>4748</v>
      </c>
      <c r="C65" t="s">
        <v>4661</v>
      </c>
      <c r="D65" t="s">
        <v>4658</v>
      </c>
      <c r="E65" t="s">
        <v>4659</v>
      </c>
    </row>
    <row r="66" spans="1:5">
      <c r="A66" t="s">
        <v>90</v>
      </c>
      <c r="B66" t="s">
        <v>4749</v>
      </c>
      <c r="C66" t="s">
        <v>4661</v>
      </c>
      <c r="D66" t="s">
        <v>4658</v>
      </c>
      <c r="E66" t="s">
        <v>4659</v>
      </c>
    </row>
    <row r="67" spans="1:5">
      <c r="A67" t="s">
        <v>90</v>
      </c>
      <c r="B67" t="s">
        <v>4750</v>
      </c>
      <c r="C67" t="s">
        <v>4661</v>
      </c>
      <c r="D67" t="s">
        <v>4658</v>
      </c>
      <c r="E67" t="s">
        <v>4659</v>
      </c>
    </row>
    <row r="68" spans="1:5">
      <c r="A68" t="s">
        <v>90</v>
      </c>
      <c r="B68" t="s">
        <v>4751</v>
      </c>
      <c r="C68" t="s">
        <v>4661</v>
      </c>
      <c r="D68" t="s">
        <v>4658</v>
      </c>
      <c r="E68" t="s">
        <v>4659</v>
      </c>
    </row>
    <row r="69" spans="1:5">
      <c r="A69" t="s">
        <v>90</v>
      </c>
      <c r="B69" t="s">
        <v>4752</v>
      </c>
      <c r="C69" t="s">
        <v>4661</v>
      </c>
      <c r="D69" t="s">
        <v>4658</v>
      </c>
      <c r="E69" t="s">
        <v>4659</v>
      </c>
    </row>
    <row r="70" spans="1:5">
      <c r="A70" t="s">
        <v>90</v>
      </c>
      <c r="B70" t="s">
        <v>4753</v>
      </c>
      <c r="C70" t="s">
        <v>4661</v>
      </c>
      <c r="D70" t="s">
        <v>4658</v>
      </c>
      <c r="E70" t="s">
        <v>4659</v>
      </c>
    </row>
    <row r="71" spans="1:5">
      <c r="A71" t="s">
        <v>90</v>
      </c>
      <c r="B71" t="s">
        <v>4754</v>
      </c>
      <c r="C71" t="s">
        <v>4661</v>
      </c>
      <c r="D71" t="s">
        <v>4658</v>
      </c>
      <c r="E71" t="s">
        <v>4659</v>
      </c>
    </row>
    <row r="72" spans="1:5">
      <c r="A72" t="s">
        <v>90</v>
      </c>
      <c r="B72" t="s">
        <v>4755</v>
      </c>
      <c r="C72" t="s">
        <v>4661</v>
      </c>
      <c r="D72" t="s">
        <v>4658</v>
      </c>
      <c r="E72" t="s">
        <v>4659</v>
      </c>
    </row>
    <row r="73" spans="1:5">
      <c r="A73" t="s">
        <v>90</v>
      </c>
      <c r="B73" t="s">
        <v>4756</v>
      </c>
      <c r="C73" t="s">
        <v>4661</v>
      </c>
      <c r="D73" t="s">
        <v>4658</v>
      </c>
      <c r="E73" t="s">
        <v>4659</v>
      </c>
    </row>
    <row r="74" spans="1:5">
      <c r="A74" t="s">
        <v>90</v>
      </c>
      <c r="B74" t="s">
        <v>4757</v>
      </c>
      <c r="C74" t="s">
        <v>4661</v>
      </c>
      <c r="D74" t="s">
        <v>4658</v>
      </c>
      <c r="E74" t="s">
        <v>4659</v>
      </c>
    </row>
    <row r="75" spans="1:5">
      <c r="A75" t="s">
        <v>90</v>
      </c>
      <c r="B75" t="s">
        <v>4758</v>
      </c>
      <c r="C75" t="s">
        <v>4661</v>
      </c>
      <c r="D75" t="s">
        <v>4658</v>
      </c>
      <c r="E75" t="s">
        <v>4659</v>
      </c>
    </row>
    <row r="76" spans="1:5">
      <c r="A76" t="s">
        <v>90</v>
      </c>
      <c r="B76" t="s">
        <v>4759</v>
      </c>
      <c r="C76" t="s">
        <v>4661</v>
      </c>
      <c r="D76" t="s">
        <v>4658</v>
      </c>
      <c r="E76" t="s">
        <v>4659</v>
      </c>
    </row>
    <row r="77" spans="1:5">
      <c r="A77" t="s">
        <v>90</v>
      </c>
      <c r="B77" t="s">
        <v>4760</v>
      </c>
      <c r="C77" t="s">
        <v>4661</v>
      </c>
      <c r="D77" t="s">
        <v>4658</v>
      </c>
      <c r="E77" t="s">
        <v>4659</v>
      </c>
    </row>
    <row r="78" spans="1:5">
      <c r="A78" t="s">
        <v>90</v>
      </c>
      <c r="B78" t="s">
        <v>4761</v>
      </c>
      <c r="C78" t="s">
        <v>4661</v>
      </c>
      <c r="D78" t="s">
        <v>4658</v>
      </c>
      <c r="E78" t="s">
        <v>4659</v>
      </c>
    </row>
    <row r="79" spans="1:5">
      <c r="A79" t="s">
        <v>90</v>
      </c>
      <c r="B79" t="s">
        <v>4762</v>
      </c>
      <c r="C79" t="s">
        <v>4661</v>
      </c>
      <c r="D79" t="s">
        <v>4658</v>
      </c>
      <c r="E79" t="s">
        <v>4659</v>
      </c>
    </row>
    <row r="80" spans="1:5">
      <c r="A80" t="s">
        <v>90</v>
      </c>
      <c r="B80" t="s">
        <v>4763</v>
      </c>
      <c r="C80" t="s">
        <v>4661</v>
      </c>
      <c r="D80" t="s">
        <v>4658</v>
      </c>
      <c r="E80" t="s">
        <v>4659</v>
      </c>
    </row>
    <row r="81" spans="1:5">
      <c r="A81" t="s">
        <v>90</v>
      </c>
      <c r="B81" t="s">
        <v>4764</v>
      </c>
      <c r="C81" t="s">
        <v>4661</v>
      </c>
      <c r="D81" t="s">
        <v>4658</v>
      </c>
      <c r="E81" t="s">
        <v>4659</v>
      </c>
    </row>
    <row r="82" spans="1:5">
      <c r="A82" t="s">
        <v>90</v>
      </c>
      <c r="B82" t="s">
        <v>4765</v>
      </c>
      <c r="C82" t="s">
        <v>4661</v>
      </c>
      <c r="D82" t="s">
        <v>4658</v>
      </c>
      <c r="E82" t="s">
        <v>4659</v>
      </c>
    </row>
    <row r="83" spans="1:5">
      <c r="A83" t="s">
        <v>90</v>
      </c>
      <c r="B83" t="s">
        <v>4766</v>
      </c>
      <c r="C83" t="s">
        <v>4661</v>
      </c>
      <c r="D83" t="s">
        <v>4658</v>
      </c>
      <c r="E83" t="s">
        <v>4659</v>
      </c>
    </row>
    <row r="84" spans="1:5">
      <c r="A84" t="s">
        <v>90</v>
      </c>
      <c r="B84" t="s">
        <v>4767</v>
      </c>
      <c r="C84" t="s">
        <v>4661</v>
      </c>
      <c r="D84" t="s">
        <v>4658</v>
      </c>
      <c r="E84" t="s">
        <v>4659</v>
      </c>
    </row>
    <row r="85" spans="1:5">
      <c r="A85" t="s">
        <v>90</v>
      </c>
      <c r="B85" t="s">
        <v>4768</v>
      </c>
      <c r="C85" t="s">
        <v>4661</v>
      </c>
      <c r="D85" t="s">
        <v>4658</v>
      </c>
      <c r="E85" t="s">
        <v>4659</v>
      </c>
    </row>
    <row r="86" spans="1:5">
      <c r="A86" t="s">
        <v>90</v>
      </c>
      <c r="B86" t="s">
        <v>4769</v>
      </c>
      <c r="C86" t="s">
        <v>4661</v>
      </c>
      <c r="D86" t="s">
        <v>4658</v>
      </c>
      <c r="E86" t="s">
        <v>4659</v>
      </c>
    </row>
    <row r="87" spans="1:5">
      <c r="A87" t="s">
        <v>90</v>
      </c>
      <c r="B87" t="s">
        <v>4770</v>
      </c>
      <c r="C87" t="s">
        <v>4661</v>
      </c>
      <c r="D87" t="s">
        <v>4658</v>
      </c>
      <c r="E87" t="s">
        <v>4659</v>
      </c>
    </row>
    <row r="88" spans="1:5">
      <c r="A88" t="s">
        <v>90</v>
      </c>
      <c r="B88" t="s">
        <v>4771</v>
      </c>
      <c r="C88" t="s">
        <v>4661</v>
      </c>
      <c r="D88" t="s">
        <v>4658</v>
      </c>
      <c r="E88" t="s">
        <v>4659</v>
      </c>
    </row>
    <row r="89" spans="1:5">
      <c r="A89" t="s">
        <v>90</v>
      </c>
      <c r="B89" t="s">
        <v>4772</v>
      </c>
      <c r="C89" t="s">
        <v>4661</v>
      </c>
      <c r="D89" t="s">
        <v>4658</v>
      </c>
      <c r="E89" t="s">
        <v>4659</v>
      </c>
    </row>
    <row r="90" spans="1:5">
      <c r="A90" t="s">
        <v>90</v>
      </c>
      <c r="B90" t="s">
        <v>4773</v>
      </c>
      <c r="C90" t="s">
        <v>4661</v>
      </c>
      <c r="D90" t="s">
        <v>4658</v>
      </c>
      <c r="E90" t="s">
        <v>4659</v>
      </c>
    </row>
    <row r="91" spans="1:5">
      <c r="A91" t="s">
        <v>90</v>
      </c>
      <c r="B91" t="s">
        <v>4774</v>
      </c>
      <c r="C91" t="s">
        <v>4661</v>
      </c>
      <c r="D91" t="s">
        <v>4658</v>
      </c>
      <c r="E91" t="s">
        <v>4659</v>
      </c>
    </row>
    <row r="92" spans="1:5">
      <c r="A92" t="s">
        <v>90</v>
      </c>
      <c r="B92" t="s">
        <v>4775</v>
      </c>
      <c r="C92" t="s">
        <v>4661</v>
      </c>
      <c r="D92" t="s">
        <v>4658</v>
      </c>
      <c r="E92" t="s">
        <v>4659</v>
      </c>
    </row>
    <row r="93" spans="1:5">
      <c r="A93" t="s">
        <v>90</v>
      </c>
      <c r="B93" t="s">
        <v>4776</v>
      </c>
      <c r="C93" t="s">
        <v>4661</v>
      </c>
      <c r="D93" t="s">
        <v>4658</v>
      </c>
      <c r="E93" t="s">
        <v>4659</v>
      </c>
    </row>
    <row r="94" spans="1:5">
      <c r="A94" t="s">
        <v>90</v>
      </c>
      <c r="B94" t="s">
        <v>4777</v>
      </c>
      <c r="C94" t="s">
        <v>4661</v>
      </c>
      <c r="D94" t="s">
        <v>4658</v>
      </c>
      <c r="E94" t="s">
        <v>4659</v>
      </c>
    </row>
    <row r="95" spans="1:5">
      <c r="A95" t="s">
        <v>90</v>
      </c>
      <c r="B95" t="s">
        <v>4778</v>
      </c>
      <c r="C95" t="s">
        <v>4661</v>
      </c>
      <c r="D95" t="s">
        <v>4658</v>
      </c>
      <c r="E95" t="s">
        <v>4659</v>
      </c>
    </row>
    <row r="96" spans="1:5">
      <c r="A96" t="s">
        <v>90</v>
      </c>
      <c r="B96" t="s">
        <v>4779</v>
      </c>
      <c r="C96" t="s">
        <v>4661</v>
      </c>
      <c r="D96" t="s">
        <v>4658</v>
      </c>
      <c r="E96" t="s">
        <v>4659</v>
      </c>
    </row>
    <row r="97" spans="1:5">
      <c r="A97" t="s">
        <v>90</v>
      </c>
      <c r="B97" t="s">
        <v>4780</v>
      </c>
      <c r="C97" t="s">
        <v>4661</v>
      </c>
      <c r="D97" t="s">
        <v>4658</v>
      </c>
      <c r="E97" t="s">
        <v>4659</v>
      </c>
    </row>
    <row r="98" spans="1:5">
      <c r="A98" t="s">
        <v>90</v>
      </c>
      <c r="B98" t="s">
        <v>4781</v>
      </c>
      <c r="C98" t="s">
        <v>4661</v>
      </c>
      <c r="D98" t="s">
        <v>4658</v>
      </c>
      <c r="E98" t="s">
        <v>4659</v>
      </c>
    </row>
    <row r="99" spans="1:5">
      <c r="A99" t="s">
        <v>90</v>
      </c>
      <c r="B99" t="s">
        <v>4782</v>
      </c>
      <c r="C99" t="s">
        <v>4661</v>
      </c>
      <c r="D99" t="s">
        <v>4658</v>
      </c>
      <c r="E99" t="s">
        <v>4659</v>
      </c>
    </row>
    <row r="100" spans="1:5">
      <c r="A100" t="s">
        <v>90</v>
      </c>
      <c r="B100" t="s">
        <v>4783</v>
      </c>
      <c r="C100" t="s">
        <v>4661</v>
      </c>
      <c r="D100" t="s">
        <v>4658</v>
      </c>
      <c r="E100" t="s">
        <v>4659</v>
      </c>
    </row>
    <row r="101" spans="1:5">
      <c r="A101" t="s">
        <v>90</v>
      </c>
      <c r="B101" t="s">
        <v>4784</v>
      </c>
      <c r="C101" t="s">
        <v>4661</v>
      </c>
      <c r="D101" t="s">
        <v>4658</v>
      </c>
      <c r="E101" t="s">
        <v>4659</v>
      </c>
    </row>
    <row r="102" spans="1:5">
      <c r="A102" t="s">
        <v>90</v>
      </c>
      <c r="B102" t="s">
        <v>4785</v>
      </c>
      <c r="C102" t="s">
        <v>4661</v>
      </c>
      <c r="D102" t="s">
        <v>4658</v>
      </c>
      <c r="E102" t="s">
        <v>4659</v>
      </c>
    </row>
    <row r="103" spans="1:5">
      <c r="A103" t="s">
        <v>90</v>
      </c>
      <c r="B103" t="s">
        <v>4786</v>
      </c>
      <c r="C103" t="s">
        <v>4661</v>
      </c>
      <c r="D103" t="s">
        <v>4658</v>
      </c>
      <c r="E103" t="s">
        <v>4659</v>
      </c>
    </row>
    <row r="104" spans="1:5">
      <c r="A104" t="s">
        <v>90</v>
      </c>
      <c r="B104" t="s">
        <v>4787</v>
      </c>
      <c r="C104" t="s">
        <v>4661</v>
      </c>
      <c r="D104" t="s">
        <v>4658</v>
      </c>
      <c r="E104" t="s">
        <v>4659</v>
      </c>
    </row>
    <row r="105" spans="1:5">
      <c r="A105" t="s">
        <v>90</v>
      </c>
      <c r="B105" t="s">
        <v>4788</v>
      </c>
      <c r="C105" t="s">
        <v>4661</v>
      </c>
      <c r="D105" t="s">
        <v>4658</v>
      </c>
      <c r="E105" t="s">
        <v>4659</v>
      </c>
    </row>
    <row r="106" spans="1:5">
      <c r="A106" t="s">
        <v>90</v>
      </c>
      <c r="B106" t="s">
        <v>4789</v>
      </c>
      <c r="C106" t="s">
        <v>4661</v>
      </c>
      <c r="D106" t="s">
        <v>4658</v>
      </c>
      <c r="E106" t="s">
        <v>4659</v>
      </c>
    </row>
    <row r="107" spans="1:5">
      <c r="A107" t="s">
        <v>90</v>
      </c>
      <c r="B107" t="s">
        <v>4790</v>
      </c>
      <c r="C107" t="s">
        <v>4661</v>
      </c>
      <c r="D107" t="s">
        <v>4658</v>
      </c>
      <c r="E107" t="s">
        <v>4659</v>
      </c>
    </row>
    <row r="108" spans="1:5">
      <c r="A108" t="s">
        <v>90</v>
      </c>
      <c r="B108" t="s">
        <v>4791</v>
      </c>
      <c r="C108" t="s">
        <v>4661</v>
      </c>
      <c r="D108" t="s">
        <v>4658</v>
      </c>
      <c r="E108" t="s">
        <v>4659</v>
      </c>
    </row>
    <row r="109" spans="1:5">
      <c r="A109" t="s">
        <v>90</v>
      </c>
      <c r="B109" t="s">
        <v>4792</v>
      </c>
      <c r="C109" t="s">
        <v>4661</v>
      </c>
      <c r="D109" t="s">
        <v>4658</v>
      </c>
      <c r="E109" t="s">
        <v>4659</v>
      </c>
    </row>
    <row r="110" spans="1:5">
      <c r="A110" t="s">
        <v>90</v>
      </c>
      <c r="B110" t="s">
        <v>4793</v>
      </c>
      <c r="C110" t="s">
        <v>4661</v>
      </c>
      <c r="D110" t="s">
        <v>4658</v>
      </c>
      <c r="E110" t="s">
        <v>4659</v>
      </c>
    </row>
    <row r="111" spans="1:5">
      <c r="A111" t="s">
        <v>90</v>
      </c>
      <c r="B111" t="s">
        <v>4794</v>
      </c>
      <c r="C111" t="s">
        <v>4661</v>
      </c>
      <c r="D111" t="s">
        <v>4658</v>
      </c>
      <c r="E111" t="s">
        <v>4659</v>
      </c>
    </row>
    <row r="112" spans="1:5">
      <c r="A112" t="s">
        <v>90</v>
      </c>
      <c r="B112" t="s">
        <v>4795</v>
      </c>
      <c r="C112" t="s">
        <v>4661</v>
      </c>
      <c r="D112" t="s">
        <v>4658</v>
      </c>
      <c r="E112" t="s">
        <v>4659</v>
      </c>
    </row>
    <row r="113" spans="1:5">
      <c r="A113" t="s">
        <v>90</v>
      </c>
      <c r="B113" t="s">
        <v>4796</v>
      </c>
      <c r="C113" t="s">
        <v>4661</v>
      </c>
      <c r="D113" t="s">
        <v>4658</v>
      </c>
      <c r="E113" t="s">
        <v>4659</v>
      </c>
    </row>
    <row r="114" spans="1:5">
      <c r="A114" t="s">
        <v>90</v>
      </c>
      <c r="B114" t="s">
        <v>4797</v>
      </c>
      <c r="C114" t="s">
        <v>4661</v>
      </c>
      <c r="D114" t="s">
        <v>4658</v>
      </c>
      <c r="E114" t="s">
        <v>4659</v>
      </c>
    </row>
    <row r="115" spans="1:5">
      <c r="A115" t="s">
        <v>90</v>
      </c>
      <c r="B115" t="s">
        <v>4798</v>
      </c>
      <c r="C115" t="s">
        <v>4661</v>
      </c>
      <c r="D115" t="s">
        <v>4658</v>
      </c>
      <c r="E115" t="s">
        <v>4659</v>
      </c>
    </row>
    <row r="116" spans="1:5">
      <c r="A116" t="s">
        <v>90</v>
      </c>
      <c r="B116" t="s">
        <v>4799</v>
      </c>
      <c r="C116" t="s">
        <v>4661</v>
      </c>
      <c r="D116" t="s">
        <v>4658</v>
      </c>
      <c r="E116" t="s">
        <v>4659</v>
      </c>
    </row>
    <row r="117" spans="1:5">
      <c r="A117" t="s">
        <v>90</v>
      </c>
      <c r="B117" t="s">
        <v>4800</v>
      </c>
      <c r="C117" t="s">
        <v>4661</v>
      </c>
      <c r="D117" t="s">
        <v>4658</v>
      </c>
      <c r="E117" t="s">
        <v>4659</v>
      </c>
    </row>
    <row r="118" spans="1:5">
      <c r="A118" t="s">
        <v>90</v>
      </c>
      <c r="B118" t="s">
        <v>4801</v>
      </c>
      <c r="C118" t="s">
        <v>4661</v>
      </c>
      <c r="D118" t="s">
        <v>4658</v>
      </c>
      <c r="E118" t="s">
        <v>4659</v>
      </c>
    </row>
    <row r="119" spans="1:5">
      <c r="A119" t="s">
        <v>90</v>
      </c>
      <c r="B119" t="s">
        <v>4802</v>
      </c>
      <c r="C119" t="s">
        <v>4661</v>
      </c>
      <c r="D119" t="s">
        <v>4658</v>
      </c>
      <c r="E119" t="s">
        <v>4659</v>
      </c>
    </row>
    <row r="120" spans="1:5">
      <c r="A120" t="s">
        <v>90</v>
      </c>
      <c r="B120" t="s">
        <v>4803</v>
      </c>
      <c r="C120" t="s">
        <v>4661</v>
      </c>
      <c r="D120" t="s">
        <v>4658</v>
      </c>
      <c r="E120" t="s">
        <v>4659</v>
      </c>
    </row>
    <row r="121" spans="1:5">
      <c r="A121" t="s">
        <v>90</v>
      </c>
      <c r="B121" t="s">
        <v>4804</v>
      </c>
      <c r="C121" t="s">
        <v>4661</v>
      </c>
      <c r="D121" t="s">
        <v>4658</v>
      </c>
      <c r="E121" t="s">
        <v>4659</v>
      </c>
    </row>
    <row r="122" spans="1:5">
      <c r="A122" t="s">
        <v>90</v>
      </c>
      <c r="B122" t="s">
        <v>4805</v>
      </c>
      <c r="C122" t="s">
        <v>4661</v>
      </c>
      <c r="D122" t="s">
        <v>4658</v>
      </c>
      <c r="E122" t="s">
        <v>4659</v>
      </c>
    </row>
    <row r="123" spans="1:5">
      <c r="A123" t="s">
        <v>90</v>
      </c>
      <c r="B123" t="s">
        <v>4806</v>
      </c>
      <c r="C123" t="s">
        <v>4661</v>
      </c>
      <c r="D123" t="s">
        <v>4658</v>
      </c>
      <c r="E123" t="s">
        <v>4659</v>
      </c>
    </row>
    <row r="124" spans="1:5">
      <c r="A124" t="s">
        <v>90</v>
      </c>
      <c r="B124" t="s">
        <v>4807</v>
      </c>
      <c r="C124" t="s">
        <v>4661</v>
      </c>
      <c r="D124" t="s">
        <v>4658</v>
      </c>
      <c r="E124" t="s">
        <v>4659</v>
      </c>
    </row>
    <row r="125" spans="1:5">
      <c r="A125" t="s">
        <v>90</v>
      </c>
      <c r="B125" t="s">
        <v>4808</v>
      </c>
      <c r="C125" t="s">
        <v>4661</v>
      </c>
      <c r="D125" t="s">
        <v>4658</v>
      </c>
      <c r="E125" t="s">
        <v>4659</v>
      </c>
    </row>
    <row r="126" spans="1:5">
      <c r="A126" t="s">
        <v>90</v>
      </c>
      <c r="B126" t="s">
        <v>4809</v>
      </c>
      <c r="C126" t="s">
        <v>4661</v>
      </c>
      <c r="D126" t="s">
        <v>4658</v>
      </c>
      <c r="E126" t="s">
        <v>4659</v>
      </c>
    </row>
    <row r="127" spans="1:5">
      <c r="A127" t="s">
        <v>90</v>
      </c>
      <c r="B127" t="s">
        <v>4810</v>
      </c>
      <c r="C127" t="s">
        <v>4661</v>
      </c>
      <c r="D127" t="s">
        <v>4658</v>
      </c>
      <c r="E127" t="s">
        <v>4659</v>
      </c>
    </row>
    <row r="128" spans="1:5">
      <c r="A128" t="s">
        <v>90</v>
      </c>
      <c r="B128" t="s">
        <v>4811</v>
      </c>
      <c r="C128" t="s">
        <v>4661</v>
      </c>
      <c r="D128" t="s">
        <v>4658</v>
      </c>
      <c r="E128" t="s">
        <v>4659</v>
      </c>
    </row>
    <row r="129" spans="1:5">
      <c r="A129" t="s">
        <v>90</v>
      </c>
      <c r="B129" t="s">
        <v>4812</v>
      </c>
      <c r="C129" t="s">
        <v>4661</v>
      </c>
      <c r="D129" t="s">
        <v>4658</v>
      </c>
      <c r="E129" t="s">
        <v>4659</v>
      </c>
    </row>
    <row r="130" spans="1:5">
      <c r="A130" t="s">
        <v>90</v>
      </c>
      <c r="B130" t="s">
        <v>4813</v>
      </c>
      <c r="C130" t="s">
        <v>4661</v>
      </c>
      <c r="D130" t="s">
        <v>4658</v>
      </c>
      <c r="E130" t="s">
        <v>4659</v>
      </c>
    </row>
    <row r="131" spans="1:5">
      <c r="A131" t="s">
        <v>90</v>
      </c>
      <c r="B131" t="s">
        <v>4814</v>
      </c>
      <c r="C131" t="s">
        <v>4661</v>
      </c>
      <c r="D131" t="s">
        <v>4658</v>
      </c>
      <c r="E131" t="s">
        <v>4659</v>
      </c>
    </row>
    <row r="132" spans="1:5">
      <c r="A132" t="s">
        <v>90</v>
      </c>
      <c r="B132" t="s">
        <v>4815</v>
      </c>
      <c r="C132" t="s">
        <v>4661</v>
      </c>
      <c r="D132" t="s">
        <v>4658</v>
      </c>
      <c r="E132" t="s">
        <v>4659</v>
      </c>
    </row>
    <row r="133" spans="1:5">
      <c r="A133" t="s">
        <v>90</v>
      </c>
      <c r="B133" t="s">
        <v>4816</v>
      </c>
      <c r="C133" t="s">
        <v>4661</v>
      </c>
      <c r="D133" t="s">
        <v>4658</v>
      </c>
      <c r="E133" t="s">
        <v>4659</v>
      </c>
    </row>
    <row r="134" spans="1:5">
      <c r="A134" t="s">
        <v>90</v>
      </c>
      <c r="B134" t="s">
        <v>4817</v>
      </c>
      <c r="C134" t="s">
        <v>4661</v>
      </c>
      <c r="D134" t="s">
        <v>4658</v>
      </c>
      <c r="E134" t="s">
        <v>4659</v>
      </c>
    </row>
    <row r="135" spans="1:5">
      <c r="A135" t="s">
        <v>90</v>
      </c>
      <c r="B135" t="s">
        <v>4818</v>
      </c>
      <c r="C135" t="s">
        <v>4661</v>
      </c>
      <c r="D135" t="s">
        <v>4658</v>
      </c>
      <c r="E135" t="s">
        <v>4659</v>
      </c>
    </row>
    <row r="136" spans="1:5">
      <c r="A136" t="s">
        <v>90</v>
      </c>
      <c r="B136" t="s">
        <v>4819</v>
      </c>
      <c r="C136" t="s">
        <v>4661</v>
      </c>
      <c r="D136" t="s">
        <v>4658</v>
      </c>
      <c r="E136" t="s">
        <v>4659</v>
      </c>
    </row>
    <row r="137" spans="1:5">
      <c r="A137" t="s">
        <v>90</v>
      </c>
      <c r="B137" t="s">
        <v>4820</v>
      </c>
      <c r="C137" t="s">
        <v>4661</v>
      </c>
      <c r="D137" t="s">
        <v>4658</v>
      </c>
      <c r="E137" t="s">
        <v>4659</v>
      </c>
    </row>
    <row r="138" spans="1:5">
      <c r="A138" t="s">
        <v>90</v>
      </c>
      <c r="B138" t="s">
        <v>4821</v>
      </c>
      <c r="C138" t="s">
        <v>4661</v>
      </c>
      <c r="D138" t="s">
        <v>4658</v>
      </c>
      <c r="E138" t="s">
        <v>4659</v>
      </c>
    </row>
    <row r="139" spans="1:5">
      <c r="A139" t="s">
        <v>90</v>
      </c>
      <c r="B139" t="s">
        <v>4822</v>
      </c>
      <c r="C139" t="s">
        <v>4661</v>
      </c>
      <c r="D139" t="s">
        <v>4658</v>
      </c>
      <c r="E139" t="s">
        <v>4659</v>
      </c>
    </row>
    <row r="140" spans="1:5">
      <c r="A140" t="s">
        <v>90</v>
      </c>
      <c r="B140" t="s">
        <v>4823</v>
      </c>
      <c r="C140" t="s">
        <v>4661</v>
      </c>
      <c r="D140" t="s">
        <v>4658</v>
      </c>
      <c r="E140" t="s">
        <v>4659</v>
      </c>
    </row>
    <row r="141" spans="1:5">
      <c r="A141" t="s">
        <v>90</v>
      </c>
      <c r="B141" t="s">
        <v>4824</v>
      </c>
      <c r="C141" t="s">
        <v>4661</v>
      </c>
      <c r="D141" t="s">
        <v>4658</v>
      </c>
      <c r="E141" t="s">
        <v>4659</v>
      </c>
    </row>
    <row r="142" spans="1:5">
      <c r="A142" t="s">
        <v>90</v>
      </c>
      <c r="B142" t="s">
        <v>4825</v>
      </c>
      <c r="C142" t="s">
        <v>4661</v>
      </c>
      <c r="D142" t="s">
        <v>4658</v>
      </c>
      <c r="E142" t="s">
        <v>4659</v>
      </c>
    </row>
    <row r="143" spans="1:5">
      <c r="A143" t="s">
        <v>90</v>
      </c>
      <c r="B143" t="s">
        <v>4826</v>
      </c>
      <c r="C143" t="s">
        <v>4661</v>
      </c>
      <c r="D143" t="s">
        <v>4658</v>
      </c>
      <c r="E143" t="s">
        <v>4659</v>
      </c>
    </row>
    <row r="144" spans="1:5">
      <c r="A144" t="s">
        <v>90</v>
      </c>
      <c r="B144" t="s">
        <v>4827</v>
      </c>
      <c r="C144" t="s">
        <v>4661</v>
      </c>
      <c r="D144" t="s">
        <v>4658</v>
      </c>
      <c r="E144" t="s">
        <v>4659</v>
      </c>
    </row>
    <row r="145" spans="1:5">
      <c r="A145" t="s">
        <v>90</v>
      </c>
      <c r="B145" t="s">
        <v>4828</v>
      </c>
      <c r="C145" t="s">
        <v>4661</v>
      </c>
      <c r="D145" t="s">
        <v>4658</v>
      </c>
      <c r="E145" t="s">
        <v>4659</v>
      </c>
    </row>
    <row r="146" spans="1:5">
      <c r="A146" t="s">
        <v>90</v>
      </c>
      <c r="B146" t="s">
        <v>4829</v>
      </c>
      <c r="C146" t="s">
        <v>4661</v>
      </c>
      <c r="D146" t="s">
        <v>4658</v>
      </c>
      <c r="E146" t="s">
        <v>4659</v>
      </c>
    </row>
    <row r="147" spans="1:5">
      <c r="A147" t="s">
        <v>90</v>
      </c>
      <c r="B147" t="s">
        <v>4830</v>
      </c>
      <c r="C147" t="s">
        <v>4661</v>
      </c>
      <c r="D147" t="s">
        <v>4658</v>
      </c>
      <c r="E147" t="s">
        <v>4659</v>
      </c>
    </row>
    <row r="148" spans="1:5">
      <c r="A148" t="s">
        <v>90</v>
      </c>
      <c r="B148" t="s">
        <v>4831</v>
      </c>
      <c r="C148" t="s">
        <v>4661</v>
      </c>
      <c r="D148" t="s">
        <v>4658</v>
      </c>
      <c r="E148" t="s">
        <v>4659</v>
      </c>
    </row>
    <row r="149" spans="1:5">
      <c r="A149" t="s">
        <v>90</v>
      </c>
      <c r="B149" t="s">
        <v>4832</v>
      </c>
      <c r="C149" t="s">
        <v>4661</v>
      </c>
      <c r="D149" t="s">
        <v>4658</v>
      </c>
      <c r="E149" t="s">
        <v>4659</v>
      </c>
    </row>
    <row r="150" spans="1:5">
      <c r="A150" t="s">
        <v>90</v>
      </c>
      <c r="B150" t="s">
        <v>4833</v>
      </c>
      <c r="C150" t="s">
        <v>4661</v>
      </c>
      <c r="D150" t="s">
        <v>4658</v>
      </c>
      <c r="E150" t="s">
        <v>4659</v>
      </c>
    </row>
    <row r="151" spans="1:5">
      <c r="A151" t="s">
        <v>90</v>
      </c>
      <c r="B151" t="s">
        <v>4834</v>
      </c>
      <c r="C151" t="s">
        <v>4661</v>
      </c>
      <c r="D151" t="s">
        <v>4658</v>
      </c>
      <c r="E151" t="s">
        <v>4659</v>
      </c>
    </row>
    <row r="152" spans="1:5">
      <c r="A152" t="s">
        <v>90</v>
      </c>
      <c r="B152" t="s">
        <v>4835</v>
      </c>
      <c r="C152" t="s">
        <v>4661</v>
      </c>
      <c r="D152" t="s">
        <v>4658</v>
      </c>
      <c r="E152" t="s">
        <v>4659</v>
      </c>
    </row>
    <row r="153" spans="1:5">
      <c r="A153" t="s">
        <v>90</v>
      </c>
      <c r="B153" t="s">
        <v>4836</v>
      </c>
      <c r="C153" t="s">
        <v>4661</v>
      </c>
      <c r="D153" t="s">
        <v>4658</v>
      </c>
      <c r="E153" t="s">
        <v>4659</v>
      </c>
    </row>
    <row r="154" spans="1:5">
      <c r="A154" t="s">
        <v>90</v>
      </c>
      <c r="B154" t="s">
        <v>4837</v>
      </c>
      <c r="C154" t="s">
        <v>4661</v>
      </c>
      <c r="D154" t="s">
        <v>4658</v>
      </c>
      <c r="E154" t="s">
        <v>4659</v>
      </c>
    </row>
    <row r="155" spans="1:5">
      <c r="A155" t="s">
        <v>90</v>
      </c>
      <c r="B155" t="s">
        <v>4838</v>
      </c>
      <c r="C155" t="s">
        <v>4661</v>
      </c>
      <c r="D155" t="s">
        <v>4658</v>
      </c>
      <c r="E155" t="s">
        <v>4659</v>
      </c>
    </row>
    <row r="156" spans="1:5">
      <c r="A156" t="s">
        <v>90</v>
      </c>
      <c r="B156" t="s">
        <v>4839</v>
      </c>
      <c r="C156" t="s">
        <v>4661</v>
      </c>
      <c r="D156" t="s">
        <v>4658</v>
      </c>
      <c r="E156" t="s">
        <v>4659</v>
      </c>
    </row>
    <row r="157" spans="1:5">
      <c r="A157" t="s">
        <v>90</v>
      </c>
      <c r="B157" t="s">
        <v>4840</v>
      </c>
      <c r="C157" t="s">
        <v>4661</v>
      </c>
      <c r="D157" t="s">
        <v>4658</v>
      </c>
      <c r="E157" t="s">
        <v>4659</v>
      </c>
    </row>
    <row r="158" spans="1:5">
      <c r="A158" t="s">
        <v>90</v>
      </c>
      <c r="B158" t="s">
        <v>4841</v>
      </c>
      <c r="C158" t="s">
        <v>4661</v>
      </c>
      <c r="D158" t="s">
        <v>4658</v>
      </c>
      <c r="E158" t="s">
        <v>4659</v>
      </c>
    </row>
    <row r="159" spans="1:5">
      <c r="A159" t="s">
        <v>90</v>
      </c>
      <c r="B159" t="s">
        <v>4842</v>
      </c>
      <c r="C159" t="s">
        <v>4661</v>
      </c>
      <c r="D159" t="s">
        <v>4658</v>
      </c>
      <c r="E159" t="s">
        <v>4659</v>
      </c>
    </row>
    <row r="160" spans="1:5">
      <c r="A160" t="s">
        <v>90</v>
      </c>
      <c r="B160" t="s">
        <v>4843</v>
      </c>
      <c r="C160" t="s">
        <v>4661</v>
      </c>
      <c r="D160" t="s">
        <v>4658</v>
      </c>
      <c r="E160" t="s">
        <v>4659</v>
      </c>
    </row>
    <row r="161" spans="1:5">
      <c r="A161" t="s">
        <v>90</v>
      </c>
      <c r="B161" t="s">
        <v>4844</v>
      </c>
      <c r="C161" t="s">
        <v>4661</v>
      </c>
      <c r="D161" t="s">
        <v>4658</v>
      </c>
      <c r="E161" t="s">
        <v>4659</v>
      </c>
    </row>
    <row r="162" spans="1:5">
      <c r="A162" t="s">
        <v>90</v>
      </c>
      <c r="B162" t="s">
        <v>4845</v>
      </c>
      <c r="C162" t="s">
        <v>4661</v>
      </c>
      <c r="D162" t="s">
        <v>4658</v>
      </c>
      <c r="E162" t="s">
        <v>4659</v>
      </c>
    </row>
    <row r="163" spans="1:5">
      <c r="A163" t="s">
        <v>90</v>
      </c>
      <c r="B163" t="s">
        <v>4846</v>
      </c>
      <c r="C163" t="s">
        <v>4661</v>
      </c>
      <c r="D163" t="s">
        <v>4658</v>
      </c>
      <c r="E163" t="s">
        <v>4659</v>
      </c>
    </row>
    <row r="164" spans="1:5">
      <c r="A164" t="s">
        <v>90</v>
      </c>
      <c r="B164" t="s">
        <v>4847</v>
      </c>
      <c r="C164" t="s">
        <v>4661</v>
      </c>
      <c r="D164" t="s">
        <v>4658</v>
      </c>
      <c r="E164" t="s">
        <v>4659</v>
      </c>
    </row>
    <row r="165" spans="1:5">
      <c r="A165" t="s">
        <v>90</v>
      </c>
      <c r="B165" t="s">
        <v>4848</v>
      </c>
      <c r="C165" t="s">
        <v>4661</v>
      </c>
      <c r="D165" t="s">
        <v>4658</v>
      </c>
      <c r="E165" t="s">
        <v>4659</v>
      </c>
    </row>
    <row r="166" spans="1:5">
      <c r="A166" t="s">
        <v>90</v>
      </c>
      <c r="B166" t="s">
        <v>4849</v>
      </c>
      <c r="C166" t="s">
        <v>4661</v>
      </c>
      <c r="D166" t="s">
        <v>4658</v>
      </c>
      <c r="E166" t="s">
        <v>4659</v>
      </c>
    </row>
    <row r="167" spans="1:5">
      <c r="A167" t="s">
        <v>90</v>
      </c>
      <c r="B167" t="s">
        <v>4850</v>
      </c>
      <c r="C167" t="s">
        <v>4661</v>
      </c>
      <c r="D167" t="s">
        <v>4658</v>
      </c>
      <c r="E167" t="s">
        <v>4659</v>
      </c>
    </row>
    <row r="168" spans="1:5">
      <c r="A168" t="s">
        <v>90</v>
      </c>
      <c r="B168" t="s">
        <v>4851</v>
      </c>
      <c r="C168" t="s">
        <v>4661</v>
      </c>
      <c r="D168" t="s">
        <v>4658</v>
      </c>
      <c r="E168" t="s">
        <v>4659</v>
      </c>
    </row>
    <row r="169" spans="1:5">
      <c r="A169" t="s">
        <v>90</v>
      </c>
      <c r="B169" t="s">
        <v>4852</v>
      </c>
      <c r="C169" t="s">
        <v>4661</v>
      </c>
      <c r="D169" t="s">
        <v>4658</v>
      </c>
      <c r="E169" t="s">
        <v>4659</v>
      </c>
    </row>
    <row r="170" spans="1:5">
      <c r="A170" t="s">
        <v>90</v>
      </c>
      <c r="B170" t="s">
        <v>4853</v>
      </c>
      <c r="C170" t="s">
        <v>4661</v>
      </c>
      <c r="D170" t="s">
        <v>4658</v>
      </c>
      <c r="E170" t="s">
        <v>4659</v>
      </c>
    </row>
    <row r="171" spans="1:5">
      <c r="A171" t="s">
        <v>90</v>
      </c>
      <c r="B171" t="s">
        <v>4854</v>
      </c>
      <c r="C171" t="s">
        <v>4661</v>
      </c>
      <c r="D171" t="s">
        <v>4658</v>
      </c>
      <c r="E171" t="s">
        <v>4659</v>
      </c>
    </row>
    <row r="172" spans="1:5">
      <c r="A172" t="s">
        <v>90</v>
      </c>
      <c r="B172" t="s">
        <v>4855</v>
      </c>
      <c r="C172" t="s">
        <v>4661</v>
      </c>
      <c r="D172" t="s">
        <v>4658</v>
      </c>
      <c r="E172" t="s">
        <v>4659</v>
      </c>
    </row>
    <row r="173" spans="1:5">
      <c r="A173" t="s">
        <v>90</v>
      </c>
      <c r="B173" t="s">
        <v>4856</v>
      </c>
      <c r="C173" t="s">
        <v>4661</v>
      </c>
      <c r="D173" t="s">
        <v>4658</v>
      </c>
      <c r="E173" t="s">
        <v>4659</v>
      </c>
    </row>
    <row r="174" spans="1:5">
      <c r="A174" t="s">
        <v>90</v>
      </c>
      <c r="B174" t="s">
        <v>4857</v>
      </c>
      <c r="C174" t="s">
        <v>4661</v>
      </c>
      <c r="D174" t="s">
        <v>4658</v>
      </c>
      <c r="E174" t="s">
        <v>4659</v>
      </c>
    </row>
    <row r="175" spans="1:5">
      <c r="A175" t="s">
        <v>90</v>
      </c>
      <c r="B175" t="s">
        <v>4858</v>
      </c>
      <c r="C175" t="s">
        <v>4661</v>
      </c>
      <c r="D175" t="s">
        <v>4658</v>
      </c>
      <c r="E175" t="s">
        <v>4659</v>
      </c>
    </row>
    <row r="176" spans="1:5">
      <c r="A176" t="s">
        <v>90</v>
      </c>
      <c r="B176" t="s">
        <v>4859</v>
      </c>
      <c r="C176" t="s">
        <v>4661</v>
      </c>
      <c r="D176" t="s">
        <v>4658</v>
      </c>
      <c r="E176" t="s">
        <v>4659</v>
      </c>
    </row>
    <row r="177" spans="1:5">
      <c r="A177" t="s">
        <v>90</v>
      </c>
      <c r="B177" t="s">
        <v>4860</v>
      </c>
      <c r="C177" t="s">
        <v>4661</v>
      </c>
      <c r="D177" t="s">
        <v>4658</v>
      </c>
      <c r="E177" t="s">
        <v>4659</v>
      </c>
    </row>
    <row r="178" spans="1:5">
      <c r="A178" t="s">
        <v>90</v>
      </c>
      <c r="B178" t="s">
        <v>4861</v>
      </c>
      <c r="C178" t="s">
        <v>4661</v>
      </c>
      <c r="D178" t="s">
        <v>4658</v>
      </c>
      <c r="E178" t="s">
        <v>4659</v>
      </c>
    </row>
    <row r="179" spans="1:5">
      <c r="A179" t="s">
        <v>90</v>
      </c>
      <c r="B179" t="s">
        <v>4862</v>
      </c>
      <c r="C179" t="s">
        <v>4661</v>
      </c>
      <c r="D179" t="s">
        <v>4658</v>
      </c>
      <c r="E179" t="s">
        <v>4659</v>
      </c>
    </row>
    <row r="180" spans="1:5">
      <c r="A180" t="s">
        <v>90</v>
      </c>
      <c r="B180" t="s">
        <v>4863</v>
      </c>
      <c r="C180" t="s">
        <v>4661</v>
      </c>
      <c r="D180" t="s">
        <v>4658</v>
      </c>
      <c r="E180" t="s">
        <v>4659</v>
      </c>
    </row>
    <row r="181" spans="1:5">
      <c r="A181" t="s">
        <v>90</v>
      </c>
      <c r="B181" t="s">
        <v>4864</v>
      </c>
      <c r="C181" t="s">
        <v>4661</v>
      </c>
      <c r="D181" t="s">
        <v>4658</v>
      </c>
      <c r="E181" t="s">
        <v>4659</v>
      </c>
    </row>
    <row r="182" spans="1:5">
      <c r="A182" t="s">
        <v>90</v>
      </c>
      <c r="B182" t="s">
        <v>4865</v>
      </c>
      <c r="C182" t="s">
        <v>4661</v>
      </c>
      <c r="D182" t="s">
        <v>4658</v>
      </c>
      <c r="E182" t="s">
        <v>4659</v>
      </c>
    </row>
    <row r="183" spans="1:5">
      <c r="A183" t="s">
        <v>90</v>
      </c>
      <c r="B183" t="s">
        <v>4866</v>
      </c>
      <c r="C183" t="s">
        <v>4661</v>
      </c>
      <c r="D183" t="s">
        <v>4658</v>
      </c>
      <c r="E183" t="s">
        <v>4659</v>
      </c>
    </row>
    <row r="184" spans="1:5">
      <c r="A184" t="s">
        <v>90</v>
      </c>
      <c r="B184" t="s">
        <v>4867</v>
      </c>
      <c r="C184" t="s">
        <v>4661</v>
      </c>
      <c r="D184" t="s">
        <v>4658</v>
      </c>
      <c r="E184" t="s">
        <v>4659</v>
      </c>
    </row>
    <row r="185" spans="1:5">
      <c r="A185" t="s">
        <v>90</v>
      </c>
      <c r="B185" t="s">
        <v>4868</v>
      </c>
      <c r="C185" t="s">
        <v>4661</v>
      </c>
      <c r="D185" t="s">
        <v>4658</v>
      </c>
      <c r="E185" t="s">
        <v>4659</v>
      </c>
    </row>
    <row r="186" spans="1:5">
      <c r="A186" t="s">
        <v>90</v>
      </c>
      <c r="B186" t="s">
        <v>4869</v>
      </c>
      <c r="C186" t="s">
        <v>4661</v>
      </c>
      <c r="D186" t="s">
        <v>4658</v>
      </c>
      <c r="E186" t="s">
        <v>4659</v>
      </c>
    </row>
    <row r="187" spans="1:5">
      <c r="A187" t="s">
        <v>90</v>
      </c>
      <c r="B187" t="s">
        <v>4870</v>
      </c>
      <c r="C187" t="s">
        <v>4661</v>
      </c>
      <c r="D187" t="s">
        <v>4658</v>
      </c>
      <c r="E187" t="s">
        <v>4659</v>
      </c>
    </row>
    <row r="188" spans="1:5">
      <c r="A188" t="s">
        <v>90</v>
      </c>
      <c r="B188" t="s">
        <v>4871</v>
      </c>
      <c r="C188" t="s">
        <v>4661</v>
      </c>
      <c r="D188" t="s">
        <v>4658</v>
      </c>
      <c r="E188" t="s">
        <v>4659</v>
      </c>
    </row>
    <row r="189" spans="1:5">
      <c r="A189" t="s">
        <v>90</v>
      </c>
      <c r="B189" t="s">
        <v>4872</v>
      </c>
      <c r="C189" t="s">
        <v>4661</v>
      </c>
      <c r="D189" t="s">
        <v>4658</v>
      </c>
      <c r="E189" t="s">
        <v>4659</v>
      </c>
    </row>
    <row r="190" spans="1:5">
      <c r="A190" t="s">
        <v>90</v>
      </c>
      <c r="B190" t="s">
        <v>4873</v>
      </c>
      <c r="C190" t="s">
        <v>4661</v>
      </c>
      <c r="D190" t="s">
        <v>4658</v>
      </c>
      <c r="E190" t="s">
        <v>4659</v>
      </c>
    </row>
    <row r="191" spans="1:5">
      <c r="A191" t="s">
        <v>90</v>
      </c>
      <c r="B191" t="s">
        <v>4874</v>
      </c>
      <c r="C191" t="s">
        <v>4661</v>
      </c>
      <c r="D191" t="s">
        <v>4658</v>
      </c>
      <c r="E191" t="s">
        <v>4659</v>
      </c>
    </row>
    <row r="192" spans="1:5">
      <c r="A192" t="s">
        <v>90</v>
      </c>
      <c r="B192" t="s">
        <v>4875</v>
      </c>
      <c r="C192" t="s">
        <v>4661</v>
      </c>
      <c r="D192" t="s">
        <v>4658</v>
      </c>
      <c r="E192" t="s">
        <v>4659</v>
      </c>
    </row>
    <row r="193" spans="1:5">
      <c r="A193" t="s">
        <v>90</v>
      </c>
      <c r="B193" t="s">
        <v>4876</v>
      </c>
      <c r="C193" t="s">
        <v>4661</v>
      </c>
      <c r="D193" t="s">
        <v>4658</v>
      </c>
      <c r="E193" t="s">
        <v>4659</v>
      </c>
    </row>
    <row r="194" spans="1:5">
      <c r="A194" t="s">
        <v>90</v>
      </c>
      <c r="B194" t="s">
        <v>4877</v>
      </c>
      <c r="C194" t="s">
        <v>4661</v>
      </c>
      <c r="D194" t="s">
        <v>4658</v>
      </c>
      <c r="E194" t="s">
        <v>4659</v>
      </c>
    </row>
    <row r="195" spans="1:5">
      <c r="A195" t="s">
        <v>90</v>
      </c>
      <c r="B195" t="s">
        <v>4878</v>
      </c>
      <c r="C195" t="s">
        <v>4661</v>
      </c>
      <c r="D195" t="s">
        <v>4658</v>
      </c>
      <c r="E195" t="s">
        <v>4659</v>
      </c>
    </row>
    <row r="196" spans="1:5">
      <c r="A196" t="s">
        <v>90</v>
      </c>
      <c r="B196" t="s">
        <v>4879</v>
      </c>
      <c r="C196" t="s">
        <v>4661</v>
      </c>
      <c r="D196" t="s">
        <v>4658</v>
      </c>
      <c r="E196" t="s">
        <v>4659</v>
      </c>
    </row>
    <row r="197" spans="1:5">
      <c r="A197" t="s">
        <v>90</v>
      </c>
      <c r="B197" t="s">
        <v>4880</v>
      </c>
      <c r="C197" t="s">
        <v>4661</v>
      </c>
      <c r="D197" t="s">
        <v>4658</v>
      </c>
      <c r="E197" t="s">
        <v>4659</v>
      </c>
    </row>
    <row r="198" spans="1:5">
      <c r="A198" t="s">
        <v>90</v>
      </c>
      <c r="B198" t="s">
        <v>4881</v>
      </c>
      <c r="C198" t="s">
        <v>4661</v>
      </c>
      <c r="D198" t="s">
        <v>4658</v>
      </c>
      <c r="E198" t="s">
        <v>4659</v>
      </c>
    </row>
    <row r="199" spans="1:5">
      <c r="A199" t="s">
        <v>90</v>
      </c>
      <c r="B199" t="s">
        <v>4882</v>
      </c>
      <c r="C199" t="s">
        <v>4661</v>
      </c>
      <c r="D199" t="s">
        <v>4658</v>
      </c>
      <c r="E199" t="s">
        <v>4659</v>
      </c>
    </row>
    <row r="200" spans="1:5">
      <c r="A200" t="s">
        <v>90</v>
      </c>
      <c r="B200" t="s">
        <v>4883</v>
      </c>
      <c r="C200" t="s">
        <v>4661</v>
      </c>
      <c r="D200" t="s">
        <v>4658</v>
      </c>
      <c r="E200" t="s">
        <v>4659</v>
      </c>
    </row>
    <row r="201" spans="1:5">
      <c r="A201" t="s">
        <v>90</v>
      </c>
      <c r="B201" t="s">
        <v>4884</v>
      </c>
      <c r="C201" t="s">
        <v>4661</v>
      </c>
      <c r="D201" t="s">
        <v>4658</v>
      </c>
      <c r="E201" t="s">
        <v>4659</v>
      </c>
    </row>
    <row r="202" spans="1:5">
      <c r="A202" t="s">
        <v>90</v>
      </c>
      <c r="B202" t="s">
        <v>4885</v>
      </c>
      <c r="C202" t="s">
        <v>4661</v>
      </c>
      <c r="D202" t="s">
        <v>4658</v>
      </c>
      <c r="E202" t="s">
        <v>4659</v>
      </c>
    </row>
    <row r="203" spans="1:5">
      <c r="A203" t="s">
        <v>90</v>
      </c>
      <c r="B203" t="s">
        <v>4886</v>
      </c>
      <c r="C203" t="s">
        <v>4661</v>
      </c>
      <c r="D203" t="s">
        <v>4658</v>
      </c>
      <c r="E203" t="s">
        <v>4659</v>
      </c>
    </row>
    <row r="204" spans="1:5">
      <c r="A204" t="s">
        <v>90</v>
      </c>
      <c r="B204" t="s">
        <v>4887</v>
      </c>
      <c r="C204" t="s">
        <v>4661</v>
      </c>
      <c r="D204" t="s">
        <v>4658</v>
      </c>
      <c r="E204" t="s">
        <v>4659</v>
      </c>
    </row>
    <row r="205" spans="1:5">
      <c r="A205" t="s">
        <v>90</v>
      </c>
      <c r="B205" t="s">
        <v>4888</v>
      </c>
      <c r="C205" t="s">
        <v>4661</v>
      </c>
      <c r="D205" t="s">
        <v>4658</v>
      </c>
      <c r="E205" t="s">
        <v>4659</v>
      </c>
    </row>
    <row r="206" spans="1:5">
      <c r="A206" t="s">
        <v>90</v>
      </c>
      <c r="B206" t="s">
        <v>4889</v>
      </c>
      <c r="C206" t="s">
        <v>4661</v>
      </c>
      <c r="D206" t="s">
        <v>4658</v>
      </c>
      <c r="E206" t="s">
        <v>4659</v>
      </c>
    </row>
    <row r="207" spans="1:5">
      <c r="A207" t="s">
        <v>90</v>
      </c>
      <c r="B207" t="s">
        <v>4890</v>
      </c>
      <c r="C207" t="s">
        <v>4661</v>
      </c>
      <c r="D207" t="s">
        <v>4658</v>
      </c>
      <c r="E207" t="s">
        <v>4659</v>
      </c>
    </row>
    <row r="208" spans="1:5">
      <c r="A208" t="s">
        <v>90</v>
      </c>
      <c r="B208" t="s">
        <v>4891</v>
      </c>
      <c r="C208" t="s">
        <v>4661</v>
      </c>
      <c r="D208" t="s">
        <v>4658</v>
      </c>
      <c r="E208" t="s">
        <v>4659</v>
      </c>
    </row>
    <row r="209" spans="1:5">
      <c r="A209" t="s">
        <v>90</v>
      </c>
      <c r="B209" t="s">
        <v>4892</v>
      </c>
      <c r="C209" t="s">
        <v>4661</v>
      </c>
      <c r="D209" t="s">
        <v>4658</v>
      </c>
      <c r="E209" t="s">
        <v>4659</v>
      </c>
    </row>
    <row r="210" spans="1:5">
      <c r="A210" t="s">
        <v>90</v>
      </c>
      <c r="B210" t="s">
        <v>4893</v>
      </c>
      <c r="C210" t="s">
        <v>4661</v>
      </c>
      <c r="D210" t="s">
        <v>4658</v>
      </c>
      <c r="E210" t="s">
        <v>4659</v>
      </c>
    </row>
    <row r="211" spans="1:5">
      <c r="A211" t="s">
        <v>90</v>
      </c>
      <c r="B211" t="s">
        <v>4894</v>
      </c>
      <c r="C211" t="s">
        <v>4661</v>
      </c>
      <c r="D211" t="s">
        <v>4658</v>
      </c>
      <c r="E211" t="s">
        <v>4659</v>
      </c>
    </row>
    <row r="212" spans="1:5">
      <c r="A212" t="s">
        <v>90</v>
      </c>
      <c r="B212" t="s">
        <v>4895</v>
      </c>
      <c r="C212" t="s">
        <v>4661</v>
      </c>
      <c r="D212" t="s">
        <v>4658</v>
      </c>
      <c r="E212" t="s">
        <v>4659</v>
      </c>
    </row>
    <row r="213" spans="1:5">
      <c r="A213" t="s">
        <v>90</v>
      </c>
      <c r="B213" t="s">
        <v>4896</v>
      </c>
      <c r="C213" t="s">
        <v>4661</v>
      </c>
      <c r="D213" t="s">
        <v>4658</v>
      </c>
      <c r="E213" t="s">
        <v>4659</v>
      </c>
    </row>
    <row r="214" spans="1:5">
      <c r="A214" t="s">
        <v>90</v>
      </c>
      <c r="B214" t="s">
        <v>4897</v>
      </c>
      <c r="C214" t="s">
        <v>4661</v>
      </c>
      <c r="D214" t="s">
        <v>4658</v>
      </c>
      <c r="E214" t="s">
        <v>4659</v>
      </c>
    </row>
    <row r="215" spans="1:5">
      <c r="A215" t="s">
        <v>90</v>
      </c>
      <c r="B215" t="s">
        <v>4898</v>
      </c>
      <c r="C215" t="s">
        <v>4661</v>
      </c>
      <c r="D215" t="s">
        <v>4658</v>
      </c>
      <c r="E215" t="s">
        <v>4659</v>
      </c>
    </row>
    <row r="216" spans="1:5">
      <c r="A216" t="s">
        <v>90</v>
      </c>
      <c r="B216" t="s">
        <v>4899</v>
      </c>
      <c r="C216" t="s">
        <v>4661</v>
      </c>
      <c r="D216" t="s">
        <v>4658</v>
      </c>
      <c r="E216" t="s">
        <v>4659</v>
      </c>
    </row>
    <row r="217" spans="1:5">
      <c r="A217" t="s">
        <v>90</v>
      </c>
      <c r="B217" t="s">
        <v>4900</v>
      </c>
      <c r="C217" t="s">
        <v>4661</v>
      </c>
      <c r="D217" t="s">
        <v>4658</v>
      </c>
      <c r="E217" t="s">
        <v>4659</v>
      </c>
    </row>
    <row r="218" spans="1:5">
      <c r="A218" t="s">
        <v>90</v>
      </c>
      <c r="B218" t="s">
        <v>4901</v>
      </c>
      <c r="C218" t="s">
        <v>4661</v>
      </c>
      <c r="D218" t="s">
        <v>4658</v>
      </c>
      <c r="E218" t="s">
        <v>4659</v>
      </c>
    </row>
    <row r="219" spans="1:5">
      <c r="A219" t="s">
        <v>90</v>
      </c>
      <c r="B219" t="s">
        <v>4902</v>
      </c>
      <c r="C219" t="s">
        <v>4661</v>
      </c>
      <c r="D219" t="s">
        <v>4658</v>
      </c>
      <c r="E219" t="s">
        <v>4659</v>
      </c>
    </row>
    <row r="220" spans="1:5">
      <c r="A220" t="s">
        <v>90</v>
      </c>
      <c r="B220" t="s">
        <v>4903</v>
      </c>
      <c r="C220" t="s">
        <v>4661</v>
      </c>
      <c r="D220" t="s">
        <v>4658</v>
      </c>
      <c r="E220" t="s">
        <v>4659</v>
      </c>
    </row>
    <row r="221" spans="1:5">
      <c r="A221" t="s">
        <v>90</v>
      </c>
      <c r="B221" t="s">
        <v>4904</v>
      </c>
      <c r="C221" t="s">
        <v>4661</v>
      </c>
      <c r="D221" t="s">
        <v>4658</v>
      </c>
      <c r="E221" t="s">
        <v>4659</v>
      </c>
    </row>
    <row r="222" spans="1:5">
      <c r="A222" t="s">
        <v>90</v>
      </c>
      <c r="B222" t="s">
        <v>4905</v>
      </c>
      <c r="C222" t="s">
        <v>4661</v>
      </c>
      <c r="D222" t="s">
        <v>4658</v>
      </c>
      <c r="E222" t="s">
        <v>4659</v>
      </c>
    </row>
    <row r="223" spans="1:5">
      <c r="A223" t="s">
        <v>90</v>
      </c>
      <c r="B223" t="s">
        <v>4906</v>
      </c>
      <c r="C223" t="s">
        <v>4661</v>
      </c>
      <c r="D223" t="s">
        <v>4658</v>
      </c>
      <c r="E223" t="s">
        <v>4659</v>
      </c>
    </row>
    <row r="224" spans="1:5">
      <c r="A224" t="s">
        <v>90</v>
      </c>
      <c r="B224" t="s">
        <v>4907</v>
      </c>
      <c r="C224" t="s">
        <v>4661</v>
      </c>
      <c r="D224" t="s">
        <v>4658</v>
      </c>
      <c r="E224" t="s">
        <v>4659</v>
      </c>
    </row>
    <row r="225" spans="1:5">
      <c r="A225" t="s">
        <v>90</v>
      </c>
      <c r="B225" t="s">
        <v>4908</v>
      </c>
      <c r="C225" t="s">
        <v>4661</v>
      </c>
      <c r="D225" t="s">
        <v>4658</v>
      </c>
      <c r="E225" t="s">
        <v>4659</v>
      </c>
    </row>
    <row r="226" spans="1:5">
      <c r="A226" t="s">
        <v>90</v>
      </c>
      <c r="B226" t="s">
        <v>4909</v>
      </c>
      <c r="C226" t="s">
        <v>4661</v>
      </c>
      <c r="D226" t="s">
        <v>4658</v>
      </c>
      <c r="E226" t="s">
        <v>4659</v>
      </c>
    </row>
    <row r="227" spans="1:5">
      <c r="A227" t="s">
        <v>91</v>
      </c>
      <c r="B227" t="s">
        <v>4910</v>
      </c>
      <c r="C227" t="s">
        <v>4657</v>
      </c>
      <c r="D227" t="s">
        <v>4658</v>
      </c>
      <c r="E227" t="s">
        <v>4659</v>
      </c>
    </row>
    <row r="228" spans="1:5">
      <c r="A228" t="s">
        <v>91</v>
      </c>
      <c r="B228" t="s">
        <v>4911</v>
      </c>
      <c r="C228" t="s">
        <v>4690</v>
      </c>
      <c r="D228" t="s">
        <v>4658</v>
      </c>
      <c r="E228" t="s">
        <v>4659</v>
      </c>
    </row>
    <row r="229" spans="1:5">
      <c r="A229" t="s">
        <v>91</v>
      </c>
      <c r="B229" t="s">
        <v>4912</v>
      </c>
      <c r="C229" t="s">
        <v>4913</v>
      </c>
      <c r="D229" t="s">
        <v>4658</v>
      </c>
      <c r="E229" t="s">
        <v>4659</v>
      </c>
    </row>
    <row r="230" spans="1:5">
      <c r="A230" t="s">
        <v>91</v>
      </c>
      <c r="B230" t="s">
        <v>4662</v>
      </c>
      <c r="C230" t="s">
        <v>4663</v>
      </c>
      <c r="D230" t="s">
        <v>4658</v>
      </c>
      <c r="E230" t="s">
        <v>4659</v>
      </c>
    </row>
    <row r="231" spans="1:5">
      <c r="A231" t="s">
        <v>91</v>
      </c>
      <c r="B231" t="s">
        <v>4677</v>
      </c>
      <c r="C231" t="s">
        <v>4675</v>
      </c>
      <c r="D231" t="s">
        <v>4658</v>
      </c>
      <c r="E231" t="s">
        <v>4659</v>
      </c>
    </row>
    <row r="232" spans="1:5">
      <c r="A232" t="s">
        <v>91</v>
      </c>
      <c r="B232" t="s">
        <v>4674</v>
      </c>
      <c r="C232" t="s">
        <v>4675</v>
      </c>
      <c r="D232" t="s">
        <v>4658</v>
      </c>
      <c r="E232" t="s">
        <v>4659</v>
      </c>
    </row>
    <row r="233" spans="1:5">
      <c r="A233" t="s">
        <v>91</v>
      </c>
      <c r="B233" t="s">
        <v>4676</v>
      </c>
      <c r="C233" t="s">
        <v>4675</v>
      </c>
      <c r="D233" t="s">
        <v>4658</v>
      </c>
      <c r="E233" t="s">
        <v>4659</v>
      </c>
    </row>
    <row r="234" spans="1:5">
      <c r="A234" t="s">
        <v>91</v>
      </c>
      <c r="B234" t="s">
        <v>4682</v>
      </c>
      <c r="C234" t="s">
        <v>4683</v>
      </c>
      <c r="D234" t="s">
        <v>4658</v>
      </c>
      <c r="E234" t="s">
        <v>4659</v>
      </c>
    </row>
    <row r="235" spans="1:5">
      <c r="A235" t="s">
        <v>91</v>
      </c>
      <c r="B235" t="s">
        <v>4680</v>
      </c>
      <c r="C235" t="s">
        <v>4681</v>
      </c>
      <c r="D235" t="s">
        <v>4658</v>
      </c>
      <c r="E235" t="s">
        <v>4659</v>
      </c>
    </row>
    <row r="236" spans="1:5">
      <c r="A236" t="s">
        <v>91</v>
      </c>
      <c r="B236" t="s">
        <v>4678</v>
      </c>
      <c r="C236" t="s">
        <v>4679</v>
      </c>
      <c r="D236" t="s">
        <v>4658</v>
      </c>
      <c r="E236" t="s">
        <v>4659</v>
      </c>
    </row>
    <row r="237" spans="1:5">
      <c r="A237" t="s">
        <v>91</v>
      </c>
      <c r="B237" t="s">
        <v>4660</v>
      </c>
      <c r="C237" t="s">
        <v>4661</v>
      </c>
      <c r="D237" t="s">
        <v>4658</v>
      </c>
      <c r="E237" t="s">
        <v>4659</v>
      </c>
    </row>
    <row r="238" spans="1:5">
      <c r="A238" t="s">
        <v>91</v>
      </c>
      <c r="B238" t="s">
        <v>4670</v>
      </c>
      <c r="C238" t="s">
        <v>4671</v>
      </c>
      <c r="D238" t="s">
        <v>4658</v>
      </c>
      <c r="E238" t="s">
        <v>4659</v>
      </c>
    </row>
    <row r="239" spans="1:5">
      <c r="A239" t="s">
        <v>91</v>
      </c>
      <c r="B239" t="s">
        <v>4664</v>
      </c>
      <c r="C239" t="s">
        <v>4665</v>
      </c>
      <c r="D239" t="s">
        <v>4658</v>
      </c>
      <c r="E239" t="s">
        <v>4659</v>
      </c>
    </row>
    <row r="240" spans="1:5">
      <c r="A240" t="s">
        <v>91</v>
      </c>
      <c r="B240" t="s">
        <v>4914</v>
      </c>
      <c r="C240" t="s">
        <v>4915</v>
      </c>
      <c r="D240" t="s">
        <v>4658</v>
      </c>
      <c r="E240" t="s">
        <v>4659</v>
      </c>
    </row>
    <row r="241" spans="1:5">
      <c r="A241" t="s">
        <v>91</v>
      </c>
      <c r="B241" t="s">
        <v>4916</v>
      </c>
      <c r="C241" t="s">
        <v>4917</v>
      </c>
      <c r="D241" t="s">
        <v>4658</v>
      </c>
      <c r="E241" t="s">
        <v>4659</v>
      </c>
    </row>
    <row r="242" spans="1:5">
      <c r="A242" t="s">
        <v>91</v>
      </c>
      <c r="B242" t="s">
        <v>4686</v>
      </c>
      <c r="C242" t="s">
        <v>4686</v>
      </c>
      <c r="D242" t="s">
        <v>4658</v>
      </c>
      <c r="E242" t="s">
        <v>4659</v>
      </c>
    </row>
    <row r="243" spans="1:5">
      <c r="A243" t="s">
        <v>91</v>
      </c>
      <c r="B243" t="s">
        <v>4687</v>
      </c>
      <c r="C243" t="s">
        <v>4688</v>
      </c>
      <c r="D243" t="s">
        <v>4658</v>
      </c>
      <c r="E243" t="s">
        <v>4659</v>
      </c>
    </row>
    <row r="244" spans="1:5">
      <c r="A244" t="s">
        <v>91</v>
      </c>
      <c r="B244" t="s">
        <v>4918</v>
      </c>
      <c r="C244" t="s">
        <v>4919</v>
      </c>
      <c r="D244" t="s">
        <v>4658</v>
      </c>
      <c r="E244" t="s">
        <v>4659</v>
      </c>
    </row>
    <row r="245" spans="1:5">
      <c r="A245" t="s">
        <v>91</v>
      </c>
      <c r="B245" t="s">
        <v>4920</v>
      </c>
      <c r="C245" t="s">
        <v>4921</v>
      </c>
      <c r="D245" t="s">
        <v>4658</v>
      </c>
      <c r="E245" t="s">
        <v>4659</v>
      </c>
    </row>
    <row r="246" spans="1:5">
      <c r="A246" t="s">
        <v>91</v>
      </c>
      <c r="B246" t="s">
        <v>4922</v>
      </c>
      <c r="C246" t="s">
        <v>4923</v>
      </c>
      <c r="D246" t="s">
        <v>4658</v>
      </c>
      <c r="E246" t="s">
        <v>4659</v>
      </c>
    </row>
    <row r="247" spans="1:5">
      <c r="A247" t="s">
        <v>91</v>
      </c>
      <c r="B247" t="s">
        <v>4924</v>
      </c>
      <c r="C247" t="s">
        <v>4690</v>
      </c>
      <c r="D247" t="s">
        <v>4658</v>
      </c>
      <c r="E247" t="s">
        <v>4659</v>
      </c>
    </row>
    <row r="248" spans="1:5">
      <c r="A248" t="s">
        <v>91</v>
      </c>
      <c r="B248" t="s">
        <v>4925</v>
      </c>
      <c r="C248" t="s">
        <v>4926</v>
      </c>
      <c r="D248" t="s">
        <v>4658</v>
      </c>
      <c r="E248" t="s">
        <v>4659</v>
      </c>
    </row>
    <row r="249" spans="1:5">
      <c r="A249" t="s">
        <v>91</v>
      </c>
      <c r="B249" t="s">
        <v>4927</v>
      </c>
      <c r="C249" t="s">
        <v>4928</v>
      </c>
      <c r="D249" t="s">
        <v>4658</v>
      </c>
      <c r="E249" t="s">
        <v>4659</v>
      </c>
    </row>
    <row r="250" spans="1:5">
      <c r="A250" t="s">
        <v>91</v>
      </c>
      <c r="B250" t="s">
        <v>4666</v>
      </c>
      <c r="C250" t="s">
        <v>4667</v>
      </c>
      <c r="D250" t="s">
        <v>4658</v>
      </c>
      <c r="E250" t="s">
        <v>4659</v>
      </c>
    </row>
    <row r="251" spans="1:5">
      <c r="A251" t="s">
        <v>91</v>
      </c>
      <c r="B251" t="s">
        <v>4929</v>
      </c>
      <c r="C251" t="s">
        <v>4699</v>
      </c>
      <c r="D251" t="s">
        <v>4658</v>
      </c>
      <c r="E251" t="s">
        <v>4659</v>
      </c>
    </row>
    <row r="252" spans="1:5">
      <c r="A252" t="s">
        <v>91</v>
      </c>
      <c r="B252" t="s">
        <v>4694</v>
      </c>
      <c r="C252" t="s">
        <v>4695</v>
      </c>
      <c r="D252" t="s">
        <v>4658</v>
      </c>
      <c r="E252" t="s">
        <v>4659</v>
      </c>
    </row>
    <row r="253" spans="1:5">
      <c r="A253" t="s">
        <v>91</v>
      </c>
      <c r="B253" t="s">
        <v>4708</v>
      </c>
      <c r="C253" t="s">
        <v>4709</v>
      </c>
      <c r="D253" t="s">
        <v>4658</v>
      </c>
      <c r="E253" t="s">
        <v>4659</v>
      </c>
    </row>
    <row r="254" spans="1:5">
      <c r="A254" t="s">
        <v>91</v>
      </c>
      <c r="B254" t="s">
        <v>4696</v>
      </c>
      <c r="C254" t="s">
        <v>4697</v>
      </c>
      <c r="D254" t="s">
        <v>4658</v>
      </c>
      <c r="E254" t="s">
        <v>4659</v>
      </c>
    </row>
    <row r="255" spans="1:5">
      <c r="A255" t="s">
        <v>91</v>
      </c>
      <c r="B255" t="s">
        <v>4930</v>
      </c>
      <c r="C255" t="s">
        <v>4701</v>
      </c>
      <c r="D255" t="s">
        <v>4658</v>
      </c>
      <c r="E255" t="s">
        <v>4659</v>
      </c>
    </row>
    <row r="256" spans="1:5">
      <c r="A256" t="s">
        <v>91</v>
      </c>
      <c r="B256" t="s">
        <v>4931</v>
      </c>
      <c r="C256" t="s">
        <v>4932</v>
      </c>
      <c r="D256" t="s">
        <v>4658</v>
      </c>
      <c r="E256" t="s">
        <v>4659</v>
      </c>
    </row>
    <row r="257" spans="1:5">
      <c r="A257" t="s">
        <v>91</v>
      </c>
      <c r="B257" t="s">
        <v>4933</v>
      </c>
      <c r="C257" t="s">
        <v>4934</v>
      </c>
      <c r="D257" t="s">
        <v>4658</v>
      </c>
      <c r="E257" t="s">
        <v>4659</v>
      </c>
    </row>
    <row r="258" spans="1:5">
      <c r="A258" t="s">
        <v>91</v>
      </c>
      <c r="B258" t="s">
        <v>4935</v>
      </c>
      <c r="C258" t="s">
        <v>4936</v>
      </c>
      <c r="D258" t="s">
        <v>4658</v>
      </c>
      <c r="E258" t="s">
        <v>4659</v>
      </c>
    </row>
    <row r="259" spans="1:5">
      <c r="A259" t="s">
        <v>91</v>
      </c>
      <c r="B259" t="s">
        <v>4726</v>
      </c>
      <c r="C259" t="s">
        <v>4727</v>
      </c>
      <c r="D259" t="s">
        <v>4658</v>
      </c>
      <c r="E259" t="s">
        <v>4659</v>
      </c>
    </row>
    <row r="260" spans="1:5">
      <c r="A260" t="s">
        <v>91</v>
      </c>
      <c r="B260" t="s">
        <v>4719</v>
      </c>
      <c r="C260" t="s">
        <v>4720</v>
      </c>
      <c r="D260" t="s">
        <v>4658</v>
      </c>
      <c r="E260" t="s">
        <v>4659</v>
      </c>
    </row>
    <row r="261" spans="1:5">
      <c r="A261" t="s">
        <v>91</v>
      </c>
      <c r="B261" t="s">
        <v>4724</v>
      </c>
      <c r="C261" t="s">
        <v>4725</v>
      </c>
      <c r="D261" t="s">
        <v>4658</v>
      </c>
      <c r="E261" t="s">
        <v>4659</v>
      </c>
    </row>
    <row r="262" spans="1:5">
      <c r="A262" t="s">
        <v>91</v>
      </c>
      <c r="B262" t="s">
        <v>4721</v>
      </c>
      <c r="C262" t="s">
        <v>4722</v>
      </c>
      <c r="D262" t="s">
        <v>4658</v>
      </c>
      <c r="E262" t="s">
        <v>4659</v>
      </c>
    </row>
    <row r="263" spans="1:5">
      <c r="A263" t="s">
        <v>91</v>
      </c>
      <c r="B263" t="s">
        <v>4937</v>
      </c>
      <c r="C263" t="s">
        <v>4679</v>
      </c>
      <c r="D263" t="s">
        <v>4658</v>
      </c>
      <c r="E263" t="s">
        <v>4659</v>
      </c>
    </row>
    <row r="264" spans="1:5">
      <c r="A264" t="s">
        <v>91</v>
      </c>
      <c r="B264" t="s">
        <v>4938</v>
      </c>
      <c r="C264" t="s">
        <v>4681</v>
      </c>
      <c r="D264" t="s">
        <v>4658</v>
      </c>
      <c r="E264" t="s">
        <v>4659</v>
      </c>
    </row>
    <row r="265" spans="1:5">
      <c r="A265" t="s">
        <v>91</v>
      </c>
      <c r="B265" t="s">
        <v>4939</v>
      </c>
      <c r="C265" t="s">
        <v>4661</v>
      </c>
      <c r="D265" t="s">
        <v>4658</v>
      </c>
      <c r="E265" t="s">
        <v>4659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D17" sqref="D17"/>
    </sheetView>
  </sheetViews>
  <sheetFormatPr defaultRowHeight="15"/>
  <cols>
    <col min="1" max="1" width="16.5703125" bestFit="1" customWidth="1"/>
    <col min="2" max="2" width="17.85546875" bestFit="1" customWidth="1"/>
    <col min="3" max="3" width="30" bestFit="1" customWidth="1"/>
    <col min="4" max="4" width="180.7109375" customWidth="1"/>
    <col min="5" max="5" width="29.5703125" bestFit="1" customWidth="1"/>
  </cols>
  <sheetData>
    <row r="1" spans="1:5">
      <c r="A1" s="46" t="s">
        <v>126</v>
      </c>
      <c r="B1" s="46" t="s">
        <v>84</v>
      </c>
      <c r="C1" s="46" t="s">
        <v>4940</v>
      </c>
      <c r="D1" s="46" t="s">
        <v>4941</v>
      </c>
      <c r="E1" s="46" t="s">
        <v>4942</v>
      </c>
    </row>
    <row r="2" spans="1:5">
      <c r="A2" t="s">
        <v>753</v>
      </c>
      <c r="B2" t="s">
        <v>4943</v>
      </c>
      <c r="C2" t="s">
        <v>4944</v>
      </c>
      <c r="D2" t="s">
        <v>4945</v>
      </c>
      <c r="E2" t="s">
        <v>4946</v>
      </c>
    </row>
    <row r="3" spans="1:5">
      <c r="A3" t="s">
        <v>753</v>
      </c>
      <c r="B3" t="s">
        <v>4943</v>
      </c>
      <c r="C3" t="s">
        <v>4947</v>
      </c>
      <c r="D3" t="s">
        <v>4945</v>
      </c>
      <c r="E3" t="s">
        <v>4946</v>
      </c>
    </row>
    <row r="4" spans="1:5">
      <c r="A4" t="s">
        <v>753</v>
      </c>
      <c r="B4" t="s">
        <v>4943</v>
      </c>
      <c r="C4" t="s">
        <v>4948</v>
      </c>
      <c r="D4" t="s">
        <v>4949</v>
      </c>
      <c r="E4" t="s">
        <v>4950</v>
      </c>
    </row>
    <row r="5" spans="1:5">
      <c r="A5" t="s">
        <v>753</v>
      </c>
      <c r="B5" t="s">
        <v>4943</v>
      </c>
      <c r="C5" t="s">
        <v>4951</v>
      </c>
      <c r="D5" t="s">
        <v>4952</v>
      </c>
      <c r="E5" t="s">
        <v>4953</v>
      </c>
    </row>
    <row r="6" spans="1:5">
      <c r="A6" t="s">
        <v>753</v>
      </c>
      <c r="B6" t="s">
        <v>4954</v>
      </c>
      <c r="C6" t="s">
        <v>4944</v>
      </c>
      <c r="D6" t="s">
        <v>4955</v>
      </c>
      <c r="E6" t="s">
        <v>4946</v>
      </c>
    </row>
    <row r="7" spans="1:5">
      <c r="A7" t="s">
        <v>753</v>
      </c>
      <c r="B7" t="s">
        <v>4954</v>
      </c>
      <c r="C7" t="s">
        <v>4947</v>
      </c>
      <c r="D7" t="s">
        <v>4955</v>
      </c>
      <c r="E7" t="s">
        <v>4946</v>
      </c>
    </row>
    <row r="8" spans="1:5">
      <c r="A8" t="s">
        <v>753</v>
      </c>
      <c r="B8" t="s">
        <v>4954</v>
      </c>
      <c r="C8" t="s">
        <v>4948</v>
      </c>
      <c r="D8" t="s">
        <v>4956</v>
      </c>
      <c r="E8" t="s">
        <v>4950</v>
      </c>
    </row>
    <row r="9" spans="1:5">
      <c r="A9" t="s">
        <v>753</v>
      </c>
      <c r="B9" t="s">
        <v>4954</v>
      </c>
      <c r="C9" t="s">
        <v>4951</v>
      </c>
      <c r="D9" t="s">
        <v>4952</v>
      </c>
      <c r="E9" t="s">
        <v>4953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a24b88-4697-48a3-8ef5-e019328192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69A5691DBAEB44A65A727B2D130042" ma:contentTypeVersion="9" ma:contentTypeDescription="Create a new document." ma:contentTypeScope="" ma:versionID="fbf6d42b830fa9da06a67e1c08896d7a">
  <xsd:schema xmlns:xsd="http://www.w3.org/2001/XMLSchema" xmlns:xs="http://www.w3.org/2001/XMLSchema" xmlns:p="http://schemas.microsoft.com/office/2006/metadata/properties" xmlns:ns2="2ca24b88-4697-48a3-8ef5-e0193281927d" targetNamespace="http://schemas.microsoft.com/office/2006/metadata/properties" ma:root="true" ma:fieldsID="a40b74043161b7bc9826c9afd2f5b1d1" ns2:_="">
    <xsd:import namespace="2ca24b88-4697-48a3-8ef5-e01932819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24b88-4697-48a3-8ef5-e01932819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1ec9f4-4bdd-49be-8f90-b1cb0b2342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796650-25B6-4732-972B-8C6DB65827D0}"/>
</file>

<file path=customXml/itemProps2.xml><?xml version="1.0" encoding="utf-8"?>
<ds:datastoreItem xmlns:ds="http://schemas.openxmlformats.org/officeDocument/2006/customXml" ds:itemID="{F45988E0-E77A-4548-BCF6-D786FDEE781E}"/>
</file>

<file path=customXml/itemProps3.xml><?xml version="1.0" encoding="utf-8"?>
<ds:datastoreItem xmlns:ds="http://schemas.openxmlformats.org/officeDocument/2006/customXml" ds:itemID="{FA8E56FF-2F4A-49A8-AD17-CAACA79F2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2026-06-22T14:12:56Z</dcterms:created>
  <dcterms:modified xsi:type="dcterms:W3CDTF">2026-06-29T13:24:48Z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0x010100F669A5691DBAEB44A65A727B2D130042</vt:lpwstr>
  </property>
</Properties>
</file>